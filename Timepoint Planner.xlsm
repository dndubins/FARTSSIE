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8" windowWidth="12384" windowHeight="7296"/>
  </bookViews>
  <sheets>
    <sheet name="Timepoint Planner" sheetId="1" r:id="rId1"/>
  </sheets>
  <externalReferences>
    <externalReference r:id="rId2"/>
  </externalReferences>
  <definedNames>
    <definedName name="A1DOSE">'[1]Study Design'!$C$45</definedName>
    <definedName name="A1NAME">'[1]Study Design'!$C$44</definedName>
    <definedName name="A2DOSE">'[1]Study Design'!$D$45</definedName>
    <definedName name="A2NAME">'[1]Study Design'!$D$44</definedName>
    <definedName name="A3DOSE">'[1]Study Design'!$E$45</definedName>
    <definedName name="A3NAME">'[1]Study Design'!$E$44</definedName>
    <definedName name="A4DOSE">'[1]Study Design'!$F$45</definedName>
    <definedName name="A4NAME">'[1]Study Design'!$F$44</definedName>
  </definedNames>
  <calcPr calcId="145621"/>
</workbook>
</file>

<file path=xl/calcChain.xml><?xml version="1.0" encoding="utf-8"?>
<calcChain xmlns="http://schemas.openxmlformats.org/spreadsheetml/2006/main">
  <c r="W43" i="1" l="1"/>
  <c r="V43" i="1"/>
  <c r="O43" i="1"/>
  <c r="H43" i="1"/>
  <c r="G43" i="1"/>
  <c r="F43" i="1"/>
  <c r="W42" i="1"/>
  <c r="V42" i="1"/>
  <c r="O42" i="1"/>
  <c r="H42" i="1"/>
  <c r="G42" i="1"/>
  <c r="F42" i="1"/>
  <c r="W41" i="1"/>
  <c r="V41" i="1"/>
  <c r="O41" i="1"/>
  <c r="H41" i="1"/>
  <c r="G41" i="1"/>
  <c r="F41" i="1"/>
  <c r="W40" i="1"/>
  <c r="V40" i="1"/>
  <c r="O40" i="1"/>
  <c r="H40" i="1"/>
  <c r="G40" i="1"/>
  <c r="F40" i="1"/>
  <c r="W39" i="1"/>
  <c r="V39" i="1"/>
  <c r="O39" i="1"/>
  <c r="H39" i="1"/>
  <c r="G39" i="1"/>
  <c r="F39" i="1"/>
  <c r="W38" i="1"/>
  <c r="V38" i="1"/>
  <c r="O38" i="1"/>
  <c r="H38" i="1"/>
  <c r="G38" i="1"/>
  <c r="F38" i="1"/>
  <c r="W37" i="1"/>
  <c r="V37" i="1"/>
  <c r="O37" i="1"/>
  <c r="H37" i="1"/>
  <c r="G37" i="1"/>
  <c r="F37" i="1"/>
  <c r="W36" i="1"/>
  <c r="V36" i="1"/>
  <c r="O36" i="1"/>
  <c r="H36" i="1"/>
  <c r="G36" i="1"/>
  <c r="F36" i="1"/>
  <c r="W35" i="1"/>
  <c r="V35" i="1"/>
  <c r="O35" i="1"/>
  <c r="H35" i="1"/>
  <c r="G35" i="1"/>
  <c r="F35" i="1"/>
  <c r="W34" i="1"/>
  <c r="V34" i="1"/>
  <c r="O34" i="1"/>
  <c r="H34" i="1"/>
  <c r="G34" i="1"/>
  <c r="F34" i="1"/>
  <c r="W33" i="1"/>
  <c r="V33" i="1"/>
  <c r="O33" i="1"/>
  <c r="H33" i="1"/>
  <c r="G33" i="1"/>
  <c r="F33" i="1"/>
  <c r="W32" i="1"/>
  <c r="V32" i="1"/>
  <c r="O32" i="1"/>
  <c r="H32" i="1"/>
  <c r="G32" i="1"/>
  <c r="F32" i="1"/>
  <c r="W31" i="1"/>
  <c r="V31" i="1"/>
  <c r="O31" i="1"/>
  <c r="H31" i="1"/>
  <c r="G31" i="1"/>
  <c r="F31" i="1"/>
  <c r="W30" i="1"/>
  <c r="V30" i="1"/>
  <c r="O30" i="1"/>
  <c r="H30" i="1"/>
  <c r="G30" i="1"/>
  <c r="F30" i="1"/>
  <c r="W29" i="1"/>
  <c r="V29" i="1"/>
  <c r="O29" i="1"/>
  <c r="H29" i="1"/>
  <c r="G29" i="1"/>
  <c r="F29" i="1"/>
  <c r="W28" i="1"/>
  <c r="V28" i="1"/>
  <c r="O28" i="1"/>
  <c r="H28" i="1"/>
  <c r="G28" i="1"/>
  <c r="F28" i="1"/>
  <c r="W27" i="1"/>
  <c r="V27" i="1"/>
  <c r="O27" i="1"/>
  <c r="H27" i="1"/>
  <c r="G27" i="1"/>
  <c r="F27" i="1"/>
  <c r="W26" i="1"/>
  <c r="V26" i="1"/>
  <c r="O26" i="1"/>
  <c r="H26" i="1"/>
  <c r="G26" i="1"/>
  <c r="F26" i="1"/>
  <c r="W25" i="1"/>
  <c r="V25" i="1"/>
  <c r="O25" i="1"/>
  <c r="H25" i="1"/>
  <c r="G25" i="1"/>
  <c r="F25" i="1"/>
  <c r="W24" i="1"/>
  <c r="V24" i="1"/>
  <c r="O24" i="1"/>
  <c r="H24" i="1"/>
  <c r="G24" i="1"/>
  <c r="F24" i="1"/>
  <c r="W23" i="1"/>
  <c r="V23" i="1"/>
  <c r="O23" i="1"/>
  <c r="H23" i="1"/>
  <c r="G23" i="1"/>
  <c r="F23" i="1"/>
  <c r="W22" i="1"/>
  <c r="V22" i="1"/>
  <c r="O22" i="1"/>
  <c r="H22" i="1"/>
  <c r="G22" i="1"/>
  <c r="F22" i="1"/>
  <c r="W21" i="1"/>
  <c r="V21" i="1"/>
  <c r="O21" i="1"/>
  <c r="H21" i="1"/>
  <c r="G21" i="1"/>
  <c r="F21" i="1"/>
  <c r="W20" i="1"/>
  <c r="V20" i="1"/>
  <c r="O20" i="1"/>
  <c r="H20" i="1"/>
  <c r="G20" i="1"/>
  <c r="F20" i="1"/>
  <c r="W19" i="1"/>
  <c r="V19" i="1"/>
  <c r="O19" i="1"/>
  <c r="H19" i="1"/>
  <c r="G19" i="1"/>
  <c r="F19" i="1"/>
  <c r="W18" i="1"/>
  <c r="V18" i="1"/>
  <c r="O18" i="1"/>
  <c r="H18" i="1"/>
  <c r="G18" i="1"/>
  <c r="F18" i="1"/>
  <c r="W17" i="1"/>
  <c r="V17" i="1"/>
  <c r="O17" i="1"/>
  <c r="H17" i="1"/>
  <c r="G17" i="1"/>
  <c r="F17" i="1"/>
  <c r="W16" i="1"/>
  <c r="V16" i="1"/>
  <c r="O16" i="1"/>
  <c r="H16" i="1"/>
  <c r="G16" i="1"/>
  <c r="F16" i="1"/>
  <c r="W15" i="1"/>
  <c r="V15" i="1"/>
  <c r="O15" i="1"/>
  <c r="H15" i="1"/>
  <c r="G15" i="1"/>
  <c r="F15" i="1"/>
  <c r="W14" i="1"/>
  <c r="V14" i="1"/>
  <c r="O14" i="1"/>
  <c r="H14" i="1"/>
  <c r="G14" i="1"/>
  <c r="F14" i="1"/>
  <c r="W13" i="1"/>
  <c r="V13" i="1"/>
  <c r="O13" i="1"/>
  <c r="H13" i="1"/>
  <c r="G13" i="1"/>
  <c r="F13" i="1"/>
  <c r="W12" i="1"/>
  <c r="V12" i="1"/>
  <c r="O12" i="1"/>
  <c r="H12" i="1"/>
  <c r="G12" i="1"/>
  <c r="F12" i="1"/>
  <c r="W11" i="1"/>
  <c r="V11" i="1"/>
  <c r="O11" i="1"/>
  <c r="H11" i="1"/>
  <c r="G11" i="1"/>
  <c r="F11" i="1"/>
  <c r="W10" i="1"/>
  <c r="V10" i="1"/>
  <c r="O10" i="1"/>
  <c r="H10" i="1"/>
  <c r="G10" i="1"/>
  <c r="F10" i="1"/>
  <c r="W9" i="1"/>
  <c r="V9" i="1"/>
  <c r="O9" i="1"/>
  <c r="H9" i="1"/>
  <c r="G9" i="1"/>
  <c r="F9" i="1"/>
  <c r="W8" i="1"/>
  <c r="V8" i="1"/>
  <c r="O8" i="1"/>
  <c r="H8" i="1"/>
  <c r="G8" i="1"/>
  <c r="F8" i="1"/>
  <c r="W7" i="1"/>
  <c r="V7" i="1"/>
  <c r="T7" i="1"/>
  <c r="O7" i="1"/>
  <c r="H7" i="1"/>
  <c r="G7" i="1"/>
  <c r="F7" i="1"/>
  <c r="W6" i="1"/>
  <c r="V6" i="1"/>
  <c r="O6" i="1"/>
  <c r="H6" i="1"/>
  <c r="G6" i="1"/>
  <c r="F6" i="1"/>
  <c r="W5" i="1"/>
  <c r="V5" i="1"/>
  <c r="S5" i="1"/>
  <c r="O5" i="1"/>
  <c r="H5" i="1"/>
  <c r="G5" i="1"/>
  <c r="F5" i="1"/>
  <c r="W4" i="1"/>
  <c r="O4" i="1"/>
  <c r="G4" i="1"/>
</calcChain>
</file>

<file path=xl/sharedStrings.xml><?xml version="1.0" encoding="utf-8"?>
<sst xmlns="http://schemas.openxmlformats.org/spreadsheetml/2006/main" count="26" uniqueCount="22">
  <si>
    <t>Timepoints for Separate Analytes</t>
  </si>
  <si>
    <t>Staggered</t>
  </si>
  <si>
    <t>Combined</t>
  </si>
  <si>
    <t>In house/Return</t>
  </si>
  <si>
    <t>Study Design Parameters: Combined</t>
  </si>
  <si>
    <t>H</t>
  </si>
  <si>
    <t># Sampling Times:</t>
  </si>
  <si>
    <t>(Target: 16-21)</t>
  </si>
  <si>
    <t>Volume per sample:</t>
  </si>
  <si>
    <t>mL</t>
  </si>
  <si>
    <t>Volume of Blood:</t>
  </si>
  <si>
    <t>Tmax Low:</t>
  </si>
  <si>
    <t>Blue: Absorption Phase</t>
  </si>
  <si>
    <t>Tmax High:</t>
  </si>
  <si>
    <t>Green: Tmax Range</t>
  </si>
  <si>
    <t>Tlast:</t>
  </si>
  <si>
    <t>Maroon: Elimination Phase</t>
  </si>
  <si>
    <t>Red: Beyond Tmax + 3*t1/2</t>
  </si>
  <si>
    <t>Analyte 1</t>
  </si>
  <si>
    <t>Analyte 2</t>
  </si>
  <si>
    <t>Analyte 3</t>
  </si>
  <si>
    <t>Analyte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</si>
</sst>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White][=-999]General;General"/>
  </numFmts>
  <fonts count="11" x14ac:knownFonts="1">
    <font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0"/>
      <color indexed="42"/>
      <name val="Arial"/>
      <family val="2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61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9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2" borderId="0" xfId="0" applyFill="1" applyProtection="1">
      <protection locked="0"/>
    </xf>
    <xf numFmtId="0" fontId="3" fillId="2" borderId="0" xfId="0" applyFont="1" applyFill="1" applyProtection="1">
      <protection locked="0"/>
    </xf>
    <xf numFmtId="0" fontId="4" fillId="2" borderId="1" xfId="0" applyFont="1" applyFill="1" applyBorder="1"/>
    <xf numFmtId="0" fontId="4" fillId="2" borderId="2" xfId="0" applyFont="1" applyFill="1" applyBorder="1"/>
    <xf numFmtId="164" fontId="5" fillId="3" borderId="2" xfId="0" applyNumberFormat="1" applyFont="1" applyFill="1" applyBorder="1" applyProtection="1">
      <protection locked="0"/>
    </xf>
    <xf numFmtId="18" fontId="0" fillId="2" borderId="0" xfId="0" applyNumberFormat="1" applyFill="1" applyBorder="1" applyAlignment="1">
      <alignment horizontal="center"/>
    </xf>
    <xf numFmtId="0" fontId="5" fillId="3" borderId="2" xfId="0" applyFont="1" applyFill="1" applyBorder="1" applyProtection="1">
      <protection locked="0"/>
    </xf>
    <xf numFmtId="0" fontId="3" fillId="2" borderId="0" xfId="0" applyNumberFormat="1" applyFont="1" applyFill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2" borderId="3" xfId="0" applyFill="1" applyBorder="1" applyAlignment="1">
      <alignment horizontal="right"/>
    </xf>
    <xf numFmtId="0" fontId="0" fillId="2" borderId="5" xfId="0" applyFill="1" applyBorder="1"/>
    <xf numFmtId="164" fontId="5" fillId="3" borderId="6" xfId="0" applyNumberFormat="1" applyFont="1" applyFill="1" applyBorder="1" applyProtection="1">
      <protection locked="0"/>
    </xf>
    <xf numFmtId="0" fontId="5" fillId="3" borderId="6" xfId="0" applyFont="1" applyFill="1" applyBorder="1" applyProtection="1">
      <protection locked="0"/>
    </xf>
    <xf numFmtId="0" fontId="0" fillId="4" borderId="7" xfId="0" applyFill="1" applyBorder="1"/>
    <xf numFmtId="0" fontId="0" fillId="4" borderId="0" xfId="0" applyFill="1" applyBorder="1"/>
    <xf numFmtId="0" fontId="6" fillId="4" borderId="0" xfId="0" applyFont="1" applyFill="1" applyBorder="1"/>
    <xf numFmtId="0" fontId="1" fillId="4" borderId="8" xfId="0" applyFont="1" applyFill="1" applyBorder="1"/>
    <xf numFmtId="0" fontId="0" fillId="2" borderId="7" xfId="0" applyFill="1" applyBorder="1" applyAlignment="1">
      <alignment horizontal="right"/>
    </xf>
    <xf numFmtId="0" fontId="0" fillId="2" borderId="8" xfId="0" applyFill="1" applyBorder="1"/>
    <xf numFmtId="0" fontId="6" fillId="3" borderId="1" xfId="0" applyFont="1" applyFill="1" applyBorder="1" applyProtection="1">
      <protection locked="0"/>
    </xf>
    <xf numFmtId="0" fontId="0" fillId="4" borderId="9" xfId="0" applyFill="1" applyBorder="1" applyAlignment="1">
      <alignment horizontal="left"/>
    </xf>
    <xf numFmtId="0" fontId="0" fillId="4" borderId="10" xfId="0" applyFill="1" applyBorder="1"/>
    <xf numFmtId="0" fontId="7" fillId="4" borderId="10" xfId="0" applyFont="1" applyFill="1" applyBorder="1"/>
    <xf numFmtId="0" fontId="0" fillId="4" borderId="11" xfId="0" applyFill="1" applyBorder="1"/>
    <xf numFmtId="164" fontId="5" fillId="3" borderId="12" xfId="0" applyNumberFormat="1" applyFont="1" applyFill="1" applyBorder="1" applyProtection="1">
      <protection locked="0"/>
    </xf>
    <xf numFmtId="0" fontId="5" fillId="3" borderId="12" xfId="0" applyFont="1" applyFill="1" applyBorder="1" applyProtection="1">
      <protection locked="0"/>
    </xf>
    <xf numFmtId="0" fontId="0" fillId="2" borderId="9" xfId="0" applyFill="1" applyBorder="1" applyAlignment="1">
      <alignment horizontal="right"/>
    </xf>
    <xf numFmtId="0" fontId="0" fillId="2" borderId="11" xfId="0" applyFill="1" applyBorder="1"/>
    <xf numFmtId="0" fontId="0" fillId="2" borderId="2" xfId="0" applyFill="1" applyBorder="1" applyProtection="1">
      <protection locked="0"/>
    </xf>
    <xf numFmtId="0" fontId="8" fillId="2" borderId="0" xfId="0" applyFont="1" applyFill="1"/>
    <xf numFmtId="0" fontId="0" fillId="2" borderId="0" xfId="0" applyFill="1" applyAlignment="1">
      <alignment horizontal="right"/>
    </xf>
    <xf numFmtId="0" fontId="0" fillId="2" borderId="6" xfId="0" applyFill="1" applyBorder="1" applyProtection="1">
      <protection locked="0"/>
    </xf>
    <xf numFmtId="0" fontId="7" fillId="2" borderId="0" xfId="0" applyFont="1" applyFill="1"/>
    <xf numFmtId="1" fontId="0" fillId="2" borderId="12" xfId="0" applyNumberFormat="1" applyFill="1" applyBorder="1" applyProtection="1">
      <protection locked="0"/>
    </xf>
    <xf numFmtId="0" fontId="5" fillId="2" borderId="0" xfId="0" applyFont="1" applyFill="1"/>
    <xf numFmtId="0" fontId="9" fillId="2" borderId="0" xfId="0" applyFont="1" applyFill="1"/>
    <xf numFmtId="0" fontId="0" fillId="2" borderId="0" xfId="0" applyFill="1" applyBorder="1"/>
  </cellXfs>
  <cellStyles count="1">
    <cellStyle name="Normal" xfId="0" builtinId="0"/>
  </cellStyles>
  <dxfs count="10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7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0</xdr:row>
          <xdr:rowOff>38100</xdr:rowOff>
        </xdr:from>
        <xdr:to>
          <xdr:col>7</xdr:col>
          <xdr:colOff>0</xdr:colOff>
          <xdr:row>1</xdr:row>
          <xdr:rowOff>236220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Combine Sampling Times</a:t>
              </a:r>
              <a:endParaRPr lang="en-CA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BC%20Study%20Design%20Templat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y Design"/>
      <sheetName val="Notes"/>
      <sheetName val="RepC"/>
      <sheetName val="SDMenu"/>
      <sheetName val="MacroMenu"/>
      <sheetName val="Guideline Chart"/>
      <sheetName val="Guidelines"/>
      <sheetName val="Timepoint Planner"/>
      <sheetName val="A1"/>
      <sheetName val="A1 Times"/>
      <sheetName val="A2"/>
      <sheetName val="A2 Times"/>
      <sheetName val="A3"/>
      <sheetName val="A3 Times"/>
      <sheetName val="A4"/>
      <sheetName val="A4 Times"/>
      <sheetName val="ISV"/>
      <sheetName val="Bioequivalence, Crossover"/>
      <sheetName val="Bioequivalence, Parallel"/>
      <sheetName val="Bioequivalence, Replicate"/>
      <sheetName val="BE Chart"/>
      <sheetName val="Size Finder"/>
      <sheetName val="SScalc"/>
      <sheetName val="GBC Study Design Template1"/>
    </sheetNames>
    <sheetDataSet>
      <sheetData sheetId="0">
        <row r="2">
          <cell r="F2">
            <v>1</v>
          </cell>
        </row>
        <row r="44">
          <cell r="C44" t="str">
            <v>Analyte 1</v>
          </cell>
          <cell r="D44" t="str">
            <v>Analyte 2</v>
          </cell>
          <cell r="E44" t="str">
            <v>Analyte 3</v>
          </cell>
          <cell r="F44" t="str">
            <v>Analyte 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7">
          <cell r="F17">
            <v>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14"/>
  <sheetViews>
    <sheetView tabSelected="1" workbookViewId="0">
      <selection activeCell="B4" sqref="B4"/>
    </sheetView>
  </sheetViews>
  <sheetFormatPr defaultColWidth="9.109375" defaultRowHeight="13.2" x14ac:dyDescent="0.25"/>
  <cols>
    <col min="1" max="1" width="11.21875" style="2" customWidth="1"/>
    <col min="2" max="3" width="10.44140625" style="2" customWidth="1"/>
    <col min="4" max="5" width="9.109375" style="2"/>
    <col min="6" max="6" width="11.33203125" style="2" customWidth="1"/>
    <col min="7" max="7" width="10" style="2" customWidth="1"/>
    <col min="8" max="8" width="6" style="2" customWidth="1"/>
    <col min="9" max="9" width="1.109375" style="2" customWidth="1"/>
    <col min="10" max="10" width="1.33203125" style="2" customWidth="1"/>
    <col min="11" max="11" width="9.109375" style="2"/>
    <col min="12" max="12" width="9.109375" style="3"/>
    <col min="13" max="14" width="9.109375" style="2"/>
    <col min="15" max="15" width="2.33203125" style="2" customWidth="1"/>
    <col min="16" max="16" width="2.33203125" style="4" customWidth="1"/>
    <col min="17" max="17" width="8.44140625" style="2" customWidth="1"/>
    <col min="18" max="18" width="9.109375" style="2"/>
    <col min="19" max="19" width="4.6640625" style="2" customWidth="1"/>
    <col min="20" max="20" width="12.88671875" style="2" customWidth="1"/>
    <col min="21" max="16384" width="9.109375" style="2"/>
  </cols>
  <sheetData>
    <row r="1" spans="2:23" ht="20.399999999999999" x14ac:dyDescent="0.35">
      <c r="B1" s="1" t="s">
        <v>0</v>
      </c>
      <c r="G1" s="1"/>
      <c r="K1" s="1" t="s">
        <v>1</v>
      </c>
    </row>
    <row r="2" spans="2:23" ht="23.25" customHeight="1" x14ac:dyDescent="0.25"/>
    <row r="3" spans="2:23" x14ac:dyDescent="0.25">
      <c r="B3" s="5" t="s">
        <v>18</v>
      </c>
      <c r="C3" s="5" t="s">
        <v>19</v>
      </c>
      <c r="D3" s="5" t="s">
        <v>20</v>
      </c>
      <c r="E3" s="5" t="s">
        <v>21</v>
      </c>
      <c r="G3" s="6" t="s">
        <v>2</v>
      </c>
      <c r="K3" s="6" t="s">
        <v>18</v>
      </c>
      <c r="L3" s="5" t="s">
        <v>19</v>
      </c>
      <c r="M3" s="5" t="s">
        <v>20</v>
      </c>
      <c r="N3" s="5" t="s">
        <v>21</v>
      </c>
      <c r="V3" s="2" t="s">
        <v>3</v>
      </c>
    </row>
    <row r="4" spans="2:23" x14ac:dyDescent="0.25">
      <c r="B4" s="7">
        <v>0</v>
      </c>
      <c r="C4" s="7">
        <v>0</v>
      </c>
      <c r="D4" s="7">
        <v>0</v>
      </c>
      <c r="E4" s="7">
        <v>0</v>
      </c>
      <c r="F4" s="8">
        <v>0.33333333333333298</v>
      </c>
      <c r="G4" s="9">
        <f>IF(B4=-999,"",B4)</f>
        <v>0</v>
      </c>
      <c r="K4" s="7">
        <v>0</v>
      </c>
      <c r="L4" s="7">
        <v>-999</v>
      </c>
      <c r="M4" s="7">
        <v>-999</v>
      </c>
      <c r="N4" s="7">
        <v>-999</v>
      </c>
      <c r="O4" s="10">
        <f>G4</f>
        <v>0</v>
      </c>
      <c r="Q4" s="11" t="s">
        <v>4</v>
      </c>
      <c r="R4" s="12"/>
      <c r="S4" s="12"/>
      <c r="T4" s="13"/>
      <c r="V4" s="14" t="s">
        <v>5</v>
      </c>
      <c r="W4" s="15" t="str">
        <f t="shared" ref="W4:W13" si="0">IF(AND(V4="H",OR(V5="R",V5="")),G4,"")</f>
        <v/>
      </c>
    </row>
    <row r="5" spans="2:23" x14ac:dyDescent="0.25">
      <c r="B5" s="16">
        <v>0.25</v>
      </c>
      <c r="C5" s="16">
        <v>-999</v>
      </c>
      <c r="D5" s="16">
        <v>-999</v>
      </c>
      <c r="E5" s="16">
        <v>-999</v>
      </c>
      <c r="F5" s="8">
        <f>IF(G5&lt;&gt;"",F4+(G5-G4)/24,"")</f>
        <v>0.34374999999999967</v>
      </c>
      <c r="G5" s="17">
        <f t="shared" ref="G5:G43" si="1">IF(B5=-999,"",B5)</f>
        <v>0.25</v>
      </c>
      <c r="H5" s="2" t="str">
        <f>IF(G5="","",IF(G5&lt;G4+5/60,"too close",""))</f>
        <v/>
      </c>
      <c r="K5" s="16"/>
      <c r="L5" s="16">
        <v>-999</v>
      </c>
      <c r="M5" s="16">
        <v>-999</v>
      </c>
      <c r="N5" s="16">
        <v>-999</v>
      </c>
      <c r="O5" s="10" t="str">
        <f t="shared" ref="O5:O43" si="2">IF(G5&lt;&gt;"",O4&amp;", "&amp;G5,O4)</f>
        <v>0, 0.25</v>
      </c>
      <c r="Q5" s="18" t="s">
        <v>6</v>
      </c>
      <c r="R5" s="19"/>
      <c r="S5" s="20">
        <f>COUNT($G$4:$G$43)</f>
        <v>13</v>
      </c>
      <c r="T5" s="21" t="s">
        <v>7</v>
      </c>
      <c r="V5" s="22" t="str">
        <f>IF(G5&lt;&gt;"",IF(AND(G5-G4&gt;=12,G5&gt;24),"R","H"),"")</f>
        <v>H</v>
      </c>
      <c r="W5" s="23" t="str">
        <f t="shared" si="0"/>
        <v/>
      </c>
    </row>
    <row r="6" spans="2:23" x14ac:dyDescent="0.25">
      <c r="B6" s="16">
        <v>0.5</v>
      </c>
      <c r="C6" s="16">
        <v>-999</v>
      </c>
      <c r="D6" s="16">
        <v>-999</v>
      </c>
      <c r="E6" s="16">
        <v>-999</v>
      </c>
      <c r="F6" s="8">
        <f t="shared" ref="F6:F43" si="3">IF(G6&lt;&gt;"",F5+(G6-G5)/24,"")</f>
        <v>0.35416666666666635</v>
      </c>
      <c r="G6" s="17">
        <f t="shared" si="1"/>
        <v>0.5</v>
      </c>
      <c r="H6" s="2" t="str">
        <f t="shared" ref="H6:H43" si="4">IF(G6="","",IF(G6&lt;G5+5/60,"too close",""))</f>
        <v/>
      </c>
      <c r="K6" s="16"/>
      <c r="L6" s="16">
        <v>-999</v>
      </c>
      <c r="M6" s="16">
        <v>-999</v>
      </c>
      <c r="N6" s="16">
        <v>-999</v>
      </c>
      <c r="O6" s="10" t="str">
        <f t="shared" si="2"/>
        <v>0, 0.25, 0.5</v>
      </c>
      <c r="Q6" s="18" t="s">
        <v>8</v>
      </c>
      <c r="R6" s="19"/>
      <c r="S6" s="24">
        <v>6</v>
      </c>
      <c r="T6" s="21" t="s">
        <v>9</v>
      </c>
      <c r="V6" s="22" t="str">
        <f t="shared" ref="V6:V43" si="5">IF(G6&lt;&gt;"",IF(AND(G6-G5&gt;=12,G6&gt;24),"R","H"),"")</f>
        <v>H</v>
      </c>
      <c r="W6" s="23" t="str">
        <f t="shared" si="0"/>
        <v/>
      </c>
    </row>
    <row r="7" spans="2:23" x14ac:dyDescent="0.25">
      <c r="B7" s="16">
        <v>0.75</v>
      </c>
      <c r="C7" s="16">
        <v>-999</v>
      </c>
      <c r="D7" s="16">
        <v>-999</v>
      </c>
      <c r="E7" s="16">
        <v>-999</v>
      </c>
      <c r="F7" s="8">
        <f t="shared" si="3"/>
        <v>0.36458333333333304</v>
      </c>
      <c r="G7" s="17">
        <f t="shared" si="1"/>
        <v>0.75</v>
      </c>
      <c r="H7" s="2" t="str">
        <f t="shared" si="4"/>
        <v/>
      </c>
      <c r="K7" s="16"/>
      <c r="L7" s="16">
        <v>-999</v>
      </c>
      <c r="M7" s="16">
        <v>-999</v>
      </c>
      <c r="N7" s="16">
        <v>-999</v>
      </c>
      <c r="O7" s="10" t="str">
        <f t="shared" si="2"/>
        <v>0, 0.25, 0.5, 0.75</v>
      </c>
      <c r="Q7" s="25" t="s">
        <v>10</v>
      </c>
      <c r="R7" s="26"/>
      <c r="S7" s="27">
        <v>168</v>
      </c>
      <c r="T7" s="28" t="str">
        <f>"mL "&amp;IF(S7&gt;400,"*Warning, too high.","")</f>
        <v xml:space="preserve">mL </v>
      </c>
      <c r="V7" s="22" t="str">
        <f t="shared" si="5"/>
        <v>H</v>
      </c>
      <c r="W7" s="23" t="str">
        <f t="shared" si="0"/>
        <v/>
      </c>
    </row>
    <row r="8" spans="2:23" x14ac:dyDescent="0.25">
      <c r="B8" s="16">
        <v>1</v>
      </c>
      <c r="C8" s="16">
        <v>-999</v>
      </c>
      <c r="D8" s="16">
        <v>-999</v>
      </c>
      <c r="E8" s="16">
        <v>-999</v>
      </c>
      <c r="F8" s="8">
        <f t="shared" si="3"/>
        <v>0.37499999999999972</v>
      </c>
      <c r="G8" s="17">
        <f t="shared" si="1"/>
        <v>1</v>
      </c>
      <c r="H8" s="2" t="str">
        <f t="shared" si="4"/>
        <v/>
      </c>
      <c r="K8" s="16"/>
      <c r="L8" s="16">
        <v>-999</v>
      </c>
      <c r="M8" s="16">
        <v>-999</v>
      </c>
      <c r="N8" s="16">
        <v>-999</v>
      </c>
      <c r="O8" s="10" t="str">
        <f t="shared" si="2"/>
        <v>0, 0.25, 0.5, 0.75, 1</v>
      </c>
      <c r="V8" s="22" t="str">
        <f t="shared" si="5"/>
        <v>H</v>
      </c>
      <c r="W8" s="23" t="str">
        <f t="shared" si="0"/>
        <v/>
      </c>
    </row>
    <row r="9" spans="2:23" x14ac:dyDescent="0.25">
      <c r="B9" s="16">
        <v>1.25</v>
      </c>
      <c r="C9" s="16">
        <v>-999</v>
      </c>
      <c r="D9" s="16">
        <v>-999</v>
      </c>
      <c r="E9" s="16">
        <v>-999</v>
      </c>
      <c r="F9" s="8">
        <f t="shared" si="3"/>
        <v>0.38541666666666641</v>
      </c>
      <c r="G9" s="17">
        <f t="shared" si="1"/>
        <v>1.25</v>
      </c>
      <c r="H9" s="2" t="str">
        <f t="shared" si="4"/>
        <v/>
      </c>
      <c r="K9" s="16"/>
      <c r="L9" s="16">
        <v>-999</v>
      </c>
      <c r="M9" s="16">
        <v>-999</v>
      </c>
      <c r="N9" s="16">
        <v>-999</v>
      </c>
      <c r="O9" s="10" t="str">
        <f t="shared" si="2"/>
        <v>0, 0.25, 0.5, 0.75, 1, 1.25</v>
      </c>
      <c r="V9" s="22" t="str">
        <f t="shared" si="5"/>
        <v>H</v>
      </c>
      <c r="W9" s="23" t="str">
        <f t="shared" si="0"/>
        <v/>
      </c>
    </row>
    <row r="10" spans="2:23" x14ac:dyDescent="0.25">
      <c r="B10" s="16">
        <v>0.5</v>
      </c>
      <c r="C10" s="16">
        <v>-999</v>
      </c>
      <c r="D10" s="16">
        <v>-999</v>
      </c>
      <c r="E10" s="16">
        <v>-999</v>
      </c>
      <c r="F10" s="8">
        <f t="shared" si="3"/>
        <v>0.35416666666666641</v>
      </c>
      <c r="G10" s="17">
        <f t="shared" si="1"/>
        <v>0.5</v>
      </c>
      <c r="H10" s="2" t="str">
        <f t="shared" si="4"/>
        <v>too close</v>
      </c>
      <c r="K10" s="16"/>
      <c r="L10" s="16">
        <v>-999</v>
      </c>
      <c r="M10" s="16">
        <v>-999</v>
      </c>
      <c r="N10" s="16">
        <v>-999</v>
      </c>
      <c r="O10" s="10" t="str">
        <f t="shared" si="2"/>
        <v>0, 0.25, 0.5, 0.75, 1, 1.25, 0.5</v>
      </c>
      <c r="V10" s="22" t="str">
        <f t="shared" si="5"/>
        <v>H</v>
      </c>
      <c r="W10" s="23" t="str">
        <f t="shared" si="0"/>
        <v/>
      </c>
    </row>
    <row r="11" spans="2:23" x14ac:dyDescent="0.25">
      <c r="B11" s="16">
        <v>1.75</v>
      </c>
      <c r="C11" s="16">
        <v>-999</v>
      </c>
      <c r="D11" s="16">
        <v>-999</v>
      </c>
      <c r="E11" s="16">
        <v>-999</v>
      </c>
      <c r="F11" s="8">
        <f t="shared" si="3"/>
        <v>0.40624999999999972</v>
      </c>
      <c r="G11" s="17">
        <f t="shared" si="1"/>
        <v>1.75</v>
      </c>
      <c r="H11" s="2" t="str">
        <f t="shared" si="4"/>
        <v/>
      </c>
      <c r="K11" s="16"/>
      <c r="L11" s="16">
        <v>-999</v>
      </c>
      <c r="M11" s="16">
        <v>-999</v>
      </c>
      <c r="N11" s="16">
        <v>-999</v>
      </c>
      <c r="O11" s="10" t="str">
        <f t="shared" si="2"/>
        <v>0, 0.25, 0.5, 0.75, 1, 1.25, 0.5, 1.75</v>
      </c>
      <c r="V11" s="22" t="str">
        <f t="shared" si="5"/>
        <v>H</v>
      </c>
      <c r="W11" s="23" t="str">
        <f t="shared" si="0"/>
        <v/>
      </c>
    </row>
    <row r="12" spans="2:23" x14ac:dyDescent="0.25">
      <c r="B12" s="16">
        <v>2</v>
      </c>
      <c r="C12" s="16">
        <v>-999</v>
      </c>
      <c r="D12" s="16">
        <v>-999</v>
      </c>
      <c r="E12" s="16">
        <v>-999</v>
      </c>
      <c r="F12" s="8">
        <f t="shared" si="3"/>
        <v>0.41666666666666641</v>
      </c>
      <c r="G12" s="17">
        <f t="shared" si="1"/>
        <v>2</v>
      </c>
      <c r="H12" s="2" t="str">
        <f t="shared" si="4"/>
        <v/>
      </c>
      <c r="K12" s="16"/>
      <c r="L12" s="16">
        <v>-999</v>
      </c>
      <c r="M12" s="16">
        <v>-999</v>
      </c>
      <c r="N12" s="16">
        <v>-999</v>
      </c>
      <c r="O12" s="10" t="str">
        <f t="shared" si="2"/>
        <v>0, 0.25, 0.5, 0.75, 1, 1.25, 0.5, 1.75, 2</v>
      </c>
      <c r="V12" s="22" t="str">
        <f t="shared" si="5"/>
        <v>H</v>
      </c>
      <c r="W12" s="23" t="str">
        <f t="shared" si="0"/>
        <v/>
      </c>
    </row>
    <row r="13" spans="2:23" x14ac:dyDescent="0.25">
      <c r="B13" s="16">
        <v>2.5</v>
      </c>
      <c r="C13" s="16">
        <v>-999</v>
      </c>
      <c r="D13" s="16">
        <v>-999</v>
      </c>
      <c r="E13" s="16">
        <v>-999</v>
      </c>
      <c r="F13" s="8">
        <f t="shared" si="3"/>
        <v>0.43749999999999972</v>
      </c>
      <c r="G13" s="17">
        <f t="shared" si="1"/>
        <v>2.5</v>
      </c>
      <c r="H13" s="2" t="str">
        <f t="shared" si="4"/>
        <v/>
      </c>
      <c r="K13" s="16"/>
      <c r="L13" s="16">
        <v>-999</v>
      </c>
      <c r="M13" s="16">
        <v>-999</v>
      </c>
      <c r="N13" s="16">
        <v>-999</v>
      </c>
      <c r="O13" s="10" t="str">
        <f t="shared" si="2"/>
        <v>0, 0.25, 0.5, 0.75, 1, 1.25, 0.5, 1.75, 2, 2.5</v>
      </c>
      <c r="V13" s="22" t="str">
        <f t="shared" si="5"/>
        <v>H</v>
      </c>
      <c r="W13" s="23" t="str">
        <f t="shared" si="0"/>
        <v/>
      </c>
    </row>
    <row r="14" spans="2:23" x14ac:dyDescent="0.25">
      <c r="B14" s="16">
        <v>3</v>
      </c>
      <c r="C14" s="16">
        <v>-999</v>
      </c>
      <c r="D14" s="16">
        <v>-999</v>
      </c>
      <c r="E14" s="16">
        <v>-999</v>
      </c>
      <c r="F14" s="8">
        <f t="shared" si="3"/>
        <v>0.45833333333333304</v>
      </c>
      <c r="G14" s="17">
        <f t="shared" si="1"/>
        <v>3</v>
      </c>
      <c r="H14" s="2" t="str">
        <f t="shared" si="4"/>
        <v/>
      </c>
      <c r="K14" s="16"/>
      <c r="L14" s="16">
        <v>-999</v>
      </c>
      <c r="M14" s="16">
        <v>-999</v>
      </c>
      <c r="N14" s="16">
        <v>-999</v>
      </c>
      <c r="O14" s="10" t="str">
        <f t="shared" si="2"/>
        <v>0, 0.25, 0.5, 0.75, 1, 1.25, 0.5, 1.75, 2, 2.5, 3</v>
      </c>
      <c r="V14" s="22" t="str">
        <f t="shared" si="5"/>
        <v>H</v>
      </c>
      <c r="W14" s="23" t="str">
        <f>IF(AND(V14="H",OR(V15="R",V15="")),G14,"")</f>
        <v/>
      </c>
    </row>
    <row r="15" spans="2:23" x14ac:dyDescent="0.25">
      <c r="B15" s="16">
        <v>4</v>
      </c>
      <c r="C15" s="16">
        <v>-999</v>
      </c>
      <c r="D15" s="16">
        <v>-999</v>
      </c>
      <c r="E15" s="16">
        <v>-999</v>
      </c>
      <c r="F15" s="8">
        <f t="shared" si="3"/>
        <v>0.49999999999999972</v>
      </c>
      <c r="G15" s="17">
        <f t="shared" si="1"/>
        <v>4</v>
      </c>
      <c r="H15" s="2" t="str">
        <f t="shared" si="4"/>
        <v/>
      </c>
      <c r="K15" s="16"/>
      <c r="L15" s="16">
        <v>-999</v>
      </c>
      <c r="M15" s="16">
        <v>-999</v>
      </c>
      <c r="N15" s="16">
        <v>-999</v>
      </c>
      <c r="O15" s="10" t="str">
        <f t="shared" si="2"/>
        <v>0, 0.25, 0.5, 0.75, 1, 1.25, 0.5, 1.75, 2, 2.5, 3, 4</v>
      </c>
      <c r="V15" s="22" t="str">
        <f t="shared" si="5"/>
        <v>H</v>
      </c>
      <c r="W15" s="23" t="str">
        <f t="shared" ref="W15:W43" si="6">IF(AND(V15="H",OR(V16="R",V16="")),G15,"")</f>
        <v/>
      </c>
    </row>
    <row r="16" spans="2:23" x14ac:dyDescent="0.25">
      <c r="B16" s="16">
        <v>5</v>
      </c>
      <c r="C16" s="16">
        <v>-999</v>
      </c>
      <c r="D16" s="16">
        <v>-999</v>
      </c>
      <c r="E16" s="16">
        <v>-999</v>
      </c>
      <c r="F16" s="8">
        <f t="shared" si="3"/>
        <v>0.54166666666666641</v>
      </c>
      <c r="G16" s="17">
        <f t="shared" si="1"/>
        <v>5</v>
      </c>
      <c r="H16" s="2" t="str">
        <f t="shared" si="4"/>
        <v/>
      </c>
      <c r="K16" s="16"/>
      <c r="L16" s="16">
        <v>-999</v>
      </c>
      <c r="M16" s="16">
        <v>-999</v>
      </c>
      <c r="N16" s="16">
        <v>-999</v>
      </c>
      <c r="O16" s="10" t="str">
        <f t="shared" si="2"/>
        <v>0, 0.25, 0.5, 0.75, 1, 1.25, 0.5, 1.75, 2, 2.5, 3, 4, 5</v>
      </c>
      <c r="V16" s="22" t="str">
        <f t="shared" si="5"/>
        <v>H</v>
      </c>
      <c r="W16" s="23">
        <f t="shared" si="6"/>
        <v>5</v>
      </c>
    </row>
    <row r="17" spans="2:23" x14ac:dyDescent="0.25">
      <c r="B17" s="16">
        <v>-999</v>
      </c>
      <c r="C17" s="16">
        <v>-999</v>
      </c>
      <c r="D17" s="16">
        <v>-999</v>
      </c>
      <c r="E17" s="16">
        <v>-999</v>
      </c>
      <c r="F17" s="8" t="str">
        <f t="shared" si="3"/>
        <v/>
      </c>
      <c r="G17" s="17" t="str">
        <f t="shared" si="1"/>
        <v/>
      </c>
      <c r="H17" s="2" t="str">
        <f t="shared" si="4"/>
        <v/>
      </c>
      <c r="K17" s="16"/>
      <c r="L17" s="16">
        <v>-999</v>
      </c>
      <c r="M17" s="16">
        <v>-999</v>
      </c>
      <c r="N17" s="16">
        <v>-999</v>
      </c>
      <c r="O17" s="10" t="str">
        <f t="shared" si="2"/>
        <v>0, 0.25, 0.5, 0.75, 1, 1.25, 0.5, 1.75, 2, 2.5, 3, 4, 5</v>
      </c>
      <c r="V17" s="22" t="str">
        <f t="shared" si="5"/>
        <v/>
      </c>
      <c r="W17" s="23" t="str">
        <f t="shared" si="6"/>
        <v/>
      </c>
    </row>
    <row r="18" spans="2:23" x14ac:dyDescent="0.25">
      <c r="B18" s="16">
        <v>-999</v>
      </c>
      <c r="C18" s="16">
        <v>-999</v>
      </c>
      <c r="D18" s="16">
        <v>-999</v>
      </c>
      <c r="E18" s="16">
        <v>-999</v>
      </c>
      <c r="F18" s="8" t="str">
        <f t="shared" si="3"/>
        <v/>
      </c>
      <c r="G18" s="17" t="str">
        <f t="shared" si="1"/>
        <v/>
      </c>
      <c r="H18" s="2" t="str">
        <f t="shared" si="4"/>
        <v/>
      </c>
      <c r="K18" s="16"/>
      <c r="L18" s="16">
        <v>-999</v>
      </c>
      <c r="M18" s="16">
        <v>-999</v>
      </c>
      <c r="N18" s="16">
        <v>-999</v>
      </c>
      <c r="O18" s="10" t="str">
        <f t="shared" si="2"/>
        <v>0, 0.25, 0.5, 0.75, 1, 1.25, 0.5, 1.75, 2, 2.5, 3, 4, 5</v>
      </c>
      <c r="V18" s="22" t="str">
        <f t="shared" si="5"/>
        <v/>
      </c>
      <c r="W18" s="23" t="str">
        <f t="shared" si="6"/>
        <v/>
      </c>
    </row>
    <row r="19" spans="2:23" x14ac:dyDescent="0.25">
      <c r="B19" s="16">
        <v>-999</v>
      </c>
      <c r="C19" s="16">
        <v>-999</v>
      </c>
      <c r="D19" s="16">
        <v>-999</v>
      </c>
      <c r="E19" s="16">
        <v>-999</v>
      </c>
      <c r="F19" s="8" t="str">
        <f t="shared" si="3"/>
        <v/>
      </c>
      <c r="G19" s="17" t="str">
        <f t="shared" si="1"/>
        <v/>
      </c>
      <c r="H19" s="2" t="str">
        <f t="shared" si="4"/>
        <v/>
      </c>
      <c r="K19" s="16"/>
      <c r="L19" s="16">
        <v>-999</v>
      </c>
      <c r="M19" s="16">
        <v>-999</v>
      </c>
      <c r="N19" s="16">
        <v>-999</v>
      </c>
      <c r="O19" s="10" t="str">
        <f t="shared" si="2"/>
        <v>0, 0.25, 0.5, 0.75, 1, 1.25, 0.5, 1.75, 2, 2.5, 3, 4, 5</v>
      </c>
      <c r="V19" s="22" t="str">
        <f t="shared" si="5"/>
        <v/>
      </c>
      <c r="W19" s="23" t="str">
        <f t="shared" si="6"/>
        <v/>
      </c>
    </row>
    <row r="20" spans="2:23" x14ac:dyDescent="0.25">
      <c r="B20" s="16">
        <v>-999</v>
      </c>
      <c r="C20" s="16">
        <v>-999</v>
      </c>
      <c r="D20" s="16">
        <v>-999</v>
      </c>
      <c r="E20" s="16">
        <v>-999</v>
      </c>
      <c r="F20" s="8" t="str">
        <f t="shared" si="3"/>
        <v/>
      </c>
      <c r="G20" s="17" t="str">
        <f t="shared" si="1"/>
        <v/>
      </c>
      <c r="H20" s="2" t="str">
        <f t="shared" si="4"/>
        <v/>
      </c>
      <c r="K20" s="16"/>
      <c r="L20" s="16">
        <v>-999</v>
      </c>
      <c r="M20" s="16">
        <v>-999</v>
      </c>
      <c r="N20" s="16">
        <v>-999</v>
      </c>
      <c r="O20" s="10" t="str">
        <f t="shared" si="2"/>
        <v>0, 0.25, 0.5, 0.75, 1, 1.25, 0.5, 1.75, 2, 2.5, 3, 4, 5</v>
      </c>
      <c r="V20" s="22" t="str">
        <f t="shared" si="5"/>
        <v/>
      </c>
      <c r="W20" s="23" t="str">
        <f t="shared" si="6"/>
        <v/>
      </c>
    </row>
    <row r="21" spans="2:23" x14ac:dyDescent="0.25">
      <c r="B21" s="16">
        <v>-999</v>
      </c>
      <c r="C21" s="16">
        <v>-999</v>
      </c>
      <c r="D21" s="16">
        <v>-999</v>
      </c>
      <c r="E21" s="16">
        <v>-999</v>
      </c>
      <c r="F21" s="8" t="str">
        <f t="shared" si="3"/>
        <v/>
      </c>
      <c r="G21" s="17" t="str">
        <f t="shared" si="1"/>
        <v/>
      </c>
      <c r="H21" s="2" t="str">
        <f t="shared" si="4"/>
        <v/>
      </c>
      <c r="K21" s="16"/>
      <c r="L21" s="16">
        <v>-999</v>
      </c>
      <c r="M21" s="16">
        <v>-999</v>
      </c>
      <c r="N21" s="16">
        <v>-999</v>
      </c>
      <c r="O21" s="10" t="str">
        <f t="shared" si="2"/>
        <v>0, 0.25, 0.5, 0.75, 1, 1.25, 0.5, 1.75, 2, 2.5, 3, 4, 5</v>
      </c>
      <c r="V21" s="22" t="str">
        <f t="shared" si="5"/>
        <v/>
      </c>
      <c r="W21" s="23" t="str">
        <f t="shared" si="6"/>
        <v/>
      </c>
    </row>
    <row r="22" spans="2:23" x14ac:dyDescent="0.25">
      <c r="B22" s="16">
        <v>-999</v>
      </c>
      <c r="C22" s="16">
        <v>-999</v>
      </c>
      <c r="D22" s="16">
        <v>-999</v>
      </c>
      <c r="E22" s="16">
        <v>-999</v>
      </c>
      <c r="F22" s="8" t="str">
        <f t="shared" si="3"/>
        <v/>
      </c>
      <c r="G22" s="17" t="str">
        <f t="shared" si="1"/>
        <v/>
      </c>
      <c r="H22" s="2" t="str">
        <f t="shared" si="4"/>
        <v/>
      </c>
      <c r="K22" s="16"/>
      <c r="L22" s="16">
        <v>-999</v>
      </c>
      <c r="M22" s="16">
        <v>-999</v>
      </c>
      <c r="N22" s="16">
        <v>-999</v>
      </c>
      <c r="O22" s="10" t="str">
        <f t="shared" si="2"/>
        <v>0, 0.25, 0.5, 0.75, 1, 1.25, 0.5, 1.75, 2, 2.5, 3, 4, 5</v>
      </c>
      <c r="V22" s="22" t="str">
        <f t="shared" si="5"/>
        <v/>
      </c>
      <c r="W22" s="23" t="str">
        <f t="shared" si="6"/>
        <v/>
      </c>
    </row>
    <row r="23" spans="2:23" x14ac:dyDescent="0.25">
      <c r="B23" s="16">
        <v>-999</v>
      </c>
      <c r="C23" s="16">
        <v>-999</v>
      </c>
      <c r="D23" s="16">
        <v>-999</v>
      </c>
      <c r="E23" s="16">
        <v>-999</v>
      </c>
      <c r="F23" s="8" t="str">
        <f t="shared" si="3"/>
        <v/>
      </c>
      <c r="G23" s="17" t="str">
        <f t="shared" si="1"/>
        <v/>
      </c>
      <c r="H23" s="2" t="str">
        <f t="shared" si="4"/>
        <v/>
      </c>
      <c r="K23" s="16"/>
      <c r="L23" s="16">
        <v>-999</v>
      </c>
      <c r="M23" s="16">
        <v>-999</v>
      </c>
      <c r="N23" s="16">
        <v>-999</v>
      </c>
      <c r="O23" s="10" t="str">
        <f t="shared" si="2"/>
        <v>0, 0.25, 0.5, 0.75, 1, 1.25, 0.5, 1.75, 2, 2.5, 3, 4, 5</v>
      </c>
      <c r="V23" s="22" t="str">
        <f t="shared" si="5"/>
        <v/>
      </c>
      <c r="W23" s="23" t="str">
        <f t="shared" si="6"/>
        <v/>
      </c>
    </row>
    <row r="24" spans="2:23" x14ac:dyDescent="0.25">
      <c r="B24" s="16">
        <v>-999</v>
      </c>
      <c r="C24" s="16">
        <v>-999</v>
      </c>
      <c r="D24" s="16">
        <v>-999</v>
      </c>
      <c r="E24" s="16">
        <v>-999</v>
      </c>
      <c r="F24" s="8" t="str">
        <f t="shared" si="3"/>
        <v/>
      </c>
      <c r="G24" s="17" t="str">
        <f t="shared" si="1"/>
        <v/>
      </c>
      <c r="H24" s="2" t="str">
        <f t="shared" si="4"/>
        <v/>
      </c>
      <c r="K24" s="16"/>
      <c r="L24" s="16">
        <v>-999</v>
      </c>
      <c r="M24" s="16">
        <v>-999</v>
      </c>
      <c r="N24" s="16">
        <v>-999</v>
      </c>
      <c r="O24" s="10" t="str">
        <f t="shared" si="2"/>
        <v>0, 0.25, 0.5, 0.75, 1, 1.25, 0.5, 1.75, 2, 2.5, 3, 4, 5</v>
      </c>
      <c r="V24" s="22" t="str">
        <f t="shared" si="5"/>
        <v/>
      </c>
      <c r="W24" s="23" t="str">
        <f t="shared" si="6"/>
        <v/>
      </c>
    </row>
    <row r="25" spans="2:23" x14ac:dyDescent="0.25">
      <c r="B25" s="16">
        <v>-999</v>
      </c>
      <c r="C25" s="16">
        <v>-999</v>
      </c>
      <c r="D25" s="16">
        <v>-999</v>
      </c>
      <c r="E25" s="16">
        <v>-999</v>
      </c>
      <c r="F25" s="8" t="str">
        <f t="shared" si="3"/>
        <v/>
      </c>
      <c r="G25" s="17" t="str">
        <f t="shared" si="1"/>
        <v/>
      </c>
      <c r="H25" s="2" t="str">
        <f t="shared" si="4"/>
        <v/>
      </c>
      <c r="K25" s="16"/>
      <c r="L25" s="16">
        <v>-999</v>
      </c>
      <c r="M25" s="16">
        <v>-999</v>
      </c>
      <c r="N25" s="16">
        <v>-999</v>
      </c>
      <c r="O25" s="10" t="str">
        <f t="shared" si="2"/>
        <v>0, 0.25, 0.5, 0.75, 1, 1.25, 0.5, 1.75, 2, 2.5, 3, 4, 5</v>
      </c>
      <c r="V25" s="22" t="str">
        <f t="shared" si="5"/>
        <v/>
      </c>
      <c r="W25" s="23" t="str">
        <f t="shared" si="6"/>
        <v/>
      </c>
    </row>
    <row r="26" spans="2:23" x14ac:dyDescent="0.25">
      <c r="B26" s="16">
        <v>-999</v>
      </c>
      <c r="C26" s="16">
        <v>-999</v>
      </c>
      <c r="D26" s="16">
        <v>-999</v>
      </c>
      <c r="E26" s="16">
        <v>-999</v>
      </c>
      <c r="F26" s="8" t="str">
        <f t="shared" si="3"/>
        <v/>
      </c>
      <c r="G26" s="17" t="str">
        <f t="shared" si="1"/>
        <v/>
      </c>
      <c r="H26" s="2" t="str">
        <f t="shared" si="4"/>
        <v/>
      </c>
      <c r="K26" s="16"/>
      <c r="L26" s="16">
        <v>-999</v>
      </c>
      <c r="M26" s="16">
        <v>-999</v>
      </c>
      <c r="N26" s="16">
        <v>-999</v>
      </c>
      <c r="O26" s="10" t="str">
        <f t="shared" si="2"/>
        <v>0, 0.25, 0.5, 0.75, 1, 1.25, 0.5, 1.75, 2, 2.5, 3, 4, 5</v>
      </c>
      <c r="V26" s="22" t="str">
        <f t="shared" si="5"/>
        <v/>
      </c>
      <c r="W26" s="23" t="str">
        <f t="shared" si="6"/>
        <v/>
      </c>
    </row>
    <row r="27" spans="2:23" x14ac:dyDescent="0.25">
      <c r="B27" s="16">
        <v>-999</v>
      </c>
      <c r="C27" s="16">
        <v>-999</v>
      </c>
      <c r="D27" s="16">
        <v>-999</v>
      </c>
      <c r="E27" s="16">
        <v>-999</v>
      </c>
      <c r="F27" s="8" t="str">
        <f t="shared" si="3"/>
        <v/>
      </c>
      <c r="G27" s="17" t="str">
        <f t="shared" si="1"/>
        <v/>
      </c>
      <c r="H27" s="2" t="str">
        <f t="shared" si="4"/>
        <v/>
      </c>
      <c r="K27" s="16"/>
      <c r="L27" s="16">
        <v>-999</v>
      </c>
      <c r="M27" s="16">
        <v>-999</v>
      </c>
      <c r="N27" s="16">
        <v>-999</v>
      </c>
      <c r="O27" s="10" t="str">
        <f t="shared" si="2"/>
        <v>0, 0.25, 0.5, 0.75, 1, 1.25, 0.5, 1.75, 2, 2.5, 3, 4, 5</v>
      </c>
      <c r="V27" s="22" t="str">
        <f t="shared" si="5"/>
        <v/>
      </c>
      <c r="W27" s="23" t="str">
        <f t="shared" si="6"/>
        <v/>
      </c>
    </row>
    <row r="28" spans="2:23" x14ac:dyDescent="0.25">
      <c r="B28" s="16">
        <v>-999</v>
      </c>
      <c r="C28" s="16">
        <v>-999</v>
      </c>
      <c r="D28" s="16">
        <v>-999</v>
      </c>
      <c r="E28" s="16">
        <v>-999</v>
      </c>
      <c r="F28" s="8" t="str">
        <f t="shared" si="3"/>
        <v/>
      </c>
      <c r="G28" s="17" t="str">
        <f t="shared" si="1"/>
        <v/>
      </c>
      <c r="H28" s="2" t="str">
        <f t="shared" si="4"/>
        <v/>
      </c>
      <c r="K28" s="16"/>
      <c r="L28" s="16">
        <v>-999</v>
      </c>
      <c r="M28" s="16">
        <v>-999</v>
      </c>
      <c r="N28" s="16">
        <v>-999</v>
      </c>
      <c r="O28" s="10" t="str">
        <f t="shared" si="2"/>
        <v>0, 0.25, 0.5, 0.75, 1, 1.25, 0.5, 1.75, 2, 2.5, 3, 4, 5</v>
      </c>
      <c r="V28" s="22" t="str">
        <f t="shared" si="5"/>
        <v/>
      </c>
      <c r="W28" s="23" t="str">
        <f t="shared" si="6"/>
        <v/>
      </c>
    </row>
    <row r="29" spans="2:23" x14ac:dyDescent="0.25">
      <c r="B29" s="16">
        <v>-999</v>
      </c>
      <c r="C29" s="16">
        <v>-999</v>
      </c>
      <c r="D29" s="16">
        <v>-999</v>
      </c>
      <c r="E29" s="16">
        <v>-999</v>
      </c>
      <c r="F29" s="8" t="str">
        <f t="shared" si="3"/>
        <v/>
      </c>
      <c r="G29" s="17" t="str">
        <f t="shared" si="1"/>
        <v/>
      </c>
      <c r="H29" s="2" t="str">
        <f t="shared" si="4"/>
        <v/>
      </c>
      <c r="K29" s="16"/>
      <c r="L29" s="16">
        <v>-999</v>
      </c>
      <c r="M29" s="16">
        <v>-999</v>
      </c>
      <c r="N29" s="16">
        <v>-999</v>
      </c>
      <c r="O29" s="10" t="str">
        <f t="shared" si="2"/>
        <v>0, 0.25, 0.5, 0.75, 1, 1.25, 0.5, 1.75, 2, 2.5, 3, 4, 5</v>
      </c>
      <c r="V29" s="22" t="str">
        <f t="shared" si="5"/>
        <v/>
      </c>
      <c r="W29" s="23" t="str">
        <f t="shared" si="6"/>
        <v/>
      </c>
    </row>
    <row r="30" spans="2:23" x14ac:dyDescent="0.25">
      <c r="B30" s="16">
        <v>-999</v>
      </c>
      <c r="C30" s="16">
        <v>-999</v>
      </c>
      <c r="D30" s="16">
        <v>-999</v>
      </c>
      <c r="E30" s="16">
        <v>-999</v>
      </c>
      <c r="F30" s="8" t="str">
        <f t="shared" si="3"/>
        <v/>
      </c>
      <c r="G30" s="17" t="str">
        <f t="shared" si="1"/>
        <v/>
      </c>
      <c r="H30" s="2" t="str">
        <f t="shared" si="4"/>
        <v/>
      </c>
      <c r="K30" s="16"/>
      <c r="L30" s="16">
        <v>-999</v>
      </c>
      <c r="M30" s="16">
        <v>-999</v>
      </c>
      <c r="N30" s="16">
        <v>-999</v>
      </c>
      <c r="O30" s="10" t="str">
        <f t="shared" si="2"/>
        <v>0, 0.25, 0.5, 0.75, 1, 1.25, 0.5, 1.75, 2, 2.5, 3, 4, 5</v>
      </c>
      <c r="V30" s="22" t="str">
        <f t="shared" si="5"/>
        <v/>
      </c>
      <c r="W30" s="23" t="str">
        <f t="shared" si="6"/>
        <v/>
      </c>
    </row>
    <row r="31" spans="2:23" x14ac:dyDescent="0.25">
      <c r="B31" s="16">
        <v>-999</v>
      </c>
      <c r="C31" s="16">
        <v>-999</v>
      </c>
      <c r="D31" s="16">
        <v>-999</v>
      </c>
      <c r="E31" s="16">
        <v>-999</v>
      </c>
      <c r="F31" s="8" t="str">
        <f t="shared" si="3"/>
        <v/>
      </c>
      <c r="G31" s="17" t="str">
        <f t="shared" si="1"/>
        <v/>
      </c>
      <c r="H31" s="2" t="str">
        <f t="shared" si="4"/>
        <v/>
      </c>
      <c r="K31" s="16"/>
      <c r="L31" s="16">
        <v>-999</v>
      </c>
      <c r="M31" s="16">
        <v>-999</v>
      </c>
      <c r="N31" s="16">
        <v>-999</v>
      </c>
      <c r="O31" s="10" t="str">
        <f t="shared" si="2"/>
        <v>0, 0.25, 0.5, 0.75, 1, 1.25, 0.5, 1.75, 2, 2.5, 3, 4, 5</v>
      </c>
      <c r="V31" s="22" t="str">
        <f t="shared" si="5"/>
        <v/>
      </c>
      <c r="W31" s="23" t="str">
        <f t="shared" si="6"/>
        <v/>
      </c>
    </row>
    <row r="32" spans="2:23" x14ac:dyDescent="0.25">
      <c r="B32" s="16">
        <v>-999</v>
      </c>
      <c r="C32" s="16">
        <v>-999</v>
      </c>
      <c r="D32" s="16">
        <v>-999</v>
      </c>
      <c r="E32" s="16">
        <v>-999</v>
      </c>
      <c r="F32" s="8" t="str">
        <f t="shared" si="3"/>
        <v/>
      </c>
      <c r="G32" s="17" t="str">
        <f t="shared" si="1"/>
        <v/>
      </c>
      <c r="H32" s="2" t="str">
        <f t="shared" si="4"/>
        <v/>
      </c>
      <c r="K32" s="16"/>
      <c r="L32" s="16">
        <v>-999</v>
      </c>
      <c r="M32" s="16">
        <v>-999</v>
      </c>
      <c r="N32" s="16">
        <v>-999</v>
      </c>
      <c r="O32" s="10" t="str">
        <f t="shared" si="2"/>
        <v>0, 0.25, 0.5, 0.75, 1, 1.25, 0.5, 1.75, 2, 2.5, 3, 4, 5</v>
      </c>
      <c r="V32" s="22" t="str">
        <f t="shared" si="5"/>
        <v/>
      </c>
      <c r="W32" s="23" t="str">
        <f t="shared" si="6"/>
        <v/>
      </c>
    </row>
    <row r="33" spans="1:23" x14ac:dyDescent="0.25">
      <c r="B33" s="16">
        <v>-999</v>
      </c>
      <c r="C33" s="16">
        <v>-999</v>
      </c>
      <c r="D33" s="16">
        <v>-999</v>
      </c>
      <c r="E33" s="16">
        <v>-999</v>
      </c>
      <c r="F33" s="8" t="str">
        <f t="shared" si="3"/>
        <v/>
      </c>
      <c r="G33" s="17" t="str">
        <f t="shared" si="1"/>
        <v/>
      </c>
      <c r="H33" s="2" t="str">
        <f t="shared" si="4"/>
        <v/>
      </c>
      <c r="K33" s="16"/>
      <c r="L33" s="16">
        <v>-999</v>
      </c>
      <c r="M33" s="16">
        <v>-999</v>
      </c>
      <c r="N33" s="16">
        <v>-999</v>
      </c>
      <c r="O33" s="10" t="str">
        <f t="shared" si="2"/>
        <v>0, 0.25, 0.5, 0.75, 1, 1.25, 0.5, 1.75, 2, 2.5, 3, 4, 5</v>
      </c>
      <c r="V33" s="22" t="str">
        <f t="shared" si="5"/>
        <v/>
      </c>
      <c r="W33" s="23" t="str">
        <f t="shared" si="6"/>
        <v/>
      </c>
    </row>
    <row r="34" spans="1:23" x14ac:dyDescent="0.25">
      <c r="B34" s="16">
        <v>-999</v>
      </c>
      <c r="C34" s="16">
        <v>-999</v>
      </c>
      <c r="D34" s="16">
        <v>-999</v>
      </c>
      <c r="E34" s="16">
        <v>-999</v>
      </c>
      <c r="F34" s="8" t="str">
        <f t="shared" si="3"/>
        <v/>
      </c>
      <c r="G34" s="17" t="str">
        <f t="shared" si="1"/>
        <v/>
      </c>
      <c r="H34" s="2" t="str">
        <f t="shared" si="4"/>
        <v/>
      </c>
      <c r="K34" s="16"/>
      <c r="L34" s="16">
        <v>-999</v>
      </c>
      <c r="M34" s="16">
        <v>-999</v>
      </c>
      <c r="N34" s="16">
        <v>-999</v>
      </c>
      <c r="O34" s="10" t="str">
        <f t="shared" si="2"/>
        <v>0, 0.25, 0.5, 0.75, 1, 1.25, 0.5, 1.75, 2, 2.5, 3, 4, 5</v>
      </c>
      <c r="V34" s="22" t="str">
        <f t="shared" si="5"/>
        <v/>
      </c>
      <c r="W34" s="23" t="str">
        <f t="shared" si="6"/>
        <v/>
      </c>
    </row>
    <row r="35" spans="1:23" x14ac:dyDescent="0.25">
      <c r="B35" s="16">
        <v>-999</v>
      </c>
      <c r="C35" s="16">
        <v>-999</v>
      </c>
      <c r="D35" s="16">
        <v>-999</v>
      </c>
      <c r="E35" s="16">
        <v>-999</v>
      </c>
      <c r="F35" s="8" t="str">
        <f t="shared" si="3"/>
        <v/>
      </c>
      <c r="G35" s="17" t="str">
        <f t="shared" si="1"/>
        <v/>
      </c>
      <c r="H35" s="2" t="str">
        <f t="shared" si="4"/>
        <v/>
      </c>
      <c r="K35" s="16"/>
      <c r="L35" s="16">
        <v>-999</v>
      </c>
      <c r="M35" s="16">
        <v>-999</v>
      </c>
      <c r="N35" s="16">
        <v>-999</v>
      </c>
      <c r="O35" s="10" t="str">
        <f t="shared" si="2"/>
        <v>0, 0.25, 0.5, 0.75, 1, 1.25, 0.5, 1.75, 2, 2.5, 3, 4, 5</v>
      </c>
      <c r="V35" s="22" t="str">
        <f t="shared" si="5"/>
        <v/>
      </c>
      <c r="W35" s="23" t="str">
        <f t="shared" si="6"/>
        <v/>
      </c>
    </row>
    <row r="36" spans="1:23" x14ac:dyDescent="0.25">
      <c r="B36" s="16">
        <v>-999</v>
      </c>
      <c r="C36" s="16">
        <v>-999</v>
      </c>
      <c r="D36" s="16">
        <v>-999</v>
      </c>
      <c r="E36" s="16">
        <v>-999</v>
      </c>
      <c r="F36" s="8" t="str">
        <f t="shared" si="3"/>
        <v/>
      </c>
      <c r="G36" s="17" t="str">
        <f t="shared" si="1"/>
        <v/>
      </c>
      <c r="H36" s="2" t="str">
        <f t="shared" si="4"/>
        <v/>
      </c>
      <c r="K36" s="16"/>
      <c r="L36" s="16">
        <v>-999</v>
      </c>
      <c r="M36" s="16">
        <v>-999</v>
      </c>
      <c r="N36" s="16">
        <v>-999</v>
      </c>
      <c r="O36" s="10" t="str">
        <f t="shared" si="2"/>
        <v>0, 0.25, 0.5, 0.75, 1, 1.25, 0.5, 1.75, 2, 2.5, 3, 4, 5</v>
      </c>
      <c r="V36" s="22" t="str">
        <f t="shared" si="5"/>
        <v/>
      </c>
      <c r="W36" s="23" t="str">
        <f t="shared" si="6"/>
        <v/>
      </c>
    </row>
    <row r="37" spans="1:23" x14ac:dyDescent="0.25">
      <c r="B37" s="16">
        <v>-999</v>
      </c>
      <c r="C37" s="16">
        <v>-999</v>
      </c>
      <c r="D37" s="16">
        <v>-999</v>
      </c>
      <c r="E37" s="16">
        <v>-999</v>
      </c>
      <c r="F37" s="8" t="str">
        <f t="shared" si="3"/>
        <v/>
      </c>
      <c r="G37" s="17" t="str">
        <f t="shared" si="1"/>
        <v/>
      </c>
      <c r="H37" s="2" t="str">
        <f t="shared" si="4"/>
        <v/>
      </c>
      <c r="K37" s="16"/>
      <c r="L37" s="16">
        <v>-999</v>
      </c>
      <c r="M37" s="16">
        <v>-999</v>
      </c>
      <c r="N37" s="16">
        <v>-999</v>
      </c>
      <c r="O37" s="10" t="str">
        <f t="shared" si="2"/>
        <v>0, 0.25, 0.5, 0.75, 1, 1.25, 0.5, 1.75, 2, 2.5, 3, 4, 5</v>
      </c>
      <c r="V37" s="22" t="str">
        <f t="shared" si="5"/>
        <v/>
      </c>
      <c r="W37" s="23" t="str">
        <f t="shared" si="6"/>
        <v/>
      </c>
    </row>
    <row r="38" spans="1:23" x14ac:dyDescent="0.25">
      <c r="B38" s="16">
        <v>-999</v>
      </c>
      <c r="C38" s="16">
        <v>-999</v>
      </c>
      <c r="D38" s="16">
        <v>-999</v>
      </c>
      <c r="E38" s="16">
        <v>-999</v>
      </c>
      <c r="F38" s="8" t="str">
        <f t="shared" si="3"/>
        <v/>
      </c>
      <c r="G38" s="17" t="str">
        <f t="shared" si="1"/>
        <v/>
      </c>
      <c r="H38" s="2" t="str">
        <f t="shared" si="4"/>
        <v/>
      </c>
      <c r="K38" s="16"/>
      <c r="L38" s="16">
        <v>-999</v>
      </c>
      <c r="M38" s="16">
        <v>-999</v>
      </c>
      <c r="N38" s="16">
        <v>-999</v>
      </c>
      <c r="O38" s="10" t="str">
        <f t="shared" si="2"/>
        <v>0, 0.25, 0.5, 0.75, 1, 1.25, 0.5, 1.75, 2, 2.5, 3, 4, 5</v>
      </c>
      <c r="V38" s="22" t="str">
        <f t="shared" si="5"/>
        <v/>
      </c>
      <c r="W38" s="23" t="str">
        <f t="shared" si="6"/>
        <v/>
      </c>
    </row>
    <row r="39" spans="1:23" x14ac:dyDescent="0.25">
      <c r="B39" s="16">
        <v>-999</v>
      </c>
      <c r="C39" s="16">
        <v>-999</v>
      </c>
      <c r="D39" s="16">
        <v>-999</v>
      </c>
      <c r="E39" s="16">
        <v>-999</v>
      </c>
      <c r="F39" s="8" t="str">
        <f t="shared" si="3"/>
        <v/>
      </c>
      <c r="G39" s="17" t="str">
        <f t="shared" si="1"/>
        <v/>
      </c>
      <c r="H39" s="2" t="str">
        <f t="shared" si="4"/>
        <v/>
      </c>
      <c r="K39" s="16"/>
      <c r="L39" s="16">
        <v>-999</v>
      </c>
      <c r="M39" s="16">
        <v>-999</v>
      </c>
      <c r="N39" s="16">
        <v>-999</v>
      </c>
      <c r="O39" s="10" t="str">
        <f t="shared" si="2"/>
        <v>0, 0.25, 0.5, 0.75, 1, 1.25, 0.5, 1.75, 2, 2.5, 3, 4, 5</v>
      </c>
      <c r="V39" s="22" t="str">
        <f t="shared" si="5"/>
        <v/>
      </c>
      <c r="W39" s="23" t="str">
        <f t="shared" si="6"/>
        <v/>
      </c>
    </row>
    <row r="40" spans="1:23" x14ac:dyDescent="0.25">
      <c r="B40" s="16">
        <v>-999</v>
      </c>
      <c r="C40" s="16">
        <v>-999</v>
      </c>
      <c r="D40" s="16">
        <v>-999</v>
      </c>
      <c r="E40" s="16">
        <v>-999</v>
      </c>
      <c r="F40" s="8" t="str">
        <f t="shared" si="3"/>
        <v/>
      </c>
      <c r="G40" s="17" t="str">
        <f t="shared" si="1"/>
        <v/>
      </c>
      <c r="H40" s="2" t="str">
        <f t="shared" si="4"/>
        <v/>
      </c>
      <c r="K40" s="16"/>
      <c r="L40" s="16">
        <v>-999</v>
      </c>
      <c r="M40" s="16">
        <v>-999</v>
      </c>
      <c r="N40" s="16">
        <v>-999</v>
      </c>
      <c r="O40" s="10" t="str">
        <f t="shared" si="2"/>
        <v>0, 0.25, 0.5, 0.75, 1, 1.25, 0.5, 1.75, 2, 2.5, 3, 4, 5</v>
      </c>
      <c r="V40" s="22" t="str">
        <f t="shared" si="5"/>
        <v/>
      </c>
      <c r="W40" s="23" t="str">
        <f t="shared" si="6"/>
        <v/>
      </c>
    </row>
    <row r="41" spans="1:23" x14ac:dyDescent="0.25">
      <c r="B41" s="16">
        <v>-999</v>
      </c>
      <c r="C41" s="16">
        <v>-999</v>
      </c>
      <c r="D41" s="16">
        <v>-999</v>
      </c>
      <c r="E41" s="16">
        <v>-999</v>
      </c>
      <c r="F41" s="8" t="str">
        <f t="shared" si="3"/>
        <v/>
      </c>
      <c r="G41" s="17" t="str">
        <f t="shared" si="1"/>
        <v/>
      </c>
      <c r="H41" s="2" t="str">
        <f t="shared" si="4"/>
        <v/>
      </c>
      <c r="K41" s="16"/>
      <c r="L41" s="16">
        <v>-999</v>
      </c>
      <c r="M41" s="16">
        <v>-999</v>
      </c>
      <c r="N41" s="16">
        <v>-999</v>
      </c>
      <c r="O41" s="10" t="str">
        <f t="shared" si="2"/>
        <v>0, 0.25, 0.5, 0.75, 1, 1.25, 0.5, 1.75, 2, 2.5, 3, 4, 5</v>
      </c>
      <c r="V41" s="22" t="str">
        <f t="shared" si="5"/>
        <v/>
      </c>
      <c r="W41" s="23" t="str">
        <f t="shared" si="6"/>
        <v/>
      </c>
    </row>
    <row r="42" spans="1:23" x14ac:dyDescent="0.25">
      <c r="B42" s="16">
        <v>-999</v>
      </c>
      <c r="C42" s="16">
        <v>-999</v>
      </c>
      <c r="D42" s="16">
        <v>-999</v>
      </c>
      <c r="E42" s="16">
        <v>-999</v>
      </c>
      <c r="F42" s="8" t="str">
        <f t="shared" si="3"/>
        <v/>
      </c>
      <c r="G42" s="17" t="str">
        <f t="shared" si="1"/>
        <v/>
      </c>
      <c r="H42" s="2" t="str">
        <f t="shared" si="4"/>
        <v/>
      </c>
      <c r="K42" s="16"/>
      <c r="L42" s="16">
        <v>-999</v>
      </c>
      <c r="M42" s="16">
        <v>-999</v>
      </c>
      <c r="N42" s="16">
        <v>-999</v>
      </c>
      <c r="O42" s="10" t="str">
        <f t="shared" si="2"/>
        <v>0, 0.25, 0.5, 0.75, 1, 1.25, 0.5, 1.75, 2, 2.5, 3, 4, 5</v>
      </c>
      <c r="V42" s="22" t="str">
        <f t="shared" si="5"/>
        <v/>
      </c>
      <c r="W42" s="23" t="str">
        <f t="shared" si="6"/>
        <v/>
      </c>
    </row>
    <row r="43" spans="1:23" x14ac:dyDescent="0.25">
      <c r="B43" s="29">
        <v>-999</v>
      </c>
      <c r="C43" s="29">
        <v>-999</v>
      </c>
      <c r="D43" s="29">
        <v>-999</v>
      </c>
      <c r="E43" s="29">
        <v>-999</v>
      </c>
      <c r="F43" s="8" t="str">
        <f t="shared" si="3"/>
        <v/>
      </c>
      <c r="G43" s="30" t="str">
        <f t="shared" si="1"/>
        <v/>
      </c>
      <c r="H43" s="2" t="str">
        <f t="shared" si="4"/>
        <v/>
      </c>
      <c r="K43" s="29"/>
      <c r="L43" s="29">
        <v>-999</v>
      </c>
      <c r="M43" s="29">
        <v>-999</v>
      </c>
      <c r="N43" s="29">
        <v>-999</v>
      </c>
      <c r="O43" s="10" t="str">
        <f t="shared" si="2"/>
        <v>0, 0.25, 0.5, 0.75, 1, 1.25, 0.5, 1.75, 2, 2.5, 3, 4, 5</v>
      </c>
      <c r="V43" s="31" t="str">
        <f t="shared" si="5"/>
        <v/>
      </c>
      <c r="W43" s="32" t="str">
        <f t="shared" si="6"/>
        <v/>
      </c>
    </row>
    <row r="44" spans="1:23" x14ac:dyDescent="0.25">
      <c r="A44" s="2" t="s">
        <v>11</v>
      </c>
      <c r="B44" s="33">
        <v>1.5</v>
      </c>
      <c r="C44" s="33"/>
      <c r="D44" s="33"/>
      <c r="E44" s="33"/>
      <c r="K44" s="34" t="s">
        <v>12</v>
      </c>
      <c r="L44" s="2"/>
      <c r="V44" s="35"/>
    </row>
    <row r="45" spans="1:23" x14ac:dyDescent="0.25">
      <c r="A45" s="2" t="s">
        <v>13</v>
      </c>
      <c r="B45" s="36">
        <v>3</v>
      </c>
      <c r="C45" s="36"/>
      <c r="D45" s="36"/>
      <c r="E45" s="36"/>
      <c r="K45" s="37" t="s">
        <v>14</v>
      </c>
      <c r="L45" s="2"/>
      <c r="V45" s="35"/>
    </row>
    <row r="46" spans="1:23" x14ac:dyDescent="0.25">
      <c r="A46" s="2" t="s">
        <v>15</v>
      </c>
      <c r="B46" s="38">
        <v>24</v>
      </c>
      <c r="C46" s="38"/>
      <c r="D46" s="38"/>
      <c r="E46" s="38"/>
      <c r="K46" s="39" t="s">
        <v>16</v>
      </c>
      <c r="L46" s="2"/>
      <c r="V46" s="35"/>
    </row>
    <row r="47" spans="1:23" x14ac:dyDescent="0.25">
      <c r="K47" s="40" t="s">
        <v>17</v>
      </c>
      <c r="L47" s="2"/>
      <c r="V47" s="35"/>
    </row>
    <row r="48" spans="1:23" x14ac:dyDescent="0.25">
      <c r="F48" s="41"/>
      <c r="V48" s="35"/>
    </row>
    <row r="49" spans="6:22" x14ac:dyDescent="0.25">
      <c r="F49" s="41"/>
      <c r="V49" s="35"/>
    </row>
    <row r="50" spans="6:22" x14ac:dyDescent="0.25">
      <c r="F50" s="41"/>
      <c r="V50" s="35"/>
    </row>
    <row r="51" spans="6:22" x14ac:dyDescent="0.25">
      <c r="F51" s="41"/>
      <c r="V51" s="35"/>
    </row>
    <row r="52" spans="6:22" x14ac:dyDescent="0.25">
      <c r="V52" s="35"/>
    </row>
    <row r="53" spans="6:22" x14ac:dyDescent="0.25">
      <c r="V53" s="35"/>
    </row>
    <row r="54" spans="6:22" x14ac:dyDescent="0.25">
      <c r="V54" s="35"/>
    </row>
    <row r="55" spans="6:22" x14ac:dyDescent="0.25">
      <c r="V55" s="35"/>
    </row>
    <row r="56" spans="6:22" x14ac:dyDescent="0.25">
      <c r="V56" s="35"/>
    </row>
    <row r="57" spans="6:22" x14ac:dyDescent="0.25">
      <c r="V57" s="35"/>
    </row>
    <row r="58" spans="6:22" x14ac:dyDescent="0.25">
      <c r="V58" s="35"/>
    </row>
    <row r="59" spans="6:22" x14ac:dyDescent="0.25">
      <c r="V59" s="35"/>
    </row>
    <row r="60" spans="6:22" x14ac:dyDescent="0.25">
      <c r="V60" s="35"/>
    </row>
    <row r="61" spans="6:22" x14ac:dyDescent="0.25">
      <c r="V61" s="35"/>
    </row>
    <row r="62" spans="6:22" x14ac:dyDescent="0.25">
      <c r="V62" s="35"/>
    </row>
    <row r="63" spans="6:22" x14ac:dyDescent="0.25">
      <c r="V63" s="35"/>
    </row>
    <row r="64" spans="6:22" x14ac:dyDescent="0.25">
      <c r="V64" s="35"/>
    </row>
    <row r="65" spans="22:22" x14ac:dyDescent="0.25">
      <c r="V65" s="35"/>
    </row>
    <row r="66" spans="22:22" x14ac:dyDescent="0.25">
      <c r="V66" s="35"/>
    </row>
    <row r="67" spans="22:22" x14ac:dyDescent="0.25">
      <c r="V67" s="35"/>
    </row>
    <row r="68" spans="22:22" x14ac:dyDescent="0.25">
      <c r="V68" s="35"/>
    </row>
    <row r="69" spans="22:22" x14ac:dyDescent="0.25">
      <c r="V69" s="35"/>
    </row>
    <row r="70" spans="22:22" x14ac:dyDescent="0.25">
      <c r="V70" s="35"/>
    </row>
    <row r="71" spans="22:22" x14ac:dyDescent="0.25">
      <c r="V71" s="35"/>
    </row>
    <row r="72" spans="22:22" x14ac:dyDescent="0.25">
      <c r="V72" s="35"/>
    </row>
    <row r="73" spans="22:22" x14ac:dyDescent="0.25">
      <c r="V73" s="35"/>
    </row>
    <row r="74" spans="22:22" x14ac:dyDescent="0.25">
      <c r="V74" s="35"/>
    </row>
    <row r="75" spans="22:22" x14ac:dyDescent="0.25">
      <c r="V75" s="35"/>
    </row>
    <row r="76" spans="22:22" x14ac:dyDescent="0.25">
      <c r="V76" s="35"/>
    </row>
    <row r="77" spans="22:22" x14ac:dyDescent="0.25">
      <c r="V77" s="35"/>
    </row>
    <row r="78" spans="22:22" x14ac:dyDescent="0.25">
      <c r="V78" s="35"/>
    </row>
    <row r="79" spans="22:22" x14ac:dyDescent="0.25">
      <c r="V79" s="35"/>
    </row>
    <row r="80" spans="22:22" x14ac:dyDescent="0.25">
      <c r="V80" s="35"/>
    </row>
    <row r="81" spans="22:22" x14ac:dyDescent="0.25">
      <c r="V81" s="35"/>
    </row>
    <row r="82" spans="22:22" x14ac:dyDescent="0.25">
      <c r="V82" s="35"/>
    </row>
    <row r="83" spans="22:22" x14ac:dyDescent="0.25">
      <c r="V83" s="35"/>
    </row>
    <row r="84" spans="22:22" x14ac:dyDescent="0.25">
      <c r="V84" s="35"/>
    </row>
    <row r="85" spans="22:22" x14ac:dyDescent="0.25">
      <c r="V85" s="35"/>
    </row>
    <row r="86" spans="22:22" x14ac:dyDescent="0.25">
      <c r="V86" s="35"/>
    </row>
    <row r="87" spans="22:22" x14ac:dyDescent="0.25">
      <c r="V87" s="35"/>
    </row>
    <row r="88" spans="22:22" x14ac:dyDescent="0.25">
      <c r="V88" s="35"/>
    </row>
    <row r="89" spans="22:22" x14ac:dyDescent="0.25">
      <c r="V89" s="35"/>
    </row>
    <row r="90" spans="22:22" x14ac:dyDescent="0.25">
      <c r="V90" s="35"/>
    </row>
    <row r="91" spans="22:22" x14ac:dyDescent="0.25">
      <c r="V91" s="35"/>
    </row>
    <row r="92" spans="22:22" x14ac:dyDescent="0.25">
      <c r="V92" s="35"/>
    </row>
    <row r="93" spans="22:22" x14ac:dyDescent="0.25">
      <c r="V93" s="35"/>
    </row>
    <row r="94" spans="22:22" x14ac:dyDescent="0.25">
      <c r="V94" s="35"/>
    </row>
    <row r="95" spans="22:22" x14ac:dyDescent="0.25">
      <c r="V95" s="35"/>
    </row>
    <row r="96" spans="22:22" x14ac:dyDescent="0.25">
      <c r="V96" s="35"/>
    </row>
    <row r="97" spans="22:22" x14ac:dyDescent="0.25">
      <c r="V97" s="35"/>
    </row>
    <row r="98" spans="22:22" x14ac:dyDescent="0.25">
      <c r="V98" s="35"/>
    </row>
    <row r="99" spans="22:22" x14ac:dyDescent="0.25">
      <c r="V99" s="35"/>
    </row>
    <row r="100" spans="22:22" x14ac:dyDescent="0.25">
      <c r="V100" s="35"/>
    </row>
    <row r="101" spans="22:22" x14ac:dyDescent="0.25">
      <c r="V101" s="35"/>
    </row>
    <row r="102" spans="22:22" x14ac:dyDescent="0.25">
      <c r="V102" s="35"/>
    </row>
    <row r="103" spans="22:22" x14ac:dyDescent="0.25">
      <c r="V103" s="35"/>
    </row>
    <row r="104" spans="22:22" x14ac:dyDescent="0.25">
      <c r="V104" s="35"/>
    </row>
    <row r="105" spans="22:22" x14ac:dyDescent="0.25">
      <c r="V105" s="35"/>
    </row>
    <row r="106" spans="22:22" x14ac:dyDescent="0.25">
      <c r="V106" s="35"/>
    </row>
    <row r="107" spans="22:22" x14ac:dyDescent="0.25">
      <c r="V107" s="35"/>
    </row>
    <row r="108" spans="22:22" x14ac:dyDescent="0.25">
      <c r="V108" s="35"/>
    </row>
    <row r="109" spans="22:22" x14ac:dyDescent="0.25">
      <c r="V109" s="35"/>
    </row>
    <row r="110" spans="22:22" x14ac:dyDescent="0.25">
      <c r="V110" s="35"/>
    </row>
    <row r="111" spans="22:22" x14ac:dyDescent="0.25">
      <c r="V111" s="35"/>
    </row>
    <row r="112" spans="22:22" x14ac:dyDescent="0.25">
      <c r="V112" s="35"/>
    </row>
    <row r="113" spans="22:22" x14ac:dyDescent="0.25">
      <c r="V113" s="35"/>
    </row>
    <row r="114" spans="22:22" x14ac:dyDescent="0.25">
      <c r="V114" s="35"/>
    </row>
  </sheetData>
  <sheetProtection sort="0"/>
  <conditionalFormatting sqref="B4:E43">
    <cfRule type="cellIs" dxfId="9" priority="1" stopIfTrue="1" operator="greaterThan">
      <formula>B$46</formula>
    </cfRule>
    <cfRule type="cellIs" dxfId="8" priority="2" stopIfTrue="1" operator="between">
      <formula>B$44</formula>
      <formula>B$45</formula>
    </cfRule>
    <cfRule type="cellIs" dxfId="7" priority="3" stopIfTrue="1" operator="between">
      <formula>0</formula>
      <formula>$B$44</formula>
    </cfRule>
  </conditionalFormatting>
  <conditionalFormatting sqref="K4:N43">
    <cfRule type="cellIs" dxfId="6" priority="4" stopIfTrue="1" operator="greaterThan">
      <formula>B$46</formula>
    </cfRule>
    <cfRule type="cellIs" dxfId="5" priority="5" stopIfTrue="1" operator="between">
      <formula>B$44</formula>
      <formula>B$45</formula>
    </cfRule>
    <cfRule type="cellIs" dxfId="4" priority="6" stopIfTrue="1" operator="between">
      <formula>0</formula>
      <formula>B$44</formula>
    </cfRule>
  </conditionalFormatting>
  <conditionalFormatting sqref="S7">
    <cfRule type="cellIs" dxfId="3" priority="7" stopIfTrue="1" operator="greaterThan">
      <formula>400</formula>
    </cfRule>
  </conditionalFormatting>
  <conditionalFormatting sqref="S5:S6">
    <cfRule type="cellIs" dxfId="2" priority="8" stopIfTrue="1" operator="lessThan">
      <formula>15</formula>
    </cfRule>
    <cfRule type="cellIs" dxfId="1" priority="9" stopIfTrue="1" operator="between">
      <formula>15</formula>
      <formula>23</formula>
    </cfRule>
    <cfRule type="cellIs" dxfId="0" priority="10" stopIfTrue="1" operator="greaterThan">
      <formula>26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_Timepts">
                <anchor moveWithCells="1" sizeWithCells="1">
                  <from>
                    <xdr:col>6</xdr:col>
                    <xdr:colOff>22860</xdr:colOff>
                    <xdr:row>0</xdr:row>
                    <xdr:rowOff>38100</xdr:rowOff>
                  </from>
                  <to>
                    <xdr:col>7</xdr:col>
                    <xdr:colOff>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Timepoint Planner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dcterms:created xsi:type="dcterms:W3CDTF">2012-02-16T08:59:04Z</dcterms:created>
  <dcterms:modified xsi:type="dcterms:W3CDTF">2013-03-11T17:11:07Z</dcterms:modified>
</cp:coreProperties>
</file>