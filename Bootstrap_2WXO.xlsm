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utoronto-my.sharepoint.com/personal/d_dubins_utoronto_ca/Documents/Lectures/PHC331 2021/Section 6.2 - Bootstrapping and Redosing/Outgoing/"/>
    </mc:Choice>
  </mc:AlternateContent>
  <xr:revisionPtr revIDLastSave="0" documentId="8_{C7F98B16-0ABC-4F68-8F84-0990B157F0D5}" xr6:coauthVersionLast="47" xr6:coauthVersionMax="47" xr10:uidLastSave="{00000000-0000-0000-0000-000000000000}"/>
  <bookViews>
    <workbookView xWindow="-110" yWindow="-110" windowWidth="19420" windowHeight="10420" xr2:uid="{00000000-000D-0000-FFFF-FFFF00000000}"/>
  </bookViews>
  <sheets>
    <sheet name="Data" sheetId="10" r:id="rId1"/>
    <sheet name="Simulation" sheetId="7" r:id="rId2"/>
    <sheet name="Results" sheetId="8" r:id="rId3"/>
    <sheet name="Summary" sheetId="11" r:id="rId4"/>
  </sheets>
  <definedNames>
    <definedName name="_xlnm._FilterDatabase" localSheetId="0" hidden="1">Data!$G$1:$K$32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2" i="7" l="1"/>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1071" i="7"/>
  <c r="E1072" i="7"/>
  <c r="A2" i="7"/>
  <c r="D2" i="7" s="1"/>
  <c r="E2" i="7" s="1"/>
  <c r="D2" i="10"/>
  <c r="D3"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C5" i="11"/>
  <c r="C4" i="11"/>
  <c r="E4" i="11" s="1"/>
  <c r="C10" i="11"/>
  <c r="C9" i="11"/>
  <c r="C8" i="11"/>
  <c r="G10" i="11"/>
  <c r="F10" i="11"/>
  <c r="G9" i="11"/>
  <c r="F9" i="11"/>
  <c r="G8" i="11"/>
  <c r="F8" i="11"/>
  <c r="E10" i="11"/>
  <c r="E9" i="11"/>
  <c r="E8" i="11"/>
  <c r="D10" i="11"/>
  <c r="D9" i="11"/>
  <c r="D8" i="11"/>
  <c r="A3" i="7"/>
  <c r="D3" i="7" s="1"/>
  <c r="E3" i="7" s="1"/>
  <c r="A4" i="7"/>
  <c r="A5" i="7"/>
  <c r="D5" i="7" s="1"/>
  <c r="E5" i="7" s="1"/>
  <c r="A6" i="7"/>
  <c r="A7" i="7"/>
  <c r="D7" i="7" s="1"/>
  <c r="E7" i="7" s="1"/>
  <c r="A8" i="7"/>
  <c r="A9" i="7"/>
  <c r="D9" i="7" s="1"/>
  <c r="E9" i="7" s="1"/>
  <c r="A10" i="7"/>
  <c r="A11" i="7"/>
  <c r="D11" i="7" s="1"/>
  <c r="E11" i="7" s="1"/>
  <c r="A12" i="7"/>
  <c r="A13" i="7"/>
  <c r="D13" i="7" s="1"/>
  <c r="E13" i="7" s="1"/>
  <c r="A14" i="7"/>
  <c r="A15" i="7"/>
  <c r="D15" i="7" s="1"/>
  <c r="E15" i="7" s="1"/>
  <c r="A16" i="7"/>
  <c r="A17" i="7"/>
  <c r="D17" i="7" s="1"/>
  <c r="E17" i="7" s="1"/>
  <c r="A18" i="7"/>
  <c r="A19" i="7"/>
  <c r="D19" i="7" s="1"/>
  <c r="E19" i="7" s="1"/>
  <c r="A20" i="7"/>
  <c r="A21" i="7"/>
  <c r="D21" i="7" s="1"/>
  <c r="E21" i="7" s="1"/>
  <c r="A22" i="7"/>
  <c r="A23" i="7"/>
  <c r="D23" i="7" s="1"/>
  <c r="E23" i="7" s="1"/>
  <c r="A24" i="7"/>
  <c r="A25" i="7"/>
  <c r="D25" i="7" s="1"/>
  <c r="E25" i="7" s="1"/>
  <c r="A26" i="7"/>
  <c r="A27" i="7"/>
  <c r="D27" i="7" s="1"/>
  <c r="E27" i="7" s="1"/>
  <c r="A28" i="7"/>
  <c r="A29" i="7"/>
  <c r="D29" i="7" s="1"/>
  <c r="E29" i="7" s="1"/>
  <c r="A30" i="7"/>
  <c r="A31" i="7"/>
  <c r="D31" i="7" s="1"/>
  <c r="E31" i="7" s="1"/>
  <c r="A32" i="7"/>
  <c r="A33" i="7"/>
  <c r="D33" i="7" s="1"/>
  <c r="E33" i="7" s="1"/>
  <c r="A34" i="7"/>
  <c r="A35" i="7"/>
  <c r="D35" i="7" s="1"/>
  <c r="E35" i="7" s="1"/>
  <c r="A36" i="7"/>
  <c r="A37" i="7"/>
  <c r="A38" i="7"/>
  <c r="A39" i="7"/>
  <c r="A40" i="7"/>
  <c r="A41" i="7"/>
  <c r="A42" i="7"/>
  <c r="A43" i="7"/>
  <c r="A44" i="7"/>
  <c r="A45" i="7"/>
  <c r="A46" i="7"/>
  <c r="A47" i="7"/>
  <c r="A48" i="7"/>
  <c r="A49" i="7"/>
  <c r="A50" i="7"/>
  <c r="A51" i="7"/>
  <c r="A52" i="7"/>
  <c r="D52" i="7" s="1"/>
  <c r="A53" i="7"/>
  <c r="D53" i="7" s="1"/>
  <c r="A54" i="7"/>
  <c r="D54" i="7" s="1"/>
  <c r="A55" i="7"/>
  <c r="D55" i="7" s="1"/>
  <c r="A56" i="7"/>
  <c r="D56" i="7" s="1"/>
  <c r="A57" i="7"/>
  <c r="D57" i="7" s="1"/>
  <c r="A58" i="7"/>
  <c r="D58" i="7" s="1"/>
  <c r="A59" i="7"/>
  <c r="D59" i="7" s="1"/>
  <c r="A60" i="7"/>
  <c r="D60" i="7" s="1"/>
  <c r="A61" i="7"/>
  <c r="D61" i="7" s="1"/>
  <c r="A62" i="7"/>
  <c r="D62" i="7" s="1"/>
  <c r="A63" i="7"/>
  <c r="D63" i="7" s="1"/>
  <c r="A64" i="7"/>
  <c r="D64" i="7" s="1"/>
  <c r="A65" i="7"/>
  <c r="D65" i="7" s="1"/>
  <c r="A66" i="7"/>
  <c r="D66" i="7" s="1"/>
  <c r="A67" i="7"/>
  <c r="D67" i="7" s="1"/>
  <c r="A68" i="7"/>
  <c r="D68" i="7" s="1"/>
  <c r="A69" i="7"/>
  <c r="D69" i="7" s="1"/>
  <c r="A70" i="7"/>
  <c r="D70" i="7" s="1"/>
  <c r="A71" i="7"/>
  <c r="D71" i="7" s="1"/>
  <c r="A72" i="7"/>
  <c r="D72" i="7" s="1"/>
  <c r="A73" i="7"/>
  <c r="D73" i="7" s="1"/>
  <c r="A74" i="7"/>
  <c r="D74" i="7" s="1"/>
  <c r="A75" i="7"/>
  <c r="D75" i="7" s="1"/>
  <c r="A76" i="7"/>
  <c r="D76" i="7" s="1"/>
  <c r="A77" i="7"/>
  <c r="D77" i="7" s="1"/>
  <c r="A78" i="7"/>
  <c r="D78" i="7" s="1"/>
  <c r="A79" i="7"/>
  <c r="D79" i="7" s="1"/>
  <c r="A80" i="7"/>
  <c r="D80" i="7" s="1"/>
  <c r="A81" i="7"/>
  <c r="D81" i="7" s="1"/>
  <c r="A82" i="7"/>
  <c r="D82" i="7" s="1"/>
  <c r="A83" i="7"/>
  <c r="D83" i="7" s="1"/>
  <c r="A84" i="7"/>
  <c r="D84" i="7" s="1"/>
  <c r="A85" i="7"/>
  <c r="D85" i="7" s="1"/>
  <c r="A86" i="7"/>
  <c r="D86" i="7" s="1"/>
  <c r="A87" i="7"/>
  <c r="D87" i="7" s="1"/>
  <c r="A88" i="7"/>
  <c r="D88" i="7" s="1"/>
  <c r="A89" i="7"/>
  <c r="D89" i="7" s="1"/>
  <c r="A90" i="7"/>
  <c r="D90" i="7" s="1"/>
  <c r="A91" i="7"/>
  <c r="D91" i="7" s="1"/>
  <c r="A92" i="7"/>
  <c r="D92" i="7" s="1"/>
  <c r="A93" i="7"/>
  <c r="D93" i="7" s="1"/>
  <c r="A94" i="7"/>
  <c r="D94" i="7" s="1"/>
  <c r="A95" i="7"/>
  <c r="D95" i="7" s="1"/>
  <c r="A96" i="7"/>
  <c r="D96" i="7" s="1"/>
  <c r="A97" i="7"/>
  <c r="D97" i="7" s="1"/>
  <c r="A98" i="7"/>
  <c r="D98" i="7" s="1"/>
  <c r="A99" i="7"/>
  <c r="D99" i="7" s="1"/>
  <c r="A100" i="7"/>
  <c r="D100" i="7" s="1"/>
  <c r="A101" i="7"/>
  <c r="D101" i="7" s="1"/>
  <c r="A102" i="7"/>
  <c r="D102" i="7" s="1"/>
  <c r="A103" i="7"/>
  <c r="D103" i="7" s="1"/>
  <c r="A104" i="7"/>
  <c r="D104" i="7" s="1"/>
  <c r="A105" i="7"/>
  <c r="D105" i="7" s="1"/>
  <c r="A106" i="7"/>
  <c r="D106" i="7" s="1"/>
  <c r="A107" i="7"/>
  <c r="D107" i="7" s="1"/>
  <c r="A108" i="7"/>
  <c r="D108" i="7" s="1"/>
  <c r="A109" i="7"/>
  <c r="D109" i="7" s="1"/>
  <c r="A110" i="7"/>
  <c r="D110" i="7" s="1"/>
  <c r="A111" i="7"/>
  <c r="D111" i="7" s="1"/>
  <c r="A112" i="7"/>
  <c r="D112" i="7" s="1"/>
  <c r="A113" i="7"/>
  <c r="D113" i="7" s="1"/>
  <c r="A114" i="7"/>
  <c r="D114" i="7" s="1"/>
  <c r="A115" i="7"/>
  <c r="D115" i="7" s="1"/>
  <c r="A116" i="7"/>
  <c r="D116" i="7" s="1"/>
  <c r="A117" i="7"/>
  <c r="D117" i="7" s="1"/>
  <c r="A118" i="7"/>
  <c r="D118" i="7" s="1"/>
  <c r="A119" i="7"/>
  <c r="D119" i="7" s="1"/>
  <c r="A120" i="7"/>
  <c r="D120" i="7" s="1"/>
  <c r="A121" i="7"/>
  <c r="D121" i="7" s="1"/>
  <c r="A122" i="7"/>
  <c r="D122" i="7" s="1"/>
  <c r="A123" i="7"/>
  <c r="D123" i="7" s="1"/>
  <c r="A124" i="7"/>
  <c r="D124" i="7" s="1"/>
  <c r="A125" i="7"/>
  <c r="D125" i="7" s="1"/>
  <c r="A126" i="7"/>
  <c r="D126" i="7" s="1"/>
  <c r="A127" i="7"/>
  <c r="D127" i="7" s="1"/>
  <c r="A128" i="7"/>
  <c r="D128" i="7" s="1"/>
  <c r="A129" i="7"/>
  <c r="D129" i="7" s="1"/>
  <c r="A130" i="7"/>
  <c r="D130" i="7" s="1"/>
  <c r="A131" i="7"/>
  <c r="D131" i="7" s="1"/>
  <c r="A132" i="7"/>
  <c r="D132" i="7" s="1"/>
  <c r="A133" i="7"/>
  <c r="D133" i="7" s="1"/>
  <c r="A134" i="7"/>
  <c r="D134" i="7" s="1"/>
  <c r="A135" i="7"/>
  <c r="D135" i="7" s="1"/>
  <c r="A136" i="7"/>
  <c r="D136" i="7" s="1"/>
  <c r="A137" i="7"/>
  <c r="D137" i="7" s="1"/>
  <c r="A138" i="7"/>
  <c r="D138" i="7" s="1"/>
  <c r="A139" i="7"/>
  <c r="D139" i="7" s="1"/>
  <c r="A140" i="7"/>
  <c r="D140" i="7" s="1"/>
  <c r="A141" i="7"/>
  <c r="D141" i="7" s="1"/>
  <c r="A142" i="7"/>
  <c r="D142" i="7" s="1"/>
  <c r="A143" i="7"/>
  <c r="D143" i="7" s="1"/>
  <c r="A144" i="7"/>
  <c r="D144" i="7" s="1"/>
  <c r="A145" i="7"/>
  <c r="D145" i="7" s="1"/>
  <c r="A146" i="7"/>
  <c r="D146" i="7" s="1"/>
  <c r="A147" i="7"/>
  <c r="D147" i="7" s="1"/>
  <c r="A148" i="7"/>
  <c r="D148" i="7" s="1"/>
  <c r="A149" i="7"/>
  <c r="D149" i="7" s="1"/>
  <c r="A150" i="7"/>
  <c r="D150" i="7" s="1"/>
  <c r="A151" i="7"/>
  <c r="D151" i="7" s="1"/>
  <c r="A152" i="7"/>
  <c r="D152" i="7" s="1"/>
  <c r="A153" i="7"/>
  <c r="D153" i="7" s="1"/>
  <c r="A154" i="7"/>
  <c r="D154" i="7" s="1"/>
  <c r="A155" i="7"/>
  <c r="D155" i="7" s="1"/>
  <c r="A156" i="7"/>
  <c r="D156" i="7" s="1"/>
  <c r="A157" i="7"/>
  <c r="D157" i="7" s="1"/>
  <c r="A158" i="7"/>
  <c r="D158" i="7" s="1"/>
  <c r="A159" i="7"/>
  <c r="D159" i="7" s="1"/>
  <c r="A160" i="7"/>
  <c r="D160" i="7" s="1"/>
  <c r="A161" i="7"/>
  <c r="D161" i="7" s="1"/>
  <c r="A162" i="7"/>
  <c r="D162" i="7" s="1"/>
  <c r="A163" i="7"/>
  <c r="D163" i="7" s="1"/>
  <c r="A164" i="7"/>
  <c r="D164" i="7" s="1"/>
  <c r="A165" i="7"/>
  <c r="D165" i="7" s="1"/>
  <c r="A166" i="7"/>
  <c r="D166" i="7" s="1"/>
  <c r="A167" i="7"/>
  <c r="D167" i="7" s="1"/>
  <c r="A168" i="7"/>
  <c r="D168" i="7" s="1"/>
  <c r="A169" i="7"/>
  <c r="D169" i="7" s="1"/>
  <c r="A170" i="7"/>
  <c r="D170" i="7" s="1"/>
  <c r="A171" i="7"/>
  <c r="D171" i="7" s="1"/>
  <c r="A172" i="7"/>
  <c r="D172" i="7" s="1"/>
  <c r="A173" i="7"/>
  <c r="D173" i="7" s="1"/>
  <c r="A174" i="7"/>
  <c r="D174" i="7" s="1"/>
  <c r="A175" i="7"/>
  <c r="D175" i="7" s="1"/>
  <c r="A176" i="7"/>
  <c r="D176" i="7" s="1"/>
  <c r="A177" i="7"/>
  <c r="D177" i="7" s="1"/>
  <c r="A178" i="7"/>
  <c r="D178" i="7" s="1"/>
  <c r="A179" i="7"/>
  <c r="D179" i="7" s="1"/>
  <c r="A180" i="7"/>
  <c r="D180" i="7" s="1"/>
  <c r="A181" i="7"/>
  <c r="D181" i="7" s="1"/>
  <c r="A182" i="7"/>
  <c r="D182" i="7" s="1"/>
  <c r="A183" i="7"/>
  <c r="D183" i="7" s="1"/>
  <c r="A184" i="7"/>
  <c r="D184" i="7" s="1"/>
  <c r="A185" i="7"/>
  <c r="D185" i="7" s="1"/>
  <c r="A186" i="7"/>
  <c r="D186" i="7" s="1"/>
  <c r="A187" i="7"/>
  <c r="D187" i="7" s="1"/>
  <c r="A188" i="7"/>
  <c r="D188" i="7" s="1"/>
  <c r="A189" i="7"/>
  <c r="D189" i="7" s="1"/>
  <c r="A190" i="7"/>
  <c r="D190" i="7" s="1"/>
  <c r="A191" i="7"/>
  <c r="D191" i="7" s="1"/>
  <c r="A192" i="7"/>
  <c r="D192" i="7" s="1"/>
  <c r="A193" i="7"/>
  <c r="D193" i="7" s="1"/>
  <c r="A194" i="7"/>
  <c r="D194" i="7" s="1"/>
  <c r="A195" i="7"/>
  <c r="D195" i="7" s="1"/>
  <c r="A196" i="7"/>
  <c r="D196" i="7" s="1"/>
  <c r="A197" i="7"/>
  <c r="D197" i="7" s="1"/>
  <c r="A198" i="7"/>
  <c r="D198" i="7" s="1"/>
  <c r="A199" i="7"/>
  <c r="D199" i="7" s="1"/>
  <c r="A200" i="7"/>
  <c r="D200" i="7" s="1"/>
  <c r="A201" i="7"/>
  <c r="D201" i="7" s="1"/>
  <c r="A202" i="7"/>
  <c r="D202" i="7" s="1"/>
  <c r="A203" i="7"/>
  <c r="D203" i="7" s="1"/>
  <c r="A204" i="7"/>
  <c r="D204" i="7" s="1"/>
  <c r="A205" i="7"/>
  <c r="D205" i="7" s="1"/>
  <c r="A206" i="7"/>
  <c r="D206" i="7" s="1"/>
  <c r="A207" i="7"/>
  <c r="D207" i="7" s="1"/>
  <c r="A208" i="7"/>
  <c r="D208" i="7" s="1"/>
  <c r="A209" i="7"/>
  <c r="D209" i="7" s="1"/>
  <c r="A210" i="7"/>
  <c r="D210" i="7" s="1"/>
  <c r="A211" i="7"/>
  <c r="D211" i="7" s="1"/>
  <c r="A212" i="7"/>
  <c r="D212" i="7" s="1"/>
  <c r="A213" i="7"/>
  <c r="D213" i="7" s="1"/>
  <c r="A214" i="7"/>
  <c r="D214" i="7" s="1"/>
  <c r="A215" i="7"/>
  <c r="D215" i="7" s="1"/>
  <c r="A216" i="7"/>
  <c r="D216" i="7" s="1"/>
  <c r="A217" i="7"/>
  <c r="D217" i="7" s="1"/>
  <c r="A218" i="7"/>
  <c r="D218" i="7" s="1"/>
  <c r="A219" i="7"/>
  <c r="D219" i="7" s="1"/>
  <c r="A220" i="7"/>
  <c r="D220" i="7" s="1"/>
  <c r="A221" i="7"/>
  <c r="D221" i="7" s="1"/>
  <c r="A222" i="7"/>
  <c r="D222" i="7" s="1"/>
  <c r="A223" i="7"/>
  <c r="D223" i="7" s="1"/>
  <c r="A224" i="7"/>
  <c r="D224" i="7" s="1"/>
  <c r="A225" i="7"/>
  <c r="D225" i="7" s="1"/>
  <c r="A226" i="7"/>
  <c r="D226" i="7" s="1"/>
  <c r="A227" i="7"/>
  <c r="D227" i="7" s="1"/>
  <c r="A228" i="7"/>
  <c r="D228" i="7" s="1"/>
  <c r="A229" i="7"/>
  <c r="D229" i="7" s="1"/>
  <c r="A230" i="7"/>
  <c r="D230" i="7" s="1"/>
  <c r="A231" i="7"/>
  <c r="D231" i="7" s="1"/>
  <c r="A232" i="7"/>
  <c r="D232" i="7" s="1"/>
  <c r="A233" i="7"/>
  <c r="D233" i="7" s="1"/>
  <c r="A234" i="7"/>
  <c r="D234" i="7" s="1"/>
  <c r="A235" i="7"/>
  <c r="D235" i="7" s="1"/>
  <c r="A236" i="7"/>
  <c r="D236" i="7" s="1"/>
  <c r="A237" i="7"/>
  <c r="D237" i="7" s="1"/>
  <c r="A238" i="7"/>
  <c r="D238" i="7" s="1"/>
  <c r="A239" i="7"/>
  <c r="D239" i="7" s="1"/>
  <c r="A240" i="7"/>
  <c r="D240" i="7" s="1"/>
  <c r="A241" i="7"/>
  <c r="D241" i="7" s="1"/>
  <c r="A242" i="7"/>
  <c r="D242" i="7" s="1"/>
  <c r="A243" i="7"/>
  <c r="D243" i="7" s="1"/>
  <c r="A244" i="7"/>
  <c r="D244" i="7" s="1"/>
  <c r="A245" i="7"/>
  <c r="D245" i="7" s="1"/>
  <c r="A246" i="7"/>
  <c r="D246" i="7" s="1"/>
  <c r="A247" i="7"/>
  <c r="D247" i="7" s="1"/>
  <c r="A248" i="7"/>
  <c r="D248" i="7" s="1"/>
  <c r="A249" i="7"/>
  <c r="D249" i="7" s="1"/>
  <c r="A250" i="7"/>
  <c r="D250" i="7" s="1"/>
  <c r="A251" i="7"/>
  <c r="D251" i="7" s="1"/>
  <c r="A252" i="7"/>
  <c r="D252" i="7" s="1"/>
  <c r="A253" i="7"/>
  <c r="D253" i="7" s="1"/>
  <c r="A254" i="7"/>
  <c r="D254" i="7" s="1"/>
  <c r="A255" i="7"/>
  <c r="D255" i="7" s="1"/>
  <c r="A256" i="7"/>
  <c r="D256" i="7" s="1"/>
  <c r="A257" i="7"/>
  <c r="D257" i="7" s="1"/>
  <c r="A258" i="7"/>
  <c r="D258" i="7" s="1"/>
  <c r="A259" i="7"/>
  <c r="D259" i="7" s="1"/>
  <c r="A260" i="7"/>
  <c r="D260" i="7" s="1"/>
  <c r="A261" i="7"/>
  <c r="D261" i="7" s="1"/>
  <c r="A262" i="7"/>
  <c r="D262" i="7" s="1"/>
  <c r="A263" i="7"/>
  <c r="D263" i="7" s="1"/>
  <c r="A264" i="7"/>
  <c r="D264" i="7" s="1"/>
  <c r="A265" i="7"/>
  <c r="D265" i="7" s="1"/>
  <c r="A266" i="7"/>
  <c r="D266" i="7" s="1"/>
  <c r="A267" i="7"/>
  <c r="D267" i="7" s="1"/>
  <c r="A268" i="7"/>
  <c r="D268" i="7" s="1"/>
  <c r="A269" i="7"/>
  <c r="D269" i="7" s="1"/>
  <c r="A270" i="7"/>
  <c r="D270" i="7" s="1"/>
  <c r="A271" i="7"/>
  <c r="D271" i="7" s="1"/>
  <c r="A272" i="7"/>
  <c r="D272" i="7" s="1"/>
  <c r="A273" i="7"/>
  <c r="D273" i="7" s="1"/>
  <c r="A274" i="7"/>
  <c r="D274" i="7" s="1"/>
  <c r="A275" i="7"/>
  <c r="D275" i="7" s="1"/>
  <c r="A276" i="7"/>
  <c r="D276" i="7" s="1"/>
  <c r="A277" i="7"/>
  <c r="D277" i="7" s="1"/>
  <c r="A278" i="7"/>
  <c r="D278" i="7" s="1"/>
  <c r="A279" i="7"/>
  <c r="D279" i="7" s="1"/>
  <c r="A280" i="7"/>
  <c r="D280" i="7" s="1"/>
  <c r="A281" i="7"/>
  <c r="D281" i="7" s="1"/>
  <c r="A282" i="7"/>
  <c r="D282" i="7" s="1"/>
  <c r="A283" i="7"/>
  <c r="D283" i="7" s="1"/>
  <c r="A284" i="7"/>
  <c r="D284" i="7" s="1"/>
  <c r="A285" i="7"/>
  <c r="D285" i="7" s="1"/>
  <c r="A286" i="7"/>
  <c r="D286" i="7" s="1"/>
  <c r="A287" i="7"/>
  <c r="D287" i="7" s="1"/>
  <c r="A288" i="7"/>
  <c r="D288" i="7" s="1"/>
  <c r="A289" i="7"/>
  <c r="D289" i="7" s="1"/>
  <c r="A290" i="7"/>
  <c r="D290" i="7" s="1"/>
  <c r="A291" i="7"/>
  <c r="D291" i="7" s="1"/>
  <c r="A292" i="7"/>
  <c r="D292" i="7" s="1"/>
  <c r="A293" i="7"/>
  <c r="D293" i="7" s="1"/>
  <c r="A294" i="7"/>
  <c r="D294" i="7" s="1"/>
  <c r="A295" i="7"/>
  <c r="D295" i="7" s="1"/>
  <c r="A296" i="7"/>
  <c r="D296" i="7" s="1"/>
  <c r="A297" i="7"/>
  <c r="D297" i="7" s="1"/>
  <c r="A298" i="7"/>
  <c r="D298" i="7" s="1"/>
  <c r="A299" i="7"/>
  <c r="D299" i="7" s="1"/>
  <c r="A300" i="7"/>
  <c r="D300" i="7" s="1"/>
  <c r="A301" i="7"/>
  <c r="D301" i="7" s="1"/>
  <c r="A302" i="7"/>
  <c r="D302" i="7" s="1"/>
  <c r="A303" i="7"/>
  <c r="D303" i="7" s="1"/>
  <c r="A304" i="7"/>
  <c r="D304" i="7" s="1"/>
  <c r="A305" i="7"/>
  <c r="D305" i="7" s="1"/>
  <c r="A306" i="7"/>
  <c r="D306" i="7" s="1"/>
  <c r="A307" i="7"/>
  <c r="D307" i="7" s="1"/>
  <c r="A308" i="7"/>
  <c r="D308" i="7" s="1"/>
  <c r="A309" i="7"/>
  <c r="D309" i="7" s="1"/>
  <c r="A310" i="7"/>
  <c r="D310" i="7" s="1"/>
  <c r="A311" i="7"/>
  <c r="D311" i="7" s="1"/>
  <c r="A312" i="7"/>
  <c r="D312" i="7" s="1"/>
  <c r="A313" i="7"/>
  <c r="D313" i="7" s="1"/>
  <c r="A314" i="7"/>
  <c r="D314" i="7" s="1"/>
  <c r="A315" i="7"/>
  <c r="D315" i="7" s="1"/>
  <c r="A316" i="7"/>
  <c r="D316" i="7" s="1"/>
  <c r="A317" i="7"/>
  <c r="D317" i="7" s="1"/>
  <c r="A318" i="7"/>
  <c r="D318" i="7" s="1"/>
  <c r="A319" i="7"/>
  <c r="D319" i="7" s="1"/>
  <c r="A320" i="7"/>
  <c r="D320" i="7" s="1"/>
  <c r="A321" i="7"/>
  <c r="D321" i="7" s="1"/>
  <c r="A322" i="7"/>
  <c r="D322" i="7" s="1"/>
  <c r="A323" i="7"/>
  <c r="D323" i="7" s="1"/>
  <c r="A324" i="7"/>
  <c r="D324" i="7" s="1"/>
  <c r="A325" i="7"/>
  <c r="D325" i="7" s="1"/>
  <c r="A326" i="7"/>
  <c r="D326" i="7" s="1"/>
  <c r="A327" i="7"/>
  <c r="D327" i="7" s="1"/>
  <c r="A328" i="7"/>
  <c r="D328" i="7" s="1"/>
  <c r="A329" i="7"/>
  <c r="D329" i="7" s="1"/>
  <c r="A330" i="7"/>
  <c r="D330" i="7" s="1"/>
  <c r="A331" i="7"/>
  <c r="D331" i="7" s="1"/>
  <c r="A332" i="7"/>
  <c r="D332" i="7" s="1"/>
  <c r="A333" i="7"/>
  <c r="D333" i="7" s="1"/>
  <c r="A334" i="7"/>
  <c r="D334" i="7" s="1"/>
  <c r="A335" i="7"/>
  <c r="D335" i="7" s="1"/>
  <c r="A336" i="7"/>
  <c r="D336" i="7" s="1"/>
  <c r="A337" i="7"/>
  <c r="D337" i="7" s="1"/>
  <c r="A338" i="7"/>
  <c r="D338" i="7" s="1"/>
  <c r="A339" i="7"/>
  <c r="D339" i="7" s="1"/>
  <c r="A340" i="7"/>
  <c r="D340" i="7" s="1"/>
  <c r="A341" i="7"/>
  <c r="D341" i="7" s="1"/>
  <c r="A342" i="7"/>
  <c r="D342" i="7" s="1"/>
  <c r="A343" i="7"/>
  <c r="D343" i="7" s="1"/>
  <c r="A344" i="7"/>
  <c r="D344" i="7" s="1"/>
  <c r="A345" i="7"/>
  <c r="D345" i="7" s="1"/>
  <c r="A346" i="7"/>
  <c r="D346" i="7" s="1"/>
  <c r="A347" i="7"/>
  <c r="D347" i="7" s="1"/>
  <c r="A348" i="7"/>
  <c r="D348" i="7" s="1"/>
  <c r="A349" i="7"/>
  <c r="D349" i="7" s="1"/>
  <c r="A350" i="7"/>
  <c r="D350" i="7" s="1"/>
  <c r="A351" i="7"/>
  <c r="D351" i="7" s="1"/>
  <c r="A352" i="7"/>
  <c r="D352" i="7" s="1"/>
  <c r="A353" i="7"/>
  <c r="D353" i="7" s="1"/>
  <c r="A354" i="7"/>
  <c r="D354" i="7" s="1"/>
  <c r="A355" i="7"/>
  <c r="D355" i="7" s="1"/>
  <c r="A356" i="7"/>
  <c r="D356" i="7" s="1"/>
  <c r="A357" i="7"/>
  <c r="D357" i="7" s="1"/>
  <c r="A358" i="7"/>
  <c r="D358" i="7" s="1"/>
  <c r="A359" i="7"/>
  <c r="D359" i="7" s="1"/>
  <c r="A360" i="7"/>
  <c r="D360" i="7" s="1"/>
  <c r="A361" i="7"/>
  <c r="D361" i="7" s="1"/>
  <c r="A362" i="7"/>
  <c r="D362" i="7" s="1"/>
  <c r="A363" i="7"/>
  <c r="D363" i="7" s="1"/>
  <c r="A364" i="7"/>
  <c r="D364" i="7" s="1"/>
  <c r="A365" i="7"/>
  <c r="D365" i="7" s="1"/>
  <c r="A366" i="7"/>
  <c r="D366" i="7" s="1"/>
  <c r="A367" i="7"/>
  <c r="D367" i="7" s="1"/>
  <c r="A368" i="7"/>
  <c r="D368" i="7" s="1"/>
  <c r="A369" i="7"/>
  <c r="D369" i="7" s="1"/>
  <c r="A370" i="7"/>
  <c r="D370" i="7" s="1"/>
  <c r="A371" i="7"/>
  <c r="D371" i="7" s="1"/>
  <c r="A372" i="7"/>
  <c r="D372" i="7" s="1"/>
  <c r="A373" i="7"/>
  <c r="D373" i="7" s="1"/>
  <c r="A374" i="7"/>
  <c r="D374" i="7" s="1"/>
  <c r="A375" i="7"/>
  <c r="D375" i="7" s="1"/>
  <c r="A376" i="7"/>
  <c r="D376" i="7" s="1"/>
  <c r="A377" i="7"/>
  <c r="D377" i="7" s="1"/>
  <c r="A378" i="7"/>
  <c r="D378" i="7" s="1"/>
  <c r="A379" i="7"/>
  <c r="D379" i="7" s="1"/>
  <c r="A380" i="7"/>
  <c r="D380" i="7" s="1"/>
  <c r="A381" i="7"/>
  <c r="D381" i="7" s="1"/>
  <c r="A382" i="7"/>
  <c r="D382" i="7" s="1"/>
  <c r="A383" i="7"/>
  <c r="D383" i="7" s="1"/>
  <c r="A384" i="7"/>
  <c r="D384" i="7" s="1"/>
  <c r="A385" i="7"/>
  <c r="D385" i="7" s="1"/>
  <c r="A386" i="7"/>
  <c r="D386" i="7" s="1"/>
  <c r="A387" i="7"/>
  <c r="D387" i="7" s="1"/>
  <c r="A388" i="7"/>
  <c r="D388" i="7" s="1"/>
  <c r="A389" i="7"/>
  <c r="D389" i="7" s="1"/>
  <c r="A390" i="7"/>
  <c r="D390" i="7" s="1"/>
  <c r="A391" i="7"/>
  <c r="D391" i="7" s="1"/>
  <c r="A392" i="7"/>
  <c r="D392" i="7" s="1"/>
  <c r="A393" i="7"/>
  <c r="D393" i="7" s="1"/>
  <c r="A394" i="7"/>
  <c r="D394" i="7" s="1"/>
  <c r="A395" i="7"/>
  <c r="D395" i="7" s="1"/>
  <c r="A396" i="7"/>
  <c r="D396" i="7" s="1"/>
  <c r="A397" i="7"/>
  <c r="D397" i="7" s="1"/>
  <c r="A398" i="7"/>
  <c r="D398" i="7" s="1"/>
  <c r="A399" i="7"/>
  <c r="D399" i="7" s="1"/>
  <c r="A400" i="7"/>
  <c r="D400" i="7" s="1"/>
  <c r="A401" i="7"/>
  <c r="D401" i="7" s="1"/>
  <c r="A402" i="7"/>
  <c r="D402" i="7" s="1"/>
  <c r="A403" i="7"/>
  <c r="D403" i="7" s="1"/>
  <c r="A404" i="7"/>
  <c r="D404" i="7" s="1"/>
  <c r="A405" i="7"/>
  <c r="D405" i="7" s="1"/>
  <c r="A406" i="7"/>
  <c r="D406" i="7" s="1"/>
  <c r="A407" i="7"/>
  <c r="D407" i="7" s="1"/>
  <c r="A408" i="7"/>
  <c r="D408" i="7" s="1"/>
  <c r="A409" i="7"/>
  <c r="D409" i="7" s="1"/>
  <c r="A410" i="7"/>
  <c r="D410" i="7" s="1"/>
  <c r="A411" i="7"/>
  <c r="D411" i="7" s="1"/>
  <c r="A412" i="7"/>
  <c r="D412" i="7" s="1"/>
  <c r="A413" i="7"/>
  <c r="D413" i="7" s="1"/>
  <c r="A414" i="7"/>
  <c r="D414" i="7" s="1"/>
  <c r="A415" i="7"/>
  <c r="D415" i="7" s="1"/>
  <c r="A416" i="7"/>
  <c r="D416" i="7" s="1"/>
  <c r="A417" i="7"/>
  <c r="D417" i="7" s="1"/>
  <c r="A418" i="7"/>
  <c r="D418" i="7" s="1"/>
  <c r="A419" i="7"/>
  <c r="D419" i="7" s="1"/>
  <c r="A420" i="7"/>
  <c r="D420" i="7" s="1"/>
  <c r="A421" i="7"/>
  <c r="D421" i="7" s="1"/>
  <c r="A422" i="7"/>
  <c r="D422" i="7" s="1"/>
  <c r="A423" i="7"/>
  <c r="D423" i="7" s="1"/>
  <c r="A424" i="7"/>
  <c r="D424" i="7" s="1"/>
  <c r="A425" i="7"/>
  <c r="D425" i="7" s="1"/>
  <c r="A426" i="7"/>
  <c r="D426" i="7" s="1"/>
  <c r="A427" i="7"/>
  <c r="D427" i="7" s="1"/>
  <c r="A428" i="7"/>
  <c r="D428" i="7" s="1"/>
  <c r="A429" i="7"/>
  <c r="D429" i="7" s="1"/>
  <c r="A430" i="7"/>
  <c r="D430" i="7" s="1"/>
  <c r="A431" i="7"/>
  <c r="D431" i="7" s="1"/>
  <c r="A432" i="7"/>
  <c r="D432" i="7" s="1"/>
  <c r="A433" i="7"/>
  <c r="D433" i="7" s="1"/>
  <c r="A434" i="7"/>
  <c r="D434" i="7" s="1"/>
  <c r="A435" i="7"/>
  <c r="D435" i="7" s="1"/>
  <c r="A436" i="7"/>
  <c r="D436" i="7" s="1"/>
  <c r="A437" i="7"/>
  <c r="D437" i="7" s="1"/>
  <c r="A438" i="7"/>
  <c r="D438" i="7" s="1"/>
  <c r="A439" i="7"/>
  <c r="D439" i="7" s="1"/>
  <c r="A440" i="7"/>
  <c r="D440" i="7" s="1"/>
  <c r="A441" i="7"/>
  <c r="D441" i="7" s="1"/>
  <c r="A442" i="7"/>
  <c r="D442" i="7" s="1"/>
  <c r="A443" i="7"/>
  <c r="D443" i="7" s="1"/>
  <c r="A444" i="7"/>
  <c r="D444" i="7" s="1"/>
  <c r="A445" i="7"/>
  <c r="D445" i="7" s="1"/>
  <c r="A446" i="7"/>
  <c r="D446" i="7" s="1"/>
  <c r="A447" i="7"/>
  <c r="D447" i="7" s="1"/>
  <c r="A448" i="7"/>
  <c r="D448" i="7" s="1"/>
  <c r="A449" i="7"/>
  <c r="D449" i="7" s="1"/>
  <c r="A450" i="7"/>
  <c r="D450" i="7" s="1"/>
  <c r="A451" i="7"/>
  <c r="D451" i="7" s="1"/>
  <c r="A452" i="7"/>
  <c r="D452" i="7" s="1"/>
  <c r="A453" i="7"/>
  <c r="D453" i="7" s="1"/>
  <c r="A454" i="7"/>
  <c r="D454" i="7" s="1"/>
  <c r="A455" i="7"/>
  <c r="D455" i="7" s="1"/>
  <c r="A456" i="7"/>
  <c r="D456" i="7" s="1"/>
  <c r="A457" i="7"/>
  <c r="D457" i="7" s="1"/>
  <c r="A458" i="7"/>
  <c r="D458" i="7" s="1"/>
  <c r="A459" i="7"/>
  <c r="D459" i="7" s="1"/>
  <c r="A460" i="7"/>
  <c r="D460" i="7" s="1"/>
  <c r="A461" i="7"/>
  <c r="D461" i="7" s="1"/>
  <c r="A462" i="7"/>
  <c r="D462" i="7" s="1"/>
  <c r="A463" i="7"/>
  <c r="D463" i="7" s="1"/>
  <c r="A464" i="7"/>
  <c r="D464" i="7" s="1"/>
  <c r="A465" i="7"/>
  <c r="D465" i="7" s="1"/>
  <c r="A466" i="7"/>
  <c r="D466" i="7" s="1"/>
  <c r="A467" i="7"/>
  <c r="D467" i="7" s="1"/>
  <c r="A468" i="7"/>
  <c r="D468" i="7" s="1"/>
  <c r="A469" i="7"/>
  <c r="D469" i="7" s="1"/>
  <c r="A470" i="7"/>
  <c r="D470" i="7" s="1"/>
  <c r="A471" i="7"/>
  <c r="D471" i="7" s="1"/>
  <c r="A472" i="7"/>
  <c r="D472" i="7" s="1"/>
  <c r="A473" i="7"/>
  <c r="D473" i="7" s="1"/>
  <c r="A474" i="7"/>
  <c r="D474" i="7" s="1"/>
  <c r="A475" i="7"/>
  <c r="D475" i="7" s="1"/>
  <c r="A476" i="7"/>
  <c r="D476" i="7" s="1"/>
  <c r="A477" i="7"/>
  <c r="D477" i="7" s="1"/>
  <c r="A478" i="7"/>
  <c r="D478" i="7" s="1"/>
  <c r="A479" i="7"/>
  <c r="D479" i="7" s="1"/>
  <c r="A480" i="7"/>
  <c r="D480" i="7" s="1"/>
  <c r="A481" i="7"/>
  <c r="D481" i="7" s="1"/>
  <c r="A482" i="7"/>
  <c r="D482" i="7" s="1"/>
  <c r="A483" i="7"/>
  <c r="D483" i="7" s="1"/>
  <c r="A484" i="7"/>
  <c r="D484" i="7" s="1"/>
  <c r="A485" i="7"/>
  <c r="D485" i="7" s="1"/>
  <c r="A486" i="7"/>
  <c r="D486" i="7" s="1"/>
  <c r="A487" i="7"/>
  <c r="D487" i="7" s="1"/>
  <c r="A488" i="7"/>
  <c r="D488" i="7" s="1"/>
  <c r="A489" i="7"/>
  <c r="D489" i="7" s="1"/>
  <c r="A490" i="7"/>
  <c r="D490" i="7" s="1"/>
  <c r="A491" i="7"/>
  <c r="D491" i="7" s="1"/>
  <c r="A492" i="7"/>
  <c r="D492" i="7" s="1"/>
  <c r="A493" i="7"/>
  <c r="D493" i="7" s="1"/>
  <c r="A494" i="7"/>
  <c r="D494" i="7" s="1"/>
  <c r="A495" i="7"/>
  <c r="D495" i="7" s="1"/>
  <c r="A496" i="7"/>
  <c r="D496" i="7" s="1"/>
  <c r="A497" i="7"/>
  <c r="D497" i="7" s="1"/>
  <c r="A498" i="7"/>
  <c r="D498" i="7" s="1"/>
  <c r="A499" i="7"/>
  <c r="D499" i="7" s="1"/>
  <c r="A500" i="7"/>
  <c r="D500" i="7" s="1"/>
  <c r="A501" i="7"/>
  <c r="D501" i="7" s="1"/>
  <c r="A502" i="7"/>
  <c r="D502" i="7" s="1"/>
  <c r="A503" i="7"/>
  <c r="D503" i="7" s="1"/>
  <c r="A504" i="7"/>
  <c r="D504" i="7" s="1"/>
  <c r="A505" i="7"/>
  <c r="D505" i="7" s="1"/>
  <c r="A506" i="7"/>
  <c r="D506" i="7" s="1"/>
  <c r="A507" i="7"/>
  <c r="D507" i="7" s="1"/>
  <c r="A508" i="7"/>
  <c r="D508" i="7" s="1"/>
  <c r="A509" i="7"/>
  <c r="D509" i="7" s="1"/>
  <c r="A510" i="7"/>
  <c r="D510" i="7" s="1"/>
  <c r="A511" i="7"/>
  <c r="D511" i="7" s="1"/>
  <c r="A512" i="7"/>
  <c r="D512" i="7" s="1"/>
  <c r="A513" i="7"/>
  <c r="D513" i="7" s="1"/>
  <c r="A514" i="7"/>
  <c r="D514" i="7" s="1"/>
  <c r="A515" i="7"/>
  <c r="D515" i="7" s="1"/>
  <c r="A516" i="7"/>
  <c r="D516" i="7" s="1"/>
  <c r="A517" i="7"/>
  <c r="D517" i="7" s="1"/>
  <c r="A518" i="7"/>
  <c r="D518" i="7" s="1"/>
  <c r="A519" i="7"/>
  <c r="D519" i="7" s="1"/>
  <c r="A520" i="7"/>
  <c r="D520" i="7" s="1"/>
  <c r="A521" i="7"/>
  <c r="D521" i="7" s="1"/>
  <c r="A522" i="7"/>
  <c r="D522" i="7" s="1"/>
  <c r="A523" i="7"/>
  <c r="D523" i="7" s="1"/>
  <c r="A524" i="7"/>
  <c r="D524" i="7" s="1"/>
  <c r="A525" i="7"/>
  <c r="D525" i="7" s="1"/>
  <c r="A526" i="7"/>
  <c r="D526" i="7" s="1"/>
  <c r="A527" i="7"/>
  <c r="D527" i="7" s="1"/>
  <c r="A528" i="7"/>
  <c r="D528" i="7" s="1"/>
  <c r="A529" i="7"/>
  <c r="D529" i="7" s="1"/>
  <c r="A530" i="7"/>
  <c r="D530" i="7" s="1"/>
  <c r="A531" i="7"/>
  <c r="D531" i="7" s="1"/>
  <c r="A532" i="7"/>
  <c r="D532" i="7" s="1"/>
  <c r="A533" i="7"/>
  <c r="D533" i="7" s="1"/>
  <c r="A534" i="7"/>
  <c r="D534" i="7" s="1"/>
  <c r="A535" i="7"/>
  <c r="D535" i="7" s="1"/>
  <c r="A536" i="7"/>
  <c r="D536" i="7" s="1"/>
  <c r="A537" i="7"/>
  <c r="D537" i="7" s="1"/>
  <c r="A538" i="7"/>
  <c r="D538" i="7" s="1"/>
  <c r="A539" i="7"/>
  <c r="D539" i="7" s="1"/>
  <c r="A540" i="7"/>
  <c r="D540" i="7" s="1"/>
  <c r="A541" i="7"/>
  <c r="D541" i="7" s="1"/>
  <c r="A542" i="7"/>
  <c r="D542" i="7" s="1"/>
  <c r="A543" i="7"/>
  <c r="D543" i="7" s="1"/>
  <c r="A544" i="7"/>
  <c r="D544" i="7" s="1"/>
  <c r="A545" i="7"/>
  <c r="D545" i="7" s="1"/>
  <c r="A546" i="7"/>
  <c r="D546" i="7" s="1"/>
  <c r="A547" i="7"/>
  <c r="D547" i="7" s="1"/>
  <c r="A548" i="7"/>
  <c r="D548" i="7" s="1"/>
  <c r="A549" i="7"/>
  <c r="D549" i="7" s="1"/>
  <c r="A550" i="7"/>
  <c r="D550" i="7" s="1"/>
  <c r="A551" i="7"/>
  <c r="D551" i="7" s="1"/>
  <c r="A552" i="7"/>
  <c r="D552" i="7" s="1"/>
  <c r="A553" i="7"/>
  <c r="D553" i="7" s="1"/>
  <c r="A554" i="7"/>
  <c r="D554" i="7" s="1"/>
  <c r="A555" i="7"/>
  <c r="D555" i="7" s="1"/>
  <c r="A556" i="7"/>
  <c r="D556" i="7" s="1"/>
  <c r="A557" i="7"/>
  <c r="D557" i="7" s="1"/>
  <c r="A558" i="7"/>
  <c r="D558" i="7" s="1"/>
  <c r="A559" i="7"/>
  <c r="D559" i="7" s="1"/>
  <c r="A560" i="7"/>
  <c r="D560" i="7" s="1"/>
  <c r="A561" i="7"/>
  <c r="D561" i="7" s="1"/>
  <c r="A562" i="7"/>
  <c r="D562" i="7" s="1"/>
  <c r="A563" i="7"/>
  <c r="D563" i="7" s="1"/>
  <c r="A564" i="7"/>
  <c r="D564" i="7" s="1"/>
  <c r="A565" i="7"/>
  <c r="D565" i="7" s="1"/>
  <c r="A566" i="7"/>
  <c r="D566" i="7" s="1"/>
  <c r="A567" i="7"/>
  <c r="D567" i="7" s="1"/>
  <c r="A568" i="7"/>
  <c r="D568" i="7" s="1"/>
  <c r="A569" i="7"/>
  <c r="D569" i="7" s="1"/>
  <c r="A570" i="7"/>
  <c r="D570" i="7" s="1"/>
  <c r="A571" i="7"/>
  <c r="D571" i="7" s="1"/>
  <c r="A572" i="7"/>
  <c r="D572" i="7" s="1"/>
  <c r="A573" i="7"/>
  <c r="D573" i="7" s="1"/>
  <c r="A574" i="7"/>
  <c r="D574" i="7" s="1"/>
  <c r="A575" i="7"/>
  <c r="D575" i="7" s="1"/>
  <c r="A576" i="7"/>
  <c r="D576" i="7" s="1"/>
  <c r="A577" i="7"/>
  <c r="D577" i="7" s="1"/>
  <c r="A578" i="7"/>
  <c r="D578" i="7" s="1"/>
  <c r="A579" i="7"/>
  <c r="D579" i="7" s="1"/>
  <c r="A580" i="7"/>
  <c r="D580" i="7" s="1"/>
  <c r="A581" i="7"/>
  <c r="D581" i="7" s="1"/>
  <c r="A582" i="7"/>
  <c r="D582" i="7" s="1"/>
  <c r="A583" i="7"/>
  <c r="D583" i="7" s="1"/>
  <c r="A584" i="7"/>
  <c r="D584" i="7" s="1"/>
  <c r="A585" i="7"/>
  <c r="D585" i="7" s="1"/>
  <c r="A586" i="7"/>
  <c r="D586" i="7" s="1"/>
  <c r="A587" i="7"/>
  <c r="D587" i="7" s="1"/>
  <c r="A588" i="7"/>
  <c r="D588" i="7" s="1"/>
  <c r="A589" i="7"/>
  <c r="D589" i="7" s="1"/>
  <c r="A590" i="7"/>
  <c r="D590" i="7" s="1"/>
  <c r="A591" i="7"/>
  <c r="D591" i="7" s="1"/>
  <c r="A592" i="7"/>
  <c r="D592" i="7" s="1"/>
  <c r="A593" i="7"/>
  <c r="D593" i="7" s="1"/>
  <c r="A594" i="7"/>
  <c r="D594" i="7" s="1"/>
  <c r="A595" i="7"/>
  <c r="D595" i="7" s="1"/>
  <c r="A596" i="7"/>
  <c r="D596" i="7" s="1"/>
  <c r="A597" i="7"/>
  <c r="D597" i="7" s="1"/>
  <c r="A598" i="7"/>
  <c r="D598" i="7" s="1"/>
  <c r="A599" i="7"/>
  <c r="D599" i="7" s="1"/>
  <c r="A600" i="7"/>
  <c r="D600" i="7" s="1"/>
  <c r="A601" i="7"/>
  <c r="D601" i="7" s="1"/>
  <c r="A602" i="7"/>
  <c r="D602" i="7" s="1"/>
  <c r="A603" i="7"/>
  <c r="D603" i="7" s="1"/>
  <c r="A604" i="7"/>
  <c r="D604" i="7" s="1"/>
  <c r="A605" i="7"/>
  <c r="D605" i="7" s="1"/>
  <c r="A606" i="7"/>
  <c r="D606" i="7" s="1"/>
  <c r="A607" i="7"/>
  <c r="D607" i="7" s="1"/>
  <c r="A608" i="7"/>
  <c r="D608" i="7" s="1"/>
  <c r="A609" i="7"/>
  <c r="D609" i="7" s="1"/>
  <c r="A610" i="7"/>
  <c r="D610" i="7" s="1"/>
  <c r="A611" i="7"/>
  <c r="D611" i="7" s="1"/>
  <c r="A612" i="7"/>
  <c r="D612" i="7" s="1"/>
  <c r="A613" i="7"/>
  <c r="D613" i="7" s="1"/>
  <c r="A614" i="7"/>
  <c r="D614" i="7" s="1"/>
  <c r="A615" i="7"/>
  <c r="D615" i="7" s="1"/>
  <c r="A616" i="7"/>
  <c r="D616" i="7" s="1"/>
  <c r="A617" i="7"/>
  <c r="D617" i="7" s="1"/>
  <c r="A618" i="7"/>
  <c r="D618" i="7" s="1"/>
  <c r="A619" i="7"/>
  <c r="D619" i="7" s="1"/>
  <c r="A620" i="7"/>
  <c r="D620" i="7" s="1"/>
  <c r="A621" i="7"/>
  <c r="D621" i="7" s="1"/>
  <c r="A622" i="7"/>
  <c r="D622" i="7" s="1"/>
  <c r="A623" i="7"/>
  <c r="D623" i="7" s="1"/>
  <c r="A624" i="7"/>
  <c r="D624" i="7" s="1"/>
  <c r="A625" i="7"/>
  <c r="D625" i="7" s="1"/>
  <c r="A626" i="7"/>
  <c r="D626" i="7" s="1"/>
  <c r="A627" i="7"/>
  <c r="D627" i="7" s="1"/>
  <c r="A628" i="7"/>
  <c r="D628" i="7" s="1"/>
  <c r="A629" i="7"/>
  <c r="D629" i="7" s="1"/>
  <c r="A630" i="7"/>
  <c r="D630" i="7" s="1"/>
  <c r="A631" i="7"/>
  <c r="D631" i="7" s="1"/>
  <c r="A632" i="7"/>
  <c r="D632" i="7" s="1"/>
  <c r="A633" i="7"/>
  <c r="D633" i="7" s="1"/>
  <c r="A634" i="7"/>
  <c r="D634" i="7" s="1"/>
  <c r="A635" i="7"/>
  <c r="D635" i="7" s="1"/>
  <c r="A636" i="7"/>
  <c r="D636" i="7" s="1"/>
  <c r="A637" i="7"/>
  <c r="D637" i="7" s="1"/>
  <c r="A638" i="7"/>
  <c r="D638" i="7" s="1"/>
  <c r="A639" i="7"/>
  <c r="D639" i="7" s="1"/>
  <c r="A640" i="7"/>
  <c r="D640" i="7" s="1"/>
  <c r="A641" i="7"/>
  <c r="D641" i="7" s="1"/>
  <c r="A642" i="7"/>
  <c r="D642" i="7" s="1"/>
  <c r="A643" i="7"/>
  <c r="D643" i="7" s="1"/>
  <c r="A644" i="7"/>
  <c r="D644" i="7" s="1"/>
  <c r="A645" i="7"/>
  <c r="D645" i="7" s="1"/>
  <c r="A646" i="7"/>
  <c r="D646" i="7" s="1"/>
  <c r="A647" i="7"/>
  <c r="D647" i="7" s="1"/>
  <c r="A648" i="7"/>
  <c r="D648" i="7" s="1"/>
  <c r="A649" i="7"/>
  <c r="D649" i="7" s="1"/>
  <c r="A650" i="7"/>
  <c r="D650" i="7" s="1"/>
  <c r="A651" i="7"/>
  <c r="D651" i="7" s="1"/>
  <c r="A652" i="7"/>
  <c r="D652" i="7" s="1"/>
  <c r="A653" i="7"/>
  <c r="D653" i="7" s="1"/>
  <c r="A654" i="7"/>
  <c r="D654" i="7" s="1"/>
  <c r="A655" i="7"/>
  <c r="D655" i="7" s="1"/>
  <c r="A656" i="7"/>
  <c r="D656" i="7" s="1"/>
  <c r="A657" i="7"/>
  <c r="D657" i="7" s="1"/>
  <c r="A658" i="7"/>
  <c r="D658" i="7" s="1"/>
  <c r="A659" i="7"/>
  <c r="D659" i="7" s="1"/>
  <c r="A660" i="7"/>
  <c r="D660" i="7" s="1"/>
  <c r="A661" i="7"/>
  <c r="D661" i="7" s="1"/>
  <c r="A662" i="7"/>
  <c r="D662" i="7" s="1"/>
  <c r="A663" i="7"/>
  <c r="D663" i="7" s="1"/>
  <c r="A664" i="7"/>
  <c r="D664" i="7" s="1"/>
  <c r="A665" i="7"/>
  <c r="D665" i="7" s="1"/>
  <c r="A666" i="7"/>
  <c r="D666" i="7" s="1"/>
  <c r="A667" i="7"/>
  <c r="D667" i="7" s="1"/>
  <c r="A668" i="7"/>
  <c r="D668" i="7" s="1"/>
  <c r="A669" i="7"/>
  <c r="D669" i="7" s="1"/>
  <c r="A670" i="7"/>
  <c r="D670" i="7" s="1"/>
  <c r="A671" i="7"/>
  <c r="D671" i="7" s="1"/>
  <c r="A672" i="7"/>
  <c r="D672" i="7" s="1"/>
  <c r="A673" i="7"/>
  <c r="D673" i="7" s="1"/>
  <c r="A674" i="7"/>
  <c r="D674" i="7" s="1"/>
  <c r="A675" i="7"/>
  <c r="D675" i="7" s="1"/>
  <c r="A676" i="7"/>
  <c r="D676" i="7" s="1"/>
  <c r="A677" i="7"/>
  <c r="D677" i="7" s="1"/>
  <c r="A678" i="7"/>
  <c r="D678" i="7" s="1"/>
  <c r="A679" i="7"/>
  <c r="D679" i="7" s="1"/>
  <c r="A680" i="7"/>
  <c r="D680" i="7" s="1"/>
  <c r="A681" i="7"/>
  <c r="D681" i="7" s="1"/>
  <c r="A682" i="7"/>
  <c r="D682" i="7" s="1"/>
  <c r="A683" i="7"/>
  <c r="D683" i="7" s="1"/>
  <c r="A684" i="7"/>
  <c r="D684" i="7" s="1"/>
  <c r="A685" i="7"/>
  <c r="D685" i="7" s="1"/>
  <c r="A686" i="7"/>
  <c r="D686" i="7" s="1"/>
  <c r="A687" i="7"/>
  <c r="D687" i="7" s="1"/>
  <c r="A688" i="7"/>
  <c r="D688" i="7" s="1"/>
  <c r="A689" i="7"/>
  <c r="D689" i="7" s="1"/>
  <c r="A690" i="7"/>
  <c r="D690" i="7" s="1"/>
  <c r="A691" i="7"/>
  <c r="D691" i="7" s="1"/>
  <c r="A692" i="7"/>
  <c r="D692" i="7" s="1"/>
  <c r="A693" i="7"/>
  <c r="D693" i="7" s="1"/>
  <c r="A694" i="7"/>
  <c r="D694" i="7" s="1"/>
  <c r="A695" i="7"/>
  <c r="D695" i="7" s="1"/>
  <c r="A696" i="7"/>
  <c r="D696" i="7" s="1"/>
  <c r="A697" i="7"/>
  <c r="D697" i="7" s="1"/>
  <c r="A698" i="7"/>
  <c r="D698" i="7" s="1"/>
  <c r="A699" i="7"/>
  <c r="D699" i="7" s="1"/>
  <c r="A700" i="7"/>
  <c r="D700" i="7" s="1"/>
  <c r="A701" i="7"/>
  <c r="D701" i="7" s="1"/>
  <c r="A702" i="7"/>
  <c r="D702" i="7" s="1"/>
  <c r="A703" i="7"/>
  <c r="D703" i="7" s="1"/>
  <c r="A704" i="7"/>
  <c r="D704" i="7" s="1"/>
  <c r="A705" i="7"/>
  <c r="D705" i="7" s="1"/>
  <c r="A706" i="7"/>
  <c r="D706" i="7" s="1"/>
  <c r="A707" i="7"/>
  <c r="D707" i="7" s="1"/>
  <c r="A708" i="7"/>
  <c r="D708" i="7" s="1"/>
  <c r="A709" i="7"/>
  <c r="D709" i="7" s="1"/>
  <c r="A710" i="7"/>
  <c r="D710" i="7" s="1"/>
  <c r="A711" i="7"/>
  <c r="D711" i="7" s="1"/>
  <c r="A712" i="7"/>
  <c r="D712" i="7" s="1"/>
  <c r="A713" i="7"/>
  <c r="D713" i="7" s="1"/>
  <c r="A714" i="7"/>
  <c r="D714" i="7" s="1"/>
  <c r="A715" i="7"/>
  <c r="D715" i="7" s="1"/>
  <c r="A716" i="7"/>
  <c r="D716" i="7" s="1"/>
  <c r="A717" i="7"/>
  <c r="D717" i="7" s="1"/>
  <c r="A718" i="7"/>
  <c r="D718" i="7" s="1"/>
  <c r="A719" i="7"/>
  <c r="D719" i="7" s="1"/>
  <c r="A720" i="7"/>
  <c r="D720" i="7" s="1"/>
  <c r="A721" i="7"/>
  <c r="D721" i="7" s="1"/>
  <c r="A722" i="7"/>
  <c r="D722" i="7" s="1"/>
  <c r="A723" i="7"/>
  <c r="D723" i="7" s="1"/>
  <c r="A724" i="7"/>
  <c r="D724" i="7" s="1"/>
  <c r="A725" i="7"/>
  <c r="D725" i="7" s="1"/>
  <c r="A726" i="7"/>
  <c r="D726" i="7" s="1"/>
  <c r="A727" i="7"/>
  <c r="D727" i="7" s="1"/>
  <c r="A728" i="7"/>
  <c r="D728" i="7" s="1"/>
  <c r="A729" i="7"/>
  <c r="D729" i="7" s="1"/>
  <c r="A730" i="7"/>
  <c r="D730" i="7" s="1"/>
  <c r="A731" i="7"/>
  <c r="D731" i="7" s="1"/>
  <c r="A732" i="7"/>
  <c r="D732" i="7" s="1"/>
  <c r="A733" i="7"/>
  <c r="D733" i="7" s="1"/>
  <c r="A734" i="7"/>
  <c r="D734" i="7" s="1"/>
  <c r="A735" i="7"/>
  <c r="D735" i="7" s="1"/>
  <c r="A736" i="7"/>
  <c r="D736" i="7" s="1"/>
  <c r="A737" i="7"/>
  <c r="D737" i="7" s="1"/>
  <c r="A738" i="7"/>
  <c r="D738" i="7" s="1"/>
  <c r="A739" i="7"/>
  <c r="D739" i="7" s="1"/>
  <c r="A740" i="7"/>
  <c r="D740" i="7" s="1"/>
  <c r="A741" i="7"/>
  <c r="D741" i="7" s="1"/>
  <c r="A742" i="7"/>
  <c r="D742" i="7" s="1"/>
  <c r="A743" i="7"/>
  <c r="D743" i="7" s="1"/>
  <c r="A744" i="7"/>
  <c r="D744" i="7" s="1"/>
  <c r="A745" i="7"/>
  <c r="D745" i="7" s="1"/>
  <c r="A746" i="7"/>
  <c r="D746" i="7" s="1"/>
  <c r="A747" i="7"/>
  <c r="D747" i="7" s="1"/>
  <c r="A748" i="7"/>
  <c r="D748" i="7" s="1"/>
  <c r="A749" i="7"/>
  <c r="D749" i="7" s="1"/>
  <c r="A750" i="7"/>
  <c r="D750" i="7" s="1"/>
  <c r="A751" i="7"/>
  <c r="D751" i="7" s="1"/>
  <c r="A752" i="7"/>
  <c r="D752" i="7" s="1"/>
  <c r="A753" i="7"/>
  <c r="D753" i="7" s="1"/>
  <c r="A754" i="7"/>
  <c r="D754" i="7" s="1"/>
  <c r="A755" i="7"/>
  <c r="D755" i="7" s="1"/>
  <c r="A756" i="7"/>
  <c r="D756" i="7" s="1"/>
  <c r="A757" i="7"/>
  <c r="D757" i="7" s="1"/>
  <c r="A758" i="7"/>
  <c r="D758" i="7" s="1"/>
  <c r="A759" i="7"/>
  <c r="D759" i="7" s="1"/>
  <c r="A760" i="7"/>
  <c r="D760" i="7" s="1"/>
  <c r="A761" i="7"/>
  <c r="D761" i="7" s="1"/>
  <c r="A762" i="7"/>
  <c r="D762" i="7" s="1"/>
  <c r="A763" i="7"/>
  <c r="D763" i="7" s="1"/>
  <c r="A764" i="7"/>
  <c r="D764" i="7" s="1"/>
  <c r="A765" i="7"/>
  <c r="D765" i="7" s="1"/>
  <c r="A766" i="7"/>
  <c r="D766" i="7" s="1"/>
  <c r="A767" i="7"/>
  <c r="D767" i="7" s="1"/>
  <c r="A768" i="7"/>
  <c r="D768" i="7" s="1"/>
  <c r="A769" i="7"/>
  <c r="D769" i="7" s="1"/>
  <c r="A770" i="7"/>
  <c r="D770" i="7" s="1"/>
  <c r="A771" i="7"/>
  <c r="D771" i="7" s="1"/>
  <c r="A772" i="7"/>
  <c r="D772" i="7" s="1"/>
  <c r="A773" i="7"/>
  <c r="D773" i="7" s="1"/>
  <c r="A774" i="7"/>
  <c r="D774" i="7" s="1"/>
  <c r="A775" i="7"/>
  <c r="D775" i="7" s="1"/>
  <c r="A776" i="7"/>
  <c r="D776" i="7" s="1"/>
  <c r="A777" i="7"/>
  <c r="D777" i="7" s="1"/>
  <c r="A778" i="7"/>
  <c r="D778" i="7" s="1"/>
  <c r="A779" i="7"/>
  <c r="D779" i="7" s="1"/>
  <c r="A780" i="7"/>
  <c r="D780" i="7" s="1"/>
  <c r="A781" i="7"/>
  <c r="D781" i="7" s="1"/>
  <c r="A782" i="7"/>
  <c r="D782" i="7" s="1"/>
  <c r="A783" i="7"/>
  <c r="D783" i="7" s="1"/>
  <c r="A784" i="7"/>
  <c r="D784" i="7" s="1"/>
  <c r="A785" i="7"/>
  <c r="D785" i="7" s="1"/>
  <c r="A786" i="7"/>
  <c r="D786" i="7" s="1"/>
  <c r="A787" i="7"/>
  <c r="D787" i="7" s="1"/>
  <c r="A788" i="7"/>
  <c r="D788" i="7" s="1"/>
  <c r="A789" i="7"/>
  <c r="D789" i="7" s="1"/>
  <c r="A790" i="7"/>
  <c r="D790" i="7" s="1"/>
  <c r="A791" i="7"/>
  <c r="D791" i="7" s="1"/>
  <c r="A792" i="7"/>
  <c r="D792" i="7" s="1"/>
  <c r="A793" i="7"/>
  <c r="D793" i="7" s="1"/>
  <c r="A794" i="7"/>
  <c r="D794" i="7" s="1"/>
  <c r="A795" i="7"/>
  <c r="D795" i="7" s="1"/>
  <c r="A796" i="7"/>
  <c r="D796" i="7" s="1"/>
  <c r="A797" i="7"/>
  <c r="D797" i="7" s="1"/>
  <c r="A798" i="7"/>
  <c r="D798" i="7" s="1"/>
  <c r="A799" i="7"/>
  <c r="D799" i="7" s="1"/>
  <c r="A800" i="7"/>
  <c r="D800" i="7" s="1"/>
  <c r="A801" i="7"/>
  <c r="D801" i="7" s="1"/>
  <c r="A802" i="7"/>
  <c r="D802" i="7" s="1"/>
  <c r="A803" i="7"/>
  <c r="D803" i="7" s="1"/>
  <c r="A804" i="7"/>
  <c r="D804" i="7" s="1"/>
  <c r="A805" i="7"/>
  <c r="D805" i="7" s="1"/>
  <c r="A806" i="7"/>
  <c r="D806" i="7" s="1"/>
  <c r="A807" i="7"/>
  <c r="D807" i="7" s="1"/>
  <c r="A808" i="7"/>
  <c r="D808" i="7" s="1"/>
  <c r="A809" i="7"/>
  <c r="D809" i="7" s="1"/>
  <c r="A810" i="7"/>
  <c r="D810" i="7" s="1"/>
  <c r="A811" i="7"/>
  <c r="D811" i="7" s="1"/>
  <c r="A812" i="7"/>
  <c r="D812" i="7" s="1"/>
  <c r="A813" i="7"/>
  <c r="D813" i="7" s="1"/>
  <c r="A814" i="7"/>
  <c r="D814" i="7" s="1"/>
  <c r="A815" i="7"/>
  <c r="D815" i="7" s="1"/>
  <c r="A816" i="7"/>
  <c r="D816" i="7" s="1"/>
  <c r="A817" i="7"/>
  <c r="D817" i="7" s="1"/>
  <c r="A818" i="7"/>
  <c r="D818" i="7" s="1"/>
  <c r="A819" i="7"/>
  <c r="D819" i="7" s="1"/>
  <c r="A820" i="7"/>
  <c r="D820" i="7" s="1"/>
  <c r="A821" i="7"/>
  <c r="D821" i="7" s="1"/>
  <c r="A822" i="7"/>
  <c r="D822" i="7" s="1"/>
  <c r="A823" i="7"/>
  <c r="D823" i="7" s="1"/>
  <c r="A824" i="7"/>
  <c r="D824" i="7" s="1"/>
  <c r="A825" i="7"/>
  <c r="D825" i="7" s="1"/>
  <c r="A826" i="7"/>
  <c r="D826" i="7" s="1"/>
  <c r="A827" i="7"/>
  <c r="D827" i="7" s="1"/>
  <c r="A828" i="7"/>
  <c r="D828" i="7" s="1"/>
  <c r="A829" i="7"/>
  <c r="D829" i="7" s="1"/>
  <c r="A830" i="7"/>
  <c r="D830" i="7" s="1"/>
  <c r="A831" i="7"/>
  <c r="D831" i="7" s="1"/>
  <c r="A832" i="7"/>
  <c r="D832" i="7" s="1"/>
  <c r="A833" i="7"/>
  <c r="D833" i="7" s="1"/>
  <c r="A834" i="7"/>
  <c r="D834" i="7" s="1"/>
  <c r="A835" i="7"/>
  <c r="D835" i="7" s="1"/>
  <c r="A836" i="7"/>
  <c r="D836" i="7" s="1"/>
  <c r="A837" i="7"/>
  <c r="D837" i="7" s="1"/>
  <c r="A838" i="7"/>
  <c r="D838" i="7" s="1"/>
  <c r="A839" i="7"/>
  <c r="D839" i="7" s="1"/>
  <c r="A840" i="7"/>
  <c r="D840" i="7" s="1"/>
  <c r="A841" i="7"/>
  <c r="D841" i="7" s="1"/>
  <c r="A842" i="7"/>
  <c r="D842" i="7" s="1"/>
  <c r="A843" i="7"/>
  <c r="D843" i="7" s="1"/>
  <c r="A844" i="7"/>
  <c r="D844" i="7" s="1"/>
  <c r="A845" i="7"/>
  <c r="D845" i="7" s="1"/>
  <c r="A846" i="7"/>
  <c r="D846" i="7" s="1"/>
  <c r="A847" i="7"/>
  <c r="D847" i="7" s="1"/>
  <c r="A848" i="7"/>
  <c r="D848" i="7" s="1"/>
  <c r="A849" i="7"/>
  <c r="D849" i="7" s="1"/>
  <c r="A850" i="7"/>
  <c r="D850" i="7" s="1"/>
  <c r="A851" i="7"/>
  <c r="D851" i="7" s="1"/>
  <c r="A852" i="7"/>
  <c r="D852" i="7" s="1"/>
  <c r="A853" i="7"/>
  <c r="D853" i="7" s="1"/>
  <c r="A854" i="7"/>
  <c r="D854" i="7" s="1"/>
  <c r="A855" i="7"/>
  <c r="D855" i="7" s="1"/>
  <c r="A856" i="7"/>
  <c r="D856" i="7" s="1"/>
  <c r="A857" i="7"/>
  <c r="D857" i="7" s="1"/>
  <c r="A858" i="7"/>
  <c r="D858" i="7" s="1"/>
  <c r="A859" i="7"/>
  <c r="D859" i="7" s="1"/>
  <c r="A860" i="7"/>
  <c r="D860" i="7" s="1"/>
  <c r="A861" i="7"/>
  <c r="D861" i="7" s="1"/>
  <c r="A862" i="7"/>
  <c r="D862" i="7" s="1"/>
  <c r="A863" i="7"/>
  <c r="D863" i="7" s="1"/>
  <c r="A864" i="7"/>
  <c r="D864" i="7" s="1"/>
  <c r="A865" i="7"/>
  <c r="D865" i="7" s="1"/>
  <c r="A866" i="7"/>
  <c r="D866" i="7" s="1"/>
  <c r="A867" i="7"/>
  <c r="D867" i="7" s="1"/>
  <c r="A868" i="7"/>
  <c r="D868" i="7" s="1"/>
  <c r="A869" i="7"/>
  <c r="D869" i="7" s="1"/>
  <c r="A870" i="7"/>
  <c r="D870" i="7" s="1"/>
  <c r="A871" i="7"/>
  <c r="D871" i="7" s="1"/>
  <c r="A872" i="7"/>
  <c r="D872" i="7" s="1"/>
  <c r="A873" i="7"/>
  <c r="D873" i="7" s="1"/>
  <c r="A874" i="7"/>
  <c r="D874" i="7" s="1"/>
  <c r="A875" i="7"/>
  <c r="D875" i="7" s="1"/>
  <c r="A876" i="7"/>
  <c r="D876" i="7" s="1"/>
  <c r="A877" i="7"/>
  <c r="D877" i="7" s="1"/>
  <c r="A878" i="7"/>
  <c r="D878" i="7" s="1"/>
  <c r="A879" i="7"/>
  <c r="D879" i="7" s="1"/>
  <c r="A880" i="7"/>
  <c r="D880" i="7" s="1"/>
  <c r="A881" i="7"/>
  <c r="D881" i="7" s="1"/>
  <c r="A882" i="7"/>
  <c r="D882" i="7" s="1"/>
  <c r="A883" i="7"/>
  <c r="D883" i="7" s="1"/>
  <c r="A884" i="7"/>
  <c r="D884" i="7" s="1"/>
  <c r="A885" i="7"/>
  <c r="D885" i="7" s="1"/>
  <c r="A886" i="7"/>
  <c r="D886" i="7" s="1"/>
  <c r="A887" i="7"/>
  <c r="D887" i="7" s="1"/>
  <c r="A888" i="7"/>
  <c r="D888" i="7" s="1"/>
  <c r="A889" i="7"/>
  <c r="D889" i="7" s="1"/>
  <c r="A890" i="7"/>
  <c r="D890" i="7" s="1"/>
  <c r="A891" i="7"/>
  <c r="D891" i="7" s="1"/>
  <c r="A892" i="7"/>
  <c r="D892" i="7" s="1"/>
  <c r="A893" i="7"/>
  <c r="D893" i="7" s="1"/>
  <c r="A894" i="7"/>
  <c r="D894" i="7" s="1"/>
  <c r="A895" i="7"/>
  <c r="D895" i="7" s="1"/>
  <c r="A896" i="7"/>
  <c r="D896" i="7" s="1"/>
  <c r="A897" i="7"/>
  <c r="D897" i="7" s="1"/>
  <c r="A898" i="7"/>
  <c r="D898" i="7" s="1"/>
  <c r="A899" i="7"/>
  <c r="D899" i="7" s="1"/>
  <c r="A900" i="7"/>
  <c r="D900" i="7" s="1"/>
  <c r="A901" i="7"/>
  <c r="D901" i="7" s="1"/>
  <c r="A902" i="7"/>
  <c r="D902" i="7" s="1"/>
  <c r="A903" i="7"/>
  <c r="D903" i="7" s="1"/>
  <c r="A904" i="7"/>
  <c r="D904" i="7" s="1"/>
  <c r="A905" i="7"/>
  <c r="D905" i="7" s="1"/>
  <c r="A906" i="7"/>
  <c r="D906" i="7" s="1"/>
  <c r="A907" i="7"/>
  <c r="D907" i="7" s="1"/>
  <c r="A908" i="7"/>
  <c r="D908" i="7" s="1"/>
  <c r="A909" i="7"/>
  <c r="D909" i="7" s="1"/>
  <c r="A910" i="7"/>
  <c r="D910" i="7" s="1"/>
  <c r="A911" i="7"/>
  <c r="D911" i="7" s="1"/>
  <c r="A912" i="7"/>
  <c r="D912" i="7" s="1"/>
  <c r="A913" i="7"/>
  <c r="D913" i="7" s="1"/>
  <c r="A914" i="7"/>
  <c r="D914" i="7" s="1"/>
  <c r="A915" i="7"/>
  <c r="D915" i="7" s="1"/>
  <c r="A916" i="7"/>
  <c r="D916" i="7" s="1"/>
  <c r="A917" i="7"/>
  <c r="D917" i="7" s="1"/>
  <c r="A918" i="7"/>
  <c r="D918" i="7" s="1"/>
  <c r="A919" i="7"/>
  <c r="D919" i="7" s="1"/>
  <c r="A920" i="7"/>
  <c r="D920" i="7" s="1"/>
  <c r="A921" i="7"/>
  <c r="D921" i="7" s="1"/>
  <c r="A922" i="7"/>
  <c r="D922" i="7" s="1"/>
  <c r="A923" i="7"/>
  <c r="D923" i="7" s="1"/>
  <c r="A924" i="7"/>
  <c r="D924" i="7" s="1"/>
  <c r="A925" i="7"/>
  <c r="D925" i="7" s="1"/>
  <c r="A926" i="7"/>
  <c r="D926" i="7" s="1"/>
  <c r="A927" i="7"/>
  <c r="D927" i="7" s="1"/>
  <c r="A928" i="7"/>
  <c r="D928" i="7" s="1"/>
  <c r="A929" i="7"/>
  <c r="D929" i="7" s="1"/>
  <c r="A930" i="7"/>
  <c r="D930" i="7" s="1"/>
  <c r="A931" i="7"/>
  <c r="D931" i="7" s="1"/>
  <c r="A932" i="7"/>
  <c r="D932" i="7" s="1"/>
  <c r="A933" i="7"/>
  <c r="D933" i="7" s="1"/>
  <c r="A934" i="7"/>
  <c r="D934" i="7" s="1"/>
  <c r="A935" i="7"/>
  <c r="D935" i="7" s="1"/>
  <c r="A936" i="7"/>
  <c r="D936" i="7" s="1"/>
  <c r="A937" i="7"/>
  <c r="D937" i="7" s="1"/>
  <c r="A938" i="7"/>
  <c r="D938" i="7" s="1"/>
  <c r="A939" i="7"/>
  <c r="D939" i="7" s="1"/>
  <c r="A940" i="7"/>
  <c r="D940" i="7" s="1"/>
  <c r="A941" i="7"/>
  <c r="D941" i="7" s="1"/>
  <c r="A942" i="7"/>
  <c r="D942" i="7" s="1"/>
  <c r="A943" i="7"/>
  <c r="D943" i="7" s="1"/>
  <c r="A944" i="7"/>
  <c r="D944" i="7" s="1"/>
  <c r="A945" i="7"/>
  <c r="D945" i="7" s="1"/>
  <c r="A946" i="7"/>
  <c r="D946" i="7" s="1"/>
  <c r="A947" i="7"/>
  <c r="D947" i="7" s="1"/>
  <c r="A948" i="7"/>
  <c r="D948" i="7" s="1"/>
  <c r="A949" i="7"/>
  <c r="D949" i="7" s="1"/>
  <c r="A950" i="7"/>
  <c r="D950" i="7" s="1"/>
  <c r="A951" i="7"/>
  <c r="D951" i="7" s="1"/>
  <c r="A952" i="7"/>
  <c r="D952" i="7" s="1"/>
  <c r="A953" i="7"/>
  <c r="D953" i="7" s="1"/>
  <c r="A954" i="7"/>
  <c r="D954" i="7" s="1"/>
  <c r="A955" i="7"/>
  <c r="D955" i="7" s="1"/>
  <c r="A956" i="7"/>
  <c r="D956" i="7" s="1"/>
  <c r="A957" i="7"/>
  <c r="D957" i="7" s="1"/>
  <c r="A958" i="7"/>
  <c r="D958" i="7" s="1"/>
  <c r="A959" i="7"/>
  <c r="D959" i="7" s="1"/>
  <c r="A960" i="7"/>
  <c r="D960" i="7" s="1"/>
  <c r="A961" i="7"/>
  <c r="D961" i="7" s="1"/>
  <c r="A962" i="7"/>
  <c r="D962" i="7" s="1"/>
  <c r="A963" i="7"/>
  <c r="D963" i="7" s="1"/>
  <c r="A964" i="7"/>
  <c r="D964" i="7" s="1"/>
  <c r="A965" i="7"/>
  <c r="D965" i="7" s="1"/>
  <c r="A966" i="7"/>
  <c r="D966" i="7" s="1"/>
  <c r="A967" i="7"/>
  <c r="D967" i="7" s="1"/>
  <c r="A968" i="7"/>
  <c r="D968" i="7" s="1"/>
  <c r="A969" i="7"/>
  <c r="D969" i="7" s="1"/>
  <c r="A970" i="7"/>
  <c r="D970" i="7" s="1"/>
  <c r="A971" i="7"/>
  <c r="D971" i="7" s="1"/>
  <c r="A972" i="7"/>
  <c r="D972" i="7" s="1"/>
  <c r="A973" i="7"/>
  <c r="D973" i="7" s="1"/>
  <c r="A974" i="7"/>
  <c r="D974" i="7" s="1"/>
  <c r="A975" i="7"/>
  <c r="D975" i="7" s="1"/>
  <c r="A976" i="7"/>
  <c r="D976" i="7" s="1"/>
  <c r="A977" i="7"/>
  <c r="D977" i="7" s="1"/>
  <c r="A978" i="7"/>
  <c r="D978" i="7" s="1"/>
  <c r="A979" i="7"/>
  <c r="D979" i="7" s="1"/>
  <c r="A980" i="7"/>
  <c r="D980" i="7" s="1"/>
  <c r="A981" i="7"/>
  <c r="D981" i="7" s="1"/>
  <c r="A982" i="7"/>
  <c r="D982" i="7" s="1"/>
  <c r="A983" i="7"/>
  <c r="D983" i="7" s="1"/>
  <c r="A984" i="7"/>
  <c r="D984" i="7" s="1"/>
  <c r="A985" i="7"/>
  <c r="D985" i="7" s="1"/>
  <c r="A986" i="7"/>
  <c r="D986" i="7" s="1"/>
  <c r="A987" i="7"/>
  <c r="D987" i="7" s="1"/>
  <c r="A988" i="7"/>
  <c r="D988" i="7" s="1"/>
  <c r="A989" i="7"/>
  <c r="D989" i="7" s="1"/>
  <c r="A990" i="7"/>
  <c r="D990" i="7" s="1"/>
  <c r="A991" i="7"/>
  <c r="D991" i="7" s="1"/>
  <c r="A992" i="7"/>
  <c r="D992" i="7" s="1"/>
  <c r="A993" i="7"/>
  <c r="D993" i="7" s="1"/>
  <c r="A994" i="7"/>
  <c r="D994" i="7" s="1"/>
  <c r="A995" i="7"/>
  <c r="D995" i="7" s="1"/>
  <c r="A996" i="7"/>
  <c r="D996" i="7" s="1"/>
  <c r="A997" i="7"/>
  <c r="D997" i="7" s="1"/>
  <c r="A998" i="7"/>
  <c r="D998" i="7" s="1"/>
  <c r="A999" i="7"/>
  <c r="D999" i="7" s="1"/>
  <c r="A1000" i="7"/>
  <c r="D1000" i="7" s="1"/>
  <c r="A1001" i="7"/>
  <c r="D1001" i="7" s="1"/>
  <c r="A1002" i="7"/>
  <c r="D1002" i="7" s="1"/>
  <c r="A1003" i="7"/>
  <c r="D1003" i="7" s="1"/>
  <c r="A1004" i="7"/>
  <c r="D1004" i="7" s="1"/>
  <c r="A1005" i="7"/>
  <c r="D1005" i="7" s="1"/>
  <c r="A1006" i="7"/>
  <c r="D1006" i="7" s="1"/>
  <c r="A1007" i="7"/>
  <c r="D1007" i="7" s="1"/>
  <c r="A1008" i="7"/>
  <c r="D1008" i="7" s="1"/>
  <c r="A1009" i="7"/>
  <c r="D1009" i="7" s="1"/>
  <c r="A1010" i="7"/>
  <c r="D1010" i="7" s="1"/>
  <c r="A1011" i="7"/>
  <c r="D1011" i="7" s="1"/>
  <c r="A1012" i="7"/>
  <c r="D1012" i="7" s="1"/>
  <c r="A1013" i="7"/>
  <c r="D1013" i="7" s="1"/>
  <c r="A1014" i="7"/>
  <c r="D1014" i="7" s="1"/>
  <c r="A1015" i="7"/>
  <c r="D1015" i="7" s="1"/>
  <c r="A1016" i="7"/>
  <c r="D1016" i="7" s="1"/>
  <c r="A1017" i="7"/>
  <c r="D1017" i="7" s="1"/>
  <c r="A1018" i="7"/>
  <c r="D1018" i="7" s="1"/>
  <c r="A1019" i="7"/>
  <c r="D1019" i="7" s="1"/>
  <c r="A1020" i="7"/>
  <c r="D1020" i="7" s="1"/>
  <c r="A1021" i="7"/>
  <c r="D1021" i="7" s="1"/>
  <c r="A1022" i="7"/>
  <c r="D1022" i="7" s="1"/>
  <c r="A1023" i="7"/>
  <c r="D1023" i="7" s="1"/>
  <c r="A1024" i="7"/>
  <c r="D1024" i="7" s="1"/>
  <c r="A1025" i="7"/>
  <c r="D1025" i="7" s="1"/>
  <c r="A1026" i="7"/>
  <c r="D1026" i="7" s="1"/>
  <c r="A1027" i="7"/>
  <c r="D1027" i="7" s="1"/>
  <c r="A1028" i="7"/>
  <c r="D1028" i="7" s="1"/>
  <c r="A1029" i="7"/>
  <c r="D1029" i="7" s="1"/>
  <c r="A1030" i="7"/>
  <c r="D1030" i="7" s="1"/>
  <c r="A1031" i="7"/>
  <c r="D1031" i="7" s="1"/>
  <c r="A1032" i="7"/>
  <c r="D1032" i="7" s="1"/>
  <c r="A1033" i="7"/>
  <c r="D1033" i="7" s="1"/>
  <c r="A1034" i="7"/>
  <c r="D1034" i="7" s="1"/>
  <c r="A1035" i="7"/>
  <c r="D1035" i="7" s="1"/>
  <c r="A1036" i="7"/>
  <c r="D1036" i="7" s="1"/>
  <c r="A1037" i="7"/>
  <c r="D1037" i="7" s="1"/>
  <c r="A1038" i="7"/>
  <c r="D1038" i="7" s="1"/>
  <c r="A1039" i="7"/>
  <c r="D1039" i="7" s="1"/>
  <c r="A1040" i="7"/>
  <c r="D1040" i="7" s="1"/>
  <c r="A1041" i="7"/>
  <c r="D1041" i="7" s="1"/>
  <c r="A1042" i="7"/>
  <c r="D1042" i="7" s="1"/>
  <c r="A1043" i="7"/>
  <c r="D1043" i="7" s="1"/>
  <c r="A1044" i="7"/>
  <c r="D1044" i="7" s="1"/>
  <c r="A1045" i="7"/>
  <c r="D1045" i="7" s="1"/>
  <c r="A1046" i="7"/>
  <c r="D1046" i="7" s="1"/>
  <c r="A1047" i="7"/>
  <c r="D1047" i="7" s="1"/>
  <c r="A1048" i="7"/>
  <c r="D1048" i="7" s="1"/>
  <c r="A1049" i="7"/>
  <c r="D1049" i="7" s="1"/>
  <c r="A1050" i="7"/>
  <c r="D1050" i="7" s="1"/>
  <c r="A1051" i="7"/>
  <c r="D1051" i="7" s="1"/>
  <c r="A1052" i="7"/>
  <c r="D1052" i="7" s="1"/>
  <c r="A1053" i="7"/>
  <c r="D1053" i="7" s="1"/>
  <c r="A1054" i="7"/>
  <c r="D1054" i="7" s="1"/>
  <c r="A1055" i="7"/>
  <c r="D1055" i="7" s="1"/>
  <c r="A1056" i="7"/>
  <c r="D1056" i="7" s="1"/>
  <c r="A1057" i="7"/>
  <c r="D1057" i="7" s="1"/>
  <c r="A1058" i="7"/>
  <c r="D1058" i="7" s="1"/>
  <c r="A1059" i="7"/>
  <c r="D1059" i="7" s="1"/>
  <c r="A1060" i="7"/>
  <c r="D1060" i="7" s="1"/>
  <c r="A1061" i="7"/>
  <c r="D1061" i="7" s="1"/>
  <c r="A1062" i="7"/>
  <c r="D1062" i="7" s="1"/>
  <c r="A1063" i="7"/>
  <c r="D1063" i="7" s="1"/>
  <c r="A1064" i="7"/>
  <c r="D1064" i="7" s="1"/>
  <c r="A1065" i="7"/>
  <c r="D1065" i="7" s="1"/>
  <c r="A1066" i="7"/>
  <c r="D1066" i="7" s="1"/>
  <c r="A1067" i="7"/>
  <c r="D1067" i="7" s="1"/>
  <c r="A1068" i="7"/>
  <c r="D1068" i="7" s="1"/>
  <c r="A1069" i="7"/>
  <c r="D1069" i="7" s="1"/>
  <c r="A1070" i="7"/>
  <c r="D1070" i="7" s="1"/>
  <c r="A1071" i="7"/>
  <c r="D1071" i="7" s="1"/>
  <c r="A1072" i="7"/>
  <c r="D1072" i="7" s="1"/>
  <c r="A1073" i="7"/>
  <c r="D1073" i="7" s="1"/>
  <c r="B2" i="7"/>
  <c r="C2" i="7" s="1"/>
  <c r="B52" i="7"/>
  <c r="C52" i="7"/>
  <c r="F52" i="7"/>
  <c r="G52" i="7"/>
  <c r="B53" i="7"/>
  <c r="C53" i="7"/>
  <c r="F53" i="7"/>
  <c r="G53" i="7"/>
  <c r="B54" i="7"/>
  <c r="C54" i="7"/>
  <c r="F54" i="7"/>
  <c r="G54" i="7"/>
  <c r="B55" i="7"/>
  <c r="C55" i="7"/>
  <c r="F55" i="7"/>
  <c r="G55" i="7"/>
  <c r="B56" i="7"/>
  <c r="C56" i="7"/>
  <c r="F56" i="7"/>
  <c r="G56" i="7"/>
  <c r="B57" i="7"/>
  <c r="C57" i="7"/>
  <c r="F57" i="7"/>
  <c r="G57" i="7"/>
  <c r="B58" i="7"/>
  <c r="C58" i="7"/>
  <c r="F58" i="7"/>
  <c r="G58" i="7"/>
  <c r="B59" i="7"/>
  <c r="C59" i="7"/>
  <c r="F59" i="7"/>
  <c r="G59" i="7"/>
  <c r="B60" i="7"/>
  <c r="C60" i="7"/>
  <c r="F60" i="7"/>
  <c r="G60" i="7"/>
  <c r="B61" i="7"/>
  <c r="C61" i="7"/>
  <c r="F61" i="7"/>
  <c r="G61" i="7"/>
  <c r="B62" i="7"/>
  <c r="C62" i="7"/>
  <c r="F62" i="7"/>
  <c r="G62" i="7"/>
  <c r="B63" i="7"/>
  <c r="C63" i="7"/>
  <c r="F63" i="7"/>
  <c r="G63" i="7"/>
  <c r="B64" i="7"/>
  <c r="C64" i="7"/>
  <c r="F64" i="7"/>
  <c r="G64" i="7"/>
  <c r="B65" i="7"/>
  <c r="C65" i="7"/>
  <c r="F65" i="7"/>
  <c r="G65" i="7"/>
  <c r="B66" i="7"/>
  <c r="C66" i="7"/>
  <c r="F66" i="7"/>
  <c r="G66" i="7"/>
  <c r="B67" i="7"/>
  <c r="C67" i="7"/>
  <c r="F67" i="7"/>
  <c r="G67" i="7"/>
  <c r="B68" i="7"/>
  <c r="C68" i="7"/>
  <c r="F68" i="7"/>
  <c r="G68" i="7"/>
  <c r="B69" i="7"/>
  <c r="C69" i="7"/>
  <c r="F69" i="7"/>
  <c r="G69" i="7"/>
  <c r="B70" i="7"/>
  <c r="C70" i="7"/>
  <c r="F70" i="7"/>
  <c r="G70" i="7"/>
  <c r="B71" i="7"/>
  <c r="C71" i="7"/>
  <c r="F71" i="7"/>
  <c r="G71" i="7"/>
  <c r="B72" i="7"/>
  <c r="C72" i="7"/>
  <c r="F72" i="7"/>
  <c r="G72" i="7"/>
  <c r="B73" i="7"/>
  <c r="C73" i="7"/>
  <c r="F73" i="7"/>
  <c r="G73" i="7"/>
  <c r="B74" i="7"/>
  <c r="C74" i="7"/>
  <c r="F74" i="7"/>
  <c r="G74" i="7"/>
  <c r="B75" i="7"/>
  <c r="C75" i="7"/>
  <c r="F75" i="7"/>
  <c r="G75" i="7"/>
  <c r="B76" i="7"/>
  <c r="C76" i="7"/>
  <c r="F76" i="7"/>
  <c r="G76" i="7"/>
  <c r="B77" i="7"/>
  <c r="C77" i="7"/>
  <c r="F77" i="7"/>
  <c r="G77" i="7"/>
  <c r="B78" i="7"/>
  <c r="C78" i="7"/>
  <c r="F78" i="7"/>
  <c r="G78" i="7"/>
  <c r="B79" i="7"/>
  <c r="C79" i="7"/>
  <c r="F79" i="7"/>
  <c r="G79" i="7"/>
  <c r="B80" i="7"/>
  <c r="C80" i="7"/>
  <c r="F80" i="7"/>
  <c r="G80" i="7"/>
  <c r="B81" i="7"/>
  <c r="C81" i="7"/>
  <c r="F81" i="7"/>
  <c r="G81" i="7"/>
  <c r="B82" i="7"/>
  <c r="C82" i="7"/>
  <c r="F82" i="7"/>
  <c r="G82" i="7"/>
  <c r="B83" i="7"/>
  <c r="C83" i="7"/>
  <c r="F83" i="7"/>
  <c r="G83" i="7"/>
  <c r="B84" i="7"/>
  <c r="C84" i="7"/>
  <c r="F84" i="7"/>
  <c r="G84" i="7"/>
  <c r="B85" i="7"/>
  <c r="C85" i="7"/>
  <c r="F85" i="7"/>
  <c r="G85" i="7"/>
  <c r="B86" i="7"/>
  <c r="C86" i="7"/>
  <c r="F86" i="7"/>
  <c r="G86" i="7"/>
  <c r="B87" i="7"/>
  <c r="C87" i="7"/>
  <c r="F87" i="7"/>
  <c r="G87" i="7"/>
  <c r="B88" i="7"/>
  <c r="C88" i="7"/>
  <c r="F88" i="7"/>
  <c r="G88" i="7"/>
  <c r="B89" i="7"/>
  <c r="C89" i="7"/>
  <c r="F89" i="7"/>
  <c r="G89" i="7"/>
  <c r="B90" i="7"/>
  <c r="C90" i="7"/>
  <c r="F90" i="7"/>
  <c r="G90" i="7"/>
  <c r="B91" i="7"/>
  <c r="C91" i="7"/>
  <c r="F91" i="7"/>
  <c r="G91" i="7"/>
  <c r="B92" i="7"/>
  <c r="C92" i="7"/>
  <c r="F92" i="7"/>
  <c r="G92" i="7"/>
  <c r="B93" i="7"/>
  <c r="C93" i="7"/>
  <c r="F93" i="7"/>
  <c r="G93" i="7"/>
  <c r="B94" i="7"/>
  <c r="C94" i="7"/>
  <c r="F94" i="7"/>
  <c r="G94" i="7"/>
  <c r="B95" i="7"/>
  <c r="C95" i="7"/>
  <c r="F95" i="7"/>
  <c r="G95" i="7"/>
  <c r="B96" i="7"/>
  <c r="C96" i="7"/>
  <c r="F96" i="7"/>
  <c r="G96" i="7"/>
  <c r="B97" i="7"/>
  <c r="C97" i="7"/>
  <c r="F97" i="7"/>
  <c r="G97" i="7"/>
  <c r="B98" i="7"/>
  <c r="C98" i="7"/>
  <c r="F98" i="7"/>
  <c r="G98" i="7"/>
  <c r="B99" i="7"/>
  <c r="C99" i="7"/>
  <c r="F99" i="7"/>
  <c r="G99" i="7"/>
  <c r="B100" i="7"/>
  <c r="C100" i="7"/>
  <c r="F100" i="7"/>
  <c r="G100" i="7"/>
  <c r="B101" i="7"/>
  <c r="C101" i="7"/>
  <c r="F101" i="7"/>
  <c r="G101" i="7"/>
  <c r="B102" i="7"/>
  <c r="C102" i="7"/>
  <c r="F102" i="7"/>
  <c r="G102" i="7"/>
  <c r="B103" i="7"/>
  <c r="C103" i="7"/>
  <c r="F103" i="7"/>
  <c r="G103" i="7"/>
  <c r="B104" i="7"/>
  <c r="C104" i="7"/>
  <c r="F104" i="7"/>
  <c r="G104" i="7"/>
  <c r="B105" i="7"/>
  <c r="C105" i="7"/>
  <c r="F105" i="7"/>
  <c r="G105" i="7"/>
  <c r="B106" i="7"/>
  <c r="C106" i="7"/>
  <c r="F106" i="7"/>
  <c r="G106" i="7"/>
  <c r="B107" i="7"/>
  <c r="C107" i="7"/>
  <c r="F107" i="7"/>
  <c r="G107" i="7"/>
  <c r="B108" i="7"/>
  <c r="C108" i="7"/>
  <c r="F108" i="7"/>
  <c r="G108" i="7"/>
  <c r="B109" i="7"/>
  <c r="C109" i="7"/>
  <c r="F109" i="7"/>
  <c r="G109" i="7"/>
  <c r="B110" i="7"/>
  <c r="C110" i="7"/>
  <c r="F110" i="7"/>
  <c r="G110" i="7"/>
  <c r="B111" i="7"/>
  <c r="C111" i="7"/>
  <c r="F111" i="7"/>
  <c r="G111" i="7"/>
  <c r="B112" i="7"/>
  <c r="C112" i="7"/>
  <c r="F112" i="7"/>
  <c r="G112" i="7"/>
  <c r="B113" i="7"/>
  <c r="C113" i="7"/>
  <c r="F113" i="7"/>
  <c r="G113" i="7"/>
  <c r="B114" i="7"/>
  <c r="C114" i="7"/>
  <c r="F114" i="7"/>
  <c r="G114" i="7"/>
  <c r="B115" i="7"/>
  <c r="C115" i="7"/>
  <c r="F115" i="7"/>
  <c r="G115" i="7"/>
  <c r="B116" i="7"/>
  <c r="C116" i="7"/>
  <c r="F116" i="7"/>
  <c r="G116" i="7"/>
  <c r="B117" i="7"/>
  <c r="C117" i="7"/>
  <c r="F117" i="7"/>
  <c r="G117" i="7"/>
  <c r="B118" i="7"/>
  <c r="C118" i="7"/>
  <c r="F118" i="7"/>
  <c r="G118" i="7"/>
  <c r="B119" i="7"/>
  <c r="C119" i="7"/>
  <c r="F119" i="7"/>
  <c r="G119" i="7"/>
  <c r="B120" i="7"/>
  <c r="C120" i="7"/>
  <c r="F120" i="7"/>
  <c r="G120" i="7"/>
  <c r="B121" i="7"/>
  <c r="C121" i="7"/>
  <c r="F121" i="7"/>
  <c r="G121" i="7"/>
  <c r="B122" i="7"/>
  <c r="C122" i="7"/>
  <c r="F122" i="7"/>
  <c r="G122" i="7"/>
  <c r="B123" i="7"/>
  <c r="C123" i="7"/>
  <c r="F123" i="7"/>
  <c r="G123" i="7"/>
  <c r="B124" i="7"/>
  <c r="C124" i="7"/>
  <c r="F124" i="7"/>
  <c r="G124" i="7"/>
  <c r="B125" i="7"/>
  <c r="C125" i="7"/>
  <c r="F125" i="7"/>
  <c r="G125" i="7"/>
  <c r="B126" i="7"/>
  <c r="C126" i="7"/>
  <c r="F126" i="7"/>
  <c r="G126" i="7"/>
  <c r="B127" i="7"/>
  <c r="C127" i="7"/>
  <c r="F127" i="7"/>
  <c r="G127" i="7"/>
  <c r="B128" i="7"/>
  <c r="C128" i="7"/>
  <c r="F128" i="7"/>
  <c r="G128" i="7"/>
  <c r="B129" i="7"/>
  <c r="C129" i="7"/>
  <c r="F129" i="7"/>
  <c r="G129" i="7"/>
  <c r="B130" i="7"/>
  <c r="C130" i="7"/>
  <c r="F130" i="7"/>
  <c r="G130" i="7"/>
  <c r="B131" i="7"/>
  <c r="C131" i="7"/>
  <c r="F131"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1047" i="7"/>
  <c r="G1048" i="7"/>
  <c r="G1049" i="7"/>
  <c r="G1050" i="7"/>
  <c r="G1051" i="7"/>
  <c r="G1052" i="7"/>
  <c r="G1053" i="7"/>
  <c r="G1054" i="7"/>
  <c r="G1055" i="7"/>
  <c r="G1056" i="7"/>
  <c r="G1057" i="7"/>
  <c r="G1058" i="7"/>
  <c r="G1059" i="7"/>
  <c r="G1060" i="7"/>
  <c r="G1061" i="7"/>
  <c r="G1062" i="7"/>
  <c r="G1063" i="7"/>
  <c r="G1064" i="7"/>
  <c r="G1065" i="7"/>
  <c r="G1066" i="7"/>
  <c r="G1067" i="7"/>
  <c r="G1068" i="7"/>
  <c r="G1069" i="7"/>
  <c r="G1070" i="7"/>
  <c r="G1071" i="7"/>
  <c r="G1072"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F1071" i="7"/>
  <c r="F1072" i="7"/>
  <c r="M6" i="8"/>
  <c r="I6" i="8"/>
  <c r="G1" i="7"/>
  <c r="E1" i="7"/>
  <c r="F1" i="7" s="1"/>
  <c r="B1" i="7"/>
  <c r="C1" i="7"/>
  <c r="B2" i="11"/>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072" i="7"/>
  <c r="B1071" i="7"/>
  <c r="B1070" i="7"/>
  <c r="B1069" i="7"/>
  <c r="B1068" i="7"/>
  <c r="B1067" i="7"/>
  <c r="B1066" i="7"/>
  <c r="B1065" i="7"/>
  <c r="B1064" i="7"/>
  <c r="B1063" i="7"/>
  <c r="B1062" i="7"/>
  <c r="B1061" i="7"/>
  <c r="B1060" i="7"/>
  <c r="B1059" i="7"/>
  <c r="B1058" i="7"/>
  <c r="B1057" i="7"/>
  <c r="B1056" i="7"/>
  <c r="B1055" i="7"/>
  <c r="B1054" i="7"/>
  <c r="B1053" i="7"/>
  <c r="B1052" i="7"/>
  <c r="B1051" i="7"/>
  <c r="B1050" i="7"/>
  <c r="B1049" i="7"/>
  <c r="B1048" i="7"/>
  <c r="B1047" i="7"/>
  <c r="B1046" i="7"/>
  <c r="B1045" i="7"/>
  <c r="B1044" i="7"/>
  <c r="B1043" i="7"/>
  <c r="B1042" i="7"/>
  <c r="B1041" i="7"/>
  <c r="B1040" i="7"/>
  <c r="B1039" i="7"/>
  <c r="B1038" i="7"/>
  <c r="B1037" i="7"/>
  <c r="B1036" i="7"/>
  <c r="B1035" i="7"/>
  <c r="B1034" i="7"/>
  <c r="B1033" i="7"/>
  <c r="B1032" i="7"/>
  <c r="B1031" i="7"/>
  <c r="B1030" i="7"/>
  <c r="B1029" i="7"/>
  <c r="B1028" i="7"/>
  <c r="B1027" i="7"/>
  <c r="B1026" i="7"/>
  <c r="B1025" i="7"/>
  <c r="B1024" i="7"/>
  <c r="B1023" i="7"/>
  <c r="B1022" i="7"/>
  <c r="B1021" i="7"/>
  <c r="B1020" i="7"/>
  <c r="B1019" i="7"/>
  <c r="B1018" i="7"/>
  <c r="B1017" i="7"/>
  <c r="B1016" i="7"/>
  <c r="B1015" i="7"/>
  <c r="B1014" i="7"/>
  <c r="B1013" i="7"/>
  <c r="B1012" i="7"/>
  <c r="B1011" i="7"/>
  <c r="B1010" i="7"/>
  <c r="B1009" i="7"/>
  <c r="B1008" i="7"/>
  <c r="B1007" i="7"/>
  <c r="B1006" i="7"/>
  <c r="B1005" i="7"/>
  <c r="B1004" i="7"/>
  <c r="B1003" i="7"/>
  <c r="B1002" i="7"/>
  <c r="B1001" i="7"/>
  <c r="B1000" i="7"/>
  <c r="B999" i="7"/>
  <c r="B998" i="7"/>
  <c r="B997" i="7"/>
  <c r="B996" i="7"/>
  <c r="B995" i="7"/>
  <c r="B994" i="7"/>
  <c r="B993" i="7"/>
  <c r="B992" i="7"/>
  <c r="B991" i="7"/>
  <c r="B990" i="7"/>
  <c r="B989" i="7"/>
  <c r="B988" i="7"/>
  <c r="B987" i="7"/>
  <c r="B986" i="7"/>
  <c r="B985" i="7"/>
  <c r="B984" i="7"/>
  <c r="B983" i="7"/>
  <c r="B982" i="7"/>
  <c r="B981" i="7"/>
  <c r="B980" i="7"/>
  <c r="B979" i="7"/>
  <c r="B978" i="7"/>
  <c r="B977" i="7"/>
  <c r="B976" i="7"/>
  <c r="B975" i="7"/>
  <c r="B974" i="7"/>
  <c r="B973" i="7"/>
  <c r="B972" i="7"/>
  <c r="B971" i="7"/>
  <c r="B970" i="7"/>
  <c r="B969" i="7"/>
  <c r="B968" i="7"/>
  <c r="B967" i="7"/>
  <c r="B966" i="7"/>
  <c r="B965" i="7"/>
  <c r="B964" i="7"/>
  <c r="B963" i="7"/>
  <c r="B962" i="7"/>
  <c r="B961" i="7"/>
  <c r="B960" i="7"/>
  <c r="B959" i="7"/>
  <c r="B958" i="7"/>
  <c r="B957" i="7"/>
  <c r="B956" i="7"/>
  <c r="B955" i="7"/>
  <c r="B954" i="7"/>
  <c r="B953" i="7"/>
  <c r="B952" i="7"/>
  <c r="B951" i="7"/>
  <c r="B950" i="7"/>
  <c r="B949" i="7"/>
  <c r="B948" i="7"/>
  <c r="B947" i="7"/>
  <c r="B946" i="7"/>
  <c r="B945" i="7"/>
  <c r="B944" i="7"/>
  <c r="B943" i="7"/>
  <c r="B942" i="7"/>
  <c r="B941" i="7"/>
  <c r="B940" i="7"/>
  <c r="B939" i="7"/>
  <c r="B938" i="7"/>
  <c r="B937" i="7"/>
  <c r="B936" i="7"/>
  <c r="B935" i="7"/>
  <c r="B934" i="7"/>
  <c r="B933" i="7"/>
  <c r="B932" i="7"/>
  <c r="B931" i="7"/>
  <c r="B930" i="7"/>
  <c r="B929" i="7"/>
  <c r="B928" i="7"/>
  <c r="B927" i="7"/>
  <c r="B926" i="7"/>
  <c r="B925" i="7"/>
  <c r="B924" i="7"/>
  <c r="B923" i="7"/>
  <c r="B922" i="7"/>
  <c r="B921" i="7"/>
  <c r="B920" i="7"/>
  <c r="B919" i="7"/>
  <c r="B918" i="7"/>
  <c r="B917" i="7"/>
  <c r="B916" i="7"/>
  <c r="B915" i="7"/>
  <c r="B914" i="7"/>
  <c r="B913" i="7"/>
  <c r="B912" i="7"/>
  <c r="B911" i="7"/>
  <c r="B910" i="7"/>
  <c r="B909" i="7"/>
  <c r="B908" i="7"/>
  <c r="B907" i="7"/>
  <c r="B906" i="7"/>
  <c r="B905" i="7"/>
  <c r="B904" i="7"/>
  <c r="B903" i="7"/>
  <c r="B902" i="7"/>
  <c r="B901" i="7"/>
  <c r="B900" i="7"/>
  <c r="B899" i="7"/>
  <c r="B898" i="7"/>
  <c r="B897" i="7"/>
  <c r="B896" i="7"/>
  <c r="B895" i="7"/>
  <c r="B894" i="7"/>
  <c r="B893" i="7"/>
  <c r="B892" i="7"/>
  <c r="B891" i="7"/>
  <c r="B890" i="7"/>
  <c r="B889" i="7"/>
  <c r="B888" i="7"/>
  <c r="B887" i="7"/>
  <c r="B886" i="7"/>
  <c r="B885" i="7"/>
  <c r="B884" i="7"/>
  <c r="B883" i="7"/>
  <c r="B882" i="7"/>
  <c r="B881" i="7"/>
  <c r="B880" i="7"/>
  <c r="B879" i="7"/>
  <c r="B878" i="7"/>
  <c r="B877" i="7"/>
  <c r="B876" i="7"/>
  <c r="B875" i="7"/>
  <c r="B874" i="7"/>
  <c r="B873" i="7"/>
  <c r="B872" i="7"/>
  <c r="B871" i="7"/>
  <c r="B870" i="7"/>
  <c r="B869" i="7"/>
  <c r="B868" i="7"/>
  <c r="B867" i="7"/>
  <c r="B866" i="7"/>
  <c r="B865" i="7"/>
  <c r="B864" i="7"/>
  <c r="B863" i="7"/>
  <c r="B862" i="7"/>
  <c r="B861" i="7"/>
  <c r="B860" i="7"/>
  <c r="B859" i="7"/>
  <c r="B858" i="7"/>
  <c r="B857" i="7"/>
  <c r="B856" i="7"/>
  <c r="B855" i="7"/>
  <c r="B854" i="7"/>
  <c r="B853" i="7"/>
  <c r="B852" i="7"/>
  <c r="B851" i="7"/>
  <c r="B850" i="7"/>
  <c r="B849" i="7"/>
  <c r="B848" i="7"/>
  <c r="B847" i="7"/>
  <c r="B846" i="7"/>
  <c r="B845" i="7"/>
  <c r="B844" i="7"/>
  <c r="B843" i="7"/>
  <c r="B842" i="7"/>
  <c r="B841" i="7"/>
  <c r="B840" i="7"/>
  <c r="B839" i="7"/>
  <c r="B838" i="7"/>
  <c r="B837" i="7"/>
  <c r="B836" i="7"/>
  <c r="B835" i="7"/>
  <c r="B834" i="7"/>
  <c r="B833" i="7"/>
  <c r="B832" i="7"/>
  <c r="B831" i="7"/>
  <c r="B830" i="7"/>
  <c r="B829" i="7"/>
  <c r="B828" i="7"/>
  <c r="B827" i="7"/>
  <c r="B826" i="7"/>
  <c r="B825" i="7"/>
  <c r="B824" i="7"/>
  <c r="B823" i="7"/>
  <c r="B822" i="7"/>
  <c r="B821" i="7"/>
  <c r="B820" i="7"/>
  <c r="B819" i="7"/>
  <c r="B818" i="7"/>
  <c r="B817" i="7"/>
  <c r="B816" i="7"/>
  <c r="B815" i="7"/>
  <c r="B814" i="7"/>
  <c r="B813" i="7"/>
  <c r="B812" i="7"/>
  <c r="B811" i="7"/>
  <c r="B810" i="7"/>
  <c r="B809" i="7"/>
  <c r="B808" i="7"/>
  <c r="B807" i="7"/>
  <c r="B806" i="7"/>
  <c r="B805" i="7"/>
  <c r="B804" i="7"/>
  <c r="B803" i="7"/>
  <c r="B802" i="7"/>
  <c r="B801" i="7"/>
  <c r="B800" i="7"/>
  <c r="B799" i="7"/>
  <c r="B798" i="7"/>
  <c r="B797" i="7"/>
  <c r="B796" i="7"/>
  <c r="B795" i="7"/>
  <c r="B794" i="7"/>
  <c r="B793" i="7"/>
  <c r="B792" i="7"/>
  <c r="B791" i="7"/>
  <c r="B790" i="7"/>
  <c r="B789" i="7"/>
  <c r="B788" i="7"/>
  <c r="B787" i="7"/>
  <c r="B786" i="7"/>
  <c r="B785" i="7"/>
  <c r="B784" i="7"/>
  <c r="B783" i="7"/>
  <c r="B782" i="7"/>
  <c r="B781" i="7"/>
  <c r="B780" i="7"/>
  <c r="B779" i="7"/>
  <c r="B778" i="7"/>
  <c r="B777" i="7"/>
  <c r="B776" i="7"/>
  <c r="B775" i="7"/>
  <c r="B774" i="7"/>
  <c r="B773" i="7"/>
  <c r="B772" i="7"/>
  <c r="B771" i="7"/>
  <c r="B770" i="7"/>
  <c r="B769" i="7"/>
  <c r="B768" i="7"/>
  <c r="B767" i="7"/>
  <c r="B766" i="7"/>
  <c r="B765" i="7"/>
  <c r="B764" i="7"/>
  <c r="B763" i="7"/>
  <c r="B762" i="7"/>
  <c r="B761" i="7"/>
  <c r="B760" i="7"/>
  <c r="B759" i="7"/>
  <c r="B758" i="7"/>
  <c r="B757" i="7"/>
  <c r="B756" i="7"/>
  <c r="B755" i="7"/>
  <c r="B754" i="7"/>
  <c r="B753" i="7"/>
  <c r="B752" i="7"/>
  <c r="B751" i="7"/>
  <c r="B750" i="7"/>
  <c r="B749" i="7"/>
  <c r="B748" i="7"/>
  <c r="B747" i="7"/>
  <c r="B746" i="7"/>
  <c r="B745" i="7"/>
  <c r="B744" i="7"/>
  <c r="B743" i="7"/>
  <c r="B742" i="7"/>
  <c r="B741" i="7"/>
  <c r="B740" i="7"/>
  <c r="B739" i="7"/>
  <c r="B738" i="7"/>
  <c r="B737" i="7"/>
  <c r="B736" i="7"/>
  <c r="B735" i="7"/>
  <c r="B734" i="7"/>
  <c r="B733" i="7"/>
  <c r="B732" i="7"/>
  <c r="B731" i="7"/>
  <c r="B730" i="7"/>
  <c r="B729" i="7"/>
  <c r="B728" i="7"/>
  <c r="B727" i="7"/>
  <c r="B726" i="7"/>
  <c r="B725" i="7"/>
  <c r="B724" i="7"/>
  <c r="B723" i="7"/>
  <c r="B722" i="7"/>
  <c r="B721" i="7"/>
  <c r="B720" i="7"/>
  <c r="B719" i="7"/>
  <c r="B718" i="7"/>
  <c r="B717" i="7"/>
  <c r="B716" i="7"/>
  <c r="B715" i="7"/>
  <c r="B714" i="7"/>
  <c r="B713" i="7"/>
  <c r="B712" i="7"/>
  <c r="B711" i="7"/>
  <c r="B710" i="7"/>
  <c r="B709" i="7"/>
  <c r="B708" i="7"/>
  <c r="B707" i="7"/>
  <c r="B706" i="7"/>
  <c r="B705" i="7"/>
  <c r="B704" i="7"/>
  <c r="B703" i="7"/>
  <c r="B702" i="7"/>
  <c r="B701" i="7"/>
  <c r="B700" i="7"/>
  <c r="B699" i="7"/>
  <c r="B698" i="7"/>
  <c r="B697" i="7"/>
  <c r="B696" i="7"/>
  <c r="B695" i="7"/>
  <c r="B694" i="7"/>
  <c r="B693" i="7"/>
  <c r="B692" i="7"/>
  <c r="B691" i="7"/>
  <c r="B690" i="7"/>
  <c r="B689" i="7"/>
  <c r="B688" i="7"/>
  <c r="B687" i="7"/>
  <c r="B686" i="7"/>
  <c r="B685" i="7"/>
  <c r="B684" i="7"/>
  <c r="B683" i="7"/>
  <c r="B682" i="7"/>
  <c r="B681" i="7"/>
  <c r="B680" i="7"/>
  <c r="B679" i="7"/>
  <c r="B678" i="7"/>
  <c r="B677" i="7"/>
  <c r="B676" i="7"/>
  <c r="B675" i="7"/>
  <c r="B674" i="7"/>
  <c r="B673" i="7"/>
  <c r="B672" i="7"/>
  <c r="B671" i="7"/>
  <c r="B670" i="7"/>
  <c r="B669" i="7"/>
  <c r="B668" i="7"/>
  <c r="B667" i="7"/>
  <c r="B666" i="7"/>
  <c r="B665" i="7"/>
  <c r="B664" i="7"/>
  <c r="B663" i="7"/>
  <c r="B662" i="7"/>
  <c r="B661" i="7"/>
  <c r="B660" i="7"/>
  <c r="B659" i="7"/>
  <c r="B658" i="7"/>
  <c r="B657" i="7"/>
  <c r="B656" i="7"/>
  <c r="B655" i="7"/>
  <c r="B654" i="7"/>
  <c r="B653" i="7"/>
  <c r="B652" i="7"/>
  <c r="B651" i="7"/>
  <c r="B650" i="7"/>
  <c r="B649" i="7"/>
  <c r="B648" i="7"/>
  <c r="B647" i="7"/>
  <c r="B646" i="7"/>
  <c r="B645" i="7"/>
  <c r="B644" i="7"/>
  <c r="B643" i="7"/>
  <c r="B642" i="7"/>
  <c r="B641" i="7"/>
  <c r="B640" i="7"/>
  <c r="B639" i="7"/>
  <c r="B638" i="7"/>
  <c r="B637" i="7"/>
  <c r="B636" i="7"/>
  <c r="B635" i="7"/>
  <c r="B634" i="7"/>
  <c r="B633" i="7"/>
  <c r="B632" i="7"/>
  <c r="B631" i="7"/>
  <c r="B630" i="7"/>
  <c r="B629" i="7"/>
  <c r="B628" i="7"/>
  <c r="B627" i="7"/>
  <c r="B626" i="7"/>
  <c r="B625" i="7"/>
  <c r="B624" i="7"/>
  <c r="B623" i="7"/>
  <c r="B622" i="7"/>
  <c r="B621" i="7"/>
  <c r="B620" i="7"/>
  <c r="B619" i="7"/>
  <c r="B618" i="7"/>
  <c r="B617" i="7"/>
  <c r="B616" i="7"/>
  <c r="B615" i="7"/>
  <c r="B614" i="7"/>
  <c r="B613" i="7"/>
  <c r="B612" i="7"/>
  <c r="B611" i="7"/>
  <c r="B610" i="7"/>
  <c r="B609" i="7"/>
  <c r="B608" i="7"/>
  <c r="B607" i="7"/>
  <c r="B606" i="7"/>
  <c r="B605" i="7"/>
  <c r="B604" i="7"/>
  <c r="B603" i="7"/>
  <c r="B602" i="7"/>
  <c r="B601" i="7"/>
  <c r="B600" i="7"/>
  <c r="B599" i="7"/>
  <c r="B598" i="7"/>
  <c r="B597" i="7"/>
  <c r="B596" i="7"/>
  <c r="B595" i="7"/>
  <c r="B594" i="7"/>
  <c r="B593" i="7"/>
  <c r="B592" i="7"/>
  <c r="B591" i="7"/>
  <c r="B590" i="7"/>
  <c r="B589" i="7"/>
  <c r="B588" i="7"/>
  <c r="B587" i="7"/>
  <c r="B586" i="7"/>
  <c r="B585" i="7"/>
  <c r="B584" i="7"/>
  <c r="B583" i="7"/>
  <c r="B582" i="7"/>
  <c r="B581" i="7"/>
  <c r="B580" i="7"/>
  <c r="B579" i="7"/>
  <c r="B578" i="7"/>
  <c r="B577" i="7"/>
  <c r="B576" i="7"/>
  <c r="B575" i="7"/>
  <c r="B574" i="7"/>
  <c r="B573" i="7"/>
  <c r="B572" i="7"/>
  <c r="B571" i="7"/>
  <c r="B570" i="7"/>
  <c r="B569" i="7"/>
  <c r="B568" i="7"/>
  <c r="B567" i="7"/>
  <c r="B566" i="7"/>
  <c r="B565" i="7"/>
  <c r="B564" i="7"/>
  <c r="B563" i="7"/>
  <c r="B562" i="7"/>
  <c r="B561" i="7"/>
  <c r="B560" i="7"/>
  <c r="B559" i="7"/>
  <c r="B558" i="7"/>
  <c r="B557" i="7"/>
  <c r="B556" i="7"/>
  <c r="B555" i="7"/>
  <c r="B554" i="7"/>
  <c r="B553" i="7"/>
  <c r="B552" i="7"/>
  <c r="B551" i="7"/>
  <c r="B550" i="7"/>
  <c r="B549" i="7"/>
  <c r="B548" i="7"/>
  <c r="B547" i="7"/>
  <c r="B546" i="7"/>
  <c r="B545" i="7"/>
  <c r="B544" i="7"/>
  <c r="B543" i="7"/>
  <c r="B542" i="7"/>
  <c r="B541" i="7"/>
  <c r="B540" i="7"/>
  <c r="B539" i="7"/>
  <c r="B538" i="7"/>
  <c r="B537" i="7"/>
  <c r="B536" i="7"/>
  <c r="B535" i="7"/>
  <c r="B534" i="7"/>
  <c r="B533" i="7"/>
  <c r="B532" i="7"/>
  <c r="B531" i="7"/>
  <c r="B530" i="7"/>
  <c r="B529" i="7"/>
  <c r="B528" i="7"/>
  <c r="B527" i="7"/>
  <c r="B526" i="7"/>
  <c r="B525" i="7"/>
  <c r="B524" i="7"/>
  <c r="B523" i="7"/>
  <c r="B522" i="7"/>
  <c r="B521" i="7"/>
  <c r="B520" i="7"/>
  <c r="B519" i="7"/>
  <c r="B518" i="7"/>
  <c r="B517" i="7"/>
  <c r="B516" i="7"/>
  <c r="B515" i="7"/>
  <c r="B514" i="7"/>
  <c r="B513" i="7"/>
  <c r="B512" i="7"/>
  <c r="B511" i="7"/>
  <c r="B510" i="7"/>
  <c r="B509" i="7"/>
  <c r="B508" i="7"/>
  <c r="B507" i="7"/>
  <c r="B506" i="7"/>
  <c r="B505" i="7"/>
  <c r="B504" i="7"/>
  <c r="B503" i="7"/>
  <c r="B502" i="7"/>
  <c r="B501" i="7"/>
  <c r="B500" i="7"/>
  <c r="B499" i="7"/>
  <c r="B498" i="7"/>
  <c r="B497" i="7"/>
  <c r="B496" i="7"/>
  <c r="B495" i="7"/>
  <c r="B494" i="7"/>
  <c r="B493" i="7"/>
  <c r="B492" i="7"/>
  <c r="B491" i="7"/>
  <c r="B490" i="7"/>
  <c r="B489" i="7"/>
  <c r="B488" i="7"/>
  <c r="B487" i="7"/>
  <c r="B486" i="7"/>
  <c r="B485" i="7"/>
  <c r="B484" i="7"/>
  <c r="B483" i="7"/>
  <c r="B482" i="7"/>
  <c r="B481" i="7"/>
  <c r="B480" i="7"/>
  <c r="B479" i="7"/>
  <c r="B478" i="7"/>
  <c r="B477" i="7"/>
  <c r="B476" i="7"/>
  <c r="B475" i="7"/>
  <c r="B474" i="7"/>
  <c r="B473" i="7"/>
  <c r="B472" i="7"/>
  <c r="B471" i="7"/>
  <c r="B470" i="7"/>
  <c r="B469" i="7"/>
  <c r="B468" i="7"/>
  <c r="B467" i="7"/>
  <c r="B466" i="7"/>
  <c r="B465" i="7"/>
  <c r="B464" i="7"/>
  <c r="B463" i="7"/>
  <c r="B462" i="7"/>
  <c r="B461" i="7"/>
  <c r="B460" i="7"/>
  <c r="B459" i="7"/>
  <c r="B458" i="7"/>
  <c r="B457" i="7"/>
  <c r="B456" i="7"/>
  <c r="B455" i="7"/>
  <c r="B454" i="7"/>
  <c r="B453" i="7"/>
  <c r="B452" i="7"/>
  <c r="B451" i="7"/>
  <c r="B450" i="7"/>
  <c r="B449" i="7"/>
  <c r="B448" i="7"/>
  <c r="B447" i="7"/>
  <c r="B446" i="7"/>
  <c r="B445" i="7"/>
  <c r="B444" i="7"/>
  <c r="B443" i="7"/>
  <c r="B442" i="7"/>
  <c r="B441" i="7"/>
  <c r="B440" i="7"/>
  <c r="B439" i="7"/>
  <c r="B438" i="7"/>
  <c r="B437" i="7"/>
  <c r="B436" i="7"/>
  <c r="B435" i="7"/>
  <c r="B434" i="7"/>
  <c r="B433" i="7"/>
  <c r="B432" i="7"/>
  <c r="B431" i="7"/>
  <c r="B430" i="7"/>
  <c r="B429" i="7"/>
  <c r="B428" i="7"/>
  <c r="B427" i="7"/>
  <c r="B426" i="7"/>
  <c r="B425" i="7"/>
  <c r="B424" i="7"/>
  <c r="B423" i="7"/>
  <c r="B422" i="7"/>
  <c r="B421" i="7"/>
  <c r="B420" i="7"/>
  <c r="B419" i="7"/>
  <c r="B418" i="7"/>
  <c r="B417" i="7"/>
  <c r="B416" i="7"/>
  <c r="B415" i="7"/>
  <c r="B414" i="7"/>
  <c r="B413" i="7"/>
  <c r="B412" i="7"/>
  <c r="B411" i="7"/>
  <c r="B410" i="7"/>
  <c r="B409" i="7"/>
  <c r="B408" i="7"/>
  <c r="B407" i="7"/>
  <c r="B406" i="7"/>
  <c r="B405" i="7"/>
  <c r="B404" i="7"/>
  <c r="B403" i="7"/>
  <c r="B402" i="7"/>
  <c r="B401" i="7"/>
  <c r="B400" i="7"/>
  <c r="B399" i="7"/>
  <c r="B398" i="7"/>
  <c r="B397" i="7"/>
  <c r="B396" i="7"/>
  <c r="B395" i="7"/>
  <c r="B394" i="7"/>
  <c r="B393" i="7"/>
  <c r="B392" i="7"/>
  <c r="B391" i="7"/>
  <c r="B390" i="7"/>
  <c r="B389" i="7"/>
  <c r="B388" i="7"/>
  <c r="B387" i="7"/>
  <c r="B386" i="7"/>
  <c r="B385" i="7"/>
  <c r="B384" i="7"/>
  <c r="B383" i="7"/>
  <c r="B382" i="7"/>
  <c r="B381" i="7"/>
  <c r="B380" i="7"/>
  <c r="B379" i="7"/>
  <c r="B378" i="7"/>
  <c r="B377" i="7"/>
  <c r="B376" i="7"/>
  <c r="B375" i="7"/>
  <c r="B374" i="7"/>
  <c r="B373" i="7"/>
  <c r="B372" i="7"/>
  <c r="B371" i="7"/>
  <c r="B370" i="7"/>
  <c r="B369" i="7"/>
  <c r="B368" i="7"/>
  <c r="B367" i="7"/>
  <c r="B366" i="7"/>
  <c r="B365" i="7"/>
  <c r="B364" i="7"/>
  <c r="B363" i="7"/>
  <c r="B362" i="7"/>
  <c r="B361" i="7"/>
  <c r="B360" i="7"/>
  <c r="B359" i="7"/>
  <c r="B358" i="7"/>
  <c r="B357" i="7"/>
  <c r="B356" i="7"/>
  <c r="B355" i="7"/>
  <c r="B354" i="7"/>
  <c r="B353" i="7"/>
  <c r="B352" i="7"/>
  <c r="B351" i="7"/>
  <c r="B350" i="7"/>
  <c r="B349" i="7"/>
  <c r="B348" i="7"/>
  <c r="B347" i="7"/>
  <c r="B346" i="7"/>
  <c r="B345" i="7"/>
  <c r="B344" i="7"/>
  <c r="B343" i="7"/>
  <c r="B342" i="7"/>
  <c r="B341" i="7"/>
  <c r="B340" i="7"/>
  <c r="B339" i="7"/>
  <c r="B338" i="7"/>
  <c r="B337" i="7"/>
  <c r="B336" i="7"/>
  <c r="B335" i="7"/>
  <c r="B334" i="7"/>
  <c r="B333" i="7"/>
  <c r="B332" i="7"/>
  <c r="B331" i="7"/>
  <c r="B330" i="7"/>
  <c r="B329" i="7"/>
  <c r="B328" i="7"/>
  <c r="B327" i="7"/>
  <c r="B326" i="7"/>
  <c r="B325" i="7"/>
  <c r="B324" i="7"/>
  <c r="B323" i="7"/>
  <c r="B322" i="7"/>
  <c r="B321" i="7"/>
  <c r="B320" i="7"/>
  <c r="B319" i="7"/>
  <c r="B318" i="7"/>
  <c r="B317" i="7"/>
  <c r="B316" i="7"/>
  <c r="B315" i="7"/>
  <c r="B314" i="7"/>
  <c r="B313" i="7"/>
  <c r="B312" i="7"/>
  <c r="B311" i="7"/>
  <c r="B310" i="7"/>
  <c r="B309" i="7"/>
  <c r="B308" i="7"/>
  <c r="B307" i="7"/>
  <c r="B306" i="7"/>
  <c r="B305" i="7"/>
  <c r="B304" i="7"/>
  <c r="B303" i="7"/>
  <c r="B302" i="7"/>
  <c r="B301" i="7"/>
  <c r="B300" i="7"/>
  <c r="B299" i="7"/>
  <c r="B298" i="7"/>
  <c r="B297" i="7"/>
  <c r="B296" i="7"/>
  <c r="B295" i="7"/>
  <c r="B294" i="7"/>
  <c r="B293" i="7"/>
  <c r="B292" i="7"/>
  <c r="B291" i="7"/>
  <c r="B290" i="7"/>
  <c r="B289" i="7"/>
  <c r="B288" i="7"/>
  <c r="B287" i="7"/>
  <c r="B286" i="7"/>
  <c r="B285" i="7"/>
  <c r="B284" i="7"/>
  <c r="B283" i="7"/>
  <c r="B282" i="7"/>
  <c r="B281" i="7"/>
  <c r="B280" i="7"/>
  <c r="B279" i="7"/>
  <c r="B278" i="7"/>
  <c r="B277" i="7"/>
  <c r="B276" i="7"/>
  <c r="B275" i="7"/>
  <c r="B274" i="7"/>
  <c r="B273" i="7"/>
  <c r="B272" i="7"/>
  <c r="B271" i="7"/>
  <c r="B270" i="7"/>
  <c r="B269" i="7"/>
  <c r="B268" i="7"/>
  <c r="B267" i="7"/>
  <c r="B266" i="7"/>
  <c r="B265" i="7"/>
  <c r="B264" i="7"/>
  <c r="B263" i="7"/>
  <c r="B262" i="7"/>
  <c r="B261" i="7"/>
  <c r="B260" i="7"/>
  <c r="B259" i="7"/>
  <c r="B258" i="7"/>
  <c r="B257" i="7"/>
  <c r="B256" i="7"/>
  <c r="B255" i="7"/>
  <c r="B254" i="7"/>
  <c r="B253" i="7"/>
  <c r="B252" i="7"/>
  <c r="B251" i="7"/>
  <c r="B250" i="7"/>
  <c r="B249" i="7"/>
  <c r="B248" i="7"/>
  <c r="B247" i="7"/>
  <c r="B246" i="7"/>
  <c r="B245" i="7"/>
  <c r="B244" i="7"/>
  <c r="B243" i="7"/>
  <c r="B242" i="7"/>
  <c r="B241" i="7"/>
  <c r="B240" i="7"/>
  <c r="B239" i="7"/>
  <c r="B238" i="7"/>
  <c r="B237" i="7"/>
  <c r="B236" i="7"/>
  <c r="B235" i="7"/>
  <c r="B234" i="7"/>
  <c r="B233" i="7"/>
  <c r="B232" i="7"/>
  <c r="B231" i="7"/>
  <c r="B230" i="7"/>
  <c r="B229" i="7"/>
  <c r="B228" i="7"/>
  <c r="B227" i="7"/>
  <c r="B226" i="7"/>
  <c r="B225" i="7"/>
  <c r="B224" i="7"/>
  <c r="B223" i="7"/>
  <c r="B222" i="7"/>
  <c r="B221" i="7"/>
  <c r="B220" i="7"/>
  <c r="B219" i="7"/>
  <c r="B218" i="7"/>
  <c r="B217" i="7"/>
  <c r="B216" i="7"/>
  <c r="B215" i="7"/>
  <c r="B214" i="7"/>
  <c r="B213" i="7"/>
  <c r="B212" i="7"/>
  <c r="B211" i="7"/>
  <c r="B210" i="7"/>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E5" i="11" l="1"/>
  <c r="D5" i="11"/>
  <c r="D4" i="11"/>
  <c r="F4" i="11" s="1"/>
  <c r="D41" i="7"/>
  <c r="E41" i="7" s="1"/>
  <c r="F41" i="7" s="1"/>
  <c r="B48" i="7"/>
  <c r="C48" i="7" s="1"/>
  <c r="D48" i="7"/>
  <c r="E48" i="7" s="1"/>
  <c r="F48" i="7" s="1"/>
  <c r="B44" i="7"/>
  <c r="C44" i="7" s="1"/>
  <c r="D44" i="7"/>
  <c r="E44" i="7" s="1"/>
  <c r="F44" i="7" s="1"/>
  <c r="B40" i="7"/>
  <c r="C40" i="7" s="1"/>
  <c r="D40" i="7"/>
  <c r="E40" i="7" s="1"/>
  <c r="F40" i="7" s="1"/>
  <c r="B36" i="7"/>
  <c r="C36" i="7" s="1"/>
  <c r="D36" i="7"/>
  <c r="E36" i="7" s="1"/>
  <c r="F36" i="7" s="1"/>
  <c r="B32" i="7"/>
  <c r="C32" i="7" s="1"/>
  <c r="D32" i="7"/>
  <c r="E32" i="7" s="1"/>
  <c r="F32" i="7" s="1"/>
  <c r="B28" i="7"/>
  <c r="C28" i="7" s="1"/>
  <c r="D28" i="7"/>
  <c r="E28" i="7" s="1"/>
  <c r="F28" i="7" s="1"/>
  <c r="B24" i="7"/>
  <c r="C24" i="7" s="1"/>
  <c r="D24" i="7"/>
  <c r="E24" i="7" s="1"/>
  <c r="F24" i="7" s="1"/>
  <c r="B20" i="7"/>
  <c r="C20" i="7" s="1"/>
  <c r="D20" i="7"/>
  <c r="E20" i="7" s="1"/>
  <c r="F20" i="7" s="1"/>
  <c r="B16" i="7"/>
  <c r="C16" i="7" s="1"/>
  <c r="D16" i="7"/>
  <c r="E16" i="7" s="1"/>
  <c r="F16" i="7" s="1"/>
  <c r="B12" i="7"/>
  <c r="C12" i="7" s="1"/>
  <c r="D12" i="7"/>
  <c r="E12" i="7" s="1"/>
  <c r="F12" i="7" s="1"/>
  <c r="B8" i="7"/>
  <c r="C8" i="7" s="1"/>
  <c r="D8" i="7"/>
  <c r="E8" i="7" s="1"/>
  <c r="F8" i="7" s="1"/>
  <c r="B4" i="7"/>
  <c r="C4" i="7" s="1"/>
  <c r="D4" i="7"/>
  <c r="E4" i="7" s="1"/>
  <c r="F4" i="7" s="1"/>
  <c r="D49" i="7"/>
  <c r="E49" i="7" s="1"/>
  <c r="F49" i="7" s="1"/>
  <c r="D37" i="7"/>
  <c r="E37" i="7" s="1"/>
  <c r="F37" i="7" s="1"/>
  <c r="D51" i="7"/>
  <c r="E51" i="7" s="1"/>
  <c r="F51" i="7" s="1"/>
  <c r="D47" i="7"/>
  <c r="E47" i="7" s="1"/>
  <c r="F47" i="7" s="1"/>
  <c r="D43" i="7"/>
  <c r="E43" i="7" s="1"/>
  <c r="F43" i="7" s="1"/>
  <c r="D39" i="7"/>
  <c r="E39" i="7" s="1"/>
  <c r="F39" i="7" s="1"/>
  <c r="D45" i="7"/>
  <c r="E45" i="7" s="1"/>
  <c r="F45" i="7" s="1"/>
  <c r="D50" i="7"/>
  <c r="E50" i="7" s="1"/>
  <c r="F50" i="7" s="1"/>
  <c r="D46" i="7"/>
  <c r="E46" i="7" s="1"/>
  <c r="F46" i="7" s="1"/>
  <c r="D42" i="7"/>
  <c r="E42" i="7" s="1"/>
  <c r="F42" i="7" s="1"/>
  <c r="D38" i="7"/>
  <c r="E38" i="7" s="1"/>
  <c r="F38" i="7" s="1"/>
  <c r="B34" i="7"/>
  <c r="C34" i="7" s="1"/>
  <c r="D34" i="7"/>
  <c r="E34" i="7" s="1"/>
  <c r="F34" i="7" s="1"/>
  <c r="B30" i="7"/>
  <c r="C30" i="7" s="1"/>
  <c r="D30" i="7"/>
  <c r="E30" i="7" s="1"/>
  <c r="F30" i="7" s="1"/>
  <c r="B26" i="7"/>
  <c r="C26" i="7" s="1"/>
  <c r="D26" i="7"/>
  <c r="E26" i="7" s="1"/>
  <c r="F26" i="7" s="1"/>
  <c r="B22" i="7"/>
  <c r="C22" i="7" s="1"/>
  <c r="D22" i="7"/>
  <c r="E22" i="7" s="1"/>
  <c r="F22" i="7" s="1"/>
  <c r="B18" i="7"/>
  <c r="C18" i="7" s="1"/>
  <c r="D18" i="7"/>
  <c r="E18" i="7" s="1"/>
  <c r="F18" i="7" s="1"/>
  <c r="B14" i="7"/>
  <c r="C14" i="7" s="1"/>
  <c r="D14" i="7"/>
  <c r="E14" i="7" s="1"/>
  <c r="F14" i="7" s="1"/>
  <c r="B10" i="7"/>
  <c r="C10" i="7" s="1"/>
  <c r="D10" i="7"/>
  <c r="E10" i="7" s="1"/>
  <c r="F10" i="7" s="1"/>
  <c r="B6" i="7"/>
  <c r="C6" i="7" s="1"/>
  <c r="D6" i="7"/>
  <c r="E6" i="7" s="1"/>
  <c r="F6" i="7" s="1"/>
  <c r="B50" i="7"/>
  <c r="C50" i="7" s="1"/>
  <c r="B42" i="7"/>
  <c r="C42" i="7" s="1"/>
  <c r="B46" i="7"/>
  <c r="C46" i="7" s="1"/>
  <c r="B38" i="7"/>
  <c r="C38" i="7" s="1"/>
  <c r="B51" i="7"/>
  <c r="C51" i="7" s="1"/>
  <c r="B49" i="7"/>
  <c r="C49" i="7" s="1"/>
  <c r="B47" i="7"/>
  <c r="C47" i="7" s="1"/>
  <c r="B45" i="7"/>
  <c r="C45" i="7" s="1"/>
  <c r="B43" i="7"/>
  <c r="C43" i="7" s="1"/>
  <c r="B41" i="7"/>
  <c r="C41" i="7" s="1"/>
  <c r="B39" i="7"/>
  <c r="C39" i="7" s="1"/>
  <c r="B37" i="7"/>
  <c r="C37" i="7" s="1"/>
  <c r="F2" i="7"/>
  <c r="B35" i="7"/>
  <c r="C35" i="7" s="1"/>
  <c r="F35" i="7"/>
  <c r="B33" i="7"/>
  <c r="C33" i="7" s="1"/>
  <c r="F33" i="7"/>
  <c r="B31" i="7"/>
  <c r="C31" i="7" s="1"/>
  <c r="F31" i="7"/>
  <c r="B29" i="7"/>
  <c r="C29" i="7" s="1"/>
  <c r="F29" i="7"/>
  <c r="B27" i="7"/>
  <c r="C27" i="7" s="1"/>
  <c r="F27" i="7"/>
  <c r="B25" i="7"/>
  <c r="C25" i="7" s="1"/>
  <c r="F25" i="7"/>
  <c r="B23" i="7"/>
  <c r="C23" i="7" s="1"/>
  <c r="F23" i="7"/>
  <c r="B21" i="7"/>
  <c r="C21" i="7" s="1"/>
  <c r="F21" i="7"/>
  <c r="B19" i="7"/>
  <c r="C19" i="7" s="1"/>
  <c r="F19" i="7"/>
  <c r="B17" i="7"/>
  <c r="C17" i="7" s="1"/>
  <c r="F17" i="7"/>
  <c r="B15" i="7"/>
  <c r="C15" i="7" s="1"/>
  <c r="F15" i="7"/>
  <c r="B13" i="7"/>
  <c r="C13" i="7" s="1"/>
  <c r="F13" i="7"/>
  <c r="B11" i="7"/>
  <c r="C11" i="7" s="1"/>
  <c r="F11" i="7"/>
  <c r="B9" i="7"/>
  <c r="C9" i="7" s="1"/>
  <c r="F9" i="7"/>
  <c r="B7" i="7"/>
  <c r="C7" i="7" s="1"/>
  <c r="F7" i="7"/>
  <c r="B5" i="7"/>
  <c r="C5" i="7" s="1"/>
  <c r="F5" i="7"/>
  <c r="B3" i="7"/>
  <c r="F5" i="11" l="1"/>
  <c r="G28" i="7"/>
  <c r="G24" i="7"/>
  <c r="G40" i="7"/>
  <c r="G18" i="7"/>
  <c r="G34" i="7"/>
  <c r="G50" i="7"/>
  <c r="G37" i="7"/>
  <c r="G4" i="7"/>
  <c r="G36" i="7"/>
  <c r="G10" i="7"/>
  <c r="G26" i="7"/>
  <c r="G39" i="7"/>
  <c r="G47" i="7"/>
  <c r="G12" i="7"/>
  <c r="G42" i="7"/>
  <c r="G41" i="7"/>
  <c r="G20" i="7"/>
  <c r="G44" i="7"/>
  <c r="G6" i="7"/>
  <c r="G22" i="7"/>
  <c r="G45" i="7"/>
  <c r="G8" i="7"/>
  <c r="G16" i="7"/>
  <c r="G14" i="7"/>
  <c r="G30" i="7"/>
  <c r="G49" i="7"/>
  <c r="G38" i="7"/>
  <c r="G32" i="7"/>
  <c r="G43" i="7"/>
  <c r="G51" i="7"/>
  <c r="G48" i="7"/>
  <c r="G46" i="7"/>
  <c r="G2" i="7"/>
  <c r="L4" i="8"/>
  <c r="G5" i="7"/>
  <c r="G7" i="7"/>
  <c r="G9" i="7"/>
  <c r="G11" i="7"/>
  <c r="G13" i="7"/>
  <c r="G15" i="7"/>
  <c r="G17" i="7"/>
  <c r="G19" i="7"/>
  <c r="G21" i="7"/>
  <c r="G23" i="7"/>
  <c r="G25" i="7"/>
  <c r="G27" i="7"/>
  <c r="G29" i="7"/>
  <c r="G31" i="7"/>
  <c r="G33" i="7"/>
  <c r="G35" i="7"/>
  <c r="C3" i="7"/>
  <c r="C4" i="8" s="1"/>
  <c r="K4" i="8"/>
  <c r="I4" i="8"/>
  <c r="J4" i="8"/>
  <c r="P4" i="8"/>
  <c r="N4" i="8"/>
  <c r="F3" i="7"/>
  <c r="D4" i="8" s="1"/>
  <c r="M4" i="8"/>
  <c r="O4" i="8"/>
  <c r="G3" i="7" l="1"/>
  <c r="S8" i="8" l="1"/>
  <c r="S7" i="8"/>
  <c r="S6" i="8"/>
  <c r="S9" i="8" l="1"/>
  <c r="S11" i="8" s="1"/>
  <c r="S10" i="8"/>
  <c r="E4" i="8" l="1"/>
  <c r="S12" i="8"/>
  <c r="G4" i="8" l="1"/>
  <c r="F4" i="8"/>
  <c r="H4" i="8" l="1"/>
</calcChain>
</file>

<file path=xl/sharedStrings.xml><?xml version="1.0" encoding="utf-8"?>
<sst xmlns="http://schemas.openxmlformats.org/spreadsheetml/2006/main" count="54" uniqueCount="37">
  <si>
    <r>
      <t>SE</t>
    </r>
    <r>
      <rPr>
        <sz val="10"/>
        <rFont val="Symbol"/>
        <family val="1"/>
        <charset val="2"/>
      </rPr>
      <t>D</t>
    </r>
  </si>
  <si>
    <r>
      <t>SD</t>
    </r>
    <r>
      <rPr>
        <sz val="10"/>
        <rFont val="Symbol"/>
        <family val="1"/>
        <charset val="2"/>
      </rPr>
      <t>D</t>
    </r>
  </si>
  <si>
    <t>ratio</t>
  </si>
  <si>
    <t>n</t>
  </si>
  <si>
    <t>AVERAGE</t>
  </si>
  <si>
    <t>Lower CI</t>
  </si>
  <si>
    <t>Upper CI</t>
  </si>
  <si>
    <t>Test</t>
  </si>
  <si>
    <t>Reference</t>
  </si>
  <si>
    <t>Geometric Mean</t>
  </si>
  <si>
    <t>A/B %</t>
  </si>
  <si>
    <t>Pass/Fail?</t>
  </si>
  <si>
    <t>Mean</t>
  </si>
  <si>
    <t>SD</t>
  </si>
  <si>
    <t>MIN</t>
  </si>
  <si>
    <t>MAX</t>
  </si>
  <si>
    <t>Bootstrap Sample Size:</t>
  </si>
  <si>
    <t>Iteration</t>
  </si>
  <si>
    <t>Bootstrap Iterations:</t>
  </si>
  <si>
    <t>Frequency</t>
  </si>
  <si>
    <t>Percent</t>
  </si>
  <si>
    <t>Cumulative Frequency</t>
  </si>
  <si>
    <t>Cumulative Percent</t>
  </si>
  <si>
    <t>PASS</t>
  </si>
  <si>
    <t>FAIL</t>
  </si>
  <si>
    <t>N</t>
  </si>
  <si>
    <t>Variable</t>
  </si>
  <si>
    <t>Min</t>
  </si>
  <si>
    <t>Max</t>
  </si>
  <si>
    <t>Subject</t>
  </si>
  <si>
    <t>Result</t>
  </si>
  <si>
    <t>Ratio of</t>
  </si>
  <si>
    <t>Geometric Means</t>
  </si>
  <si>
    <t>Ratio</t>
  </si>
  <si>
    <t>%DONE:</t>
  </si>
  <si>
    <t>AUC_A</t>
  </si>
  <si>
    <t>AUC_B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</si>
</sst>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1" x14ac:knownFonts="1">
    <font>
      <sz val="10"/>
      <name val="Arial"/>
    </font>
    <font>
      <sz val="10"/>
      <name val="Arial"/>
      <family val="2"/>
    </font>
    <font>
      <sz val="8"/>
      <name val="Arial"/>
      <family val="2"/>
    </font>
    <font>
      <b/>
      <sz val="10"/>
      <name val="Arial"/>
      <family val="2"/>
    </font>
    <font>
      <sz val="10"/>
      <name val="Symbol"/>
      <family val="1"/>
      <charset val="2"/>
    </font>
    <font>
      <b/>
      <sz val="10"/>
      <color indexed="10"/>
      <name val="Arial"/>
      <family val="2"/>
    </font>
    <font>
      <b/>
      <sz val="10"/>
      <color indexed="57"/>
      <name val="Arial"/>
      <family val="2"/>
    </font>
    <font>
      <b/>
      <sz val="10"/>
      <color rgb="FF00B0F0"/>
      <name val="Arial"/>
      <family val="2"/>
    </font>
    <font>
      <sz val="10"/>
      <color rgb="FF000000"/>
      <name val="Arial"/>
      <family val="2"/>
    </font>
    <font>
      <sz val="10"/>
      <color theme="4"/>
      <name val="Arial"/>
      <family val="2"/>
    </font>
    <font>
      <sz val="8"/>
      <color rgb="FF000000"/>
      <name val="Segoe UI"/>
      <family val="2"/>
    </font>
  </fonts>
  <fills count="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59">
    <xf numFmtId="0" fontId="0" fillId="0" borderId="0" xfId="0"/>
    <xf numFmtId="0" fontId="0" fillId="2" borderId="0" xfId="0" applyFill="1"/>
    <xf numFmtId="0" fontId="3" fillId="2" borderId="0" xfId="0" applyFont="1" applyFill="1" applyAlignment="1">
      <alignment horizontal="center"/>
    </xf>
    <xf numFmtId="0" fontId="3" fillId="2" borderId="0" xfId="0" quotePrefix="1" applyFont="1" applyFill="1"/>
    <xf numFmtId="0" fontId="3" fillId="2" borderId="0" xfId="0" applyFont="1" applyFill="1"/>
    <xf numFmtId="0" fontId="0" fillId="2" borderId="1" xfId="0" applyFill="1" applyBorder="1"/>
    <xf numFmtId="164" fontId="0" fillId="2" borderId="1" xfId="0" applyNumberFormat="1" applyFill="1" applyBorder="1" applyAlignment="1">
      <alignment horizontal="center"/>
    </xf>
    <xf numFmtId="2" fontId="0" fillId="2" borderId="1" xfId="0" applyNumberFormat="1" applyFill="1" applyBorder="1" applyAlignment="1">
      <alignment horizontal="center"/>
    </xf>
    <xf numFmtId="2" fontId="0" fillId="2" borderId="1" xfId="0" applyNumberFormat="1" applyFill="1" applyBorder="1"/>
    <xf numFmtId="0" fontId="0" fillId="2" borderId="0" xfId="0" applyFill="1" applyAlignment="1">
      <alignment wrapText="1"/>
    </xf>
    <xf numFmtId="165" fontId="0" fillId="2" borderId="0" xfId="1" applyNumberFormat="1" applyFont="1" applyFill="1"/>
    <xf numFmtId="0" fontId="5" fillId="2" borderId="2" xfId="0" applyFont="1" applyFill="1" applyBorder="1"/>
    <xf numFmtId="0" fontId="5" fillId="2" borderId="0" xfId="0" applyFont="1" applyFill="1"/>
    <xf numFmtId="0" fontId="3" fillId="3" borderId="3" xfId="0" applyFont="1" applyFill="1" applyBorder="1"/>
    <xf numFmtId="0" fontId="0" fillId="3" borderId="0" xfId="0" applyFill="1"/>
    <xf numFmtId="0" fontId="3" fillId="3" borderId="0" xfId="0" applyFont="1" applyFill="1"/>
    <xf numFmtId="0" fontId="0" fillId="3" borderId="4" xfId="0" applyFill="1" applyBorder="1"/>
    <xf numFmtId="0" fontId="3" fillId="3" borderId="5" xfId="0" applyFont="1" applyFill="1" applyBorder="1" applyAlignment="1">
      <alignment horizontal="left"/>
    </xf>
    <xf numFmtId="0" fontId="3" fillId="3" borderId="6" xfId="0" applyFont="1" applyFill="1" applyBorder="1" applyAlignment="1">
      <alignment horizontal="left"/>
    </xf>
    <xf numFmtId="0" fontId="0" fillId="3" borderId="7" xfId="0" applyFill="1" applyBorder="1" applyAlignment="1">
      <alignment horizontal="center"/>
    </xf>
    <xf numFmtId="0" fontId="0" fillId="3" borderId="8" xfId="0" applyFill="1" applyBorder="1" applyAlignment="1">
      <alignment horizontal="center"/>
    </xf>
    <xf numFmtId="0" fontId="0" fillId="3" borderId="4" xfId="0" applyFill="1" applyBorder="1" applyAlignment="1">
      <alignment horizontal="center"/>
    </xf>
    <xf numFmtId="0" fontId="3" fillId="3" borderId="5" xfId="0" applyFont="1" applyFill="1" applyBorder="1" applyAlignment="1">
      <alignment horizontal="center"/>
    </xf>
    <xf numFmtId="0" fontId="3" fillId="3" borderId="6"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xf numFmtId="0" fontId="3" fillId="3" borderId="1"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xf>
    <xf numFmtId="0" fontId="3" fillId="3" borderId="10" xfId="0" applyFont="1" applyFill="1" applyBorder="1" applyAlignment="1">
      <alignment horizontal="center"/>
    </xf>
    <xf numFmtId="0" fontId="0" fillId="3" borderId="10" xfId="0" applyFill="1" applyBorder="1"/>
    <xf numFmtId="0" fontId="0" fillId="2" borderId="12" xfId="0" applyFill="1" applyBorder="1"/>
    <xf numFmtId="0" fontId="0" fillId="2" borderId="3" xfId="0" applyFill="1" applyBorder="1"/>
    <xf numFmtId="0" fontId="0" fillId="2" borderId="13" xfId="0" applyFill="1" applyBorder="1"/>
    <xf numFmtId="0" fontId="0" fillId="2" borderId="14" xfId="0" applyFill="1" applyBorder="1" applyAlignment="1">
      <alignment wrapText="1"/>
    </xf>
    <xf numFmtId="0" fontId="0" fillId="2" borderId="15" xfId="0" applyFill="1" applyBorder="1" applyAlignment="1">
      <alignment wrapText="1"/>
    </xf>
    <xf numFmtId="0" fontId="0" fillId="2" borderId="14" xfId="0" applyFill="1" applyBorder="1"/>
    <xf numFmtId="165" fontId="0" fillId="2" borderId="15" xfId="1" applyNumberFormat="1" applyFont="1" applyFill="1" applyBorder="1"/>
    <xf numFmtId="0" fontId="0" fillId="2" borderId="16" xfId="0" applyFill="1" applyBorder="1"/>
    <xf numFmtId="0" fontId="0" fillId="2" borderId="17" xfId="0" applyFill="1" applyBorder="1"/>
    <xf numFmtId="165" fontId="0" fillId="2" borderId="18" xfId="1" applyNumberFormat="1" applyFont="1" applyFill="1" applyBorder="1"/>
    <xf numFmtId="0" fontId="0" fillId="2" borderId="12" xfId="0" applyFill="1" applyBorder="1" applyAlignment="1">
      <alignment horizontal="center"/>
    </xf>
    <xf numFmtId="0" fontId="0" fillId="2" borderId="3" xfId="0" applyFill="1" applyBorder="1" applyAlignment="1">
      <alignment horizontal="right"/>
    </xf>
    <xf numFmtId="0" fontId="0" fillId="2" borderId="13" xfId="0" applyFill="1" applyBorder="1" applyAlignment="1">
      <alignment horizontal="right"/>
    </xf>
    <xf numFmtId="0" fontId="0" fillId="2" borderId="0" xfId="0" applyFill="1" applyAlignment="1">
      <alignment horizontal="right"/>
    </xf>
    <xf numFmtId="2" fontId="0" fillId="2" borderId="0" xfId="0" applyNumberFormat="1" applyFill="1" applyAlignment="1">
      <alignment horizontal="right"/>
    </xf>
    <xf numFmtId="2" fontId="0" fillId="2" borderId="15" xfId="0" applyNumberFormat="1" applyFill="1" applyBorder="1" applyAlignment="1">
      <alignment horizontal="right"/>
    </xf>
    <xf numFmtId="0" fontId="0" fillId="2" borderId="17" xfId="0" applyFill="1" applyBorder="1" applyAlignment="1">
      <alignment horizontal="right"/>
    </xf>
    <xf numFmtId="2" fontId="0" fillId="2" borderId="17" xfId="0" applyNumberFormat="1" applyFill="1" applyBorder="1" applyAlignment="1">
      <alignment horizontal="right"/>
    </xf>
    <xf numFmtId="2" fontId="0" fillId="2" borderId="18" xfId="0" applyNumberFormat="1" applyFill="1" applyBorder="1" applyAlignment="1">
      <alignment horizontal="right"/>
    </xf>
    <xf numFmtId="165" fontId="6" fillId="2" borderId="17" xfId="1" applyNumberFormat="1" applyFont="1" applyFill="1" applyBorder="1"/>
    <xf numFmtId="165" fontId="5" fillId="2" borderId="0" xfId="1" applyNumberFormat="1" applyFont="1" applyFill="1"/>
    <xf numFmtId="0" fontId="3" fillId="4" borderId="0" xfId="0" applyFont="1" applyFill="1"/>
    <xf numFmtId="0" fontId="0" fillId="4" borderId="0" xfId="0" applyFill="1"/>
    <xf numFmtId="0" fontId="3" fillId="3" borderId="8" xfId="0" applyFont="1" applyFill="1" applyBorder="1" applyAlignment="1">
      <alignment horizontal="center"/>
    </xf>
    <xf numFmtId="9" fontId="7" fillId="2" borderId="1" xfId="1" applyFont="1" applyFill="1" applyBorder="1"/>
    <xf numFmtId="0" fontId="3" fillId="0" borderId="0" xfId="0" applyFont="1"/>
    <xf numFmtId="0" fontId="9" fillId="0" borderId="0" xfId="0" applyFont="1"/>
    <xf numFmtId="0" fontId="1" fillId="2" borderId="0" xfId="0" applyFont="1" applyFill="1"/>
  </cellXfs>
  <cellStyles count="2">
    <cellStyle name="Normal" xfId="0" builtinId="0"/>
    <cellStyle name="Percent" xfId="1"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S$5" lockText="1" noThreeD="1"/>
</file>

<file path=xl/drawings/drawing1.xml><?xml version="1.0" encoding="utf-8"?>
<xdr:wsDr xmlns:xdr="http://schemas.openxmlformats.org/drawingml/2006/spreadsheetDrawing" xmlns:a="http://schemas.openxmlformats.org/drawingml/2006/main">
  <xdr:twoCellAnchor>
    <xdr:from>
      <xdr:col>4</xdr:col>
      <xdr:colOff>252730</xdr:colOff>
      <xdr:row>0</xdr:row>
      <xdr:rowOff>101598</xdr:rowOff>
    </xdr:from>
    <xdr:to>
      <xdr:col>13</xdr:col>
      <xdr:colOff>88900</xdr:colOff>
      <xdr:row>30</xdr:row>
      <xdr:rowOff>146050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691130" y="101598"/>
          <a:ext cx="5322570" cy="4813302"/>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Bootstrap</a:t>
          </a:r>
          <a:r>
            <a:rPr lang="en-US" sz="1400" b="1" baseline="0"/>
            <a:t> for a 2-Way Crossover Bioequivalence Trial</a:t>
          </a:r>
          <a:endParaRPr lang="en-US" sz="1400" b="1"/>
        </a:p>
        <a:p>
          <a:endParaRPr lang="en-US" sz="1100"/>
        </a:p>
        <a:p>
          <a:r>
            <a:rPr lang="en-US" sz="1100"/>
            <a:t>This spreasheet</a:t>
          </a:r>
          <a:r>
            <a:rPr lang="en-US" sz="1100" baseline="0"/>
            <a:t> bootstraps the chances of passing for a standard 2-way crossover study.</a:t>
          </a:r>
        </a:p>
        <a:p>
          <a:endParaRPr lang="en-US" sz="1100"/>
        </a:p>
        <a:p>
          <a:r>
            <a:rPr lang="en-US" sz="1100"/>
            <a:t>Replace the data here with data</a:t>
          </a:r>
          <a:r>
            <a:rPr lang="en-US" sz="1100" baseline="0"/>
            <a:t> from the parameter you would like to bootstrap. The data will need to be divided by treatment (all of treatment A in column B, and all of treatment B in column C).</a:t>
          </a:r>
        </a:p>
        <a:p>
          <a:endParaRPr lang="en-US" sz="1100" baseline="0"/>
        </a:p>
        <a:p>
          <a:r>
            <a:rPr lang="en-US" sz="1100" baseline="0"/>
            <a:t>Enter the Test/Reference ratios in Column D (copy the formula down if you need more rows). This column is used to visually identify anomalous subjects. Alternately, you can just delete or ignore Column D. The program does not require it.</a:t>
          </a:r>
        </a:p>
        <a:p>
          <a:endParaRPr lang="en-US" sz="1100" baseline="0"/>
        </a:p>
        <a:p>
          <a:r>
            <a:rPr lang="en-US" sz="1100" baseline="0"/>
            <a:t>Then click on the "Results" worksheet, change the bootstrap parameters as desired, and start the run by pressing "Run Bootstrap".</a:t>
          </a:r>
        </a:p>
        <a:p>
          <a:endParaRPr lang="en-US" sz="1100" baseline="0"/>
        </a:p>
        <a:p>
          <a:r>
            <a:rPr lang="en-US" sz="1100" b="1" baseline="0"/>
            <a:t>"Bootstrap Sample Size" </a:t>
          </a:r>
          <a:r>
            <a:rPr lang="en-US" sz="1100" baseline="0"/>
            <a:t>is the desired simulated sample size for a new study.</a:t>
          </a:r>
        </a:p>
        <a:p>
          <a:r>
            <a:rPr lang="en-US" sz="1100" b="1" baseline="0"/>
            <a:t>"Bootstrap Iterations" </a:t>
          </a:r>
          <a:r>
            <a:rPr lang="en-US" sz="1100" baseline="0"/>
            <a:t>is the number of randomly selected sets to select. Please pick a number &gt;=1000.</a:t>
          </a:r>
        </a:p>
        <a:p>
          <a:endParaRPr lang="en-US" sz="1100" baseline="0"/>
        </a:p>
        <a:p>
          <a:r>
            <a:rPr lang="en-US" sz="1100" baseline="0"/>
            <a:t>By default, this method randomly picks each subject preserving both their treatments. It assumes the bootstrapped subject would have the same Treatment A and Treatment B as in the original study.</a:t>
          </a:r>
        </a:p>
        <a:p>
          <a:endParaRPr lang="en-US" sz="1100" baseline="0"/>
        </a:p>
        <a:p>
          <a:r>
            <a:rPr lang="en-US" sz="1100" baseline="0"/>
            <a:t>If you'd like to decouple the test and reference treatments by subject, </a:t>
          </a:r>
          <a:r>
            <a:rPr lang="en-US" sz="1100" b="1" baseline="0"/>
            <a:t>uncheck</a:t>
          </a:r>
          <a:r>
            <a:rPr lang="en-US" sz="1100" baseline="0"/>
            <a:t> the selection box "</a:t>
          </a:r>
          <a:r>
            <a:rPr lang="en-US" sz="1100" b="1" baseline="0"/>
            <a:t>Each subject keeps their original Test AND Reference data</a:t>
          </a:r>
          <a:r>
            <a:rPr lang="en-US" sz="1100" baseline="0"/>
            <a:t>" in "Results". This will independently pick a value from the entire Treatment A pool, and then a value from the entire Treatment B poos for each new subject.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0</xdr:row>
          <xdr:rowOff>38100</xdr:rowOff>
        </xdr:from>
        <xdr:to>
          <xdr:col>5</xdr:col>
          <xdr:colOff>457200</xdr:colOff>
          <xdr:row>1</xdr:row>
          <xdr:rowOff>107950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Run Bootstrap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0</xdr:row>
          <xdr:rowOff>6350</xdr:rowOff>
        </xdr:from>
        <xdr:to>
          <xdr:col>12</xdr:col>
          <xdr:colOff>609600</xdr:colOff>
          <xdr:row>1</xdr:row>
          <xdr:rowOff>139700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Each subject keeps their original Test AND Reference data (Preserves IntraCV)</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00"/>
  <sheetViews>
    <sheetView tabSelected="1" workbookViewId="0">
      <selection activeCell="A2" sqref="A2"/>
    </sheetView>
  </sheetViews>
  <sheetFormatPr defaultRowHeight="12.5" x14ac:dyDescent="0.25"/>
  <cols>
    <col min="4" max="4" width="8.7265625" style="57"/>
  </cols>
  <sheetData>
    <row r="1" spans="1:4" ht="13" x14ac:dyDescent="0.3">
      <c r="A1" s="56" t="s">
        <v>29</v>
      </c>
      <c r="B1" s="56" t="s">
        <v>35</v>
      </c>
      <c r="C1" s="56" t="s">
        <v>36</v>
      </c>
      <c r="D1" s="56" t="s">
        <v>10</v>
      </c>
    </row>
    <row r="2" spans="1:4" x14ac:dyDescent="0.25">
      <c r="A2">
        <v>1</v>
      </c>
      <c r="B2">
        <v>364.74594999999999</v>
      </c>
      <c r="C2">
        <v>375.42599999999999</v>
      </c>
      <c r="D2" s="57">
        <f>IF(C2="","",100*B2/C2)</f>
        <v>97.155218338633986</v>
      </c>
    </row>
    <row r="3" spans="1:4" x14ac:dyDescent="0.25">
      <c r="A3">
        <v>2</v>
      </c>
      <c r="B3">
        <v>404.94560000000001</v>
      </c>
      <c r="C3">
        <v>595.03875000000005</v>
      </c>
      <c r="D3" s="57">
        <f t="shared" ref="D3:D66" si="0">IF(C3="","",100*B3/C3)</f>
        <v>68.053651968044093</v>
      </c>
    </row>
    <row r="4" spans="1:4" x14ac:dyDescent="0.25">
      <c r="D4" s="57" t="str">
        <f t="shared" si="0"/>
        <v/>
      </c>
    </row>
    <row r="5" spans="1:4" x14ac:dyDescent="0.25">
      <c r="D5" s="57" t="str">
        <f t="shared" si="0"/>
        <v/>
      </c>
    </row>
    <row r="6" spans="1:4" x14ac:dyDescent="0.25">
      <c r="D6" s="57" t="str">
        <f t="shared" si="0"/>
        <v/>
      </c>
    </row>
    <row r="7" spans="1:4" x14ac:dyDescent="0.25">
      <c r="D7" s="57" t="str">
        <f t="shared" si="0"/>
        <v/>
      </c>
    </row>
    <row r="8" spans="1:4" x14ac:dyDescent="0.25">
      <c r="D8" s="57" t="str">
        <f t="shared" si="0"/>
        <v/>
      </c>
    </row>
    <row r="9" spans="1:4" x14ac:dyDescent="0.25">
      <c r="D9" s="57" t="str">
        <f t="shared" si="0"/>
        <v/>
      </c>
    </row>
    <row r="10" spans="1:4" x14ac:dyDescent="0.25">
      <c r="D10" s="57" t="str">
        <f t="shared" si="0"/>
        <v/>
      </c>
    </row>
    <row r="11" spans="1:4" x14ac:dyDescent="0.25">
      <c r="D11" s="57" t="str">
        <f t="shared" si="0"/>
        <v/>
      </c>
    </row>
    <row r="12" spans="1:4" x14ac:dyDescent="0.25">
      <c r="D12" s="57" t="str">
        <f t="shared" si="0"/>
        <v/>
      </c>
    </row>
    <row r="13" spans="1:4" x14ac:dyDescent="0.25">
      <c r="D13" s="57" t="str">
        <f t="shared" si="0"/>
        <v/>
      </c>
    </row>
    <row r="14" spans="1:4" x14ac:dyDescent="0.25">
      <c r="D14" s="57" t="str">
        <f t="shared" si="0"/>
        <v/>
      </c>
    </row>
    <row r="15" spans="1:4" x14ac:dyDescent="0.25">
      <c r="D15" s="57" t="str">
        <f t="shared" si="0"/>
        <v/>
      </c>
    </row>
    <row r="16" spans="1:4" x14ac:dyDescent="0.25">
      <c r="D16" s="57" t="str">
        <f t="shared" si="0"/>
        <v/>
      </c>
    </row>
    <row r="17" spans="4:4" x14ac:dyDescent="0.25">
      <c r="D17" s="57" t="str">
        <f t="shared" si="0"/>
        <v/>
      </c>
    </row>
    <row r="18" spans="4:4" x14ac:dyDescent="0.25">
      <c r="D18" s="57" t="str">
        <f t="shared" si="0"/>
        <v/>
      </c>
    </row>
    <row r="19" spans="4:4" x14ac:dyDescent="0.25">
      <c r="D19" s="57" t="str">
        <f t="shared" si="0"/>
        <v/>
      </c>
    </row>
    <row r="20" spans="4:4" x14ac:dyDescent="0.25">
      <c r="D20" s="57" t="str">
        <f t="shared" si="0"/>
        <v/>
      </c>
    </row>
    <row r="21" spans="4:4" x14ac:dyDescent="0.25">
      <c r="D21" s="57" t="str">
        <f t="shared" si="0"/>
        <v/>
      </c>
    </row>
    <row r="22" spans="4:4" x14ac:dyDescent="0.25">
      <c r="D22" s="57" t="str">
        <f t="shared" si="0"/>
        <v/>
      </c>
    </row>
    <row r="23" spans="4:4" x14ac:dyDescent="0.25">
      <c r="D23" s="57" t="str">
        <f t="shared" si="0"/>
        <v/>
      </c>
    </row>
    <row r="24" spans="4:4" x14ac:dyDescent="0.25">
      <c r="D24" s="57" t="str">
        <f t="shared" si="0"/>
        <v/>
      </c>
    </row>
    <row r="25" spans="4:4" x14ac:dyDescent="0.25">
      <c r="D25" s="57" t="str">
        <f t="shared" si="0"/>
        <v/>
      </c>
    </row>
    <row r="26" spans="4:4" x14ac:dyDescent="0.25">
      <c r="D26" s="57" t="str">
        <f t="shared" si="0"/>
        <v/>
      </c>
    </row>
    <row r="27" spans="4:4" x14ac:dyDescent="0.25">
      <c r="D27" s="57" t="str">
        <f t="shared" si="0"/>
        <v/>
      </c>
    </row>
    <row r="28" spans="4:4" x14ac:dyDescent="0.25">
      <c r="D28" s="57" t="str">
        <f t="shared" si="0"/>
        <v/>
      </c>
    </row>
    <row r="29" spans="4:4" x14ac:dyDescent="0.25">
      <c r="D29" s="57" t="str">
        <f t="shared" si="0"/>
        <v/>
      </c>
    </row>
    <row r="30" spans="4:4" x14ac:dyDescent="0.25">
      <c r="D30" s="57" t="str">
        <f t="shared" si="0"/>
        <v/>
      </c>
    </row>
    <row r="31" spans="4:4" x14ac:dyDescent="0.25">
      <c r="D31" s="57" t="str">
        <f t="shared" si="0"/>
        <v/>
      </c>
    </row>
    <row r="32" spans="4:4" x14ac:dyDescent="0.25">
      <c r="D32" s="57" t="str">
        <f t="shared" si="0"/>
        <v/>
      </c>
    </row>
    <row r="33" spans="4:4" x14ac:dyDescent="0.25">
      <c r="D33" s="57" t="str">
        <f t="shared" si="0"/>
        <v/>
      </c>
    </row>
    <row r="34" spans="4:4" x14ac:dyDescent="0.25">
      <c r="D34" s="57" t="str">
        <f t="shared" si="0"/>
        <v/>
      </c>
    </row>
    <row r="35" spans="4:4" x14ac:dyDescent="0.25">
      <c r="D35" s="57" t="str">
        <f t="shared" si="0"/>
        <v/>
      </c>
    </row>
    <row r="36" spans="4:4" x14ac:dyDescent="0.25">
      <c r="D36" s="57" t="str">
        <f t="shared" si="0"/>
        <v/>
      </c>
    </row>
    <row r="37" spans="4:4" x14ac:dyDescent="0.25">
      <c r="D37" s="57" t="str">
        <f t="shared" si="0"/>
        <v/>
      </c>
    </row>
    <row r="38" spans="4:4" x14ac:dyDescent="0.25">
      <c r="D38" s="57" t="str">
        <f t="shared" si="0"/>
        <v/>
      </c>
    </row>
    <row r="39" spans="4:4" x14ac:dyDescent="0.25">
      <c r="D39" s="57" t="str">
        <f t="shared" si="0"/>
        <v/>
      </c>
    </row>
    <row r="40" spans="4:4" x14ac:dyDescent="0.25">
      <c r="D40" s="57" t="str">
        <f t="shared" si="0"/>
        <v/>
      </c>
    </row>
    <row r="41" spans="4:4" x14ac:dyDescent="0.25">
      <c r="D41" s="57" t="str">
        <f t="shared" si="0"/>
        <v/>
      </c>
    </row>
    <row r="42" spans="4:4" x14ac:dyDescent="0.25">
      <c r="D42" s="57" t="str">
        <f t="shared" si="0"/>
        <v/>
      </c>
    </row>
    <row r="43" spans="4:4" x14ac:dyDescent="0.25">
      <c r="D43" s="57" t="str">
        <f t="shared" si="0"/>
        <v/>
      </c>
    </row>
    <row r="44" spans="4:4" x14ac:dyDescent="0.25">
      <c r="D44" s="57" t="str">
        <f t="shared" si="0"/>
        <v/>
      </c>
    </row>
    <row r="45" spans="4:4" x14ac:dyDescent="0.25">
      <c r="D45" s="57" t="str">
        <f t="shared" si="0"/>
        <v/>
      </c>
    </row>
    <row r="46" spans="4:4" x14ac:dyDescent="0.25">
      <c r="D46" s="57" t="str">
        <f t="shared" si="0"/>
        <v/>
      </c>
    </row>
    <row r="47" spans="4:4" x14ac:dyDescent="0.25">
      <c r="D47" s="57" t="str">
        <f t="shared" si="0"/>
        <v/>
      </c>
    </row>
    <row r="48" spans="4:4" x14ac:dyDescent="0.25">
      <c r="D48" s="57" t="str">
        <f t="shared" si="0"/>
        <v/>
      </c>
    </row>
    <row r="49" spans="4:4" x14ac:dyDescent="0.25">
      <c r="D49" s="57" t="str">
        <f t="shared" si="0"/>
        <v/>
      </c>
    </row>
    <row r="50" spans="4:4" x14ac:dyDescent="0.25">
      <c r="D50" s="57" t="str">
        <f t="shared" si="0"/>
        <v/>
      </c>
    </row>
    <row r="51" spans="4:4" x14ac:dyDescent="0.25">
      <c r="D51" s="57" t="str">
        <f t="shared" si="0"/>
        <v/>
      </c>
    </row>
    <row r="52" spans="4:4" x14ac:dyDescent="0.25">
      <c r="D52" s="57" t="str">
        <f t="shared" si="0"/>
        <v/>
      </c>
    </row>
    <row r="53" spans="4:4" x14ac:dyDescent="0.25">
      <c r="D53" s="57" t="str">
        <f t="shared" si="0"/>
        <v/>
      </c>
    </row>
    <row r="54" spans="4:4" x14ac:dyDescent="0.25">
      <c r="D54" s="57" t="str">
        <f t="shared" si="0"/>
        <v/>
      </c>
    </row>
    <row r="55" spans="4:4" x14ac:dyDescent="0.25">
      <c r="D55" s="57" t="str">
        <f t="shared" si="0"/>
        <v/>
      </c>
    </row>
    <row r="56" spans="4:4" x14ac:dyDescent="0.25">
      <c r="D56" s="57" t="str">
        <f t="shared" si="0"/>
        <v/>
      </c>
    </row>
    <row r="57" spans="4:4" x14ac:dyDescent="0.25">
      <c r="D57" s="57" t="str">
        <f t="shared" si="0"/>
        <v/>
      </c>
    </row>
    <row r="58" spans="4:4" x14ac:dyDescent="0.25">
      <c r="D58" s="57" t="str">
        <f t="shared" si="0"/>
        <v/>
      </c>
    </row>
    <row r="59" spans="4:4" x14ac:dyDescent="0.25">
      <c r="D59" s="57" t="str">
        <f t="shared" si="0"/>
        <v/>
      </c>
    </row>
    <row r="60" spans="4:4" x14ac:dyDescent="0.25">
      <c r="D60" s="57" t="str">
        <f t="shared" si="0"/>
        <v/>
      </c>
    </row>
    <row r="61" spans="4:4" x14ac:dyDescent="0.25">
      <c r="D61" s="57" t="str">
        <f t="shared" si="0"/>
        <v/>
      </c>
    </row>
    <row r="62" spans="4:4" x14ac:dyDescent="0.25">
      <c r="D62" s="57" t="str">
        <f t="shared" si="0"/>
        <v/>
      </c>
    </row>
    <row r="63" spans="4:4" x14ac:dyDescent="0.25">
      <c r="D63" s="57" t="str">
        <f t="shared" si="0"/>
        <v/>
      </c>
    </row>
    <row r="64" spans="4:4" x14ac:dyDescent="0.25">
      <c r="D64" s="57" t="str">
        <f t="shared" si="0"/>
        <v/>
      </c>
    </row>
    <row r="65" spans="4:4" x14ac:dyDescent="0.25">
      <c r="D65" s="57" t="str">
        <f t="shared" si="0"/>
        <v/>
      </c>
    </row>
    <row r="66" spans="4:4" x14ac:dyDescent="0.25">
      <c r="D66" s="57" t="str">
        <f t="shared" si="0"/>
        <v/>
      </c>
    </row>
    <row r="67" spans="4:4" x14ac:dyDescent="0.25">
      <c r="D67" s="57" t="str">
        <f t="shared" ref="D67:D100" si="1">IF(C67="","",100*B67/C67)</f>
        <v/>
      </c>
    </row>
    <row r="68" spans="4:4" x14ac:dyDescent="0.25">
      <c r="D68" s="57" t="str">
        <f t="shared" si="1"/>
        <v/>
      </c>
    </row>
    <row r="69" spans="4:4" x14ac:dyDescent="0.25">
      <c r="D69" s="57" t="str">
        <f t="shared" si="1"/>
        <v/>
      </c>
    </row>
    <row r="70" spans="4:4" x14ac:dyDescent="0.25">
      <c r="D70" s="57" t="str">
        <f t="shared" si="1"/>
        <v/>
      </c>
    </row>
    <row r="71" spans="4:4" x14ac:dyDescent="0.25">
      <c r="D71" s="57" t="str">
        <f t="shared" si="1"/>
        <v/>
      </c>
    </row>
    <row r="72" spans="4:4" x14ac:dyDescent="0.25">
      <c r="D72" s="57" t="str">
        <f t="shared" si="1"/>
        <v/>
      </c>
    </row>
    <row r="73" spans="4:4" x14ac:dyDescent="0.25">
      <c r="D73" s="57" t="str">
        <f t="shared" si="1"/>
        <v/>
      </c>
    </row>
    <row r="74" spans="4:4" x14ac:dyDescent="0.25">
      <c r="D74" s="57" t="str">
        <f t="shared" si="1"/>
        <v/>
      </c>
    </row>
    <row r="75" spans="4:4" x14ac:dyDescent="0.25">
      <c r="D75" s="57" t="str">
        <f t="shared" si="1"/>
        <v/>
      </c>
    </row>
    <row r="76" spans="4:4" x14ac:dyDescent="0.25">
      <c r="D76" s="57" t="str">
        <f t="shared" si="1"/>
        <v/>
      </c>
    </row>
    <row r="77" spans="4:4" x14ac:dyDescent="0.25">
      <c r="D77" s="57" t="str">
        <f t="shared" si="1"/>
        <v/>
      </c>
    </row>
    <row r="78" spans="4:4" x14ac:dyDescent="0.25">
      <c r="D78" s="57" t="str">
        <f t="shared" si="1"/>
        <v/>
      </c>
    </row>
    <row r="79" spans="4:4" x14ac:dyDescent="0.25">
      <c r="D79" s="57" t="str">
        <f t="shared" si="1"/>
        <v/>
      </c>
    </row>
    <row r="80" spans="4:4" x14ac:dyDescent="0.25">
      <c r="D80" s="57" t="str">
        <f t="shared" si="1"/>
        <v/>
      </c>
    </row>
    <row r="81" spans="4:4" x14ac:dyDescent="0.25">
      <c r="D81" s="57" t="str">
        <f t="shared" si="1"/>
        <v/>
      </c>
    </row>
    <row r="82" spans="4:4" x14ac:dyDescent="0.25">
      <c r="D82" s="57" t="str">
        <f t="shared" si="1"/>
        <v/>
      </c>
    </row>
    <row r="83" spans="4:4" x14ac:dyDescent="0.25">
      <c r="D83" s="57" t="str">
        <f t="shared" si="1"/>
        <v/>
      </c>
    </row>
    <row r="84" spans="4:4" x14ac:dyDescent="0.25">
      <c r="D84" s="57" t="str">
        <f t="shared" si="1"/>
        <v/>
      </c>
    </row>
    <row r="85" spans="4:4" x14ac:dyDescent="0.25">
      <c r="D85" s="57" t="str">
        <f t="shared" si="1"/>
        <v/>
      </c>
    </row>
    <row r="86" spans="4:4" x14ac:dyDescent="0.25">
      <c r="D86" s="57" t="str">
        <f t="shared" si="1"/>
        <v/>
      </c>
    </row>
    <row r="87" spans="4:4" x14ac:dyDescent="0.25">
      <c r="D87" s="57" t="str">
        <f t="shared" si="1"/>
        <v/>
      </c>
    </row>
    <row r="88" spans="4:4" x14ac:dyDescent="0.25">
      <c r="D88" s="57" t="str">
        <f t="shared" si="1"/>
        <v/>
      </c>
    </row>
    <row r="89" spans="4:4" x14ac:dyDescent="0.25">
      <c r="D89" s="57" t="str">
        <f t="shared" si="1"/>
        <v/>
      </c>
    </row>
    <row r="90" spans="4:4" x14ac:dyDescent="0.25">
      <c r="D90" s="57" t="str">
        <f t="shared" si="1"/>
        <v/>
      </c>
    </row>
    <row r="91" spans="4:4" x14ac:dyDescent="0.25">
      <c r="D91" s="57" t="str">
        <f t="shared" si="1"/>
        <v/>
      </c>
    </row>
    <row r="92" spans="4:4" x14ac:dyDescent="0.25">
      <c r="D92" s="57" t="str">
        <f t="shared" si="1"/>
        <v/>
      </c>
    </row>
    <row r="93" spans="4:4" x14ac:dyDescent="0.25">
      <c r="D93" s="57" t="str">
        <f t="shared" si="1"/>
        <v/>
      </c>
    </row>
    <row r="94" spans="4:4" x14ac:dyDescent="0.25">
      <c r="D94" s="57" t="str">
        <f t="shared" si="1"/>
        <v/>
      </c>
    </row>
    <row r="95" spans="4:4" x14ac:dyDescent="0.25">
      <c r="D95" s="57" t="str">
        <f t="shared" si="1"/>
        <v/>
      </c>
    </row>
    <row r="96" spans="4:4" x14ac:dyDescent="0.25">
      <c r="D96" s="57" t="str">
        <f t="shared" si="1"/>
        <v/>
      </c>
    </row>
    <row r="97" spans="4:4" x14ac:dyDescent="0.25">
      <c r="D97" s="57" t="str">
        <f t="shared" si="1"/>
        <v/>
      </c>
    </row>
    <row r="98" spans="4:4" x14ac:dyDescent="0.25">
      <c r="D98" s="57" t="str">
        <f t="shared" si="1"/>
        <v/>
      </c>
    </row>
    <row r="99" spans="4:4" x14ac:dyDescent="0.25">
      <c r="D99" s="57" t="str">
        <f t="shared" si="1"/>
        <v/>
      </c>
    </row>
    <row r="100" spans="4:4" x14ac:dyDescent="0.25">
      <c r="D100" s="57" t="str">
        <f t="shared" si="1"/>
        <v/>
      </c>
    </row>
  </sheetData>
  <phoneticPr fontId="2" type="noConversion"/>
  <pageMargins left="0.75" right="0.75" top="1" bottom="1" header="0.5" footer="0.5"/>
  <pageSetup paperSize="123"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G1073"/>
  <sheetViews>
    <sheetView workbookViewId="0">
      <pane ySplit="1" topLeftCell="A2" activePane="bottomLeft" state="frozen"/>
      <selection pane="bottomLeft" activeCell="A2" sqref="A2"/>
    </sheetView>
  </sheetViews>
  <sheetFormatPr defaultColWidth="9.1796875" defaultRowHeight="12.5" x14ac:dyDescent="0.25"/>
  <cols>
    <col min="1" max="2" width="9.1796875" style="1"/>
    <col min="3" max="3" width="11.1796875" style="14" customWidth="1"/>
    <col min="4" max="5" width="9.1796875" style="1"/>
    <col min="6" max="6" width="11.453125" style="14" customWidth="1"/>
    <col min="7" max="7" width="12.453125" style="53" customWidth="1"/>
    <col min="8" max="16384" width="9.1796875" style="1"/>
  </cols>
  <sheetData>
    <row r="1" spans="1:7" ht="13" x14ac:dyDescent="0.3">
      <c r="A1" s="2" t="s">
        <v>29</v>
      </c>
      <c r="B1" s="2" t="str">
        <f>Data!B1</f>
        <v>AUC_A</v>
      </c>
      <c r="C1" s="13" t="str">
        <f>"ln("&amp;B1&amp;")"</f>
        <v>ln(AUC_A)</v>
      </c>
      <c r="D1" s="2" t="s">
        <v>29</v>
      </c>
      <c r="E1" s="2" t="str">
        <f>Data!C1</f>
        <v>AUC_B</v>
      </c>
      <c r="F1" s="15" t="str">
        <f>"ln("&amp;E1&amp;")"</f>
        <v>ln(AUC_B)</v>
      </c>
      <c r="G1" s="52" t="str">
        <f>"Delta"</f>
        <v>Delta</v>
      </c>
    </row>
    <row r="2" spans="1:7" x14ac:dyDescent="0.25">
      <c r="A2" s="1">
        <f ca="1">IF(ROW()&lt;=Results!$C$1+1,INDEX(Data!$A:$A,CEILING((COUNTA(Data!$A:$A)-1)*RAND()+1,1)),"")</f>
        <v>2</v>
      </c>
      <c r="B2" s="1">
        <f ca="1">IF(ROW()&lt;=Results!$C$1+1,VLOOKUP($A2,Data!$A$2:$C$117,2,TRUE),"")</f>
        <v>404.94560000000001</v>
      </c>
      <c r="C2" s="14">
        <f ca="1">IF(ROW()&lt;=Results!$C$1+1,IF(B2&lt;=0,"",LN(B2)),"")</f>
        <v>6.0037527370970132</v>
      </c>
      <c r="D2" s="58">
        <f ca="1">IF(Results!$S$5,A2,IF(ROW()&lt;=Results!$C$1+1,INDEX(Data!$A:$A,CEILING((COUNTA(Data!$A:$A)-1)*RAND()+1,1)),""))</f>
        <v>2</v>
      </c>
      <c r="E2" s="1">
        <f ca="1">IF(ROW()&lt;=Results!$C$1+1,VLOOKUP($D2,Data!$A$2:$C$117,3,TRUE),"")</f>
        <v>595.03875000000005</v>
      </c>
      <c r="F2" s="14">
        <f ca="1">IF(ROW()&lt;=Results!$C$1+1,IF(E2&lt;=0,"",LN(E2)),"")</f>
        <v>6.3886265294754407</v>
      </c>
      <c r="G2" s="53">
        <f ca="1">IF(ROW()&lt;=Results!$C$1+1,IF(ISERROR(C2-F2),"",C2-F2),"")</f>
        <v>-0.38487379237842756</v>
      </c>
    </row>
    <row r="3" spans="1:7" x14ac:dyDescent="0.25">
      <c r="A3" s="1">
        <f ca="1">IF(ROW()&lt;=Results!$C$1+1,INDEX(Data!$A:$A,CEILING((COUNTA(Data!$A:$A)-1)*RAND()+1,1)),"")</f>
        <v>2</v>
      </c>
      <c r="B3" s="1">
        <f ca="1">IF(ROW()&lt;=Results!$C$1+1,VLOOKUP($A3,Data!$A$2:$C$117,2,TRUE),"")</f>
        <v>404.94560000000001</v>
      </c>
      <c r="C3" s="14">
        <f ca="1">IF(ROW()&lt;=Results!$C$1+1,IF(B3&lt;=0,"",LN(B3)),"")</f>
        <v>6.0037527370970132</v>
      </c>
      <c r="D3" s="58">
        <f ca="1">IF(Results!$S$5,A3,IF(ROW()&lt;=Results!$C$1+1,INDEX(Data!$A:$A,CEILING((COUNTA(Data!$A:$A)-1)*RAND()+1,1)),""))</f>
        <v>2</v>
      </c>
      <c r="E3" s="1">
        <f ca="1">IF(ROW()&lt;=Results!$C$1+1,VLOOKUP($D3,Data!$A$2:$C$117,3,TRUE),"")</f>
        <v>595.03875000000005</v>
      </c>
      <c r="F3" s="14">
        <f ca="1">IF(ROW()&lt;=Results!$C$1+1,IF(E3&lt;=0,"",LN(E3)),"")</f>
        <v>6.3886265294754407</v>
      </c>
      <c r="G3" s="53">
        <f ca="1">IF(ROW()&lt;=Results!$C$1+1,IF(ISERROR(C3-F3),"",C3-F3),"")</f>
        <v>-0.38487379237842756</v>
      </c>
    </row>
    <row r="4" spans="1:7" x14ac:dyDescent="0.25">
      <c r="A4" s="1">
        <f ca="1">IF(ROW()&lt;=Results!$C$1+1,INDEX(Data!$A:$A,CEILING((COUNTA(Data!$A:$A)-1)*RAND()+1,1)),"")</f>
        <v>1</v>
      </c>
      <c r="B4" s="1">
        <f ca="1">IF(ROW()&lt;=Results!$C$1+1,VLOOKUP($A4,Data!$A$2:$C$117,2,TRUE),"")</f>
        <v>364.74594999999999</v>
      </c>
      <c r="C4" s="14">
        <f ca="1">IF(ROW()&lt;=Results!$C$1+1,IF(B4&lt;=0,"",LN(B4)),"")</f>
        <v>5.8992010838457061</v>
      </c>
      <c r="D4" s="58">
        <f ca="1">IF(Results!$S$5,A4,IF(ROW()&lt;=Results!$C$1+1,INDEX(Data!$A:$A,CEILING((COUNTA(Data!$A:$A)-1)*RAND()+1,1)),""))</f>
        <v>1</v>
      </c>
      <c r="E4" s="1">
        <f ca="1">IF(ROW()&lt;=Results!$C$1+1,VLOOKUP($D4,Data!$A$2:$C$117,3,TRUE),"")</f>
        <v>375.42599999999999</v>
      </c>
      <c r="F4" s="14">
        <f ca="1">IF(ROW()&lt;=Results!$C$1+1,IF(E4&lt;=0,"",LN(E4)),"")</f>
        <v>5.9280613812106626</v>
      </c>
      <c r="G4" s="53">
        <f ca="1">IF(ROW()&lt;=Results!$C$1+1,IF(ISERROR(C4-F4),"",C4-F4),"")</f>
        <v>-2.8860297364956544E-2</v>
      </c>
    </row>
    <row r="5" spans="1:7" x14ac:dyDescent="0.25">
      <c r="A5" s="1">
        <f ca="1">IF(ROW()&lt;=Results!$C$1+1,INDEX(Data!$A:$A,CEILING((COUNTA(Data!$A:$A)-1)*RAND()+1,1)),"")</f>
        <v>1</v>
      </c>
      <c r="B5" s="1">
        <f ca="1">IF(ROW()&lt;=Results!$C$1+1,VLOOKUP($A5,Data!$A$2:$C$117,2,TRUE),"")</f>
        <v>364.74594999999999</v>
      </c>
      <c r="C5" s="14">
        <f ca="1">IF(ROW()&lt;=Results!$C$1+1,IF(B5&lt;=0,"",LN(B5)),"")</f>
        <v>5.8992010838457061</v>
      </c>
      <c r="D5" s="58">
        <f ca="1">IF(Results!$S$5,A5,IF(ROW()&lt;=Results!$C$1+1,INDEX(Data!$A:$A,CEILING((COUNTA(Data!$A:$A)-1)*RAND()+1,1)),""))</f>
        <v>1</v>
      </c>
      <c r="E5" s="1">
        <f ca="1">IF(ROW()&lt;=Results!$C$1+1,VLOOKUP($D5,Data!$A$2:$C$117,3,TRUE),"")</f>
        <v>375.42599999999999</v>
      </c>
      <c r="F5" s="14">
        <f ca="1">IF(ROW()&lt;=Results!$C$1+1,IF(E5&lt;=0,"",LN(E5)),"")</f>
        <v>5.9280613812106626</v>
      </c>
      <c r="G5" s="53">
        <f ca="1">IF(ROW()&lt;=Results!$C$1+1,IF(ISERROR(C5-F5),"",C5-F5),"")</f>
        <v>-2.8860297364956544E-2</v>
      </c>
    </row>
    <row r="6" spans="1:7" x14ac:dyDescent="0.25">
      <c r="A6" s="1">
        <f ca="1">IF(ROW()&lt;=Results!$C$1+1,INDEX(Data!$A:$A,CEILING((COUNTA(Data!$A:$A)-1)*RAND()+1,1)),"")</f>
        <v>2</v>
      </c>
      <c r="B6" s="1">
        <f ca="1">IF(ROW()&lt;=Results!$C$1+1,VLOOKUP($A6,Data!$A$2:$C$117,2,TRUE),"")</f>
        <v>404.94560000000001</v>
      </c>
      <c r="C6" s="14">
        <f ca="1">IF(ROW()&lt;=Results!$C$1+1,IF(B6&lt;=0,"",LN(B6)),"")</f>
        <v>6.0037527370970132</v>
      </c>
      <c r="D6" s="58">
        <f ca="1">IF(Results!$S$5,A6,IF(ROW()&lt;=Results!$C$1+1,INDEX(Data!$A:$A,CEILING((COUNTA(Data!$A:$A)-1)*RAND()+1,1)),""))</f>
        <v>2</v>
      </c>
      <c r="E6" s="1">
        <f ca="1">IF(ROW()&lt;=Results!$C$1+1,VLOOKUP($D6,Data!$A$2:$C$117,3,TRUE),"")</f>
        <v>595.03875000000005</v>
      </c>
      <c r="F6" s="14">
        <f ca="1">IF(ROW()&lt;=Results!$C$1+1,IF(E6&lt;=0,"",LN(E6)),"")</f>
        <v>6.3886265294754407</v>
      </c>
      <c r="G6" s="53">
        <f ca="1">IF(ROW()&lt;=Results!$C$1+1,IF(ISERROR(C6-F6),"",C6-F6),"")</f>
        <v>-0.38487379237842756</v>
      </c>
    </row>
    <row r="7" spans="1:7" x14ac:dyDescent="0.25">
      <c r="A7" s="1">
        <f ca="1">IF(ROW()&lt;=Results!$C$1+1,INDEX(Data!$A:$A,CEILING((COUNTA(Data!$A:$A)-1)*RAND()+1,1)),"")</f>
        <v>1</v>
      </c>
      <c r="B7" s="1">
        <f ca="1">IF(ROW()&lt;=Results!$C$1+1,VLOOKUP($A7,Data!$A$2:$C$117,2,TRUE),"")</f>
        <v>364.74594999999999</v>
      </c>
      <c r="C7" s="14">
        <f ca="1">IF(ROW()&lt;=Results!$C$1+1,IF(B7&lt;=0,"",LN(B7)),"")</f>
        <v>5.8992010838457061</v>
      </c>
      <c r="D7" s="58">
        <f ca="1">IF(Results!$S$5,A7,IF(ROW()&lt;=Results!$C$1+1,INDEX(Data!$A:$A,CEILING((COUNTA(Data!$A:$A)-1)*RAND()+1,1)),""))</f>
        <v>1</v>
      </c>
      <c r="E7" s="1">
        <f ca="1">IF(ROW()&lt;=Results!$C$1+1,VLOOKUP($D7,Data!$A$2:$C$117,3,TRUE),"")</f>
        <v>375.42599999999999</v>
      </c>
      <c r="F7" s="14">
        <f ca="1">IF(ROW()&lt;=Results!$C$1+1,IF(E7&lt;=0,"",LN(E7)),"")</f>
        <v>5.9280613812106626</v>
      </c>
      <c r="G7" s="53">
        <f ca="1">IF(ROW()&lt;=Results!$C$1+1,IF(ISERROR(C7-F7),"",C7-F7),"")</f>
        <v>-2.8860297364956544E-2</v>
      </c>
    </row>
    <row r="8" spans="1:7" x14ac:dyDescent="0.25">
      <c r="A8" s="1">
        <f ca="1">IF(ROW()&lt;=Results!$C$1+1,INDEX(Data!$A:$A,CEILING((COUNTA(Data!$A:$A)-1)*RAND()+1,1)),"")</f>
        <v>1</v>
      </c>
      <c r="B8" s="1">
        <f ca="1">IF(ROW()&lt;=Results!$C$1+1,VLOOKUP($A8,Data!$A$2:$C$117,2,TRUE),"")</f>
        <v>364.74594999999999</v>
      </c>
      <c r="C8" s="14">
        <f ca="1">IF(ROW()&lt;=Results!$C$1+1,IF(B8&lt;=0,"",LN(B8)),"")</f>
        <v>5.8992010838457061</v>
      </c>
      <c r="D8" s="58">
        <f ca="1">IF(Results!$S$5,A8,IF(ROW()&lt;=Results!$C$1+1,INDEX(Data!$A:$A,CEILING((COUNTA(Data!$A:$A)-1)*RAND()+1,1)),""))</f>
        <v>1</v>
      </c>
      <c r="E8" s="1">
        <f ca="1">IF(ROW()&lt;=Results!$C$1+1,VLOOKUP($D8,Data!$A$2:$C$117,3,TRUE),"")</f>
        <v>375.42599999999999</v>
      </c>
      <c r="F8" s="14">
        <f ca="1">IF(ROW()&lt;=Results!$C$1+1,IF(E8&lt;=0,"",LN(E8)),"")</f>
        <v>5.9280613812106626</v>
      </c>
      <c r="G8" s="53">
        <f ca="1">IF(ROW()&lt;=Results!$C$1+1,IF(ISERROR(C8-F8),"",C8-F8),"")</f>
        <v>-2.8860297364956544E-2</v>
      </c>
    </row>
    <row r="9" spans="1:7" x14ac:dyDescent="0.25">
      <c r="A9" s="1">
        <f ca="1">IF(ROW()&lt;=Results!$C$1+1,INDEX(Data!$A:$A,CEILING((COUNTA(Data!$A:$A)-1)*RAND()+1,1)),"")</f>
        <v>2</v>
      </c>
      <c r="B9" s="1">
        <f ca="1">IF(ROW()&lt;=Results!$C$1+1,VLOOKUP($A9,Data!$A$2:$C$117,2,TRUE),"")</f>
        <v>404.94560000000001</v>
      </c>
      <c r="C9" s="14">
        <f ca="1">IF(ROW()&lt;=Results!$C$1+1,IF(B9&lt;=0,"",LN(B9)),"")</f>
        <v>6.0037527370970132</v>
      </c>
      <c r="D9" s="58">
        <f ca="1">IF(Results!$S$5,A9,IF(ROW()&lt;=Results!$C$1+1,INDEX(Data!$A:$A,CEILING((COUNTA(Data!$A:$A)-1)*RAND()+1,1)),""))</f>
        <v>2</v>
      </c>
      <c r="E9" s="1">
        <f ca="1">IF(ROW()&lt;=Results!$C$1+1,VLOOKUP($D9,Data!$A$2:$C$117,3,TRUE),"")</f>
        <v>595.03875000000005</v>
      </c>
      <c r="F9" s="14">
        <f ca="1">IF(ROW()&lt;=Results!$C$1+1,IF(E9&lt;=0,"",LN(E9)),"")</f>
        <v>6.3886265294754407</v>
      </c>
      <c r="G9" s="53">
        <f ca="1">IF(ROW()&lt;=Results!$C$1+1,IF(ISERROR(C9-F9),"",C9-F9),"")</f>
        <v>-0.38487379237842756</v>
      </c>
    </row>
    <row r="10" spans="1:7" x14ac:dyDescent="0.25">
      <c r="A10" s="1">
        <f ca="1">IF(ROW()&lt;=Results!$C$1+1,INDEX(Data!$A:$A,CEILING((COUNTA(Data!$A:$A)-1)*RAND()+1,1)),"")</f>
        <v>2</v>
      </c>
      <c r="B10" s="1">
        <f ca="1">IF(ROW()&lt;=Results!$C$1+1,VLOOKUP($A10,Data!$A$2:$C$117,2,TRUE),"")</f>
        <v>404.94560000000001</v>
      </c>
      <c r="C10" s="14">
        <f ca="1">IF(ROW()&lt;=Results!$C$1+1,IF(B10&lt;=0,"",LN(B10)),"")</f>
        <v>6.0037527370970132</v>
      </c>
      <c r="D10" s="58">
        <f ca="1">IF(Results!$S$5,A10,IF(ROW()&lt;=Results!$C$1+1,INDEX(Data!$A:$A,CEILING((COUNTA(Data!$A:$A)-1)*RAND()+1,1)),""))</f>
        <v>2</v>
      </c>
      <c r="E10" s="1">
        <f ca="1">IF(ROW()&lt;=Results!$C$1+1,VLOOKUP($D10,Data!$A$2:$C$117,3,TRUE),"")</f>
        <v>595.03875000000005</v>
      </c>
      <c r="F10" s="14">
        <f ca="1">IF(ROW()&lt;=Results!$C$1+1,IF(E10&lt;=0,"",LN(E10)),"")</f>
        <v>6.3886265294754407</v>
      </c>
      <c r="G10" s="53">
        <f ca="1">IF(ROW()&lt;=Results!$C$1+1,IF(ISERROR(C10-F10),"",C10-F10),"")</f>
        <v>-0.38487379237842756</v>
      </c>
    </row>
    <row r="11" spans="1:7" x14ac:dyDescent="0.25">
      <c r="A11" s="1">
        <f ca="1">IF(ROW()&lt;=Results!$C$1+1,INDEX(Data!$A:$A,CEILING((COUNTA(Data!$A:$A)-1)*RAND()+1,1)),"")</f>
        <v>1</v>
      </c>
      <c r="B11" s="1">
        <f ca="1">IF(ROW()&lt;=Results!$C$1+1,VLOOKUP($A11,Data!$A$2:$C$117,2,TRUE),"")</f>
        <v>364.74594999999999</v>
      </c>
      <c r="C11" s="14">
        <f ca="1">IF(ROW()&lt;=Results!$C$1+1,IF(B11&lt;=0,"",LN(B11)),"")</f>
        <v>5.8992010838457061</v>
      </c>
      <c r="D11" s="58">
        <f ca="1">IF(Results!$S$5,A11,IF(ROW()&lt;=Results!$C$1+1,INDEX(Data!$A:$A,CEILING((COUNTA(Data!$A:$A)-1)*RAND()+1,1)),""))</f>
        <v>1</v>
      </c>
      <c r="E11" s="1">
        <f ca="1">IF(ROW()&lt;=Results!$C$1+1,VLOOKUP($D11,Data!$A$2:$C$117,3,TRUE),"")</f>
        <v>375.42599999999999</v>
      </c>
      <c r="F11" s="14">
        <f ca="1">IF(ROW()&lt;=Results!$C$1+1,IF(E11&lt;=0,"",LN(E11)),"")</f>
        <v>5.9280613812106626</v>
      </c>
      <c r="G11" s="53">
        <f ca="1">IF(ROW()&lt;=Results!$C$1+1,IF(ISERROR(C11-F11),"",C11-F11),"")</f>
        <v>-2.8860297364956544E-2</v>
      </c>
    </row>
    <row r="12" spans="1:7" x14ac:dyDescent="0.25">
      <c r="A12" s="1">
        <f ca="1">IF(ROW()&lt;=Results!$C$1+1,INDEX(Data!$A:$A,CEILING((COUNTA(Data!$A:$A)-1)*RAND()+1,1)),"")</f>
        <v>2</v>
      </c>
      <c r="B12" s="1">
        <f ca="1">IF(ROW()&lt;=Results!$C$1+1,VLOOKUP($A12,Data!$A$2:$C$117,2,TRUE),"")</f>
        <v>404.94560000000001</v>
      </c>
      <c r="C12" s="14">
        <f ca="1">IF(ROW()&lt;=Results!$C$1+1,IF(B12&lt;=0,"",LN(B12)),"")</f>
        <v>6.0037527370970132</v>
      </c>
      <c r="D12" s="58">
        <f ca="1">IF(Results!$S$5,A12,IF(ROW()&lt;=Results!$C$1+1,INDEX(Data!$A:$A,CEILING((COUNTA(Data!$A:$A)-1)*RAND()+1,1)),""))</f>
        <v>2</v>
      </c>
      <c r="E12" s="1">
        <f ca="1">IF(ROW()&lt;=Results!$C$1+1,VLOOKUP($D12,Data!$A$2:$C$117,3,TRUE),"")</f>
        <v>595.03875000000005</v>
      </c>
      <c r="F12" s="14">
        <f ca="1">IF(ROW()&lt;=Results!$C$1+1,IF(E12&lt;=0,"",LN(E12)),"")</f>
        <v>6.3886265294754407</v>
      </c>
      <c r="G12" s="53">
        <f ca="1">IF(ROW()&lt;=Results!$C$1+1,IF(ISERROR(C12-F12),"",C12-F12),"")</f>
        <v>-0.38487379237842756</v>
      </c>
    </row>
    <row r="13" spans="1:7" x14ac:dyDescent="0.25">
      <c r="A13" s="1">
        <f ca="1">IF(ROW()&lt;=Results!$C$1+1,INDEX(Data!$A:$A,CEILING((COUNTA(Data!$A:$A)-1)*RAND()+1,1)),"")</f>
        <v>1</v>
      </c>
      <c r="B13" s="1">
        <f ca="1">IF(ROW()&lt;=Results!$C$1+1,VLOOKUP($A13,Data!$A$2:$C$117,2,TRUE),"")</f>
        <v>364.74594999999999</v>
      </c>
      <c r="C13" s="14">
        <f ca="1">IF(ROW()&lt;=Results!$C$1+1,IF(B13&lt;=0,"",LN(B13)),"")</f>
        <v>5.8992010838457061</v>
      </c>
      <c r="D13" s="58">
        <f ca="1">IF(Results!$S$5,A13,IF(ROW()&lt;=Results!$C$1+1,INDEX(Data!$A:$A,CEILING((COUNTA(Data!$A:$A)-1)*RAND()+1,1)),""))</f>
        <v>1</v>
      </c>
      <c r="E13" s="1">
        <f ca="1">IF(ROW()&lt;=Results!$C$1+1,VLOOKUP($D13,Data!$A$2:$C$117,3,TRUE),"")</f>
        <v>375.42599999999999</v>
      </c>
      <c r="F13" s="14">
        <f ca="1">IF(ROW()&lt;=Results!$C$1+1,IF(E13&lt;=0,"",LN(E13)),"")</f>
        <v>5.9280613812106626</v>
      </c>
      <c r="G13" s="53">
        <f ca="1">IF(ROW()&lt;=Results!$C$1+1,IF(ISERROR(C13-F13),"",C13-F13),"")</f>
        <v>-2.8860297364956544E-2</v>
      </c>
    </row>
    <row r="14" spans="1:7" x14ac:dyDescent="0.25">
      <c r="A14" s="1">
        <f ca="1">IF(ROW()&lt;=Results!$C$1+1,INDEX(Data!$A:$A,CEILING((COUNTA(Data!$A:$A)-1)*RAND()+1,1)),"")</f>
        <v>2</v>
      </c>
      <c r="B14" s="1">
        <f ca="1">IF(ROW()&lt;=Results!$C$1+1,VLOOKUP($A14,Data!$A$2:$C$117,2,TRUE),"")</f>
        <v>404.94560000000001</v>
      </c>
      <c r="C14" s="14">
        <f ca="1">IF(ROW()&lt;=Results!$C$1+1,IF(B14&lt;=0,"",LN(B14)),"")</f>
        <v>6.0037527370970132</v>
      </c>
      <c r="D14" s="58">
        <f ca="1">IF(Results!$S$5,A14,IF(ROW()&lt;=Results!$C$1+1,INDEX(Data!$A:$A,CEILING((COUNTA(Data!$A:$A)-1)*RAND()+1,1)),""))</f>
        <v>2</v>
      </c>
      <c r="E14" s="1">
        <f ca="1">IF(ROW()&lt;=Results!$C$1+1,VLOOKUP($D14,Data!$A$2:$C$117,3,TRUE),"")</f>
        <v>595.03875000000005</v>
      </c>
      <c r="F14" s="14">
        <f ca="1">IF(ROW()&lt;=Results!$C$1+1,IF(E14&lt;=0,"",LN(E14)),"")</f>
        <v>6.3886265294754407</v>
      </c>
      <c r="G14" s="53">
        <f ca="1">IF(ROW()&lt;=Results!$C$1+1,IF(ISERROR(C14-F14),"",C14-F14),"")</f>
        <v>-0.38487379237842756</v>
      </c>
    </row>
    <row r="15" spans="1:7" x14ac:dyDescent="0.25">
      <c r="A15" s="1">
        <f ca="1">IF(ROW()&lt;=Results!$C$1+1,INDEX(Data!$A:$A,CEILING((COUNTA(Data!$A:$A)-1)*RAND()+1,1)),"")</f>
        <v>1</v>
      </c>
      <c r="B15" s="1">
        <f ca="1">IF(ROW()&lt;=Results!$C$1+1,VLOOKUP($A15,Data!$A$2:$C$117,2,TRUE),"")</f>
        <v>364.74594999999999</v>
      </c>
      <c r="C15" s="14">
        <f ca="1">IF(ROW()&lt;=Results!$C$1+1,IF(B15&lt;=0,"",LN(B15)),"")</f>
        <v>5.8992010838457061</v>
      </c>
      <c r="D15" s="58">
        <f ca="1">IF(Results!$S$5,A15,IF(ROW()&lt;=Results!$C$1+1,INDEX(Data!$A:$A,CEILING((COUNTA(Data!$A:$A)-1)*RAND()+1,1)),""))</f>
        <v>1</v>
      </c>
      <c r="E15" s="1">
        <f ca="1">IF(ROW()&lt;=Results!$C$1+1,VLOOKUP($D15,Data!$A$2:$C$117,3,TRUE),"")</f>
        <v>375.42599999999999</v>
      </c>
      <c r="F15" s="14">
        <f ca="1">IF(ROW()&lt;=Results!$C$1+1,IF(E15&lt;=0,"",LN(E15)),"")</f>
        <v>5.9280613812106626</v>
      </c>
      <c r="G15" s="53">
        <f ca="1">IF(ROW()&lt;=Results!$C$1+1,IF(ISERROR(C15-F15),"",C15-F15),"")</f>
        <v>-2.8860297364956544E-2</v>
      </c>
    </row>
    <row r="16" spans="1:7" x14ac:dyDescent="0.25">
      <c r="A16" s="1">
        <f ca="1">IF(ROW()&lt;=Results!$C$1+1,INDEX(Data!$A:$A,CEILING((COUNTA(Data!$A:$A)-1)*RAND()+1,1)),"")</f>
        <v>2</v>
      </c>
      <c r="B16" s="1">
        <f ca="1">IF(ROW()&lt;=Results!$C$1+1,VLOOKUP($A16,Data!$A$2:$C$117,2,TRUE),"")</f>
        <v>404.94560000000001</v>
      </c>
      <c r="C16" s="14">
        <f ca="1">IF(ROW()&lt;=Results!$C$1+1,IF(B16&lt;=0,"",LN(B16)),"")</f>
        <v>6.0037527370970132</v>
      </c>
      <c r="D16" s="58">
        <f ca="1">IF(Results!$S$5,A16,IF(ROW()&lt;=Results!$C$1+1,INDEX(Data!$A:$A,CEILING((COUNTA(Data!$A:$A)-1)*RAND()+1,1)),""))</f>
        <v>2</v>
      </c>
      <c r="E16" s="1">
        <f ca="1">IF(ROW()&lt;=Results!$C$1+1,VLOOKUP($D16,Data!$A$2:$C$117,3,TRUE),"")</f>
        <v>595.03875000000005</v>
      </c>
      <c r="F16" s="14">
        <f ca="1">IF(ROW()&lt;=Results!$C$1+1,IF(E16&lt;=0,"",LN(E16)),"")</f>
        <v>6.3886265294754407</v>
      </c>
      <c r="G16" s="53">
        <f ca="1">IF(ROW()&lt;=Results!$C$1+1,IF(ISERROR(C16-F16),"",C16-F16),"")</f>
        <v>-0.38487379237842756</v>
      </c>
    </row>
    <row r="17" spans="1:7" x14ac:dyDescent="0.25">
      <c r="A17" s="1">
        <f ca="1">IF(ROW()&lt;=Results!$C$1+1,INDEX(Data!$A:$A,CEILING((COUNTA(Data!$A:$A)-1)*RAND()+1,1)),"")</f>
        <v>2</v>
      </c>
      <c r="B17" s="1">
        <f ca="1">IF(ROW()&lt;=Results!$C$1+1,VLOOKUP($A17,Data!$A$2:$C$117,2,TRUE),"")</f>
        <v>404.94560000000001</v>
      </c>
      <c r="C17" s="14">
        <f ca="1">IF(ROW()&lt;=Results!$C$1+1,IF(B17&lt;=0,"",LN(B17)),"")</f>
        <v>6.0037527370970132</v>
      </c>
      <c r="D17" s="58">
        <f ca="1">IF(Results!$S$5,A17,IF(ROW()&lt;=Results!$C$1+1,INDEX(Data!$A:$A,CEILING((COUNTA(Data!$A:$A)-1)*RAND()+1,1)),""))</f>
        <v>2</v>
      </c>
      <c r="E17" s="1">
        <f ca="1">IF(ROW()&lt;=Results!$C$1+1,VLOOKUP($D17,Data!$A$2:$C$117,3,TRUE),"")</f>
        <v>595.03875000000005</v>
      </c>
      <c r="F17" s="14">
        <f ca="1">IF(ROW()&lt;=Results!$C$1+1,IF(E17&lt;=0,"",LN(E17)),"")</f>
        <v>6.3886265294754407</v>
      </c>
      <c r="G17" s="53">
        <f ca="1">IF(ROW()&lt;=Results!$C$1+1,IF(ISERROR(C17-F17),"",C17-F17),"")</f>
        <v>-0.38487379237842756</v>
      </c>
    </row>
    <row r="18" spans="1:7" x14ac:dyDescent="0.25">
      <c r="A18" s="1">
        <f ca="1">IF(ROW()&lt;=Results!$C$1+1,INDEX(Data!$A:$A,CEILING((COUNTA(Data!$A:$A)-1)*RAND()+1,1)),"")</f>
        <v>2</v>
      </c>
      <c r="B18" s="1">
        <f ca="1">IF(ROW()&lt;=Results!$C$1+1,VLOOKUP($A18,Data!$A$2:$C$117,2,TRUE),"")</f>
        <v>404.94560000000001</v>
      </c>
      <c r="C18" s="14">
        <f ca="1">IF(ROW()&lt;=Results!$C$1+1,IF(B18&lt;=0,"",LN(B18)),"")</f>
        <v>6.0037527370970132</v>
      </c>
      <c r="D18" s="58">
        <f ca="1">IF(Results!$S$5,A18,IF(ROW()&lt;=Results!$C$1+1,INDEX(Data!$A:$A,CEILING((COUNTA(Data!$A:$A)-1)*RAND()+1,1)),""))</f>
        <v>2</v>
      </c>
      <c r="E18" s="1">
        <f ca="1">IF(ROW()&lt;=Results!$C$1+1,VLOOKUP($D18,Data!$A$2:$C$117,3,TRUE),"")</f>
        <v>595.03875000000005</v>
      </c>
      <c r="F18" s="14">
        <f ca="1">IF(ROW()&lt;=Results!$C$1+1,IF(E18&lt;=0,"",LN(E18)),"")</f>
        <v>6.3886265294754407</v>
      </c>
      <c r="G18" s="53">
        <f ca="1">IF(ROW()&lt;=Results!$C$1+1,IF(ISERROR(C18-F18),"",C18-F18),"")</f>
        <v>-0.38487379237842756</v>
      </c>
    </row>
    <row r="19" spans="1:7" x14ac:dyDescent="0.25">
      <c r="A19" s="1">
        <f ca="1">IF(ROW()&lt;=Results!$C$1+1,INDEX(Data!$A:$A,CEILING((COUNTA(Data!$A:$A)-1)*RAND()+1,1)),"")</f>
        <v>1</v>
      </c>
      <c r="B19" s="1">
        <f ca="1">IF(ROW()&lt;=Results!$C$1+1,VLOOKUP($A19,Data!$A$2:$C$117,2,TRUE),"")</f>
        <v>364.74594999999999</v>
      </c>
      <c r="C19" s="14">
        <f ca="1">IF(ROW()&lt;=Results!$C$1+1,IF(B19&lt;=0,"",LN(B19)),"")</f>
        <v>5.8992010838457061</v>
      </c>
      <c r="D19" s="58">
        <f ca="1">IF(Results!$S$5,A19,IF(ROW()&lt;=Results!$C$1+1,INDEX(Data!$A:$A,CEILING((COUNTA(Data!$A:$A)-1)*RAND()+1,1)),""))</f>
        <v>1</v>
      </c>
      <c r="E19" s="1">
        <f ca="1">IF(ROW()&lt;=Results!$C$1+1,VLOOKUP($D19,Data!$A$2:$C$117,3,TRUE),"")</f>
        <v>375.42599999999999</v>
      </c>
      <c r="F19" s="14">
        <f ca="1">IF(ROW()&lt;=Results!$C$1+1,IF(E19&lt;=0,"",LN(E19)),"")</f>
        <v>5.9280613812106626</v>
      </c>
      <c r="G19" s="53">
        <f ca="1">IF(ROW()&lt;=Results!$C$1+1,IF(ISERROR(C19-F19),"",C19-F19),"")</f>
        <v>-2.8860297364956544E-2</v>
      </c>
    </row>
    <row r="20" spans="1:7" x14ac:dyDescent="0.25">
      <c r="A20" s="1">
        <f ca="1">IF(ROW()&lt;=Results!$C$1+1,INDEX(Data!$A:$A,CEILING((COUNTA(Data!$A:$A)-1)*RAND()+1,1)),"")</f>
        <v>1</v>
      </c>
      <c r="B20" s="1">
        <f ca="1">IF(ROW()&lt;=Results!$C$1+1,VLOOKUP($A20,Data!$A$2:$C$117,2,TRUE),"")</f>
        <v>364.74594999999999</v>
      </c>
      <c r="C20" s="14">
        <f ca="1">IF(ROW()&lt;=Results!$C$1+1,IF(B20&lt;=0,"",LN(B20)),"")</f>
        <v>5.8992010838457061</v>
      </c>
      <c r="D20" s="58">
        <f ca="1">IF(Results!$S$5,A20,IF(ROW()&lt;=Results!$C$1+1,INDEX(Data!$A:$A,CEILING((COUNTA(Data!$A:$A)-1)*RAND()+1,1)),""))</f>
        <v>1</v>
      </c>
      <c r="E20" s="1">
        <f ca="1">IF(ROW()&lt;=Results!$C$1+1,VLOOKUP($D20,Data!$A$2:$C$117,3,TRUE),"")</f>
        <v>375.42599999999999</v>
      </c>
      <c r="F20" s="14">
        <f ca="1">IF(ROW()&lt;=Results!$C$1+1,IF(E20&lt;=0,"",LN(E20)),"")</f>
        <v>5.9280613812106626</v>
      </c>
      <c r="G20" s="53">
        <f ca="1">IF(ROW()&lt;=Results!$C$1+1,IF(ISERROR(C20-F20),"",C20-F20),"")</f>
        <v>-2.8860297364956544E-2</v>
      </c>
    </row>
    <row r="21" spans="1:7" x14ac:dyDescent="0.25">
      <c r="A21" s="1">
        <f ca="1">IF(ROW()&lt;=Results!$C$1+1,INDEX(Data!$A:$A,CEILING((COUNTA(Data!$A:$A)-1)*RAND()+1,1)),"")</f>
        <v>2</v>
      </c>
      <c r="B21" s="1">
        <f ca="1">IF(ROW()&lt;=Results!$C$1+1,VLOOKUP($A21,Data!$A$2:$C$117,2,TRUE),"")</f>
        <v>404.94560000000001</v>
      </c>
      <c r="C21" s="14">
        <f ca="1">IF(ROW()&lt;=Results!$C$1+1,IF(B21&lt;=0,"",LN(B21)),"")</f>
        <v>6.0037527370970132</v>
      </c>
      <c r="D21" s="58">
        <f ca="1">IF(Results!$S$5,A21,IF(ROW()&lt;=Results!$C$1+1,INDEX(Data!$A:$A,CEILING((COUNTA(Data!$A:$A)-1)*RAND()+1,1)),""))</f>
        <v>2</v>
      </c>
      <c r="E21" s="1">
        <f ca="1">IF(ROW()&lt;=Results!$C$1+1,VLOOKUP($D21,Data!$A$2:$C$117,3,TRUE),"")</f>
        <v>595.03875000000005</v>
      </c>
      <c r="F21" s="14">
        <f ca="1">IF(ROW()&lt;=Results!$C$1+1,IF(E21&lt;=0,"",LN(E21)),"")</f>
        <v>6.3886265294754407</v>
      </c>
      <c r="G21" s="53">
        <f ca="1">IF(ROW()&lt;=Results!$C$1+1,IF(ISERROR(C21-F21),"",C21-F21),"")</f>
        <v>-0.38487379237842756</v>
      </c>
    </row>
    <row r="22" spans="1:7" x14ac:dyDescent="0.25">
      <c r="A22" s="1">
        <f ca="1">IF(ROW()&lt;=Results!$C$1+1,INDEX(Data!$A:$A,CEILING((COUNTA(Data!$A:$A)-1)*RAND()+1,1)),"")</f>
        <v>1</v>
      </c>
      <c r="B22" s="1">
        <f ca="1">IF(ROW()&lt;=Results!$C$1+1,VLOOKUP($A22,Data!$A$2:$C$117,2,TRUE),"")</f>
        <v>364.74594999999999</v>
      </c>
      <c r="C22" s="14">
        <f ca="1">IF(ROW()&lt;=Results!$C$1+1,IF(B22&lt;=0,"",LN(B22)),"")</f>
        <v>5.8992010838457061</v>
      </c>
      <c r="D22" s="58">
        <f ca="1">IF(Results!$S$5,A22,IF(ROW()&lt;=Results!$C$1+1,INDEX(Data!$A:$A,CEILING((COUNTA(Data!$A:$A)-1)*RAND()+1,1)),""))</f>
        <v>1</v>
      </c>
      <c r="E22" s="1">
        <f ca="1">IF(ROW()&lt;=Results!$C$1+1,VLOOKUP($D22,Data!$A$2:$C$117,3,TRUE),"")</f>
        <v>375.42599999999999</v>
      </c>
      <c r="F22" s="14">
        <f ca="1">IF(ROW()&lt;=Results!$C$1+1,IF(E22&lt;=0,"",LN(E22)),"")</f>
        <v>5.9280613812106626</v>
      </c>
      <c r="G22" s="53">
        <f ca="1">IF(ROW()&lt;=Results!$C$1+1,IF(ISERROR(C22-F22),"",C22-F22),"")</f>
        <v>-2.8860297364956544E-2</v>
      </c>
    </row>
    <row r="23" spans="1:7" x14ac:dyDescent="0.25">
      <c r="A23" s="1">
        <f ca="1">IF(ROW()&lt;=Results!$C$1+1,INDEX(Data!$A:$A,CEILING((COUNTA(Data!$A:$A)-1)*RAND()+1,1)),"")</f>
        <v>2</v>
      </c>
      <c r="B23" s="1">
        <f ca="1">IF(ROW()&lt;=Results!$C$1+1,VLOOKUP($A23,Data!$A$2:$C$117,2,TRUE),"")</f>
        <v>404.94560000000001</v>
      </c>
      <c r="C23" s="14">
        <f ca="1">IF(ROW()&lt;=Results!$C$1+1,IF(B23&lt;=0,"",LN(B23)),"")</f>
        <v>6.0037527370970132</v>
      </c>
      <c r="D23" s="58">
        <f ca="1">IF(Results!$S$5,A23,IF(ROW()&lt;=Results!$C$1+1,INDEX(Data!$A:$A,CEILING((COUNTA(Data!$A:$A)-1)*RAND()+1,1)),""))</f>
        <v>2</v>
      </c>
      <c r="E23" s="1">
        <f ca="1">IF(ROW()&lt;=Results!$C$1+1,VLOOKUP($D23,Data!$A$2:$C$117,3,TRUE),"")</f>
        <v>595.03875000000005</v>
      </c>
      <c r="F23" s="14">
        <f ca="1">IF(ROW()&lt;=Results!$C$1+1,IF(E23&lt;=0,"",LN(E23)),"")</f>
        <v>6.3886265294754407</v>
      </c>
      <c r="G23" s="53">
        <f ca="1">IF(ROW()&lt;=Results!$C$1+1,IF(ISERROR(C23-F23),"",C23-F23),"")</f>
        <v>-0.38487379237842756</v>
      </c>
    </row>
    <row r="24" spans="1:7" x14ac:dyDescent="0.25">
      <c r="A24" s="1">
        <f ca="1">IF(ROW()&lt;=Results!$C$1+1,INDEX(Data!$A:$A,CEILING((COUNTA(Data!$A:$A)-1)*RAND()+1,1)),"")</f>
        <v>1</v>
      </c>
      <c r="B24" s="1">
        <f ca="1">IF(ROW()&lt;=Results!$C$1+1,VLOOKUP($A24,Data!$A$2:$C$117,2,TRUE),"")</f>
        <v>364.74594999999999</v>
      </c>
      <c r="C24" s="14">
        <f ca="1">IF(ROW()&lt;=Results!$C$1+1,IF(B24&lt;=0,"",LN(B24)),"")</f>
        <v>5.8992010838457061</v>
      </c>
      <c r="D24" s="58">
        <f ca="1">IF(Results!$S$5,A24,IF(ROW()&lt;=Results!$C$1+1,INDEX(Data!$A:$A,CEILING((COUNTA(Data!$A:$A)-1)*RAND()+1,1)),""))</f>
        <v>1</v>
      </c>
      <c r="E24" s="1">
        <f ca="1">IF(ROW()&lt;=Results!$C$1+1,VLOOKUP($D24,Data!$A$2:$C$117,3,TRUE),"")</f>
        <v>375.42599999999999</v>
      </c>
      <c r="F24" s="14">
        <f ca="1">IF(ROW()&lt;=Results!$C$1+1,IF(E24&lt;=0,"",LN(E24)),"")</f>
        <v>5.9280613812106626</v>
      </c>
      <c r="G24" s="53">
        <f ca="1">IF(ROW()&lt;=Results!$C$1+1,IF(ISERROR(C24-F24),"",C24-F24),"")</f>
        <v>-2.8860297364956544E-2</v>
      </c>
    </row>
    <row r="25" spans="1:7" x14ac:dyDescent="0.25">
      <c r="A25" s="1">
        <f ca="1">IF(ROW()&lt;=Results!$C$1+1,INDEX(Data!$A:$A,CEILING((COUNTA(Data!$A:$A)-1)*RAND()+1,1)),"")</f>
        <v>1</v>
      </c>
      <c r="B25" s="1">
        <f ca="1">IF(ROW()&lt;=Results!$C$1+1,VLOOKUP($A25,Data!$A$2:$C$117,2,TRUE),"")</f>
        <v>364.74594999999999</v>
      </c>
      <c r="C25" s="14">
        <f ca="1">IF(ROW()&lt;=Results!$C$1+1,IF(B25&lt;=0,"",LN(B25)),"")</f>
        <v>5.8992010838457061</v>
      </c>
      <c r="D25" s="58">
        <f ca="1">IF(Results!$S$5,A25,IF(ROW()&lt;=Results!$C$1+1,INDEX(Data!$A:$A,CEILING((COUNTA(Data!$A:$A)-1)*RAND()+1,1)),""))</f>
        <v>1</v>
      </c>
      <c r="E25" s="1">
        <f ca="1">IF(ROW()&lt;=Results!$C$1+1,VLOOKUP($D25,Data!$A$2:$C$117,3,TRUE),"")</f>
        <v>375.42599999999999</v>
      </c>
      <c r="F25" s="14">
        <f ca="1">IF(ROW()&lt;=Results!$C$1+1,IF(E25&lt;=0,"",LN(E25)),"")</f>
        <v>5.9280613812106626</v>
      </c>
      <c r="G25" s="53">
        <f ca="1">IF(ROW()&lt;=Results!$C$1+1,IF(ISERROR(C25-F25),"",C25-F25),"")</f>
        <v>-2.8860297364956544E-2</v>
      </c>
    </row>
    <row r="26" spans="1:7" x14ac:dyDescent="0.25">
      <c r="A26" s="1">
        <f ca="1">IF(ROW()&lt;=Results!$C$1+1,INDEX(Data!$A:$A,CEILING((COUNTA(Data!$A:$A)-1)*RAND()+1,1)),"")</f>
        <v>1</v>
      </c>
      <c r="B26" s="1">
        <f ca="1">IF(ROW()&lt;=Results!$C$1+1,VLOOKUP($A26,Data!$A$2:$C$117,2,TRUE),"")</f>
        <v>364.74594999999999</v>
      </c>
      <c r="C26" s="14">
        <f ca="1">IF(ROW()&lt;=Results!$C$1+1,IF(B26&lt;=0,"",LN(B26)),"")</f>
        <v>5.8992010838457061</v>
      </c>
      <c r="D26" s="58">
        <f ca="1">IF(Results!$S$5,A26,IF(ROW()&lt;=Results!$C$1+1,INDEX(Data!$A:$A,CEILING((COUNTA(Data!$A:$A)-1)*RAND()+1,1)),""))</f>
        <v>1</v>
      </c>
      <c r="E26" s="1">
        <f ca="1">IF(ROW()&lt;=Results!$C$1+1,VLOOKUP($D26,Data!$A$2:$C$117,3,TRUE),"")</f>
        <v>375.42599999999999</v>
      </c>
      <c r="F26" s="14">
        <f ca="1">IF(ROW()&lt;=Results!$C$1+1,IF(E26&lt;=0,"",LN(E26)),"")</f>
        <v>5.9280613812106626</v>
      </c>
      <c r="G26" s="53">
        <f ca="1">IF(ROW()&lt;=Results!$C$1+1,IF(ISERROR(C26-F26),"",C26-F26),"")</f>
        <v>-2.8860297364956544E-2</v>
      </c>
    </row>
    <row r="27" spans="1:7" x14ac:dyDescent="0.25">
      <c r="A27" s="1">
        <f ca="1">IF(ROW()&lt;=Results!$C$1+1,INDEX(Data!$A:$A,CEILING((COUNTA(Data!$A:$A)-1)*RAND()+1,1)),"")</f>
        <v>2</v>
      </c>
      <c r="B27" s="1">
        <f ca="1">IF(ROW()&lt;=Results!$C$1+1,VLOOKUP($A27,Data!$A$2:$C$117,2,TRUE),"")</f>
        <v>404.94560000000001</v>
      </c>
      <c r="C27" s="14">
        <f ca="1">IF(ROW()&lt;=Results!$C$1+1,IF(B27&lt;=0,"",LN(B27)),"")</f>
        <v>6.0037527370970132</v>
      </c>
      <c r="D27" s="58">
        <f ca="1">IF(Results!$S$5,A27,IF(ROW()&lt;=Results!$C$1+1,INDEX(Data!$A:$A,CEILING((COUNTA(Data!$A:$A)-1)*RAND()+1,1)),""))</f>
        <v>2</v>
      </c>
      <c r="E27" s="1">
        <f ca="1">IF(ROW()&lt;=Results!$C$1+1,VLOOKUP($D27,Data!$A$2:$C$117,3,TRUE),"")</f>
        <v>595.03875000000005</v>
      </c>
      <c r="F27" s="14">
        <f ca="1">IF(ROW()&lt;=Results!$C$1+1,IF(E27&lt;=0,"",LN(E27)),"")</f>
        <v>6.3886265294754407</v>
      </c>
      <c r="G27" s="53">
        <f ca="1">IF(ROW()&lt;=Results!$C$1+1,IF(ISERROR(C27-F27),"",C27-F27),"")</f>
        <v>-0.38487379237842756</v>
      </c>
    </row>
    <row r="28" spans="1:7" x14ac:dyDescent="0.25">
      <c r="A28" s="1">
        <f ca="1">IF(ROW()&lt;=Results!$C$1+1,INDEX(Data!$A:$A,CEILING((COUNTA(Data!$A:$A)-1)*RAND()+1,1)),"")</f>
        <v>2</v>
      </c>
      <c r="B28" s="1">
        <f ca="1">IF(ROW()&lt;=Results!$C$1+1,VLOOKUP($A28,Data!$A$2:$C$117,2,TRUE),"")</f>
        <v>404.94560000000001</v>
      </c>
      <c r="C28" s="14">
        <f ca="1">IF(ROW()&lt;=Results!$C$1+1,IF(B28&lt;=0,"",LN(B28)),"")</f>
        <v>6.0037527370970132</v>
      </c>
      <c r="D28" s="58">
        <f ca="1">IF(Results!$S$5,A28,IF(ROW()&lt;=Results!$C$1+1,INDEX(Data!$A:$A,CEILING((COUNTA(Data!$A:$A)-1)*RAND()+1,1)),""))</f>
        <v>2</v>
      </c>
      <c r="E28" s="1">
        <f ca="1">IF(ROW()&lt;=Results!$C$1+1,VLOOKUP($D28,Data!$A$2:$C$117,3,TRUE),"")</f>
        <v>595.03875000000005</v>
      </c>
      <c r="F28" s="14">
        <f ca="1">IF(ROW()&lt;=Results!$C$1+1,IF(E28&lt;=0,"",LN(E28)),"")</f>
        <v>6.3886265294754407</v>
      </c>
      <c r="G28" s="53">
        <f ca="1">IF(ROW()&lt;=Results!$C$1+1,IF(ISERROR(C28-F28),"",C28-F28),"")</f>
        <v>-0.38487379237842756</v>
      </c>
    </row>
    <row r="29" spans="1:7" x14ac:dyDescent="0.25">
      <c r="A29" s="1">
        <f ca="1">IF(ROW()&lt;=Results!$C$1+1,INDEX(Data!$A:$A,CEILING((COUNTA(Data!$A:$A)-1)*RAND()+1,1)),"")</f>
        <v>2</v>
      </c>
      <c r="B29" s="1">
        <f ca="1">IF(ROW()&lt;=Results!$C$1+1,VLOOKUP($A29,Data!$A$2:$C$117,2,TRUE),"")</f>
        <v>404.94560000000001</v>
      </c>
      <c r="C29" s="14">
        <f ca="1">IF(ROW()&lt;=Results!$C$1+1,IF(B29&lt;=0,"",LN(B29)),"")</f>
        <v>6.0037527370970132</v>
      </c>
      <c r="D29" s="58">
        <f ca="1">IF(Results!$S$5,A29,IF(ROW()&lt;=Results!$C$1+1,INDEX(Data!$A:$A,CEILING((COUNTA(Data!$A:$A)-1)*RAND()+1,1)),""))</f>
        <v>2</v>
      </c>
      <c r="E29" s="1">
        <f ca="1">IF(ROW()&lt;=Results!$C$1+1,VLOOKUP($D29,Data!$A$2:$C$117,3,TRUE),"")</f>
        <v>595.03875000000005</v>
      </c>
      <c r="F29" s="14">
        <f ca="1">IF(ROW()&lt;=Results!$C$1+1,IF(E29&lt;=0,"",LN(E29)),"")</f>
        <v>6.3886265294754407</v>
      </c>
      <c r="G29" s="53">
        <f ca="1">IF(ROW()&lt;=Results!$C$1+1,IF(ISERROR(C29-F29),"",C29-F29),"")</f>
        <v>-0.38487379237842756</v>
      </c>
    </row>
    <row r="30" spans="1:7" x14ac:dyDescent="0.25">
      <c r="A30" s="1">
        <f ca="1">IF(ROW()&lt;=Results!$C$1+1,INDEX(Data!$A:$A,CEILING((COUNTA(Data!$A:$A)-1)*RAND()+1,1)),"")</f>
        <v>2</v>
      </c>
      <c r="B30" s="1">
        <f ca="1">IF(ROW()&lt;=Results!$C$1+1,VLOOKUP($A30,Data!$A$2:$C$117,2,TRUE),"")</f>
        <v>404.94560000000001</v>
      </c>
      <c r="C30" s="14">
        <f ca="1">IF(ROW()&lt;=Results!$C$1+1,IF(B30&lt;=0,"",LN(B30)),"")</f>
        <v>6.0037527370970132</v>
      </c>
      <c r="D30" s="58">
        <f ca="1">IF(Results!$S$5,A30,IF(ROW()&lt;=Results!$C$1+1,INDEX(Data!$A:$A,CEILING((COUNTA(Data!$A:$A)-1)*RAND()+1,1)),""))</f>
        <v>2</v>
      </c>
      <c r="E30" s="1">
        <f ca="1">IF(ROW()&lt;=Results!$C$1+1,VLOOKUP($D30,Data!$A$2:$C$117,3,TRUE),"")</f>
        <v>595.03875000000005</v>
      </c>
      <c r="F30" s="14">
        <f ca="1">IF(ROW()&lt;=Results!$C$1+1,IF(E30&lt;=0,"",LN(E30)),"")</f>
        <v>6.3886265294754407</v>
      </c>
      <c r="G30" s="53">
        <f ca="1">IF(ROW()&lt;=Results!$C$1+1,IF(ISERROR(C30-F30),"",C30-F30),"")</f>
        <v>-0.38487379237842756</v>
      </c>
    </row>
    <row r="31" spans="1:7" x14ac:dyDescent="0.25">
      <c r="A31" s="1">
        <f ca="1">IF(ROW()&lt;=Results!$C$1+1,INDEX(Data!$A:$A,CEILING((COUNTA(Data!$A:$A)-1)*RAND()+1,1)),"")</f>
        <v>2</v>
      </c>
      <c r="B31" s="1">
        <f ca="1">IF(ROW()&lt;=Results!$C$1+1,VLOOKUP($A31,Data!$A$2:$C$117,2,TRUE),"")</f>
        <v>404.94560000000001</v>
      </c>
      <c r="C31" s="14">
        <f ca="1">IF(ROW()&lt;=Results!$C$1+1,IF(B31&lt;=0,"",LN(B31)),"")</f>
        <v>6.0037527370970132</v>
      </c>
      <c r="D31" s="58">
        <f ca="1">IF(Results!$S$5,A31,IF(ROW()&lt;=Results!$C$1+1,INDEX(Data!$A:$A,CEILING((COUNTA(Data!$A:$A)-1)*RAND()+1,1)),""))</f>
        <v>2</v>
      </c>
      <c r="E31" s="1">
        <f ca="1">IF(ROW()&lt;=Results!$C$1+1,VLOOKUP($D31,Data!$A$2:$C$117,3,TRUE),"")</f>
        <v>595.03875000000005</v>
      </c>
      <c r="F31" s="14">
        <f ca="1">IF(ROW()&lt;=Results!$C$1+1,IF(E31&lt;=0,"",LN(E31)),"")</f>
        <v>6.3886265294754407</v>
      </c>
      <c r="G31" s="53">
        <f ca="1">IF(ROW()&lt;=Results!$C$1+1,IF(ISERROR(C31-F31),"",C31-F31),"")</f>
        <v>-0.38487379237842756</v>
      </c>
    </row>
    <row r="32" spans="1:7" x14ac:dyDescent="0.25">
      <c r="A32" s="1">
        <f ca="1">IF(ROW()&lt;=Results!$C$1+1,INDEX(Data!$A:$A,CEILING((COUNTA(Data!$A:$A)-1)*RAND()+1,1)),"")</f>
        <v>2</v>
      </c>
      <c r="B32" s="1">
        <f ca="1">IF(ROW()&lt;=Results!$C$1+1,VLOOKUP($A32,Data!$A$2:$C$117,2,TRUE),"")</f>
        <v>404.94560000000001</v>
      </c>
      <c r="C32" s="14">
        <f ca="1">IF(ROW()&lt;=Results!$C$1+1,IF(B32&lt;=0,"",LN(B32)),"")</f>
        <v>6.0037527370970132</v>
      </c>
      <c r="D32" s="58">
        <f ca="1">IF(Results!$S$5,A32,IF(ROW()&lt;=Results!$C$1+1,INDEX(Data!$A:$A,CEILING((COUNTA(Data!$A:$A)-1)*RAND()+1,1)),""))</f>
        <v>2</v>
      </c>
      <c r="E32" s="1">
        <f ca="1">IF(ROW()&lt;=Results!$C$1+1,VLOOKUP($D32,Data!$A$2:$C$117,3,TRUE),"")</f>
        <v>595.03875000000005</v>
      </c>
      <c r="F32" s="14">
        <f ca="1">IF(ROW()&lt;=Results!$C$1+1,IF(E32&lt;=0,"",LN(E32)),"")</f>
        <v>6.3886265294754407</v>
      </c>
      <c r="G32" s="53">
        <f ca="1">IF(ROW()&lt;=Results!$C$1+1,IF(ISERROR(C32-F32),"",C32-F32),"")</f>
        <v>-0.38487379237842756</v>
      </c>
    </row>
    <row r="33" spans="1:7" x14ac:dyDescent="0.25">
      <c r="A33" s="1">
        <f ca="1">IF(ROW()&lt;=Results!$C$1+1,INDEX(Data!$A:$A,CEILING((COUNTA(Data!$A:$A)-1)*RAND()+1,1)),"")</f>
        <v>1</v>
      </c>
      <c r="B33" s="1">
        <f ca="1">IF(ROW()&lt;=Results!$C$1+1,VLOOKUP($A33,Data!$A$2:$C$117,2,TRUE),"")</f>
        <v>364.74594999999999</v>
      </c>
      <c r="C33" s="14">
        <f ca="1">IF(ROW()&lt;=Results!$C$1+1,IF(B33&lt;=0,"",LN(B33)),"")</f>
        <v>5.8992010838457061</v>
      </c>
      <c r="D33" s="58">
        <f ca="1">IF(Results!$S$5,A33,IF(ROW()&lt;=Results!$C$1+1,INDEX(Data!$A:$A,CEILING((COUNTA(Data!$A:$A)-1)*RAND()+1,1)),""))</f>
        <v>1</v>
      </c>
      <c r="E33" s="1">
        <f ca="1">IF(ROW()&lt;=Results!$C$1+1,VLOOKUP($D33,Data!$A$2:$C$117,3,TRUE),"")</f>
        <v>375.42599999999999</v>
      </c>
      <c r="F33" s="14">
        <f ca="1">IF(ROW()&lt;=Results!$C$1+1,IF(E33&lt;=0,"",LN(E33)),"")</f>
        <v>5.9280613812106626</v>
      </c>
      <c r="G33" s="53">
        <f ca="1">IF(ROW()&lt;=Results!$C$1+1,IF(ISERROR(C33-F33),"",C33-F33),"")</f>
        <v>-2.8860297364956544E-2</v>
      </c>
    </row>
    <row r="34" spans="1:7" x14ac:dyDescent="0.25">
      <c r="A34" s="1">
        <f ca="1">IF(ROW()&lt;=Results!$C$1+1,INDEX(Data!$A:$A,CEILING((COUNTA(Data!$A:$A)-1)*RAND()+1,1)),"")</f>
        <v>1</v>
      </c>
      <c r="B34" s="1">
        <f ca="1">IF(ROW()&lt;=Results!$C$1+1,VLOOKUP($A34,Data!$A$2:$C$117,2,TRUE),"")</f>
        <v>364.74594999999999</v>
      </c>
      <c r="C34" s="14">
        <f ca="1">IF(ROW()&lt;=Results!$C$1+1,IF(B34&lt;=0,"",LN(B34)),"")</f>
        <v>5.8992010838457061</v>
      </c>
      <c r="D34" s="58">
        <f ca="1">IF(Results!$S$5,A34,IF(ROW()&lt;=Results!$C$1+1,INDEX(Data!$A:$A,CEILING((COUNTA(Data!$A:$A)-1)*RAND()+1,1)),""))</f>
        <v>1</v>
      </c>
      <c r="E34" s="1">
        <f ca="1">IF(ROW()&lt;=Results!$C$1+1,VLOOKUP($D34,Data!$A$2:$C$117,3,TRUE),"")</f>
        <v>375.42599999999999</v>
      </c>
      <c r="F34" s="14">
        <f ca="1">IF(ROW()&lt;=Results!$C$1+1,IF(E34&lt;=0,"",LN(E34)),"")</f>
        <v>5.9280613812106626</v>
      </c>
      <c r="G34" s="53">
        <f ca="1">IF(ROW()&lt;=Results!$C$1+1,IF(ISERROR(C34-F34),"",C34-F34),"")</f>
        <v>-2.8860297364956544E-2</v>
      </c>
    </row>
    <row r="35" spans="1:7" x14ac:dyDescent="0.25">
      <c r="A35" s="1">
        <f ca="1">IF(ROW()&lt;=Results!$C$1+1,INDEX(Data!$A:$A,CEILING((COUNTA(Data!$A:$A)-1)*RAND()+1,1)),"")</f>
        <v>2</v>
      </c>
      <c r="B35" s="1">
        <f ca="1">IF(ROW()&lt;=Results!$C$1+1,VLOOKUP($A35,Data!$A$2:$C$117,2,TRUE),"")</f>
        <v>404.94560000000001</v>
      </c>
      <c r="C35" s="14">
        <f ca="1">IF(ROW()&lt;=Results!$C$1+1,IF(B35&lt;=0,"",LN(B35)),"")</f>
        <v>6.0037527370970132</v>
      </c>
      <c r="D35" s="58">
        <f ca="1">IF(Results!$S$5,A35,IF(ROW()&lt;=Results!$C$1+1,INDEX(Data!$A:$A,CEILING((COUNTA(Data!$A:$A)-1)*RAND()+1,1)),""))</f>
        <v>2</v>
      </c>
      <c r="E35" s="1">
        <f ca="1">IF(ROW()&lt;=Results!$C$1+1,VLOOKUP($D35,Data!$A$2:$C$117,3,TRUE),"")</f>
        <v>595.03875000000005</v>
      </c>
      <c r="F35" s="14">
        <f ca="1">IF(ROW()&lt;=Results!$C$1+1,IF(E35&lt;=0,"",LN(E35)),"")</f>
        <v>6.3886265294754407</v>
      </c>
      <c r="G35" s="53">
        <f ca="1">IF(ROW()&lt;=Results!$C$1+1,IF(ISERROR(C35-F35),"",C35-F35),"")</f>
        <v>-0.38487379237842756</v>
      </c>
    </row>
    <row r="36" spans="1:7" x14ac:dyDescent="0.25">
      <c r="A36" s="1">
        <f ca="1">IF(ROW()&lt;=Results!$C$1+1,INDEX(Data!$A:$A,CEILING((COUNTA(Data!$A:$A)-1)*RAND()+1,1)),"")</f>
        <v>1</v>
      </c>
      <c r="B36" s="1">
        <f ca="1">IF(ROW()&lt;=Results!$C$1+1,VLOOKUP($A36,Data!$A$2:$C$117,2,TRUE),"")</f>
        <v>364.74594999999999</v>
      </c>
      <c r="C36" s="14">
        <f ca="1">IF(ROW()&lt;=Results!$C$1+1,IF(B36&lt;=0,"",LN(B36)),"")</f>
        <v>5.8992010838457061</v>
      </c>
      <c r="D36" s="58">
        <f ca="1">IF(Results!$S$5,A36,IF(ROW()&lt;=Results!$C$1+1,INDEX(Data!$A:$A,CEILING((COUNTA(Data!$A:$A)-1)*RAND()+1,1)),""))</f>
        <v>1</v>
      </c>
      <c r="E36" s="1">
        <f ca="1">IF(ROW()&lt;=Results!$C$1+1,VLOOKUP($D36,Data!$A$2:$C$117,3,TRUE),"")</f>
        <v>375.42599999999999</v>
      </c>
      <c r="F36" s="14">
        <f ca="1">IF(ROW()&lt;=Results!$C$1+1,IF(E36&lt;=0,"",LN(E36)),"")</f>
        <v>5.9280613812106626</v>
      </c>
      <c r="G36" s="53">
        <f ca="1">IF(ROW()&lt;=Results!$C$1+1,IF(ISERROR(C36-F36),"",C36-F36),"")</f>
        <v>-2.8860297364956544E-2</v>
      </c>
    </row>
    <row r="37" spans="1:7" x14ac:dyDescent="0.25">
      <c r="A37" s="1">
        <f ca="1">IF(ROW()&lt;=Results!$C$1+1,INDEX(Data!$A:$A,CEILING((COUNTA(Data!$A:$A)-1)*RAND()+1,1)),"")</f>
        <v>1</v>
      </c>
      <c r="B37" s="1">
        <f ca="1">IF(ROW()&lt;=Results!$C$1+1,VLOOKUP($A37,Data!$A$2:$C$117,2,TRUE),"")</f>
        <v>364.74594999999999</v>
      </c>
      <c r="C37" s="14">
        <f ca="1">IF(ROW()&lt;=Results!$C$1+1,IF(B37&lt;=0,"",LN(B37)),"")</f>
        <v>5.8992010838457061</v>
      </c>
      <c r="D37" s="58">
        <f ca="1">IF(Results!$S$5,A37,IF(ROW()&lt;=Results!$C$1+1,INDEX(Data!$A:$A,CEILING((COUNTA(Data!$A:$A)-1)*RAND()+1,1)),""))</f>
        <v>1</v>
      </c>
      <c r="E37" s="1">
        <f ca="1">IF(ROW()&lt;=Results!$C$1+1,VLOOKUP($D37,Data!$A$2:$C$117,3,TRUE),"")</f>
        <v>375.42599999999999</v>
      </c>
      <c r="F37" s="14">
        <f ca="1">IF(ROW()&lt;=Results!$C$1+1,IF(E37&lt;=0,"",LN(E37)),"")</f>
        <v>5.9280613812106626</v>
      </c>
      <c r="G37" s="53">
        <f ca="1">IF(ROW()&lt;=Results!$C$1+1,IF(ISERROR(C37-F37),"",C37-F37),"")</f>
        <v>-2.8860297364956544E-2</v>
      </c>
    </row>
    <row r="38" spans="1:7" x14ac:dyDescent="0.25">
      <c r="A38" s="1">
        <f ca="1">IF(ROW()&lt;=Results!$C$1+1,INDEX(Data!$A:$A,CEILING((COUNTA(Data!$A:$A)-1)*RAND()+1,1)),"")</f>
        <v>1</v>
      </c>
      <c r="B38" s="1">
        <f ca="1">IF(ROW()&lt;=Results!$C$1+1,VLOOKUP($A38,Data!$A$2:$C$117,2,TRUE),"")</f>
        <v>364.74594999999999</v>
      </c>
      <c r="C38" s="14">
        <f ca="1">IF(ROW()&lt;=Results!$C$1+1,IF(B38&lt;=0,"",LN(B38)),"")</f>
        <v>5.8992010838457061</v>
      </c>
      <c r="D38" s="58">
        <f ca="1">IF(Results!$S$5,A38,IF(ROW()&lt;=Results!$C$1+1,INDEX(Data!$A:$A,CEILING((COUNTA(Data!$A:$A)-1)*RAND()+1,1)),""))</f>
        <v>1</v>
      </c>
      <c r="E38" s="1">
        <f ca="1">IF(ROW()&lt;=Results!$C$1+1,VLOOKUP($D38,Data!$A$2:$C$117,3,TRUE),"")</f>
        <v>375.42599999999999</v>
      </c>
      <c r="F38" s="14">
        <f ca="1">IF(ROW()&lt;=Results!$C$1+1,IF(E38&lt;=0,"",LN(E38)),"")</f>
        <v>5.9280613812106626</v>
      </c>
      <c r="G38" s="53">
        <f ca="1">IF(ROW()&lt;=Results!$C$1+1,IF(ISERROR(C38-F38),"",C38-F38),"")</f>
        <v>-2.8860297364956544E-2</v>
      </c>
    </row>
    <row r="39" spans="1:7" x14ac:dyDescent="0.25">
      <c r="A39" s="1">
        <f ca="1">IF(ROW()&lt;=Results!$C$1+1,INDEX(Data!$A:$A,CEILING((COUNTA(Data!$A:$A)-1)*RAND()+1,1)),"")</f>
        <v>1</v>
      </c>
      <c r="B39" s="1">
        <f ca="1">IF(ROW()&lt;=Results!$C$1+1,VLOOKUP($A39,Data!$A$2:$C$117,2,TRUE),"")</f>
        <v>364.74594999999999</v>
      </c>
      <c r="C39" s="14">
        <f ca="1">IF(ROW()&lt;=Results!$C$1+1,IF(B39&lt;=0,"",LN(B39)),"")</f>
        <v>5.8992010838457061</v>
      </c>
      <c r="D39" s="58">
        <f ca="1">IF(Results!$S$5,A39,IF(ROW()&lt;=Results!$C$1+1,INDEX(Data!$A:$A,CEILING((COUNTA(Data!$A:$A)-1)*RAND()+1,1)),""))</f>
        <v>1</v>
      </c>
      <c r="E39" s="1">
        <f ca="1">IF(ROW()&lt;=Results!$C$1+1,VLOOKUP($D39,Data!$A$2:$C$117,3,TRUE),"")</f>
        <v>375.42599999999999</v>
      </c>
      <c r="F39" s="14">
        <f ca="1">IF(ROW()&lt;=Results!$C$1+1,IF(E39&lt;=0,"",LN(E39)),"")</f>
        <v>5.9280613812106626</v>
      </c>
      <c r="G39" s="53">
        <f ca="1">IF(ROW()&lt;=Results!$C$1+1,IF(ISERROR(C39-F39),"",C39-F39),"")</f>
        <v>-2.8860297364956544E-2</v>
      </c>
    </row>
    <row r="40" spans="1:7" x14ac:dyDescent="0.25">
      <c r="A40" s="1">
        <f ca="1">IF(ROW()&lt;=Results!$C$1+1,INDEX(Data!$A:$A,CEILING((COUNTA(Data!$A:$A)-1)*RAND()+1,1)),"")</f>
        <v>2</v>
      </c>
      <c r="B40" s="1">
        <f ca="1">IF(ROW()&lt;=Results!$C$1+1,VLOOKUP($A40,Data!$A$2:$C$117,2,TRUE),"")</f>
        <v>404.94560000000001</v>
      </c>
      <c r="C40" s="14">
        <f ca="1">IF(ROW()&lt;=Results!$C$1+1,IF(B40&lt;=0,"",LN(B40)),"")</f>
        <v>6.0037527370970132</v>
      </c>
      <c r="D40" s="58">
        <f ca="1">IF(Results!$S$5,A40,IF(ROW()&lt;=Results!$C$1+1,INDEX(Data!$A:$A,CEILING((COUNTA(Data!$A:$A)-1)*RAND()+1,1)),""))</f>
        <v>2</v>
      </c>
      <c r="E40" s="1">
        <f ca="1">IF(ROW()&lt;=Results!$C$1+1,VLOOKUP($D40,Data!$A$2:$C$117,3,TRUE),"")</f>
        <v>595.03875000000005</v>
      </c>
      <c r="F40" s="14">
        <f ca="1">IF(ROW()&lt;=Results!$C$1+1,IF(E40&lt;=0,"",LN(E40)),"")</f>
        <v>6.3886265294754407</v>
      </c>
      <c r="G40" s="53">
        <f ca="1">IF(ROW()&lt;=Results!$C$1+1,IF(ISERROR(C40-F40),"",C40-F40),"")</f>
        <v>-0.38487379237842756</v>
      </c>
    </row>
    <row r="41" spans="1:7" x14ac:dyDescent="0.25">
      <c r="A41" s="1">
        <f ca="1">IF(ROW()&lt;=Results!$C$1+1,INDEX(Data!$A:$A,CEILING((COUNTA(Data!$A:$A)-1)*RAND()+1,1)),"")</f>
        <v>1</v>
      </c>
      <c r="B41" s="1">
        <f ca="1">IF(ROW()&lt;=Results!$C$1+1,VLOOKUP($A41,Data!$A$2:$C$117,2,TRUE),"")</f>
        <v>364.74594999999999</v>
      </c>
      <c r="C41" s="14">
        <f ca="1">IF(ROW()&lt;=Results!$C$1+1,IF(B41&lt;=0,"",LN(B41)),"")</f>
        <v>5.8992010838457061</v>
      </c>
      <c r="D41" s="58">
        <f ca="1">IF(Results!$S$5,A41,IF(ROW()&lt;=Results!$C$1+1,INDEX(Data!$A:$A,CEILING((COUNTA(Data!$A:$A)-1)*RAND()+1,1)),""))</f>
        <v>1</v>
      </c>
      <c r="E41" s="1">
        <f ca="1">IF(ROW()&lt;=Results!$C$1+1,VLOOKUP($D41,Data!$A$2:$C$117,3,TRUE),"")</f>
        <v>375.42599999999999</v>
      </c>
      <c r="F41" s="14">
        <f ca="1">IF(ROW()&lt;=Results!$C$1+1,IF(E41&lt;=0,"",LN(E41)),"")</f>
        <v>5.9280613812106626</v>
      </c>
      <c r="G41" s="53">
        <f ca="1">IF(ROW()&lt;=Results!$C$1+1,IF(ISERROR(C41-F41),"",C41-F41),"")</f>
        <v>-2.8860297364956544E-2</v>
      </c>
    </row>
    <row r="42" spans="1:7" x14ac:dyDescent="0.25">
      <c r="A42" s="1">
        <f ca="1">IF(ROW()&lt;=Results!$C$1+1,INDEX(Data!$A:$A,CEILING((COUNTA(Data!$A:$A)-1)*RAND()+1,1)),"")</f>
        <v>1</v>
      </c>
      <c r="B42" s="1">
        <f ca="1">IF(ROW()&lt;=Results!$C$1+1,VLOOKUP($A42,Data!$A$2:$C$117,2,TRUE),"")</f>
        <v>364.74594999999999</v>
      </c>
      <c r="C42" s="14">
        <f ca="1">IF(ROW()&lt;=Results!$C$1+1,IF(B42&lt;=0,"",LN(B42)),"")</f>
        <v>5.8992010838457061</v>
      </c>
      <c r="D42" s="58">
        <f ca="1">IF(Results!$S$5,A42,IF(ROW()&lt;=Results!$C$1+1,INDEX(Data!$A:$A,CEILING((COUNTA(Data!$A:$A)-1)*RAND()+1,1)),""))</f>
        <v>1</v>
      </c>
      <c r="E42" s="1">
        <f ca="1">IF(ROW()&lt;=Results!$C$1+1,VLOOKUP($D42,Data!$A$2:$C$117,3,TRUE),"")</f>
        <v>375.42599999999999</v>
      </c>
      <c r="F42" s="14">
        <f ca="1">IF(ROW()&lt;=Results!$C$1+1,IF(E42&lt;=0,"",LN(E42)),"")</f>
        <v>5.9280613812106626</v>
      </c>
      <c r="G42" s="53">
        <f ca="1">IF(ROW()&lt;=Results!$C$1+1,IF(ISERROR(C42-F42),"",C42-F42),"")</f>
        <v>-2.8860297364956544E-2</v>
      </c>
    </row>
    <row r="43" spans="1:7" x14ac:dyDescent="0.25">
      <c r="A43" s="1">
        <f ca="1">IF(ROW()&lt;=Results!$C$1+1,INDEX(Data!$A:$A,CEILING((COUNTA(Data!$A:$A)-1)*RAND()+1,1)),"")</f>
        <v>1</v>
      </c>
      <c r="B43" s="1">
        <f ca="1">IF(ROW()&lt;=Results!$C$1+1,VLOOKUP($A43,Data!$A$2:$C$117,2,TRUE),"")</f>
        <v>364.74594999999999</v>
      </c>
      <c r="C43" s="14">
        <f ca="1">IF(ROW()&lt;=Results!$C$1+1,IF(B43&lt;=0,"",LN(B43)),"")</f>
        <v>5.8992010838457061</v>
      </c>
      <c r="D43" s="58">
        <f ca="1">IF(Results!$S$5,A43,IF(ROW()&lt;=Results!$C$1+1,INDEX(Data!$A:$A,CEILING((COUNTA(Data!$A:$A)-1)*RAND()+1,1)),""))</f>
        <v>1</v>
      </c>
      <c r="E43" s="1">
        <f ca="1">IF(ROW()&lt;=Results!$C$1+1,VLOOKUP($D43,Data!$A$2:$C$117,3,TRUE),"")</f>
        <v>375.42599999999999</v>
      </c>
      <c r="F43" s="14">
        <f ca="1">IF(ROW()&lt;=Results!$C$1+1,IF(E43&lt;=0,"",LN(E43)),"")</f>
        <v>5.9280613812106626</v>
      </c>
      <c r="G43" s="53">
        <f ca="1">IF(ROW()&lt;=Results!$C$1+1,IF(ISERROR(C43-F43),"",C43-F43),"")</f>
        <v>-2.8860297364956544E-2</v>
      </c>
    </row>
    <row r="44" spans="1:7" x14ac:dyDescent="0.25">
      <c r="A44" s="1">
        <f ca="1">IF(ROW()&lt;=Results!$C$1+1,INDEX(Data!$A:$A,CEILING((COUNTA(Data!$A:$A)-1)*RAND()+1,1)),"")</f>
        <v>1</v>
      </c>
      <c r="B44" s="1">
        <f ca="1">IF(ROW()&lt;=Results!$C$1+1,VLOOKUP($A44,Data!$A$2:$C$117,2,TRUE),"")</f>
        <v>364.74594999999999</v>
      </c>
      <c r="C44" s="14">
        <f ca="1">IF(ROW()&lt;=Results!$C$1+1,IF(B44&lt;=0,"",LN(B44)),"")</f>
        <v>5.8992010838457061</v>
      </c>
      <c r="D44" s="58">
        <f ca="1">IF(Results!$S$5,A44,IF(ROW()&lt;=Results!$C$1+1,INDEX(Data!$A:$A,CEILING((COUNTA(Data!$A:$A)-1)*RAND()+1,1)),""))</f>
        <v>1</v>
      </c>
      <c r="E44" s="1">
        <f ca="1">IF(ROW()&lt;=Results!$C$1+1,VLOOKUP($D44,Data!$A$2:$C$117,3,TRUE),"")</f>
        <v>375.42599999999999</v>
      </c>
      <c r="F44" s="14">
        <f ca="1">IF(ROW()&lt;=Results!$C$1+1,IF(E44&lt;=0,"",LN(E44)),"")</f>
        <v>5.9280613812106626</v>
      </c>
      <c r="G44" s="53">
        <f ca="1">IF(ROW()&lt;=Results!$C$1+1,IF(ISERROR(C44-F44),"",C44-F44),"")</f>
        <v>-2.8860297364956544E-2</v>
      </c>
    </row>
    <row r="45" spans="1:7" x14ac:dyDescent="0.25">
      <c r="A45" s="1">
        <f ca="1">IF(ROW()&lt;=Results!$C$1+1,INDEX(Data!$A:$A,CEILING((COUNTA(Data!$A:$A)-1)*RAND()+1,1)),"")</f>
        <v>2</v>
      </c>
      <c r="B45" s="1">
        <f ca="1">IF(ROW()&lt;=Results!$C$1+1,VLOOKUP($A45,Data!$A$2:$C$117,2,TRUE),"")</f>
        <v>404.94560000000001</v>
      </c>
      <c r="C45" s="14">
        <f ca="1">IF(ROW()&lt;=Results!$C$1+1,IF(B45&lt;=0,"",LN(B45)),"")</f>
        <v>6.0037527370970132</v>
      </c>
      <c r="D45" s="58">
        <f ca="1">IF(Results!$S$5,A45,IF(ROW()&lt;=Results!$C$1+1,INDEX(Data!$A:$A,CEILING((COUNTA(Data!$A:$A)-1)*RAND()+1,1)),""))</f>
        <v>2</v>
      </c>
      <c r="E45" s="1">
        <f ca="1">IF(ROW()&lt;=Results!$C$1+1,VLOOKUP($D45,Data!$A$2:$C$117,3,TRUE),"")</f>
        <v>595.03875000000005</v>
      </c>
      <c r="F45" s="14">
        <f ca="1">IF(ROW()&lt;=Results!$C$1+1,IF(E45&lt;=0,"",LN(E45)),"")</f>
        <v>6.3886265294754407</v>
      </c>
      <c r="G45" s="53">
        <f ca="1">IF(ROW()&lt;=Results!$C$1+1,IF(ISERROR(C45-F45),"",C45-F45),"")</f>
        <v>-0.38487379237842756</v>
      </c>
    </row>
    <row r="46" spans="1:7" x14ac:dyDescent="0.25">
      <c r="A46" s="1">
        <f ca="1">IF(ROW()&lt;=Results!$C$1+1,INDEX(Data!$A:$A,CEILING((COUNTA(Data!$A:$A)-1)*RAND()+1,1)),"")</f>
        <v>1</v>
      </c>
      <c r="B46" s="1">
        <f ca="1">IF(ROW()&lt;=Results!$C$1+1,VLOOKUP($A46,Data!$A$2:$C$117,2,TRUE),"")</f>
        <v>364.74594999999999</v>
      </c>
      <c r="C46" s="14">
        <f ca="1">IF(ROW()&lt;=Results!$C$1+1,IF(B46&lt;=0,"",LN(B46)),"")</f>
        <v>5.8992010838457061</v>
      </c>
      <c r="D46" s="58">
        <f ca="1">IF(Results!$S$5,A46,IF(ROW()&lt;=Results!$C$1+1,INDEX(Data!$A:$A,CEILING((COUNTA(Data!$A:$A)-1)*RAND()+1,1)),""))</f>
        <v>1</v>
      </c>
      <c r="E46" s="1">
        <f ca="1">IF(ROW()&lt;=Results!$C$1+1,VLOOKUP($D46,Data!$A$2:$C$117,3,TRUE),"")</f>
        <v>375.42599999999999</v>
      </c>
      <c r="F46" s="14">
        <f ca="1">IF(ROW()&lt;=Results!$C$1+1,IF(E46&lt;=0,"",LN(E46)),"")</f>
        <v>5.9280613812106626</v>
      </c>
      <c r="G46" s="53">
        <f ca="1">IF(ROW()&lt;=Results!$C$1+1,IF(ISERROR(C46-F46),"",C46-F46),"")</f>
        <v>-2.8860297364956544E-2</v>
      </c>
    </row>
    <row r="47" spans="1:7" x14ac:dyDescent="0.25">
      <c r="A47" s="1">
        <f ca="1">IF(ROW()&lt;=Results!$C$1+1,INDEX(Data!$A:$A,CEILING((COUNTA(Data!$A:$A)-1)*RAND()+1,1)),"")</f>
        <v>2</v>
      </c>
      <c r="B47" s="1">
        <f ca="1">IF(ROW()&lt;=Results!$C$1+1,VLOOKUP($A47,Data!$A$2:$C$117,2,TRUE),"")</f>
        <v>404.94560000000001</v>
      </c>
      <c r="C47" s="14">
        <f ca="1">IF(ROW()&lt;=Results!$C$1+1,IF(B47&lt;=0,"",LN(B47)),"")</f>
        <v>6.0037527370970132</v>
      </c>
      <c r="D47" s="58">
        <f ca="1">IF(Results!$S$5,A47,IF(ROW()&lt;=Results!$C$1+1,INDEX(Data!$A:$A,CEILING((COUNTA(Data!$A:$A)-1)*RAND()+1,1)),""))</f>
        <v>2</v>
      </c>
      <c r="E47" s="1">
        <f ca="1">IF(ROW()&lt;=Results!$C$1+1,VLOOKUP($D47,Data!$A$2:$C$117,3,TRUE),"")</f>
        <v>595.03875000000005</v>
      </c>
      <c r="F47" s="14">
        <f ca="1">IF(ROW()&lt;=Results!$C$1+1,IF(E47&lt;=0,"",LN(E47)),"")</f>
        <v>6.3886265294754407</v>
      </c>
      <c r="G47" s="53">
        <f ca="1">IF(ROW()&lt;=Results!$C$1+1,IF(ISERROR(C47-F47),"",C47-F47),"")</f>
        <v>-0.38487379237842756</v>
      </c>
    </row>
    <row r="48" spans="1:7" x14ac:dyDescent="0.25">
      <c r="A48" s="1">
        <f ca="1">IF(ROW()&lt;=Results!$C$1+1,INDEX(Data!$A:$A,CEILING((COUNTA(Data!$A:$A)-1)*RAND()+1,1)),"")</f>
        <v>2</v>
      </c>
      <c r="B48" s="1">
        <f ca="1">IF(ROW()&lt;=Results!$C$1+1,VLOOKUP($A48,Data!$A$2:$C$117,2,TRUE),"")</f>
        <v>404.94560000000001</v>
      </c>
      <c r="C48" s="14">
        <f ca="1">IF(ROW()&lt;=Results!$C$1+1,IF(B48&lt;=0,"",LN(B48)),"")</f>
        <v>6.0037527370970132</v>
      </c>
      <c r="D48" s="58">
        <f ca="1">IF(Results!$S$5,A48,IF(ROW()&lt;=Results!$C$1+1,INDEX(Data!$A:$A,CEILING((COUNTA(Data!$A:$A)-1)*RAND()+1,1)),""))</f>
        <v>2</v>
      </c>
      <c r="E48" s="1">
        <f ca="1">IF(ROW()&lt;=Results!$C$1+1,VLOOKUP($D48,Data!$A$2:$C$117,3,TRUE),"")</f>
        <v>595.03875000000005</v>
      </c>
      <c r="F48" s="14">
        <f ca="1">IF(ROW()&lt;=Results!$C$1+1,IF(E48&lt;=0,"",LN(E48)),"")</f>
        <v>6.3886265294754407</v>
      </c>
      <c r="G48" s="53">
        <f ca="1">IF(ROW()&lt;=Results!$C$1+1,IF(ISERROR(C48-F48),"",C48-F48),"")</f>
        <v>-0.38487379237842756</v>
      </c>
    </row>
    <row r="49" spans="1:7" x14ac:dyDescent="0.25">
      <c r="A49" s="1">
        <f ca="1">IF(ROW()&lt;=Results!$C$1+1,INDEX(Data!$A:$A,CEILING((COUNTA(Data!$A:$A)-1)*RAND()+1,1)),"")</f>
        <v>1</v>
      </c>
      <c r="B49" s="1">
        <f ca="1">IF(ROW()&lt;=Results!$C$1+1,VLOOKUP($A49,Data!$A$2:$C$117,2,TRUE),"")</f>
        <v>364.74594999999999</v>
      </c>
      <c r="C49" s="14">
        <f ca="1">IF(ROW()&lt;=Results!$C$1+1,IF(B49&lt;=0,"",LN(B49)),"")</f>
        <v>5.8992010838457061</v>
      </c>
      <c r="D49" s="58">
        <f ca="1">IF(Results!$S$5,A49,IF(ROW()&lt;=Results!$C$1+1,INDEX(Data!$A:$A,CEILING((COUNTA(Data!$A:$A)-1)*RAND()+1,1)),""))</f>
        <v>1</v>
      </c>
      <c r="E49" s="1">
        <f ca="1">IF(ROW()&lt;=Results!$C$1+1,VLOOKUP($D49,Data!$A$2:$C$117,3,TRUE),"")</f>
        <v>375.42599999999999</v>
      </c>
      <c r="F49" s="14">
        <f ca="1">IF(ROW()&lt;=Results!$C$1+1,IF(E49&lt;=0,"",LN(E49)),"")</f>
        <v>5.9280613812106626</v>
      </c>
      <c r="G49" s="53">
        <f ca="1">IF(ROW()&lt;=Results!$C$1+1,IF(ISERROR(C49-F49),"",C49-F49),"")</f>
        <v>-2.8860297364956544E-2</v>
      </c>
    </row>
    <row r="50" spans="1:7" x14ac:dyDescent="0.25">
      <c r="A50" s="1">
        <f ca="1">IF(ROW()&lt;=Results!$C$1+1,INDEX(Data!$A:$A,CEILING((COUNTA(Data!$A:$A)-1)*RAND()+1,1)),"")</f>
        <v>2</v>
      </c>
      <c r="B50" s="1">
        <f ca="1">IF(ROW()&lt;=Results!$C$1+1,VLOOKUP($A50,Data!$A$2:$C$117,2,TRUE),"")</f>
        <v>404.94560000000001</v>
      </c>
      <c r="C50" s="14">
        <f ca="1">IF(ROW()&lt;=Results!$C$1+1,IF(B50&lt;=0,"",LN(B50)),"")</f>
        <v>6.0037527370970132</v>
      </c>
      <c r="D50" s="58">
        <f ca="1">IF(Results!$S$5,A50,IF(ROW()&lt;=Results!$C$1+1,INDEX(Data!$A:$A,CEILING((COUNTA(Data!$A:$A)-1)*RAND()+1,1)),""))</f>
        <v>2</v>
      </c>
      <c r="E50" s="1">
        <f ca="1">IF(ROW()&lt;=Results!$C$1+1,VLOOKUP($D50,Data!$A$2:$C$117,3,TRUE),"")</f>
        <v>595.03875000000005</v>
      </c>
      <c r="F50" s="14">
        <f ca="1">IF(ROW()&lt;=Results!$C$1+1,IF(E50&lt;=0,"",LN(E50)),"")</f>
        <v>6.3886265294754407</v>
      </c>
      <c r="G50" s="53">
        <f ca="1">IF(ROW()&lt;=Results!$C$1+1,IF(ISERROR(C50-F50),"",C50-F50),"")</f>
        <v>-0.38487379237842756</v>
      </c>
    </row>
    <row r="51" spans="1:7" x14ac:dyDescent="0.25">
      <c r="A51" s="1">
        <f ca="1">IF(ROW()&lt;=Results!$C$1+1,INDEX(Data!$A:$A,CEILING((COUNTA(Data!$A:$A)-1)*RAND()+1,1)),"")</f>
        <v>1</v>
      </c>
      <c r="B51" s="1">
        <f ca="1">IF(ROW()&lt;=Results!$C$1+1,VLOOKUP($A51,Data!$A$2:$C$117,2,TRUE),"")</f>
        <v>364.74594999999999</v>
      </c>
      <c r="C51" s="14">
        <f ca="1">IF(ROW()&lt;=Results!$C$1+1,IF(B51&lt;=0,"",LN(B51)),"")</f>
        <v>5.8992010838457061</v>
      </c>
      <c r="D51" s="58">
        <f ca="1">IF(Results!$S$5,A51,IF(ROW()&lt;=Results!$C$1+1,INDEX(Data!$A:$A,CEILING((COUNTA(Data!$A:$A)-1)*RAND()+1,1)),""))</f>
        <v>1</v>
      </c>
      <c r="E51" s="1">
        <f ca="1">IF(ROW()&lt;=Results!$C$1+1,VLOOKUP($D51,Data!$A$2:$C$117,3,TRUE),"")</f>
        <v>375.42599999999999</v>
      </c>
      <c r="F51" s="14">
        <f ca="1">IF(ROW()&lt;=Results!$C$1+1,IF(E51&lt;=0,"",LN(E51)),"")</f>
        <v>5.9280613812106626</v>
      </c>
      <c r="G51" s="53">
        <f ca="1">IF(ROW()&lt;=Results!$C$1+1,IF(ISERROR(C51-F51),"",C51-F51),"")</f>
        <v>-2.8860297364956544E-2</v>
      </c>
    </row>
    <row r="52" spans="1:7" x14ac:dyDescent="0.25">
      <c r="A52" s="1" t="str">
        <f ca="1">IF(ROW()&lt;=Results!$C$1+1,INDEX(Data!$A:$A,CEILING((COUNTA(Data!$A:$A)-1)*RAND()+1,1)),"")</f>
        <v/>
      </c>
      <c r="B52" s="1" t="str">
        <f>IF(ROW()&lt;=Results!$C$1+1,VLOOKUP($A52,Data!$A$2:$C$117,2,TRUE),"")</f>
        <v/>
      </c>
      <c r="C52" s="14" t="str">
        <f>IF(ROW()&lt;=Results!$C$1+1,IF(B52&lt;=0,"",LN(B52)),"")</f>
        <v/>
      </c>
      <c r="D52" s="58" t="str">
        <f ca="1">IF(Results!$S$5,A52,IF(ROW()&lt;=Results!$C$1+1,INDEX(Data!$A:$A,CEILING((COUNTA(Data!$A:$A)-1)*RAND()+1,1)),""))</f>
        <v/>
      </c>
      <c r="E52" s="1" t="str">
        <f>IF(ROW()&lt;=Results!$C$1+1,VLOOKUP($D52,Data!$A$2:$C$117,3,TRUE),"")</f>
        <v/>
      </c>
      <c r="F52" s="14" t="str">
        <f>IF(ROW()&lt;=Results!$C$1+1,IF(E52&lt;=0,"",LN(E52)),"")</f>
        <v/>
      </c>
      <c r="G52" s="53" t="str">
        <f>IF(ROW()&lt;=Results!$C$1+1,IF(ISERROR(C52-F52),"",C52-F52),"")</f>
        <v/>
      </c>
    </row>
    <row r="53" spans="1:7" x14ac:dyDescent="0.25">
      <c r="A53" s="1" t="str">
        <f ca="1">IF(ROW()&lt;=Results!$C$1+1,INDEX(Data!$A:$A,CEILING((COUNTA(Data!$A:$A)-1)*RAND()+1,1)),"")</f>
        <v/>
      </c>
      <c r="B53" s="1" t="str">
        <f>IF(ROW()&lt;=Results!$C$1+1,VLOOKUP($A53,Data!$A$2:$C$117,2,TRUE),"")</f>
        <v/>
      </c>
      <c r="C53" s="14" t="str">
        <f>IF(ROW()&lt;=Results!$C$1+1,IF(B53&lt;=0,"",LN(B53)),"")</f>
        <v/>
      </c>
      <c r="D53" s="58" t="str">
        <f ca="1">IF(Results!$S$5,A53,IF(ROW()&lt;=Results!$C$1+1,INDEX(Data!$A:$A,CEILING((COUNTA(Data!$A:$A)-1)*RAND()+1,1)),""))</f>
        <v/>
      </c>
      <c r="E53" s="1" t="str">
        <f>IF(ROW()&lt;=Results!$C$1+1,VLOOKUP($D53,Data!$A$2:$C$117,3,TRUE),"")</f>
        <v/>
      </c>
      <c r="F53" s="14" t="str">
        <f>IF(ROW()&lt;=Results!$C$1+1,IF(E53&lt;=0,"",LN(E53)),"")</f>
        <v/>
      </c>
      <c r="G53" s="53" t="str">
        <f>IF(ROW()&lt;=Results!$C$1+1,IF(ISERROR(C53-F53),"",C53-F53),"")</f>
        <v/>
      </c>
    </row>
    <row r="54" spans="1:7" x14ac:dyDescent="0.25">
      <c r="A54" s="1" t="str">
        <f ca="1">IF(ROW()&lt;=Results!$C$1+1,INDEX(Data!$A:$A,CEILING((COUNTA(Data!$A:$A)-1)*RAND()+1,1)),"")</f>
        <v/>
      </c>
      <c r="B54" s="1" t="str">
        <f>IF(ROW()&lt;=Results!$C$1+1,VLOOKUP($A54,Data!$A$2:$C$117,2,TRUE),"")</f>
        <v/>
      </c>
      <c r="C54" s="14" t="str">
        <f>IF(ROW()&lt;=Results!$C$1+1,IF(B54&lt;=0,"",LN(B54)),"")</f>
        <v/>
      </c>
      <c r="D54" s="58" t="str">
        <f ca="1">IF(Results!$S$5,A54,IF(ROW()&lt;=Results!$C$1+1,INDEX(Data!$A:$A,CEILING((COUNTA(Data!$A:$A)-1)*RAND()+1,1)),""))</f>
        <v/>
      </c>
      <c r="E54" s="1" t="str">
        <f>IF(ROW()&lt;=Results!$C$1+1,VLOOKUP($D54,Data!$A$2:$C$117,3,TRUE),"")</f>
        <v/>
      </c>
      <c r="F54" s="14" t="str">
        <f>IF(ROW()&lt;=Results!$C$1+1,IF(E54&lt;=0,"",LN(E54)),"")</f>
        <v/>
      </c>
      <c r="G54" s="53" t="str">
        <f>IF(ROW()&lt;=Results!$C$1+1,IF(ISERROR(C54-F54),"",C54-F54),"")</f>
        <v/>
      </c>
    </row>
    <row r="55" spans="1:7" x14ac:dyDescent="0.25">
      <c r="A55" s="1" t="str">
        <f ca="1">IF(ROW()&lt;=Results!$C$1+1,INDEX(Data!$A:$A,CEILING((COUNTA(Data!$A:$A)-1)*RAND()+1,1)),"")</f>
        <v/>
      </c>
      <c r="B55" s="1" t="str">
        <f>IF(ROW()&lt;=Results!$C$1+1,VLOOKUP($A55,Data!$A$2:$C$117,2,TRUE),"")</f>
        <v/>
      </c>
      <c r="C55" s="14" t="str">
        <f>IF(ROW()&lt;=Results!$C$1+1,IF(B55&lt;=0,"",LN(B55)),"")</f>
        <v/>
      </c>
      <c r="D55" s="58" t="str">
        <f ca="1">IF(Results!$S$5,A55,IF(ROW()&lt;=Results!$C$1+1,INDEX(Data!$A:$A,CEILING((COUNTA(Data!$A:$A)-1)*RAND()+1,1)),""))</f>
        <v/>
      </c>
      <c r="E55" s="1" t="str">
        <f>IF(ROW()&lt;=Results!$C$1+1,VLOOKUP($D55,Data!$A$2:$C$117,3,TRUE),"")</f>
        <v/>
      </c>
      <c r="F55" s="14" t="str">
        <f>IF(ROW()&lt;=Results!$C$1+1,IF(E55&lt;=0,"",LN(E55)),"")</f>
        <v/>
      </c>
      <c r="G55" s="53" t="str">
        <f>IF(ROW()&lt;=Results!$C$1+1,IF(ISERROR(C55-F55),"",C55-F55),"")</f>
        <v/>
      </c>
    </row>
    <row r="56" spans="1:7" x14ac:dyDescent="0.25">
      <c r="A56" s="1" t="str">
        <f ca="1">IF(ROW()&lt;=Results!$C$1+1,INDEX(Data!$A:$A,CEILING((COUNTA(Data!$A:$A)-1)*RAND()+1,1)),"")</f>
        <v/>
      </c>
      <c r="B56" s="1" t="str">
        <f>IF(ROW()&lt;=Results!$C$1+1,VLOOKUP($A56,Data!$A$2:$C$117,2,TRUE),"")</f>
        <v/>
      </c>
      <c r="C56" s="14" t="str">
        <f>IF(ROW()&lt;=Results!$C$1+1,IF(B56&lt;=0,"",LN(B56)),"")</f>
        <v/>
      </c>
      <c r="D56" s="58" t="str">
        <f ca="1">IF(Results!$S$5,A56,IF(ROW()&lt;=Results!$C$1+1,INDEX(Data!$A:$A,CEILING((COUNTA(Data!$A:$A)-1)*RAND()+1,1)),""))</f>
        <v/>
      </c>
      <c r="E56" s="1" t="str">
        <f>IF(ROW()&lt;=Results!$C$1+1,VLOOKUP($D56,Data!$A$2:$C$117,3,TRUE),"")</f>
        <v/>
      </c>
      <c r="F56" s="14" t="str">
        <f>IF(ROW()&lt;=Results!$C$1+1,IF(E56&lt;=0,"",LN(E56)),"")</f>
        <v/>
      </c>
      <c r="G56" s="53" t="str">
        <f>IF(ROW()&lt;=Results!$C$1+1,IF(ISERROR(C56-F56),"",C56-F56),"")</f>
        <v/>
      </c>
    </row>
    <row r="57" spans="1:7" x14ac:dyDescent="0.25">
      <c r="A57" s="1" t="str">
        <f ca="1">IF(ROW()&lt;=Results!$C$1+1,INDEX(Data!$A:$A,CEILING((COUNTA(Data!$A:$A)-1)*RAND()+1,1)),"")</f>
        <v/>
      </c>
      <c r="B57" s="1" t="str">
        <f>IF(ROW()&lt;=Results!$C$1+1,VLOOKUP($A57,Data!$A$2:$C$117,2,TRUE),"")</f>
        <v/>
      </c>
      <c r="C57" s="14" t="str">
        <f>IF(ROW()&lt;=Results!$C$1+1,IF(B57&lt;=0,"",LN(B57)),"")</f>
        <v/>
      </c>
      <c r="D57" s="58" t="str">
        <f ca="1">IF(Results!$S$5,A57,IF(ROW()&lt;=Results!$C$1+1,INDEX(Data!$A:$A,CEILING((COUNTA(Data!$A:$A)-1)*RAND()+1,1)),""))</f>
        <v/>
      </c>
      <c r="E57" s="1" t="str">
        <f>IF(ROW()&lt;=Results!$C$1+1,VLOOKUP($D57,Data!$A$2:$C$117,3,TRUE),"")</f>
        <v/>
      </c>
      <c r="F57" s="14" t="str">
        <f>IF(ROW()&lt;=Results!$C$1+1,IF(E57&lt;=0,"",LN(E57)),"")</f>
        <v/>
      </c>
      <c r="G57" s="53" t="str">
        <f>IF(ROW()&lt;=Results!$C$1+1,IF(ISERROR(C57-F57),"",C57-F57),"")</f>
        <v/>
      </c>
    </row>
    <row r="58" spans="1:7" x14ac:dyDescent="0.25">
      <c r="A58" s="1" t="str">
        <f ca="1">IF(ROW()&lt;=Results!$C$1+1,INDEX(Data!$A:$A,CEILING((COUNTA(Data!$A:$A)-1)*RAND()+1,1)),"")</f>
        <v/>
      </c>
      <c r="B58" s="1" t="str">
        <f>IF(ROW()&lt;=Results!$C$1+1,VLOOKUP($A58,Data!$A$2:$C$117,2,TRUE),"")</f>
        <v/>
      </c>
      <c r="C58" s="14" t="str">
        <f>IF(ROW()&lt;=Results!$C$1+1,IF(B58&lt;=0,"",LN(B58)),"")</f>
        <v/>
      </c>
      <c r="D58" s="58" t="str">
        <f ca="1">IF(Results!$S$5,A58,IF(ROW()&lt;=Results!$C$1+1,INDEX(Data!$A:$A,CEILING((COUNTA(Data!$A:$A)-1)*RAND()+1,1)),""))</f>
        <v/>
      </c>
      <c r="E58" s="1" t="str">
        <f>IF(ROW()&lt;=Results!$C$1+1,VLOOKUP($D58,Data!$A$2:$C$117,3,TRUE),"")</f>
        <v/>
      </c>
      <c r="F58" s="14" t="str">
        <f>IF(ROW()&lt;=Results!$C$1+1,IF(E58&lt;=0,"",LN(E58)),"")</f>
        <v/>
      </c>
      <c r="G58" s="53" t="str">
        <f>IF(ROW()&lt;=Results!$C$1+1,IF(ISERROR(C58-F58),"",C58-F58),"")</f>
        <v/>
      </c>
    </row>
    <row r="59" spans="1:7" x14ac:dyDescent="0.25">
      <c r="A59" s="1" t="str">
        <f ca="1">IF(ROW()&lt;=Results!$C$1+1,INDEX(Data!$A:$A,CEILING((COUNTA(Data!$A:$A)-1)*RAND()+1,1)),"")</f>
        <v/>
      </c>
      <c r="B59" s="1" t="str">
        <f>IF(ROW()&lt;=Results!$C$1+1,VLOOKUP($A59,Data!$A$2:$C$117,2,TRUE),"")</f>
        <v/>
      </c>
      <c r="C59" s="14" t="str">
        <f>IF(ROW()&lt;=Results!$C$1+1,IF(B59&lt;=0,"",LN(B59)),"")</f>
        <v/>
      </c>
      <c r="D59" s="58" t="str">
        <f ca="1">IF(Results!$S$5,A59,IF(ROW()&lt;=Results!$C$1+1,INDEX(Data!$A:$A,CEILING((COUNTA(Data!$A:$A)-1)*RAND()+1,1)),""))</f>
        <v/>
      </c>
      <c r="E59" s="1" t="str">
        <f>IF(ROW()&lt;=Results!$C$1+1,VLOOKUP($D59,Data!$A$2:$C$117,3,TRUE),"")</f>
        <v/>
      </c>
      <c r="F59" s="14" t="str">
        <f>IF(ROW()&lt;=Results!$C$1+1,IF(E59&lt;=0,"",LN(E59)),"")</f>
        <v/>
      </c>
      <c r="G59" s="53" t="str">
        <f>IF(ROW()&lt;=Results!$C$1+1,IF(ISERROR(C59-F59),"",C59-F59),"")</f>
        <v/>
      </c>
    </row>
    <row r="60" spans="1:7" x14ac:dyDescent="0.25">
      <c r="A60" s="1" t="str">
        <f ca="1">IF(ROW()&lt;=Results!$C$1+1,INDEX(Data!$A:$A,CEILING((COUNTA(Data!$A:$A)-1)*RAND()+1,1)),"")</f>
        <v/>
      </c>
      <c r="B60" s="1" t="str">
        <f>IF(ROW()&lt;=Results!$C$1+1,VLOOKUP($A60,Data!$A$2:$C$117,2,TRUE),"")</f>
        <v/>
      </c>
      <c r="C60" s="14" t="str">
        <f>IF(ROW()&lt;=Results!$C$1+1,IF(B60&lt;=0,"",LN(B60)),"")</f>
        <v/>
      </c>
      <c r="D60" s="58" t="str">
        <f ca="1">IF(Results!$S$5,A60,IF(ROW()&lt;=Results!$C$1+1,INDEX(Data!$A:$A,CEILING((COUNTA(Data!$A:$A)-1)*RAND()+1,1)),""))</f>
        <v/>
      </c>
      <c r="E60" s="1" t="str">
        <f>IF(ROW()&lt;=Results!$C$1+1,VLOOKUP($D60,Data!$A$2:$C$117,3,TRUE),"")</f>
        <v/>
      </c>
      <c r="F60" s="14" t="str">
        <f>IF(ROW()&lt;=Results!$C$1+1,IF(E60&lt;=0,"",LN(E60)),"")</f>
        <v/>
      </c>
      <c r="G60" s="53" t="str">
        <f>IF(ROW()&lt;=Results!$C$1+1,IF(ISERROR(C60-F60),"",C60-F60),"")</f>
        <v/>
      </c>
    </row>
    <row r="61" spans="1:7" x14ac:dyDescent="0.25">
      <c r="A61" s="1" t="str">
        <f ca="1">IF(ROW()&lt;=Results!$C$1+1,INDEX(Data!$A:$A,CEILING((COUNTA(Data!$A:$A)-1)*RAND()+1,1)),"")</f>
        <v/>
      </c>
      <c r="B61" s="1" t="str">
        <f>IF(ROW()&lt;=Results!$C$1+1,VLOOKUP($A61,Data!$A$2:$C$117,2,TRUE),"")</f>
        <v/>
      </c>
      <c r="C61" s="14" t="str">
        <f>IF(ROW()&lt;=Results!$C$1+1,IF(B61&lt;=0,"",LN(B61)),"")</f>
        <v/>
      </c>
      <c r="D61" s="58" t="str">
        <f ca="1">IF(Results!$S$5,A61,IF(ROW()&lt;=Results!$C$1+1,INDEX(Data!$A:$A,CEILING((COUNTA(Data!$A:$A)-1)*RAND()+1,1)),""))</f>
        <v/>
      </c>
      <c r="E61" s="1" t="str">
        <f>IF(ROW()&lt;=Results!$C$1+1,VLOOKUP($D61,Data!$A$2:$C$117,3,TRUE),"")</f>
        <v/>
      </c>
      <c r="F61" s="14" t="str">
        <f>IF(ROW()&lt;=Results!$C$1+1,IF(E61&lt;=0,"",LN(E61)),"")</f>
        <v/>
      </c>
      <c r="G61" s="53" t="str">
        <f>IF(ROW()&lt;=Results!$C$1+1,IF(ISERROR(C61-F61),"",C61-F61),"")</f>
        <v/>
      </c>
    </row>
    <row r="62" spans="1:7" x14ac:dyDescent="0.25">
      <c r="A62" s="1" t="str">
        <f ca="1">IF(ROW()&lt;=Results!$C$1+1,INDEX(Data!$A:$A,CEILING((COUNTA(Data!$A:$A)-1)*RAND()+1,1)),"")</f>
        <v/>
      </c>
      <c r="B62" s="1" t="str">
        <f>IF(ROW()&lt;=Results!$C$1+1,VLOOKUP($A62,Data!$A$2:$C$117,2,TRUE),"")</f>
        <v/>
      </c>
      <c r="C62" s="14" t="str">
        <f>IF(ROW()&lt;=Results!$C$1+1,IF(B62&lt;=0,"",LN(B62)),"")</f>
        <v/>
      </c>
      <c r="D62" s="58" t="str">
        <f ca="1">IF(Results!$S$5,A62,IF(ROW()&lt;=Results!$C$1+1,INDEX(Data!$A:$A,CEILING((COUNTA(Data!$A:$A)-1)*RAND()+1,1)),""))</f>
        <v/>
      </c>
      <c r="E62" s="1" t="str">
        <f>IF(ROW()&lt;=Results!$C$1+1,VLOOKUP($D62,Data!$A$2:$C$117,3,TRUE),"")</f>
        <v/>
      </c>
      <c r="F62" s="14" t="str">
        <f>IF(ROW()&lt;=Results!$C$1+1,IF(E62&lt;=0,"",LN(E62)),"")</f>
        <v/>
      </c>
      <c r="G62" s="53" t="str">
        <f>IF(ROW()&lt;=Results!$C$1+1,IF(ISERROR(C62-F62),"",C62-F62),"")</f>
        <v/>
      </c>
    </row>
    <row r="63" spans="1:7" x14ac:dyDescent="0.25">
      <c r="A63" s="1" t="str">
        <f ca="1">IF(ROW()&lt;=Results!$C$1+1,INDEX(Data!$A:$A,CEILING((COUNTA(Data!$A:$A)-1)*RAND()+1,1)),"")</f>
        <v/>
      </c>
      <c r="B63" s="1" t="str">
        <f>IF(ROW()&lt;=Results!$C$1+1,VLOOKUP($A63,Data!$A$2:$C$117,2,TRUE),"")</f>
        <v/>
      </c>
      <c r="C63" s="14" t="str">
        <f>IF(ROW()&lt;=Results!$C$1+1,IF(B63&lt;=0,"",LN(B63)),"")</f>
        <v/>
      </c>
      <c r="D63" s="58" t="str">
        <f ca="1">IF(Results!$S$5,A63,IF(ROW()&lt;=Results!$C$1+1,INDEX(Data!$A:$A,CEILING((COUNTA(Data!$A:$A)-1)*RAND()+1,1)),""))</f>
        <v/>
      </c>
      <c r="E63" s="1" t="str">
        <f>IF(ROW()&lt;=Results!$C$1+1,VLOOKUP($D63,Data!$A$2:$C$117,3,TRUE),"")</f>
        <v/>
      </c>
      <c r="F63" s="14" t="str">
        <f>IF(ROW()&lt;=Results!$C$1+1,IF(E63&lt;=0,"",LN(E63)),"")</f>
        <v/>
      </c>
      <c r="G63" s="53" t="str">
        <f>IF(ROW()&lt;=Results!$C$1+1,IF(ISERROR(C63-F63),"",C63-F63),"")</f>
        <v/>
      </c>
    </row>
    <row r="64" spans="1:7" x14ac:dyDescent="0.25">
      <c r="A64" s="1" t="str">
        <f ca="1">IF(ROW()&lt;=Results!$C$1+1,INDEX(Data!$A:$A,CEILING((COUNTA(Data!$A:$A)-1)*RAND()+1,1)),"")</f>
        <v/>
      </c>
      <c r="B64" s="1" t="str">
        <f>IF(ROW()&lt;=Results!$C$1+1,VLOOKUP($A64,Data!$A$2:$C$117,2,TRUE),"")</f>
        <v/>
      </c>
      <c r="C64" s="14" t="str">
        <f>IF(ROW()&lt;=Results!$C$1+1,IF(B64&lt;=0,"",LN(B64)),"")</f>
        <v/>
      </c>
      <c r="D64" s="58" t="str">
        <f ca="1">IF(Results!$S$5,A64,IF(ROW()&lt;=Results!$C$1+1,INDEX(Data!$A:$A,CEILING((COUNTA(Data!$A:$A)-1)*RAND()+1,1)),""))</f>
        <v/>
      </c>
      <c r="E64" s="1" t="str">
        <f>IF(ROW()&lt;=Results!$C$1+1,VLOOKUP($D64,Data!$A$2:$C$117,3,TRUE),"")</f>
        <v/>
      </c>
      <c r="F64" s="14" t="str">
        <f>IF(ROW()&lt;=Results!$C$1+1,IF(E64&lt;=0,"",LN(E64)),"")</f>
        <v/>
      </c>
      <c r="G64" s="53" t="str">
        <f>IF(ROW()&lt;=Results!$C$1+1,IF(ISERROR(C64-F64),"",C64-F64),"")</f>
        <v/>
      </c>
    </row>
    <row r="65" spans="1:7" x14ac:dyDescent="0.25">
      <c r="A65" s="1" t="str">
        <f ca="1">IF(ROW()&lt;=Results!$C$1+1,INDEX(Data!$A:$A,CEILING((COUNTA(Data!$A:$A)-1)*RAND()+1,1)),"")</f>
        <v/>
      </c>
      <c r="B65" s="1" t="str">
        <f>IF(ROW()&lt;=Results!$C$1+1,VLOOKUP($A65,Data!$A$2:$C$117,2,TRUE),"")</f>
        <v/>
      </c>
      <c r="C65" s="14" t="str">
        <f>IF(ROW()&lt;=Results!$C$1+1,IF(B65&lt;=0,"",LN(B65)),"")</f>
        <v/>
      </c>
      <c r="D65" s="58" t="str">
        <f ca="1">IF(Results!$S$5,A65,IF(ROW()&lt;=Results!$C$1+1,INDEX(Data!$A:$A,CEILING((COUNTA(Data!$A:$A)-1)*RAND()+1,1)),""))</f>
        <v/>
      </c>
      <c r="E65" s="1" t="str">
        <f>IF(ROW()&lt;=Results!$C$1+1,VLOOKUP($D65,Data!$A$2:$C$117,3,TRUE),"")</f>
        <v/>
      </c>
      <c r="F65" s="14" t="str">
        <f>IF(ROW()&lt;=Results!$C$1+1,IF(E65&lt;=0,"",LN(E65)),"")</f>
        <v/>
      </c>
      <c r="G65" s="53" t="str">
        <f>IF(ROW()&lt;=Results!$C$1+1,IF(ISERROR(C65-F65),"",C65-F65),"")</f>
        <v/>
      </c>
    </row>
    <row r="66" spans="1:7" x14ac:dyDescent="0.25">
      <c r="A66" s="1" t="str">
        <f ca="1">IF(ROW()&lt;=Results!$C$1+1,INDEX(Data!$A:$A,CEILING((COUNTA(Data!$A:$A)-1)*RAND()+1,1)),"")</f>
        <v/>
      </c>
      <c r="B66" s="1" t="str">
        <f>IF(ROW()&lt;=Results!$C$1+1,VLOOKUP($A66,Data!$A$2:$C$117,2,TRUE),"")</f>
        <v/>
      </c>
      <c r="C66" s="14" t="str">
        <f>IF(ROW()&lt;=Results!$C$1+1,IF(B66&lt;=0,"",LN(B66)),"")</f>
        <v/>
      </c>
      <c r="D66" s="58" t="str">
        <f ca="1">IF(Results!$S$5,A66,IF(ROW()&lt;=Results!$C$1+1,INDEX(Data!$A:$A,CEILING((COUNTA(Data!$A:$A)-1)*RAND()+1,1)),""))</f>
        <v/>
      </c>
      <c r="E66" s="1" t="str">
        <f>IF(ROW()&lt;=Results!$C$1+1,VLOOKUP($D66,Data!$A$2:$C$117,3,TRUE),"")</f>
        <v/>
      </c>
      <c r="F66" s="14" t="str">
        <f>IF(ROW()&lt;=Results!$C$1+1,IF(E66&lt;=0,"",LN(E66)),"")</f>
        <v/>
      </c>
      <c r="G66" s="53" t="str">
        <f>IF(ROW()&lt;=Results!$C$1+1,IF(ISERROR(C66-F66),"",C66-F66),"")</f>
        <v/>
      </c>
    </row>
    <row r="67" spans="1:7" x14ac:dyDescent="0.25">
      <c r="A67" s="1" t="str">
        <f ca="1">IF(ROW()&lt;=Results!$C$1+1,INDEX(Data!$A:$A,CEILING((COUNTA(Data!$A:$A)-1)*RAND()+1,1)),"")</f>
        <v/>
      </c>
      <c r="B67" s="1" t="str">
        <f>IF(ROW()&lt;=Results!$C$1+1,VLOOKUP($A67,Data!$A$2:$C$117,2,TRUE),"")</f>
        <v/>
      </c>
      <c r="C67" s="14" t="str">
        <f>IF(ROW()&lt;=Results!$C$1+1,IF(B67&lt;=0,"",LN(B67)),"")</f>
        <v/>
      </c>
      <c r="D67" s="58" t="str">
        <f ca="1">IF(Results!$S$5,A67,IF(ROW()&lt;=Results!$C$1+1,INDEX(Data!$A:$A,CEILING((COUNTA(Data!$A:$A)-1)*RAND()+1,1)),""))</f>
        <v/>
      </c>
      <c r="E67" s="1" t="str">
        <f>IF(ROW()&lt;=Results!$C$1+1,VLOOKUP($D67,Data!$A$2:$C$117,3,TRUE),"")</f>
        <v/>
      </c>
      <c r="F67" s="14" t="str">
        <f>IF(ROW()&lt;=Results!$C$1+1,IF(E67&lt;=0,"",LN(E67)),"")</f>
        <v/>
      </c>
      <c r="G67" s="53" t="str">
        <f>IF(ROW()&lt;=Results!$C$1+1,IF(ISERROR(C67-F67),"",C67-F67),"")</f>
        <v/>
      </c>
    </row>
    <row r="68" spans="1:7" x14ac:dyDescent="0.25">
      <c r="A68" s="1" t="str">
        <f ca="1">IF(ROW()&lt;=Results!$C$1+1,INDEX(Data!$A:$A,CEILING((COUNTA(Data!$A:$A)-1)*RAND()+1,1)),"")</f>
        <v/>
      </c>
      <c r="B68" s="1" t="str">
        <f>IF(ROW()&lt;=Results!$C$1+1,VLOOKUP($A68,Data!$A$2:$C$117,2,TRUE),"")</f>
        <v/>
      </c>
      <c r="C68" s="14" t="str">
        <f>IF(ROW()&lt;=Results!$C$1+1,IF(B68&lt;=0,"",LN(B68)),"")</f>
        <v/>
      </c>
      <c r="D68" s="58" t="str">
        <f ca="1">IF(Results!$S$5,A68,IF(ROW()&lt;=Results!$C$1+1,INDEX(Data!$A:$A,CEILING((COUNTA(Data!$A:$A)-1)*RAND()+1,1)),""))</f>
        <v/>
      </c>
      <c r="E68" s="1" t="str">
        <f>IF(ROW()&lt;=Results!$C$1+1,VLOOKUP($D68,Data!$A$2:$C$117,3,TRUE),"")</f>
        <v/>
      </c>
      <c r="F68" s="14" t="str">
        <f>IF(ROW()&lt;=Results!$C$1+1,IF(E68&lt;=0,"",LN(E68)),"")</f>
        <v/>
      </c>
      <c r="G68" s="53" t="str">
        <f>IF(ROW()&lt;=Results!$C$1+1,IF(ISERROR(C68-F68),"",C68-F68),"")</f>
        <v/>
      </c>
    </row>
    <row r="69" spans="1:7" x14ac:dyDescent="0.25">
      <c r="A69" s="1" t="str">
        <f ca="1">IF(ROW()&lt;=Results!$C$1+1,INDEX(Data!$A:$A,CEILING((COUNTA(Data!$A:$A)-1)*RAND()+1,1)),"")</f>
        <v/>
      </c>
      <c r="B69" s="1" t="str">
        <f>IF(ROW()&lt;=Results!$C$1+1,VLOOKUP($A69,Data!$A$2:$C$117,2,TRUE),"")</f>
        <v/>
      </c>
      <c r="C69" s="14" t="str">
        <f>IF(ROW()&lt;=Results!$C$1+1,IF(B69&lt;=0,"",LN(B69)),"")</f>
        <v/>
      </c>
      <c r="D69" s="58" t="str">
        <f ca="1">IF(Results!$S$5,A69,IF(ROW()&lt;=Results!$C$1+1,INDEX(Data!$A:$A,CEILING((COUNTA(Data!$A:$A)-1)*RAND()+1,1)),""))</f>
        <v/>
      </c>
      <c r="E69" s="1" t="str">
        <f>IF(ROW()&lt;=Results!$C$1+1,VLOOKUP($D69,Data!$A$2:$C$117,3,TRUE),"")</f>
        <v/>
      </c>
      <c r="F69" s="14" t="str">
        <f>IF(ROW()&lt;=Results!$C$1+1,IF(E69&lt;=0,"",LN(E69)),"")</f>
        <v/>
      </c>
      <c r="G69" s="53" t="str">
        <f>IF(ROW()&lt;=Results!$C$1+1,IF(ISERROR(C69-F69),"",C69-F69),"")</f>
        <v/>
      </c>
    </row>
    <row r="70" spans="1:7" x14ac:dyDescent="0.25">
      <c r="A70" s="1" t="str">
        <f ca="1">IF(ROW()&lt;=Results!$C$1+1,INDEX(Data!$A:$A,CEILING((COUNTA(Data!$A:$A)-1)*RAND()+1,1)),"")</f>
        <v/>
      </c>
      <c r="B70" s="1" t="str">
        <f>IF(ROW()&lt;=Results!$C$1+1,VLOOKUP($A70,Data!$A$2:$C$117,2,TRUE),"")</f>
        <v/>
      </c>
      <c r="C70" s="14" t="str">
        <f>IF(ROW()&lt;=Results!$C$1+1,IF(B70&lt;=0,"",LN(B70)),"")</f>
        <v/>
      </c>
      <c r="D70" s="58" t="str">
        <f ca="1">IF(Results!$S$5,A70,IF(ROW()&lt;=Results!$C$1+1,INDEX(Data!$A:$A,CEILING((COUNTA(Data!$A:$A)-1)*RAND()+1,1)),""))</f>
        <v/>
      </c>
      <c r="E70" s="1" t="str">
        <f>IF(ROW()&lt;=Results!$C$1+1,VLOOKUP($D70,Data!$A$2:$C$117,3,TRUE),"")</f>
        <v/>
      </c>
      <c r="F70" s="14" t="str">
        <f>IF(ROW()&lt;=Results!$C$1+1,IF(E70&lt;=0,"",LN(E70)),"")</f>
        <v/>
      </c>
      <c r="G70" s="53" t="str">
        <f>IF(ROW()&lt;=Results!$C$1+1,IF(ISERROR(C70-F70),"",C70-F70),"")</f>
        <v/>
      </c>
    </row>
    <row r="71" spans="1:7" x14ac:dyDescent="0.25">
      <c r="A71" s="1" t="str">
        <f ca="1">IF(ROW()&lt;=Results!$C$1+1,INDEX(Data!$A:$A,CEILING((COUNTA(Data!$A:$A)-1)*RAND()+1,1)),"")</f>
        <v/>
      </c>
      <c r="B71" s="1" t="str">
        <f>IF(ROW()&lt;=Results!$C$1+1,VLOOKUP($A71,Data!$A$2:$C$117,2,TRUE),"")</f>
        <v/>
      </c>
      <c r="C71" s="14" t="str">
        <f>IF(ROW()&lt;=Results!$C$1+1,IF(B71&lt;=0,"",LN(B71)),"")</f>
        <v/>
      </c>
      <c r="D71" s="58" t="str">
        <f ca="1">IF(Results!$S$5,A71,IF(ROW()&lt;=Results!$C$1+1,INDEX(Data!$A:$A,CEILING((COUNTA(Data!$A:$A)-1)*RAND()+1,1)),""))</f>
        <v/>
      </c>
      <c r="E71" s="1" t="str">
        <f>IF(ROW()&lt;=Results!$C$1+1,VLOOKUP($D71,Data!$A$2:$C$117,3,TRUE),"")</f>
        <v/>
      </c>
      <c r="F71" s="14" t="str">
        <f>IF(ROW()&lt;=Results!$C$1+1,IF(E71&lt;=0,"",LN(E71)),"")</f>
        <v/>
      </c>
      <c r="G71" s="53" t="str">
        <f>IF(ROW()&lt;=Results!$C$1+1,IF(ISERROR(C71-F71),"",C71-F71),"")</f>
        <v/>
      </c>
    </row>
    <row r="72" spans="1:7" x14ac:dyDescent="0.25">
      <c r="A72" s="1" t="str">
        <f ca="1">IF(ROW()&lt;=Results!$C$1+1,INDEX(Data!$A:$A,CEILING((COUNTA(Data!$A:$A)-1)*RAND()+1,1)),"")</f>
        <v/>
      </c>
      <c r="B72" s="1" t="str">
        <f>IF(ROW()&lt;=Results!$C$1+1,VLOOKUP($A72,Data!$A$2:$C$117,2,TRUE),"")</f>
        <v/>
      </c>
      <c r="C72" s="14" t="str">
        <f>IF(ROW()&lt;=Results!$C$1+1,IF(B72&lt;=0,"",LN(B72)),"")</f>
        <v/>
      </c>
      <c r="D72" s="58" t="str">
        <f ca="1">IF(Results!$S$5,A72,IF(ROW()&lt;=Results!$C$1+1,INDEX(Data!$A:$A,CEILING((COUNTA(Data!$A:$A)-1)*RAND()+1,1)),""))</f>
        <v/>
      </c>
      <c r="E72" s="1" t="str">
        <f>IF(ROW()&lt;=Results!$C$1+1,VLOOKUP($D72,Data!$A$2:$C$117,3,TRUE),"")</f>
        <v/>
      </c>
      <c r="F72" s="14" t="str">
        <f>IF(ROW()&lt;=Results!$C$1+1,IF(E72&lt;=0,"",LN(E72)),"")</f>
        <v/>
      </c>
      <c r="G72" s="53" t="str">
        <f>IF(ROW()&lt;=Results!$C$1+1,IF(ISERROR(C72-F72),"",C72-F72),"")</f>
        <v/>
      </c>
    </row>
    <row r="73" spans="1:7" x14ac:dyDescent="0.25">
      <c r="A73" s="1" t="str">
        <f ca="1">IF(ROW()&lt;=Results!$C$1+1,INDEX(Data!$A:$A,CEILING((COUNTA(Data!$A:$A)-1)*RAND()+1,1)),"")</f>
        <v/>
      </c>
      <c r="B73" s="1" t="str">
        <f>IF(ROW()&lt;=Results!$C$1+1,VLOOKUP($A73,Data!$A$2:$C$117,2,TRUE),"")</f>
        <v/>
      </c>
      <c r="C73" s="14" t="str">
        <f>IF(ROW()&lt;=Results!$C$1+1,IF(B73&lt;=0,"",LN(B73)),"")</f>
        <v/>
      </c>
      <c r="D73" s="58" t="str">
        <f ca="1">IF(Results!$S$5,A73,IF(ROW()&lt;=Results!$C$1+1,INDEX(Data!$A:$A,CEILING((COUNTA(Data!$A:$A)-1)*RAND()+1,1)),""))</f>
        <v/>
      </c>
      <c r="E73" s="1" t="str">
        <f>IF(ROW()&lt;=Results!$C$1+1,VLOOKUP($D73,Data!$A$2:$C$117,3,TRUE),"")</f>
        <v/>
      </c>
      <c r="F73" s="14" t="str">
        <f>IF(ROW()&lt;=Results!$C$1+1,IF(E73&lt;=0,"",LN(E73)),"")</f>
        <v/>
      </c>
      <c r="G73" s="53" t="str">
        <f>IF(ROW()&lt;=Results!$C$1+1,IF(ISERROR(C73-F73),"",C73-F73),"")</f>
        <v/>
      </c>
    </row>
    <row r="74" spans="1:7" x14ac:dyDescent="0.25">
      <c r="A74" s="1" t="str">
        <f ca="1">IF(ROW()&lt;=Results!$C$1+1,INDEX(Data!$A:$A,CEILING((COUNTA(Data!$A:$A)-1)*RAND()+1,1)),"")</f>
        <v/>
      </c>
      <c r="B74" s="1" t="str">
        <f>IF(ROW()&lt;=Results!$C$1+1,VLOOKUP($A74,Data!$A$2:$C$117,2,TRUE),"")</f>
        <v/>
      </c>
      <c r="C74" s="14" t="str">
        <f>IF(ROW()&lt;=Results!$C$1+1,IF(B74&lt;=0,"",LN(B74)),"")</f>
        <v/>
      </c>
      <c r="D74" s="58" t="str">
        <f ca="1">IF(Results!$S$5,A74,IF(ROW()&lt;=Results!$C$1+1,INDEX(Data!$A:$A,CEILING((COUNTA(Data!$A:$A)-1)*RAND()+1,1)),""))</f>
        <v/>
      </c>
      <c r="E74" s="1" t="str">
        <f>IF(ROW()&lt;=Results!$C$1+1,VLOOKUP($D74,Data!$A$2:$C$117,3,TRUE),"")</f>
        <v/>
      </c>
      <c r="F74" s="14" t="str">
        <f>IF(ROW()&lt;=Results!$C$1+1,IF(E74&lt;=0,"",LN(E74)),"")</f>
        <v/>
      </c>
      <c r="G74" s="53" t="str">
        <f>IF(ROW()&lt;=Results!$C$1+1,IF(ISERROR(C74-F74),"",C74-F74),"")</f>
        <v/>
      </c>
    </row>
    <row r="75" spans="1:7" x14ac:dyDescent="0.25">
      <c r="A75" s="1" t="str">
        <f ca="1">IF(ROW()&lt;=Results!$C$1+1,INDEX(Data!$A:$A,CEILING((COUNTA(Data!$A:$A)-1)*RAND()+1,1)),"")</f>
        <v/>
      </c>
      <c r="B75" s="1" t="str">
        <f>IF(ROW()&lt;=Results!$C$1+1,VLOOKUP($A75,Data!$A$2:$C$117,2,TRUE),"")</f>
        <v/>
      </c>
      <c r="C75" s="14" t="str">
        <f>IF(ROW()&lt;=Results!$C$1+1,IF(B75&lt;=0,"",LN(B75)),"")</f>
        <v/>
      </c>
      <c r="D75" s="58" t="str">
        <f ca="1">IF(Results!$S$5,A75,IF(ROW()&lt;=Results!$C$1+1,INDEX(Data!$A:$A,CEILING((COUNTA(Data!$A:$A)-1)*RAND()+1,1)),""))</f>
        <v/>
      </c>
      <c r="E75" s="1" t="str">
        <f>IF(ROW()&lt;=Results!$C$1+1,VLOOKUP($D75,Data!$A$2:$C$117,3,TRUE),"")</f>
        <v/>
      </c>
      <c r="F75" s="14" t="str">
        <f>IF(ROW()&lt;=Results!$C$1+1,IF(E75&lt;=0,"",LN(E75)),"")</f>
        <v/>
      </c>
      <c r="G75" s="53" t="str">
        <f>IF(ROW()&lt;=Results!$C$1+1,IF(ISERROR(C75-F75),"",C75-F75),"")</f>
        <v/>
      </c>
    </row>
    <row r="76" spans="1:7" x14ac:dyDescent="0.25">
      <c r="A76" s="1" t="str">
        <f ca="1">IF(ROW()&lt;=Results!$C$1+1,INDEX(Data!$A:$A,CEILING((COUNTA(Data!$A:$A)-1)*RAND()+1,1)),"")</f>
        <v/>
      </c>
      <c r="B76" s="1" t="str">
        <f>IF(ROW()&lt;=Results!$C$1+1,VLOOKUP($A76,Data!$A$2:$C$117,2,TRUE),"")</f>
        <v/>
      </c>
      <c r="C76" s="14" t="str">
        <f>IF(ROW()&lt;=Results!$C$1+1,IF(B76&lt;=0,"",LN(B76)),"")</f>
        <v/>
      </c>
      <c r="D76" s="58" t="str">
        <f ca="1">IF(Results!$S$5,A76,IF(ROW()&lt;=Results!$C$1+1,INDEX(Data!$A:$A,CEILING((COUNTA(Data!$A:$A)-1)*RAND()+1,1)),""))</f>
        <v/>
      </c>
      <c r="E76" s="1" t="str">
        <f>IF(ROW()&lt;=Results!$C$1+1,VLOOKUP($D76,Data!$A$2:$C$117,3,TRUE),"")</f>
        <v/>
      </c>
      <c r="F76" s="14" t="str">
        <f>IF(ROW()&lt;=Results!$C$1+1,IF(E76&lt;=0,"",LN(E76)),"")</f>
        <v/>
      </c>
      <c r="G76" s="53" t="str">
        <f>IF(ROW()&lt;=Results!$C$1+1,IF(ISERROR(C76-F76),"",C76-F76),"")</f>
        <v/>
      </c>
    </row>
    <row r="77" spans="1:7" x14ac:dyDescent="0.25">
      <c r="A77" s="1" t="str">
        <f ca="1">IF(ROW()&lt;=Results!$C$1+1,INDEX(Data!$A:$A,CEILING((COUNTA(Data!$A:$A)-1)*RAND()+1,1)),"")</f>
        <v/>
      </c>
      <c r="B77" s="1" t="str">
        <f>IF(ROW()&lt;=Results!$C$1+1,VLOOKUP($A77,Data!$A$2:$C$117,2,TRUE),"")</f>
        <v/>
      </c>
      <c r="C77" s="14" t="str">
        <f>IF(ROW()&lt;=Results!$C$1+1,IF(B77&lt;=0,"",LN(B77)),"")</f>
        <v/>
      </c>
      <c r="D77" s="58" t="str">
        <f ca="1">IF(Results!$S$5,A77,IF(ROW()&lt;=Results!$C$1+1,INDEX(Data!$A:$A,CEILING((COUNTA(Data!$A:$A)-1)*RAND()+1,1)),""))</f>
        <v/>
      </c>
      <c r="E77" s="1" t="str">
        <f>IF(ROW()&lt;=Results!$C$1+1,VLOOKUP($D77,Data!$A$2:$C$117,3,TRUE),"")</f>
        <v/>
      </c>
      <c r="F77" s="14" t="str">
        <f>IF(ROW()&lt;=Results!$C$1+1,IF(E77&lt;=0,"",LN(E77)),"")</f>
        <v/>
      </c>
      <c r="G77" s="53" t="str">
        <f>IF(ROW()&lt;=Results!$C$1+1,IF(ISERROR(C77-F77),"",C77-F77),"")</f>
        <v/>
      </c>
    </row>
    <row r="78" spans="1:7" x14ac:dyDescent="0.25">
      <c r="A78" s="1" t="str">
        <f ca="1">IF(ROW()&lt;=Results!$C$1+1,INDEX(Data!$A:$A,CEILING((COUNTA(Data!$A:$A)-1)*RAND()+1,1)),"")</f>
        <v/>
      </c>
      <c r="B78" s="1" t="str">
        <f>IF(ROW()&lt;=Results!$C$1+1,VLOOKUP($A78,Data!$A$2:$C$117,2,TRUE),"")</f>
        <v/>
      </c>
      <c r="C78" s="14" t="str">
        <f>IF(ROW()&lt;=Results!$C$1+1,IF(B78&lt;=0,"",LN(B78)),"")</f>
        <v/>
      </c>
      <c r="D78" s="58" t="str">
        <f ca="1">IF(Results!$S$5,A78,IF(ROW()&lt;=Results!$C$1+1,INDEX(Data!$A:$A,CEILING((COUNTA(Data!$A:$A)-1)*RAND()+1,1)),""))</f>
        <v/>
      </c>
      <c r="E78" s="1" t="str">
        <f>IF(ROW()&lt;=Results!$C$1+1,VLOOKUP($D78,Data!$A$2:$C$117,3,TRUE),"")</f>
        <v/>
      </c>
      <c r="F78" s="14" t="str">
        <f>IF(ROW()&lt;=Results!$C$1+1,IF(E78&lt;=0,"",LN(E78)),"")</f>
        <v/>
      </c>
      <c r="G78" s="53" t="str">
        <f>IF(ROW()&lt;=Results!$C$1+1,IF(ISERROR(C78-F78),"",C78-F78),"")</f>
        <v/>
      </c>
    </row>
    <row r="79" spans="1:7" x14ac:dyDescent="0.25">
      <c r="A79" s="1" t="str">
        <f ca="1">IF(ROW()&lt;=Results!$C$1+1,INDEX(Data!$A:$A,CEILING((COUNTA(Data!$A:$A)-1)*RAND()+1,1)),"")</f>
        <v/>
      </c>
      <c r="B79" s="1" t="str">
        <f>IF(ROW()&lt;=Results!$C$1+1,VLOOKUP($A79,Data!$A$2:$C$117,2,TRUE),"")</f>
        <v/>
      </c>
      <c r="C79" s="14" t="str">
        <f>IF(ROW()&lt;=Results!$C$1+1,IF(B79&lt;=0,"",LN(B79)),"")</f>
        <v/>
      </c>
      <c r="D79" s="58" t="str">
        <f ca="1">IF(Results!$S$5,A79,IF(ROW()&lt;=Results!$C$1+1,INDEX(Data!$A:$A,CEILING((COUNTA(Data!$A:$A)-1)*RAND()+1,1)),""))</f>
        <v/>
      </c>
      <c r="E79" s="1" t="str">
        <f>IF(ROW()&lt;=Results!$C$1+1,VLOOKUP($D79,Data!$A$2:$C$117,3,TRUE),"")</f>
        <v/>
      </c>
      <c r="F79" s="14" t="str">
        <f>IF(ROW()&lt;=Results!$C$1+1,IF(E79&lt;=0,"",LN(E79)),"")</f>
        <v/>
      </c>
      <c r="G79" s="53" t="str">
        <f>IF(ROW()&lt;=Results!$C$1+1,IF(ISERROR(C79-F79),"",C79-F79),"")</f>
        <v/>
      </c>
    </row>
    <row r="80" spans="1:7" x14ac:dyDescent="0.25">
      <c r="A80" s="1" t="str">
        <f ca="1">IF(ROW()&lt;=Results!$C$1+1,INDEX(Data!$A:$A,CEILING((COUNTA(Data!$A:$A)-1)*RAND()+1,1)),"")</f>
        <v/>
      </c>
      <c r="B80" s="1" t="str">
        <f>IF(ROW()&lt;=Results!$C$1+1,VLOOKUP($A80,Data!$A$2:$C$117,2,TRUE),"")</f>
        <v/>
      </c>
      <c r="C80" s="14" t="str">
        <f>IF(ROW()&lt;=Results!$C$1+1,IF(B80&lt;=0,"",LN(B80)),"")</f>
        <v/>
      </c>
      <c r="D80" s="58" t="str">
        <f ca="1">IF(Results!$S$5,A80,IF(ROW()&lt;=Results!$C$1+1,INDEX(Data!$A:$A,CEILING((COUNTA(Data!$A:$A)-1)*RAND()+1,1)),""))</f>
        <v/>
      </c>
      <c r="E80" s="1" t="str">
        <f>IF(ROW()&lt;=Results!$C$1+1,VLOOKUP($D80,Data!$A$2:$C$117,3,TRUE),"")</f>
        <v/>
      </c>
      <c r="F80" s="14" t="str">
        <f>IF(ROW()&lt;=Results!$C$1+1,IF(E80&lt;=0,"",LN(E80)),"")</f>
        <v/>
      </c>
      <c r="G80" s="53" t="str">
        <f>IF(ROW()&lt;=Results!$C$1+1,IF(ISERROR(C80-F80),"",C80-F80),"")</f>
        <v/>
      </c>
    </row>
    <row r="81" spans="1:7" x14ac:dyDescent="0.25">
      <c r="A81" s="1" t="str">
        <f ca="1">IF(ROW()&lt;=Results!$C$1+1,INDEX(Data!$A:$A,CEILING((COUNTA(Data!$A:$A)-1)*RAND()+1,1)),"")</f>
        <v/>
      </c>
      <c r="B81" s="1" t="str">
        <f>IF(ROW()&lt;=Results!$C$1+1,VLOOKUP($A81,Data!$A$2:$C$117,2,TRUE),"")</f>
        <v/>
      </c>
      <c r="C81" s="14" t="str">
        <f>IF(ROW()&lt;=Results!$C$1+1,IF(B81&lt;=0,"",LN(B81)),"")</f>
        <v/>
      </c>
      <c r="D81" s="58" t="str">
        <f ca="1">IF(Results!$S$5,A81,IF(ROW()&lt;=Results!$C$1+1,INDEX(Data!$A:$A,CEILING((COUNTA(Data!$A:$A)-1)*RAND()+1,1)),""))</f>
        <v/>
      </c>
      <c r="E81" s="1" t="str">
        <f>IF(ROW()&lt;=Results!$C$1+1,VLOOKUP($D81,Data!$A$2:$C$117,3,TRUE),"")</f>
        <v/>
      </c>
      <c r="F81" s="14" t="str">
        <f>IF(ROW()&lt;=Results!$C$1+1,IF(E81&lt;=0,"",LN(E81)),"")</f>
        <v/>
      </c>
      <c r="G81" s="53" t="str">
        <f>IF(ROW()&lt;=Results!$C$1+1,IF(ISERROR(C81-F81),"",C81-F81),"")</f>
        <v/>
      </c>
    </row>
    <row r="82" spans="1:7" x14ac:dyDescent="0.25">
      <c r="A82" s="1" t="str">
        <f ca="1">IF(ROW()&lt;=Results!$C$1+1,INDEX(Data!$A:$A,CEILING((COUNTA(Data!$A:$A)-1)*RAND()+1,1)),"")</f>
        <v/>
      </c>
      <c r="B82" s="1" t="str">
        <f>IF(ROW()&lt;=Results!$C$1+1,VLOOKUP($A82,Data!$A$2:$C$117,2,TRUE),"")</f>
        <v/>
      </c>
      <c r="C82" s="14" t="str">
        <f>IF(ROW()&lt;=Results!$C$1+1,IF(B82&lt;=0,"",LN(B82)),"")</f>
        <v/>
      </c>
      <c r="D82" s="58" t="str">
        <f ca="1">IF(Results!$S$5,A82,IF(ROW()&lt;=Results!$C$1+1,INDEX(Data!$A:$A,CEILING((COUNTA(Data!$A:$A)-1)*RAND()+1,1)),""))</f>
        <v/>
      </c>
      <c r="E82" s="1" t="str">
        <f>IF(ROW()&lt;=Results!$C$1+1,VLOOKUP($D82,Data!$A$2:$C$117,3,TRUE),"")</f>
        <v/>
      </c>
      <c r="F82" s="14" t="str">
        <f>IF(ROW()&lt;=Results!$C$1+1,IF(E82&lt;=0,"",LN(E82)),"")</f>
        <v/>
      </c>
      <c r="G82" s="53" t="str">
        <f>IF(ROW()&lt;=Results!$C$1+1,IF(ISERROR(C82-F82),"",C82-F82),"")</f>
        <v/>
      </c>
    </row>
    <row r="83" spans="1:7" x14ac:dyDescent="0.25">
      <c r="A83" s="1" t="str">
        <f ca="1">IF(ROW()&lt;=Results!$C$1+1,INDEX(Data!$A:$A,CEILING((COUNTA(Data!$A:$A)-1)*RAND()+1,1)),"")</f>
        <v/>
      </c>
      <c r="B83" s="1" t="str">
        <f>IF(ROW()&lt;=Results!$C$1+1,VLOOKUP($A83,Data!$A$2:$C$117,2,TRUE),"")</f>
        <v/>
      </c>
      <c r="C83" s="14" t="str">
        <f>IF(ROW()&lt;=Results!$C$1+1,IF(B83&lt;=0,"",LN(B83)),"")</f>
        <v/>
      </c>
      <c r="D83" s="58" t="str">
        <f ca="1">IF(Results!$S$5,A83,IF(ROW()&lt;=Results!$C$1+1,INDEX(Data!$A:$A,CEILING((COUNTA(Data!$A:$A)-1)*RAND()+1,1)),""))</f>
        <v/>
      </c>
      <c r="E83" s="1" t="str">
        <f>IF(ROW()&lt;=Results!$C$1+1,VLOOKUP($D83,Data!$A$2:$C$117,3,TRUE),"")</f>
        <v/>
      </c>
      <c r="F83" s="14" t="str">
        <f>IF(ROW()&lt;=Results!$C$1+1,IF(E83&lt;=0,"",LN(E83)),"")</f>
        <v/>
      </c>
      <c r="G83" s="53" t="str">
        <f>IF(ROW()&lt;=Results!$C$1+1,IF(ISERROR(C83-F83),"",C83-F83),"")</f>
        <v/>
      </c>
    </row>
    <row r="84" spans="1:7" x14ac:dyDescent="0.25">
      <c r="A84" s="1" t="str">
        <f ca="1">IF(ROW()&lt;=Results!$C$1+1,INDEX(Data!$A:$A,CEILING((COUNTA(Data!$A:$A)-1)*RAND()+1,1)),"")</f>
        <v/>
      </c>
      <c r="B84" s="1" t="str">
        <f>IF(ROW()&lt;=Results!$C$1+1,VLOOKUP($A84,Data!$A$2:$C$117,2,TRUE),"")</f>
        <v/>
      </c>
      <c r="C84" s="14" t="str">
        <f>IF(ROW()&lt;=Results!$C$1+1,IF(B84&lt;=0,"",LN(B84)),"")</f>
        <v/>
      </c>
      <c r="D84" s="58" t="str">
        <f ca="1">IF(Results!$S$5,A84,IF(ROW()&lt;=Results!$C$1+1,INDEX(Data!$A:$A,CEILING((COUNTA(Data!$A:$A)-1)*RAND()+1,1)),""))</f>
        <v/>
      </c>
      <c r="E84" s="1" t="str">
        <f>IF(ROW()&lt;=Results!$C$1+1,VLOOKUP($D84,Data!$A$2:$C$117,3,TRUE),"")</f>
        <v/>
      </c>
      <c r="F84" s="14" t="str">
        <f>IF(ROW()&lt;=Results!$C$1+1,IF(E84&lt;=0,"",LN(E84)),"")</f>
        <v/>
      </c>
      <c r="G84" s="53" t="str">
        <f>IF(ROW()&lt;=Results!$C$1+1,IF(ISERROR(C84-F84),"",C84-F84),"")</f>
        <v/>
      </c>
    </row>
    <row r="85" spans="1:7" x14ac:dyDescent="0.25">
      <c r="A85" s="1" t="str">
        <f ca="1">IF(ROW()&lt;=Results!$C$1+1,INDEX(Data!$A:$A,CEILING((COUNTA(Data!$A:$A)-1)*RAND()+1,1)),"")</f>
        <v/>
      </c>
      <c r="B85" s="1" t="str">
        <f>IF(ROW()&lt;=Results!$C$1+1,VLOOKUP($A85,Data!$A$2:$C$117,2,TRUE),"")</f>
        <v/>
      </c>
      <c r="C85" s="14" t="str">
        <f>IF(ROW()&lt;=Results!$C$1+1,IF(B85&lt;=0,"",LN(B85)),"")</f>
        <v/>
      </c>
      <c r="D85" s="58" t="str">
        <f ca="1">IF(Results!$S$5,A85,IF(ROW()&lt;=Results!$C$1+1,INDEX(Data!$A:$A,CEILING((COUNTA(Data!$A:$A)-1)*RAND()+1,1)),""))</f>
        <v/>
      </c>
      <c r="E85" s="1" t="str">
        <f>IF(ROW()&lt;=Results!$C$1+1,VLOOKUP($D85,Data!$A$2:$C$117,3,TRUE),"")</f>
        <v/>
      </c>
      <c r="F85" s="14" t="str">
        <f>IF(ROW()&lt;=Results!$C$1+1,IF(E85&lt;=0,"",LN(E85)),"")</f>
        <v/>
      </c>
      <c r="G85" s="53" t="str">
        <f>IF(ROW()&lt;=Results!$C$1+1,IF(ISERROR(C85-F85),"",C85-F85),"")</f>
        <v/>
      </c>
    </row>
    <row r="86" spans="1:7" x14ac:dyDescent="0.25">
      <c r="A86" s="1" t="str">
        <f ca="1">IF(ROW()&lt;=Results!$C$1+1,INDEX(Data!$A:$A,CEILING((COUNTA(Data!$A:$A)-1)*RAND()+1,1)),"")</f>
        <v/>
      </c>
      <c r="B86" s="1" t="str">
        <f>IF(ROW()&lt;=Results!$C$1+1,VLOOKUP($A86,Data!$A$2:$C$117,2,TRUE),"")</f>
        <v/>
      </c>
      <c r="C86" s="14" t="str">
        <f>IF(ROW()&lt;=Results!$C$1+1,IF(B86&lt;=0,"",LN(B86)),"")</f>
        <v/>
      </c>
      <c r="D86" s="58" t="str">
        <f ca="1">IF(Results!$S$5,A86,IF(ROW()&lt;=Results!$C$1+1,INDEX(Data!$A:$A,CEILING((COUNTA(Data!$A:$A)-1)*RAND()+1,1)),""))</f>
        <v/>
      </c>
      <c r="E86" s="1" t="str">
        <f>IF(ROW()&lt;=Results!$C$1+1,VLOOKUP($D86,Data!$A$2:$C$117,3,TRUE),"")</f>
        <v/>
      </c>
      <c r="F86" s="14" t="str">
        <f>IF(ROW()&lt;=Results!$C$1+1,IF(E86&lt;=0,"",LN(E86)),"")</f>
        <v/>
      </c>
      <c r="G86" s="53" t="str">
        <f>IF(ROW()&lt;=Results!$C$1+1,IF(ISERROR(C86-F86),"",C86-F86),"")</f>
        <v/>
      </c>
    </row>
    <row r="87" spans="1:7" x14ac:dyDescent="0.25">
      <c r="A87" s="1" t="str">
        <f ca="1">IF(ROW()&lt;=Results!$C$1+1,INDEX(Data!$A:$A,CEILING((COUNTA(Data!$A:$A)-1)*RAND()+1,1)),"")</f>
        <v/>
      </c>
      <c r="B87" s="1" t="str">
        <f>IF(ROW()&lt;=Results!$C$1+1,VLOOKUP($A87,Data!$A$2:$C$117,2,TRUE),"")</f>
        <v/>
      </c>
      <c r="C87" s="14" t="str">
        <f>IF(ROW()&lt;=Results!$C$1+1,IF(B87&lt;=0,"",LN(B87)),"")</f>
        <v/>
      </c>
      <c r="D87" s="58" t="str">
        <f ca="1">IF(Results!$S$5,A87,IF(ROW()&lt;=Results!$C$1+1,INDEX(Data!$A:$A,CEILING((COUNTA(Data!$A:$A)-1)*RAND()+1,1)),""))</f>
        <v/>
      </c>
      <c r="E87" s="1" t="str">
        <f>IF(ROW()&lt;=Results!$C$1+1,VLOOKUP($D87,Data!$A$2:$C$117,3,TRUE),"")</f>
        <v/>
      </c>
      <c r="F87" s="14" t="str">
        <f>IF(ROW()&lt;=Results!$C$1+1,IF(E87&lt;=0,"",LN(E87)),"")</f>
        <v/>
      </c>
      <c r="G87" s="53" t="str">
        <f>IF(ROW()&lt;=Results!$C$1+1,IF(ISERROR(C87-F87),"",C87-F87),"")</f>
        <v/>
      </c>
    </row>
    <row r="88" spans="1:7" x14ac:dyDescent="0.25">
      <c r="A88" s="1" t="str">
        <f ca="1">IF(ROW()&lt;=Results!$C$1+1,INDEX(Data!$A:$A,CEILING((COUNTA(Data!$A:$A)-1)*RAND()+1,1)),"")</f>
        <v/>
      </c>
      <c r="B88" s="1" t="str">
        <f>IF(ROW()&lt;=Results!$C$1+1,VLOOKUP($A88,Data!$A$2:$C$117,2,TRUE),"")</f>
        <v/>
      </c>
      <c r="C88" s="14" t="str">
        <f>IF(ROW()&lt;=Results!$C$1+1,IF(B88&lt;=0,"",LN(B88)),"")</f>
        <v/>
      </c>
      <c r="D88" s="58" t="str">
        <f ca="1">IF(Results!$S$5,A88,IF(ROW()&lt;=Results!$C$1+1,INDEX(Data!$A:$A,CEILING((COUNTA(Data!$A:$A)-1)*RAND()+1,1)),""))</f>
        <v/>
      </c>
      <c r="E88" s="1" t="str">
        <f>IF(ROW()&lt;=Results!$C$1+1,VLOOKUP($D88,Data!$A$2:$C$117,3,TRUE),"")</f>
        <v/>
      </c>
      <c r="F88" s="14" t="str">
        <f>IF(ROW()&lt;=Results!$C$1+1,IF(E88&lt;=0,"",LN(E88)),"")</f>
        <v/>
      </c>
      <c r="G88" s="53" t="str">
        <f>IF(ROW()&lt;=Results!$C$1+1,IF(ISERROR(C88-F88),"",C88-F88),"")</f>
        <v/>
      </c>
    </row>
    <row r="89" spans="1:7" x14ac:dyDescent="0.25">
      <c r="A89" s="1" t="str">
        <f ca="1">IF(ROW()&lt;=Results!$C$1+1,INDEX(Data!$A:$A,CEILING((COUNTA(Data!$A:$A)-1)*RAND()+1,1)),"")</f>
        <v/>
      </c>
      <c r="B89" s="1" t="str">
        <f>IF(ROW()&lt;=Results!$C$1+1,VLOOKUP($A89,Data!$A$2:$C$117,2,TRUE),"")</f>
        <v/>
      </c>
      <c r="C89" s="14" t="str">
        <f>IF(ROW()&lt;=Results!$C$1+1,IF(B89&lt;=0,"",LN(B89)),"")</f>
        <v/>
      </c>
      <c r="D89" s="58" t="str">
        <f ca="1">IF(Results!$S$5,A89,IF(ROW()&lt;=Results!$C$1+1,INDEX(Data!$A:$A,CEILING((COUNTA(Data!$A:$A)-1)*RAND()+1,1)),""))</f>
        <v/>
      </c>
      <c r="E89" s="1" t="str">
        <f>IF(ROW()&lt;=Results!$C$1+1,VLOOKUP($D89,Data!$A$2:$C$117,3,TRUE),"")</f>
        <v/>
      </c>
      <c r="F89" s="14" t="str">
        <f>IF(ROW()&lt;=Results!$C$1+1,IF(E89&lt;=0,"",LN(E89)),"")</f>
        <v/>
      </c>
      <c r="G89" s="53" t="str">
        <f>IF(ROW()&lt;=Results!$C$1+1,IF(ISERROR(C89-F89),"",C89-F89),"")</f>
        <v/>
      </c>
    </row>
    <row r="90" spans="1:7" x14ac:dyDescent="0.25">
      <c r="A90" s="1" t="str">
        <f ca="1">IF(ROW()&lt;=Results!$C$1+1,INDEX(Data!$A:$A,CEILING((COUNTA(Data!$A:$A)-1)*RAND()+1,1)),"")</f>
        <v/>
      </c>
      <c r="B90" s="1" t="str">
        <f>IF(ROW()&lt;=Results!$C$1+1,VLOOKUP($A90,Data!$A$2:$C$117,2,TRUE),"")</f>
        <v/>
      </c>
      <c r="C90" s="14" t="str">
        <f>IF(ROW()&lt;=Results!$C$1+1,IF(B90&lt;=0,"",LN(B90)),"")</f>
        <v/>
      </c>
      <c r="D90" s="58" t="str">
        <f ca="1">IF(Results!$S$5,A90,IF(ROW()&lt;=Results!$C$1+1,INDEX(Data!$A:$A,CEILING((COUNTA(Data!$A:$A)-1)*RAND()+1,1)),""))</f>
        <v/>
      </c>
      <c r="E90" s="1" t="str">
        <f>IF(ROW()&lt;=Results!$C$1+1,VLOOKUP($D90,Data!$A$2:$C$117,3,TRUE),"")</f>
        <v/>
      </c>
      <c r="F90" s="14" t="str">
        <f>IF(ROW()&lt;=Results!$C$1+1,IF(E90&lt;=0,"",LN(E90)),"")</f>
        <v/>
      </c>
      <c r="G90" s="53" t="str">
        <f>IF(ROW()&lt;=Results!$C$1+1,IF(ISERROR(C90-F90),"",C90-F90),"")</f>
        <v/>
      </c>
    </row>
    <row r="91" spans="1:7" x14ac:dyDescent="0.25">
      <c r="A91" s="1" t="str">
        <f ca="1">IF(ROW()&lt;=Results!$C$1+1,INDEX(Data!$A:$A,CEILING((COUNTA(Data!$A:$A)-1)*RAND()+1,1)),"")</f>
        <v/>
      </c>
      <c r="B91" s="1" t="str">
        <f>IF(ROW()&lt;=Results!$C$1+1,VLOOKUP($A91,Data!$A$2:$C$117,2,TRUE),"")</f>
        <v/>
      </c>
      <c r="C91" s="14" t="str">
        <f>IF(ROW()&lt;=Results!$C$1+1,IF(B91&lt;=0,"",LN(B91)),"")</f>
        <v/>
      </c>
      <c r="D91" s="58" t="str">
        <f ca="1">IF(Results!$S$5,A91,IF(ROW()&lt;=Results!$C$1+1,INDEX(Data!$A:$A,CEILING((COUNTA(Data!$A:$A)-1)*RAND()+1,1)),""))</f>
        <v/>
      </c>
      <c r="E91" s="1" t="str">
        <f>IF(ROW()&lt;=Results!$C$1+1,VLOOKUP($D91,Data!$A$2:$C$117,3,TRUE),"")</f>
        <v/>
      </c>
      <c r="F91" s="14" t="str">
        <f>IF(ROW()&lt;=Results!$C$1+1,IF(E91&lt;=0,"",LN(E91)),"")</f>
        <v/>
      </c>
      <c r="G91" s="53" t="str">
        <f>IF(ROW()&lt;=Results!$C$1+1,IF(ISERROR(C91-F91),"",C91-F91),"")</f>
        <v/>
      </c>
    </row>
    <row r="92" spans="1:7" x14ac:dyDescent="0.25">
      <c r="A92" s="1" t="str">
        <f ca="1">IF(ROW()&lt;=Results!$C$1+1,INDEX(Data!$A:$A,CEILING((COUNTA(Data!$A:$A)-1)*RAND()+1,1)),"")</f>
        <v/>
      </c>
      <c r="B92" s="1" t="str">
        <f>IF(ROW()&lt;=Results!$C$1+1,VLOOKUP($A92,Data!$A$2:$C$117,2,TRUE),"")</f>
        <v/>
      </c>
      <c r="C92" s="14" t="str">
        <f>IF(ROW()&lt;=Results!$C$1+1,IF(B92&lt;=0,"",LN(B92)),"")</f>
        <v/>
      </c>
      <c r="D92" s="58" t="str">
        <f ca="1">IF(Results!$S$5,A92,IF(ROW()&lt;=Results!$C$1+1,INDEX(Data!$A:$A,CEILING((COUNTA(Data!$A:$A)-1)*RAND()+1,1)),""))</f>
        <v/>
      </c>
      <c r="E92" s="1" t="str">
        <f>IF(ROW()&lt;=Results!$C$1+1,VLOOKUP($D92,Data!$A$2:$C$117,3,TRUE),"")</f>
        <v/>
      </c>
      <c r="F92" s="14" t="str">
        <f>IF(ROW()&lt;=Results!$C$1+1,IF(E92&lt;=0,"",LN(E92)),"")</f>
        <v/>
      </c>
      <c r="G92" s="53" t="str">
        <f>IF(ROW()&lt;=Results!$C$1+1,IF(ISERROR(C92-F92),"",C92-F92),"")</f>
        <v/>
      </c>
    </row>
    <row r="93" spans="1:7" x14ac:dyDescent="0.25">
      <c r="A93" s="1" t="str">
        <f ca="1">IF(ROW()&lt;=Results!$C$1+1,INDEX(Data!$A:$A,CEILING((COUNTA(Data!$A:$A)-1)*RAND()+1,1)),"")</f>
        <v/>
      </c>
      <c r="B93" s="1" t="str">
        <f>IF(ROW()&lt;=Results!$C$1+1,VLOOKUP($A93,Data!$A$2:$C$117,2,TRUE),"")</f>
        <v/>
      </c>
      <c r="C93" s="14" t="str">
        <f>IF(ROW()&lt;=Results!$C$1+1,IF(B93&lt;=0,"",LN(B93)),"")</f>
        <v/>
      </c>
      <c r="D93" s="58" t="str">
        <f ca="1">IF(Results!$S$5,A93,IF(ROW()&lt;=Results!$C$1+1,INDEX(Data!$A:$A,CEILING((COUNTA(Data!$A:$A)-1)*RAND()+1,1)),""))</f>
        <v/>
      </c>
      <c r="E93" s="1" t="str">
        <f>IF(ROW()&lt;=Results!$C$1+1,VLOOKUP($D93,Data!$A$2:$C$117,3,TRUE),"")</f>
        <v/>
      </c>
      <c r="F93" s="14" t="str">
        <f>IF(ROW()&lt;=Results!$C$1+1,IF(E93&lt;=0,"",LN(E93)),"")</f>
        <v/>
      </c>
      <c r="G93" s="53" t="str">
        <f>IF(ROW()&lt;=Results!$C$1+1,IF(ISERROR(C93-F93),"",C93-F93),"")</f>
        <v/>
      </c>
    </row>
    <row r="94" spans="1:7" x14ac:dyDescent="0.25">
      <c r="A94" s="1" t="str">
        <f ca="1">IF(ROW()&lt;=Results!$C$1+1,INDEX(Data!$A:$A,CEILING((COUNTA(Data!$A:$A)-1)*RAND()+1,1)),"")</f>
        <v/>
      </c>
      <c r="B94" s="1" t="str">
        <f>IF(ROW()&lt;=Results!$C$1+1,VLOOKUP($A94,Data!$A$2:$C$117,2,TRUE),"")</f>
        <v/>
      </c>
      <c r="C94" s="14" t="str">
        <f>IF(ROW()&lt;=Results!$C$1+1,IF(B94&lt;=0,"",LN(B94)),"")</f>
        <v/>
      </c>
      <c r="D94" s="58" t="str">
        <f ca="1">IF(Results!$S$5,A94,IF(ROW()&lt;=Results!$C$1+1,INDEX(Data!$A:$A,CEILING((COUNTA(Data!$A:$A)-1)*RAND()+1,1)),""))</f>
        <v/>
      </c>
      <c r="E94" s="1" t="str">
        <f>IF(ROW()&lt;=Results!$C$1+1,VLOOKUP($D94,Data!$A$2:$C$117,3,TRUE),"")</f>
        <v/>
      </c>
      <c r="F94" s="14" t="str">
        <f>IF(ROW()&lt;=Results!$C$1+1,IF(E94&lt;=0,"",LN(E94)),"")</f>
        <v/>
      </c>
      <c r="G94" s="53" t="str">
        <f>IF(ROW()&lt;=Results!$C$1+1,IF(ISERROR(C94-F94),"",C94-F94),"")</f>
        <v/>
      </c>
    </row>
    <row r="95" spans="1:7" x14ac:dyDescent="0.25">
      <c r="A95" s="1" t="str">
        <f ca="1">IF(ROW()&lt;=Results!$C$1+1,INDEX(Data!$A:$A,CEILING((COUNTA(Data!$A:$A)-1)*RAND()+1,1)),"")</f>
        <v/>
      </c>
      <c r="B95" s="1" t="str">
        <f>IF(ROW()&lt;=Results!$C$1+1,VLOOKUP($A95,Data!$A$2:$C$117,2,TRUE),"")</f>
        <v/>
      </c>
      <c r="C95" s="14" t="str">
        <f>IF(ROW()&lt;=Results!$C$1+1,IF(B95&lt;=0,"",LN(B95)),"")</f>
        <v/>
      </c>
      <c r="D95" s="58" t="str">
        <f ca="1">IF(Results!$S$5,A95,IF(ROW()&lt;=Results!$C$1+1,INDEX(Data!$A:$A,CEILING((COUNTA(Data!$A:$A)-1)*RAND()+1,1)),""))</f>
        <v/>
      </c>
      <c r="E95" s="1" t="str">
        <f>IF(ROW()&lt;=Results!$C$1+1,VLOOKUP($D95,Data!$A$2:$C$117,3,TRUE),"")</f>
        <v/>
      </c>
      <c r="F95" s="14" t="str">
        <f>IF(ROW()&lt;=Results!$C$1+1,IF(E95&lt;=0,"",LN(E95)),"")</f>
        <v/>
      </c>
      <c r="G95" s="53" t="str">
        <f>IF(ROW()&lt;=Results!$C$1+1,IF(ISERROR(C95-F95),"",C95-F95),"")</f>
        <v/>
      </c>
    </row>
    <row r="96" spans="1:7" x14ac:dyDescent="0.25">
      <c r="A96" s="1" t="str">
        <f ca="1">IF(ROW()&lt;=Results!$C$1+1,INDEX(Data!$A:$A,CEILING((COUNTA(Data!$A:$A)-1)*RAND()+1,1)),"")</f>
        <v/>
      </c>
      <c r="B96" s="1" t="str">
        <f>IF(ROW()&lt;=Results!$C$1+1,VLOOKUP($A96,Data!$A$2:$C$117,2,TRUE),"")</f>
        <v/>
      </c>
      <c r="C96" s="14" t="str">
        <f>IF(ROW()&lt;=Results!$C$1+1,IF(B96&lt;=0,"",LN(B96)),"")</f>
        <v/>
      </c>
      <c r="D96" s="58" t="str">
        <f ca="1">IF(Results!$S$5,A96,IF(ROW()&lt;=Results!$C$1+1,INDEX(Data!$A:$A,CEILING((COUNTA(Data!$A:$A)-1)*RAND()+1,1)),""))</f>
        <v/>
      </c>
      <c r="E96" s="1" t="str">
        <f>IF(ROW()&lt;=Results!$C$1+1,VLOOKUP($D96,Data!$A$2:$C$117,3,TRUE),"")</f>
        <v/>
      </c>
      <c r="F96" s="14" t="str">
        <f>IF(ROW()&lt;=Results!$C$1+1,IF(E96&lt;=0,"",LN(E96)),"")</f>
        <v/>
      </c>
      <c r="G96" s="53" t="str">
        <f>IF(ROW()&lt;=Results!$C$1+1,IF(ISERROR(C96-F96),"",C96-F96),"")</f>
        <v/>
      </c>
    </row>
    <row r="97" spans="1:7" x14ac:dyDescent="0.25">
      <c r="A97" s="1" t="str">
        <f ca="1">IF(ROW()&lt;=Results!$C$1+1,INDEX(Data!$A:$A,CEILING((COUNTA(Data!$A:$A)-1)*RAND()+1,1)),"")</f>
        <v/>
      </c>
      <c r="B97" s="1" t="str">
        <f>IF(ROW()&lt;=Results!$C$1+1,VLOOKUP($A97,Data!$A$2:$C$117,2,TRUE),"")</f>
        <v/>
      </c>
      <c r="C97" s="14" t="str">
        <f>IF(ROW()&lt;=Results!$C$1+1,IF(B97&lt;=0,"",LN(B97)),"")</f>
        <v/>
      </c>
      <c r="D97" s="58" t="str">
        <f ca="1">IF(Results!$S$5,A97,IF(ROW()&lt;=Results!$C$1+1,INDEX(Data!$A:$A,CEILING((COUNTA(Data!$A:$A)-1)*RAND()+1,1)),""))</f>
        <v/>
      </c>
      <c r="E97" s="1" t="str">
        <f>IF(ROW()&lt;=Results!$C$1+1,VLOOKUP($D97,Data!$A$2:$C$117,3,TRUE),"")</f>
        <v/>
      </c>
      <c r="F97" s="14" t="str">
        <f>IF(ROW()&lt;=Results!$C$1+1,IF(E97&lt;=0,"",LN(E97)),"")</f>
        <v/>
      </c>
      <c r="G97" s="53" t="str">
        <f>IF(ROW()&lt;=Results!$C$1+1,IF(ISERROR(C97-F97),"",C97-F97),"")</f>
        <v/>
      </c>
    </row>
    <row r="98" spans="1:7" x14ac:dyDescent="0.25">
      <c r="A98" s="1" t="str">
        <f ca="1">IF(ROW()&lt;=Results!$C$1+1,INDEX(Data!$A:$A,CEILING((COUNTA(Data!$A:$A)-1)*RAND()+1,1)),"")</f>
        <v/>
      </c>
      <c r="B98" s="1" t="str">
        <f>IF(ROW()&lt;=Results!$C$1+1,VLOOKUP($A98,Data!$A$2:$C$117,2,TRUE),"")</f>
        <v/>
      </c>
      <c r="C98" s="14" t="str">
        <f>IF(ROW()&lt;=Results!$C$1+1,IF(B98&lt;=0,"",LN(B98)),"")</f>
        <v/>
      </c>
      <c r="D98" s="58" t="str">
        <f ca="1">IF(Results!$S$5,A98,IF(ROW()&lt;=Results!$C$1+1,INDEX(Data!$A:$A,CEILING((COUNTA(Data!$A:$A)-1)*RAND()+1,1)),""))</f>
        <v/>
      </c>
      <c r="E98" s="1" t="str">
        <f>IF(ROW()&lt;=Results!$C$1+1,VLOOKUP($D98,Data!$A$2:$C$117,3,TRUE),"")</f>
        <v/>
      </c>
      <c r="F98" s="14" t="str">
        <f>IF(ROW()&lt;=Results!$C$1+1,IF(E98&lt;=0,"",LN(E98)),"")</f>
        <v/>
      </c>
      <c r="G98" s="53" t="str">
        <f>IF(ROW()&lt;=Results!$C$1+1,IF(ISERROR(C98-F98),"",C98-F98),"")</f>
        <v/>
      </c>
    </row>
    <row r="99" spans="1:7" x14ac:dyDescent="0.25">
      <c r="A99" s="1" t="str">
        <f ca="1">IF(ROW()&lt;=Results!$C$1+1,INDEX(Data!$A:$A,CEILING((COUNTA(Data!$A:$A)-1)*RAND()+1,1)),"")</f>
        <v/>
      </c>
      <c r="B99" s="1" t="str">
        <f>IF(ROW()&lt;=Results!$C$1+1,VLOOKUP($A99,Data!$A$2:$C$117,2,TRUE),"")</f>
        <v/>
      </c>
      <c r="C99" s="14" t="str">
        <f>IF(ROW()&lt;=Results!$C$1+1,IF(B99&lt;=0,"",LN(B99)),"")</f>
        <v/>
      </c>
      <c r="D99" s="58" t="str">
        <f ca="1">IF(Results!$S$5,A99,IF(ROW()&lt;=Results!$C$1+1,INDEX(Data!$A:$A,CEILING((COUNTA(Data!$A:$A)-1)*RAND()+1,1)),""))</f>
        <v/>
      </c>
      <c r="E99" s="1" t="str">
        <f>IF(ROW()&lt;=Results!$C$1+1,VLOOKUP($D99,Data!$A$2:$C$117,3,TRUE),"")</f>
        <v/>
      </c>
      <c r="F99" s="14" t="str">
        <f>IF(ROW()&lt;=Results!$C$1+1,IF(E99&lt;=0,"",LN(E99)),"")</f>
        <v/>
      </c>
      <c r="G99" s="53" t="str">
        <f>IF(ROW()&lt;=Results!$C$1+1,IF(ISERROR(C99-F99),"",C99-F99),"")</f>
        <v/>
      </c>
    </row>
    <row r="100" spans="1:7" x14ac:dyDescent="0.25">
      <c r="A100" s="1" t="str">
        <f ca="1">IF(ROW()&lt;=Results!$C$1+1,INDEX(Data!$A:$A,CEILING((COUNTA(Data!$A:$A)-1)*RAND()+1,1)),"")</f>
        <v/>
      </c>
      <c r="B100" s="1" t="str">
        <f>IF(ROW()&lt;=Results!$C$1+1,VLOOKUP($A100,Data!$A$2:$C$117,2,TRUE),"")</f>
        <v/>
      </c>
      <c r="C100" s="14" t="str">
        <f>IF(ROW()&lt;=Results!$C$1+1,IF(B100&lt;=0,"",LN(B100)),"")</f>
        <v/>
      </c>
      <c r="D100" s="58" t="str">
        <f ca="1">IF(Results!$S$5,A100,IF(ROW()&lt;=Results!$C$1+1,INDEX(Data!$A:$A,CEILING((COUNTA(Data!$A:$A)-1)*RAND()+1,1)),""))</f>
        <v/>
      </c>
      <c r="E100" s="1" t="str">
        <f>IF(ROW()&lt;=Results!$C$1+1,VLOOKUP($D100,Data!$A$2:$C$117,3,TRUE),"")</f>
        <v/>
      </c>
      <c r="F100" s="14" t="str">
        <f>IF(ROW()&lt;=Results!$C$1+1,IF(E100&lt;=0,"",LN(E100)),"")</f>
        <v/>
      </c>
      <c r="G100" s="53" t="str">
        <f>IF(ROW()&lt;=Results!$C$1+1,IF(ISERROR(C100-F100),"",C100-F100),"")</f>
        <v/>
      </c>
    </row>
    <row r="101" spans="1:7" x14ac:dyDescent="0.25">
      <c r="A101" s="1" t="str">
        <f ca="1">IF(ROW()&lt;=Results!$C$1+1,INDEX(Data!$A:$A,CEILING((COUNTA(Data!$A:$A)-1)*RAND()+1,1)),"")</f>
        <v/>
      </c>
      <c r="B101" s="1" t="str">
        <f>IF(ROW()&lt;=Results!$C$1+1,VLOOKUP($A101,Data!$A$2:$C$117,2,TRUE),"")</f>
        <v/>
      </c>
      <c r="C101" s="14" t="str">
        <f>IF(ROW()&lt;=Results!$C$1+1,IF(B101&lt;=0,"",LN(B101)),"")</f>
        <v/>
      </c>
      <c r="D101" s="58" t="str">
        <f ca="1">IF(Results!$S$5,A101,IF(ROW()&lt;=Results!$C$1+1,INDEX(Data!$A:$A,CEILING((COUNTA(Data!$A:$A)-1)*RAND()+1,1)),""))</f>
        <v/>
      </c>
      <c r="E101" s="1" t="str">
        <f>IF(ROW()&lt;=Results!$C$1+1,VLOOKUP($D101,Data!$A$2:$C$117,3,TRUE),"")</f>
        <v/>
      </c>
      <c r="F101" s="14" t="str">
        <f>IF(ROW()&lt;=Results!$C$1+1,IF(E101&lt;=0,"",LN(E101)),"")</f>
        <v/>
      </c>
      <c r="G101" s="53" t="str">
        <f>IF(ROW()&lt;=Results!$C$1+1,IF(ISERROR(C101-F101),"",C101-F101),"")</f>
        <v/>
      </c>
    </row>
    <row r="102" spans="1:7" x14ac:dyDescent="0.25">
      <c r="A102" s="1" t="str">
        <f ca="1">IF(ROW()&lt;=Results!$C$1+1,INDEX(Data!$A:$A,CEILING((COUNTA(Data!$A:$A)-1)*RAND()+1,1)),"")</f>
        <v/>
      </c>
      <c r="B102" s="1" t="str">
        <f>IF(ROW()&lt;=Results!$C$1+1,VLOOKUP($A102,Data!$A$2:$C$117,2,TRUE),"")</f>
        <v/>
      </c>
      <c r="C102" s="14" t="str">
        <f>IF(ROW()&lt;=Results!$C$1+1,IF(B102&lt;=0,"",LN(B102)),"")</f>
        <v/>
      </c>
      <c r="D102" s="58" t="str">
        <f ca="1">IF(Results!$S$5,A102,IF(ROW()&lt;=Results!$C$1+1,INDEX(Data!$A:$A,CEILING((COUNTA(Data!$A:$A)-1)*RAND()+1,1)),""))</f>
        <v/>
      </c>
      <c r="E102" s="1" t="str">
        <f>IF(ROW()&lt;=Results!$C$1+1,VLOOKUP($D102,Data!$A$2:$C$117,3,TRUE),"")</f>
        <v/>
      </c>
      <c r="F102" s="14" t="str">
        <f>IF(ROW()&lt;=Results!$C$1+1,IF(E102&lt;=0,"",LN(E102)),"")</f>
        <v/>
      </c>
      <c r="G102" s="53" t="str">
        <f>IF(ROW()&lt;=Results!$C$1+1,IF(ISERROR(C102-F102),"",C102-F102),"")</f>
        <v/>
      </c>
    </row>
    <row r="103" spans="1:7" x14ac:dyDescent="0.25">
      <c r="A103" s="1" t="str">
        <f ca="1">IF(ROW()&lt;=Results!$C$1+1,INDEX(Data!$A:$A,CEILING((COUNTA(Data!$A:$A)-1)*RAND()+1,1)),"")</f>
        <v/>
      </c>
      <c r="B103" s="1" t="str">
        <f>IF(ROW()&lt;=Results!$C$1+1,VLOOKUP($A103,Data!$A$2:$C$117,2,TRUE),"")</f>
        <v/>
      </c>
      <c r="C103" s="14" t="str">
        <f>IF(ROW()&lt;=Results!$C$1+1,IF(B103&lt;=0,"",LN(B103)),"")</f>
        <v/>
      </c>
      <c r="D103" s="58" t="str">
        <f ca="1">IF(Results!$S$5,A103,IF(ROW()&lt;=Results!$C$1+1,INDEX(Data!$A:$A,CEILING((COUNTA(Data!$A:$A)-1)*RAND()+1,1)),""))</f>
        <v/>
      </c>
      <c r="E103" s="1" t="str">
        <f>IF(ROW()&lt;=Results!$C$1+1,VLOOKUP($D103,Data!$A$2:$C$117,3,TRUE),"")</f>
        <v/>
      </c>
      <c r="F103" s="14" t="str">
        <f>IF(ROW()&lt;=Results!$C$1+1,IF(E103&lt;=0,"",LN(E103)),"")</f>
        <v/>
      </c>
      <c r="G103" s="53" t="str">
        <f>IF(ROW()&lt;=Results!$C$1+1,IF(ISERROR(C103-F103),"",C103-F103),"")</f>
        <v/>
      </c>
    </row>
    <row r="104" spans="1:7" x14ac:dyDescent="0.25">
      <c r="A104" s="1" t="str">
        <f ca="1">IF(ROW()&lt;=Results!$C$1+1,INDEX(Data!$A:$A,CEILING((COUNTA(Data!$A:$A)-1)*RAND()+1,1)),"")</f>
        <v/>
      </c>
      <c r="B104" s="1" t="str">
        <f>IF(ROW()&lt;=Results!$C$1+1,VLOOKUP($A104,Data!$A$2:$C$117,2,TRUE),"")</f>
        <v/>
      </c>
      <c r="C104" s="14" t="str">
        <f>IF(ROW()&lt;=Results!$C$1+1,IF(B104&lt;=0,"",LN(B104)),"")</f>
        <v/>
      </c>
      <c r="D104" s="58" t="str">
        <f ca="1">IF(Results!$S$5,A104,IF(ROW()&lt;=Results!$C$1+1,INDEX(Data!$A:$A,CEILING((COUNTA(Data!$A:$A)-1)*RAND()+1,1)),""))</f>
        <v/>
      </c>
      <c r="E104" s="1" t="str">
        <f>IF(ROW()&lt;=Results!$C$1+1,VLOOKUP($D104,Data!$A$2:$C$117,3,TRUE),"")</f>
        <v/>
      </c>
      <c r="F104" s="14" t="str">
        <f>IF(ROW()&lt;=Results!$C$1+1,IF(E104&lt;=0,"",LN(E104)),"")</f>
        <v/>
      </c>
      <c r="G104" s="53" t="str">
        <f>IF(ROW()&lt;=Results!$C$1+1,IF(ISERROR(C104-F104),"",C104-F104),"")</f>
        <v/>
      </c>
    </row>
    <row r="105" spans="1:7" x14ac:dyDescent="0.25">
      <c r="A105" s="1" t="str">
        <f ca="1">IF(ROW()&lt;=Results!$C$1+1,INDEX(Data!$A:$A,CEILING((COUNTA(Data!$A:$A)-1)*RAND()+1,1)),"")</f>
        <v/>
      </c>
      <c r="B105" s="1" t="str">
        <f>IF(ROW()&lt;=Results!$C$1+1,VLOOKUP($A105,Data!$A$2:$C$117,2,TRUE),"")</f>
        <v/>
      </c>
      <c r="C105" s="14" t="str">
        <f>IF(ROW()&lt;=Results!$C$1+1,IF(B105&lt;=0,"",LN(B105)),"")</f>
        <v/>
      </c>
      <c r="D105" s="58" t="str">
        <f ca="1">IF(Results!$S$5,A105,IF(ROW()&lt;=Results!$C$1+1,INDEX(Data!$A:$A,CEILING((COUNTA(Data!$A:$A)-1)*RAND()+1,1)),""))</f>
        <v/>
      </c>
      <c r="E105" s="1" t="str">
        <f>IF(ROW()&lt;=Results!$C$1+1,VLOOKUP($D105,Data!$A$2:$C$117,3,TRUE),"")</f>
        <v/>
      </c>
      <c r="F105" s="14" t="str">
        <f>IF(ROW()&lt;=Results!$C$1+1,IF(E105&lt;=0,"",LN(E105)),"")</f>
        <v/>
      </c>
      <c r="G105" s="53" t="str">
        <f>IF(ROW()&lt;=Results!$C$1+1,IF(ISERROR(C105-F105),"",C105-F105),"")</f>
        <v/>
      </c>
    </row>
    <row r="106" spans="1:7" x14ac:dyDescent="0.25">
      <c r="A106" s="1" t="str">
        <f ca="1">IF(ROW()&lt;=Results!$C$1+1,INDEX(Data!$A:$A,CEILING((COUNTA(Data!$A:$A)-1)*RAND()+1,1)),"")</f>
        <v/>
      </c>
      <c r="B106" s="1" t="str">
        <f>IF(ROW()&lt;=Results!$C$1+1,VLOOKUP($A106,Data!$A$2:$C$117,2,TRUE),"")</f>
        <v/>
      </c>
      <c r="C106" s="14" t="str">
        <f>IF(ROW()&lt;=Results!$C$1+1,IF(B106&lt;=0,"",LN(B106)),"")</f>
        <v/>
      </c>
      <c r="D106" s="58" t="str">
        <f ca="1">IF(Results!$S$5,A106,IF(ROW()&lt;=Results!$C$1+1,INDEX(Data!$A:$A,CEILING((COUNTA(Data!$A:$A)-1)*RAND()+1,1)),""))</f>
        <v/>
      </c>
      <c r="E106" s="1" t="str">
        <f>IF(ROW()&lt;=Results!$C$1+1,VLOOKUP($D106,Data!$A$2:$C$117,3,TRUE),"")</f>
        <v/>
      </c>
      <c r="F106" s="14" t="str">
        <f>IF(ROW()&lt;=Results!$C$1+1,IF(E106&lt;=0,"",LN(E106)),"")</f>
        <v/>
      </c>
      <c r="G106" s="53" t="str">
        <f>IF(ROW()&lt;=Results!$C$1+1,IF(ISERROR(C106-F106),"",C106-F106),"")</f>
        <v/>
      </c>
    </row>
    <row r="107" spans="1:7" x14ac:dyDescent="0.25">
      <c r="A107" s="1" t="str">
        <f ca="1">IF(ROW()&lt;=Results!$C$1+1,INDEX(Data!$A:$A,CEILING((COUNTA(Data!$A:$A)-1)*RAND()+1,1)),"")</f>
        <v/>
      </c>
      <c r="B107" s="1" t="str">
        <f>IF(ROW()&lt;=Results!$C$1+1,VLOOKUP($A107,Data!$A$2:$C$117,2,TRUE),"")</f>
        <v/>
      </c>
      <c r="C107" s="14" t="str">
        <f>IF(ROW()&lt;=Results!$C$1+1,IF(B107&lt;=0,"",LN(B107)),"")</f>
        <v/>
      </c>
      <c r="D107" s="58" t="str">
        <f ca="1">IF(Results!$S$5,A107,IF(ROW()&lt;=Results!$C$1+1,INDEX(Data!$A:$A,CEILING((COUNTA(Data!$A:$A)-1)*RAND()+1,1)),""))</f>
        <v/>
      </c>
      <c r="E107" s="1" t="str">
        <f>IF(ROW()&lt;=Results!$C$1+1,VLOOKUP($D107,Data!$A$2:$C$117,3,TRUE),"")</f>
        <v/>
      </c>
      <c r="F107" s="14" t="str">
        <f>IF(ROW()&lt;=Results!$C$1+1,IF(E107&lt;=0,"",LN(E107)),"")</f>
        <v/>
      </c>
      <c r="G107" s="53" t="str">
        <f>IF(ROW()&lt;=Results!$C$1+1,IF(ISERROR(C107-F107),"",C107-F107),"")</f>
        <v/>
      </c>
    </row>
    <row r="108" spans="1:7" x14ac:dyDescent="0.25">
      <c r="A108" s="1" t="str">
        <f ca="1">IF(ROW()&lt;=Results!$C$1+1,INDEX(Data!$A:$A,CEILING((COUNTA(Data!$A:$A)-1)*RAND()+1,1)),"")</f>
        <v/>
      </c>
      <c r="B108" s="1" t="str">
        <f>IF(ROW()&lt;=Results!$C$1+1,VLOOKUP($A108,Data!$A$2:$C$117,2,TRUE),"")</f>
        <v/>
      </c>
      <c r="C108" s="14" t="str">
        <f>IF(ROW()&lt;=Results!$C$1+1,IF(B108&lt;=0,"",LN(B108)),"")</f>
        <v/>
      </c>
      <c r="D108" s="58" t="str">
        <f ca="1">IF(Results!$S$5,A108,IF(ROW()&lt;=Results!$C$1+1,INDEX(Data!$A:$A,CEILING((COUNTA(Data!$A:$A)-1)*RAND()+1,1)),""))</f>
        <v/>
      </c>
      <c r="E108" s="1" t="str">
        <f>IF(ROW()&lt;=Results!$C$1+1,VLOOKUP($D108,Data!$A$2:$C$117,3,TRUE),"")</f>
        <v/>
      </c>
      <c r="F108" s="14" t="str">
        <f>IF(ROW()&lt;=Results!$C$1+1,IF(E108&lt;=0,"",LN(E108)),"")</f>
        <v/>
      </c>
      <c r="G108" s="53" t="str">
        <f>IF(ROW()&lt;=Results!$C$1+1,IF(ISERROR(C108-F108),"",C108-F108),"")</f>
        <v/>
      </c>
    </row>
    <row r="109" spans="1:7" x14ac:dyDescent="0.25">
      <c r="A109" s="1" t="str">
        <f ca="1">IF(ROW()&lt;=Results!$C$1+1,INDEX(Data!$A:$A,CEILING((COUNTA(Data!$A:$A)-1)*RAND()+1,1)),"")</f>
        <v/>
      </c>
      <c r="B109" s="1" t="str">
        <f>IF(ROW()&lt;=Results!$C$1+1,VLOOKUP($A109,Data!$A$2:$C$117,2,TRUE),"")</f>
        <v/>
      </c>
      <c r="C109" s="14" t="str">
        <f>IF(ROW()&lt;=Results!$C$1+1,IF(B109&lt;=0,"",LN(B109)),"")</f>
        <v/>
      </c>
      <c r="D109" s="58" t="str">
        <f ca="1">IF(Results!$S$5,A109,IF(ROW()&lt;=Results!$C$1+1,INDEX(Data!$A:$A,CEILING((COUNTA(Data!$A:$A)-1)*RAND()+1,1)),""))</f>
        <v/>
      </c>
      <c r="E109" s="1" t="str">
        <f>IF(ROW()&lt;=Results!$C$1+1,VLOOKUP($D109,Data!$A$2:$C$117,3,TRUE),"")</f>
        <v/>
      </c>
      <c r="F109" s="14" t="str">
        <f>IF(ROW()&lt;=Results!$C$1+1,IF(E109&lt;=0,"",LN(E109)),"")</f>
        <v/>
      </c>
      <c r="G109" s="53" t="str">
        <f>IF(ROW()&lt;=Results!$C$1+1,IF(ISERROR(C109-F109),"",C109-F109),"")</f>
        <v/>
      </c>
    </row>
    <row r="110" spans="1:7" x14ac:dyDescent="0.25">
      <c r="A110" s="1" t="str">
        <f ca="1">IF(ROW()&lt;=Results!$C$1+1,INDEX(Data!$A:$A,CEILING((COUNTA(Data!$A:$A)-1)*RAND()+1,1)),"")</f>
        <v/>
      </c>
      <c r="B110" s="1" t="str">
        <f>IF(ROW()&lt;=Results!$C$1+1,VLOOKUP($A110,Data!$A$2:$C$117,2,TRUE),"")</f>
        <v/>
      </c>
      <c r="C110" s="14" t="str">
        <f>IF(ROW()&lt;=Results!$C$1+1,IF(B110&lt;=0,"",LN(B110)),"")</f>
        <v/>
      </c>
      <c r="D110" s="58" t="str">
        <f ca="1">IF(Results!$S$5,A110,IF(ROW()&lt;=Results!$C$1+1,INDEX(Data!$A:$A,CEILING((COUNTA(Data!$A:$A)-1)*RAND()+1,1)),""))</f>
        <v/>
      </c>
      <c r="E110" s="1" t="str">
        <f>IF(ROW()&lt;=Results!$C$1+1,VLOOKUP($D110,Data!$A$2:$C$117,3,TRUE),"")</f>
        <v/>
      </c>
      <c r="F110" s="14" t="str">
        <f>IF(ROW()&lt;=Results!$C$1+1,IF(E110&lt;=0,"",LN(E110)),"")</f>
        <v/>
      </c>
      <c r="G110" s="53" t="str">
        <f>IF(ROW()&lt;=Results!$C$1+1,IF(ISERROR(C110-F110),"",C110-F110),"")</f>
        <v/>
      </c>
    </row>
    <row r="111" spans="1:7" x14ac:dyDescent="0.25">
      <c r="A111" s="1" t="str">
        <f ca="1">IF(ROW()&lt;=Results!$C$1+1,INDEX(Data!$A:$A,CEILING((COUNTA(Data!$A:$A)-1)*RAND()+1,1)),"")</f>
        <v/>
      </c>
      <c r="B111" s="1" t="str">
        <f>IF(ROW()&lt;=Results!$C$1+1,VLOOKUP($A111,Data!$A$2:$C$117,2,TRUE),"")</f>
        <v/>
      </c>
      <c r="C111" s="14" t="str">
        <f>IF(ROW()&lt;=Results!$C$1+1,IF(B111&lt;=0,"",LN(B111)),"")</f>
        <v/>
      </c>
      <c r="D111" s="58" t="str">
        <f ca="1">IF(Results!$S$5,A111,IF(ROW()&lt;=Results!$C$1+1,INDEX(Data!$A:$A,CEILING((COUNTA(Data!$A:$A)-1)*RAND()+1,1)),""))</f>
        <v/>
      </c>
      <c r="E111" s="1" t="str">
        <f>IF(ROW()&lt;=Results!$C$1+1,VLOOKUP($D111,Data!$A$2:$C$117,3,TRUE),"")</f>
        <v/>
      </c>
      <c r="F111" s="14" t="str">
        <f>IF(ROW()&lt;=Results!$C$1+1,IF(E111&lt;=0,"",LN(E111)),"")</f>
        <v/>
      </c>
      <c r="G111" s="53" t="str">
        <f>IF(ROW()&lt;=Results!$C$1+1,IF(ISERROR(C111-F111),"",C111-F111),"")</f>
        <v/>
      </c>
    </row>
    <row r="112" spans="1:7" x14ac:dyDescent="0.25">
      <c r="A112" s="1" t="str">
        <f ca="1">IF(ROW()&lt;=Results!$C$1+1,INDEX(Data!$A:$A,CEILING((COUNTA(Data!$A:$A)-1)*RAND()+1,1)),"")</f>
        <v/>
      </c>
      <c r="B112" s="1" t="str">
        <f>IF(ROW()&lt;=Results!$C$1+1,VLOOKUP($A112,Data!$A$2:$C$117,2,TRUE),"")</f>
        <v/>
      </c>
      <c r="C112" s="14" t="str">
        <f>IF(ROW()&lt;=Results!$C$1+1,IF(B112&lt;=0,"",LN(B112)),"")</f>
        <v/>
      </c>
      <c r="D112" s="58" t="str">
        <f ca="1">IF(Results!$S$5,A112,IF(ROW()&lt;=Results!$C$1+1,INDEX(Data!$A:$A,CEILING((COUNTA(Data!$A:$A)-1)*RAND()+1,1)),""))</f>
        <v/>
      </c>
      <c r="E112" s="1" t="str">
        <f>IF(ROW()&lt;=Results!$C$1+1,VLOOKUP($D112,Data!$A$2:$C$117,3,TRUE),"")</f>
        <v/>
      </c>
      <c r="F112" s="14" t="str">
        <f>IF(ROW()&lt;=Results!$C$1+1,IF(E112&lt;=0,"",LN(E112)),"")</f>
        <v/>
      </c>
      <c r="G112" s="53" t="str">
        <f>IF(ROW()&lt;=Results!$C$1+1,IF(ISERROR(C112-F112),"",C112-F112),"")</f>
        <v/>
      </c>
    </row>
    <row r="113" spans="1:7" x14ac:dyDescent="0.25">
      <c r="A113" s="1" t="str">
        <f ca="1">IF(ROW()&lt;=Results!$C$1+1,INDEX(Data!$A:$A,CEILING((COUNTA(Data!$A:$A)-1)*RAND()+1,1)),"")</f>
        <v/>
      </c>
      <c r="B113" s="1" t="str">
        <f>IF(ROW()&lt;=Results!$C$1+1,VLOOKUP($A113,Data!$A$2:$C$117,2,TRUE),"")</f>
        <v/>
      </c>
      <c r="C113" s="14" t="str">
        <f>IF(ROW()&lt;=Results!$C$1+1,IF(B113&lt;=0,"",LN(B113)),"")</f>
        <v/>
      </c>
      <c r="D113" s="58" t="str">
        <f ca="1">IF(Results!$S$5,A113,IF(ROW()&lt;=Results!$C$1+1,INDEX(Data!$A:$A,CEILING((COUNTA(Data!$A:$A)-1)*RAND()+1,1)),""))</f>
        <v/>
      </c>
      <c r="E113" s="1" t="str">
        <f>IF(ROW()&lt;=Results!$C$1+1,VLOOKUP($D113,Data!$A$2:$C$117,3,TRUE),"")</f>
        <v/>
      </c>
      <c r="F113" s="14" t="str">
        <f>IF(ROW()&lt;=Results!$C$1+1,IF(E113&lt;=0,"",LN(E113)),"")</f>
        <v/>
      </c>
      <c r="G113" s="53" t="str">
        <f>IF(ROW()&lt;=Results!$C$1+1,IF(ISERROR(C113-F113),"",C113-F113),"")</f>
        <v/>
      </c>
    </row>
    <row r="114" spans="1:7" x14ac:dyDescent="0.25">
      <c r="A114" s="1" t="str">
        <f ca="1">IF(ROW()&lt;=Results!$C$1+1,INDEX(Data!$A:$A,CEILING((COUNTA(Data!$A:$A)-1)*RAND()+1,1)),"")</f>
        <v/>
      </c>
      <c r="B114" s="1" t="str">
        <f>IF(ROW()&lt;=Results!$C$1+1,VLOOKUP($A114,Data!$A$2:$C$117,2,TRUE),"")</f>
        <v/>
      </c>
      <c r="C114" s="14" t="str">
        <f>IF(ROW()&lt;=Results!$C$1+1,IF(B114&lt;=0,"",LN(B114)),"")</f>
        <v/>
      </c>
      <c r="D114" s="58" t="str">
        <f ca="1">IF(Results!$S$5,A114,IF(ROW()&lt;=Results!$C$1+1,INDEX(Data!$A:$A,CEILING((COUNTA(Data!$A:$A)-1)*RAND()+1,1)),""))</f>
        <v/>
      </c>
      <c r="E114" s="1" t="str">
        <f>IF(ROW()&lt;=Results!$C$1+1,VLOOKUP($D114,Data!$A$2:$C$117,3,TRUE),"")</f>
        <v/>
      </c>
      <c r="F114" s="14" t="str">
        <f>IF(ROW()&lt;=Results!$C$1+1,IF(E114&lt;=0,"",LN(E114)),"")</f>
        <v/>
      </c>
      <c r="G114" s="53" t="str">
        <f>IF(ROW()&lt;=Results!$C$1+1,IF(ISERROR(C114-F114),"",C114-F114),"")</f>
        <v/>
      </c>
    </row>
    <row r="115" spans="1:7" x14ac:dyDescent="0.25">
      <c r="A115" s="1" t="str">
        <f ca="1">IF(ROW()&lt;=Results!$C$1+1,INDEX(Data!$A:$A,CEILING((COUNTA(Data!$A:$A)-1)*RAND()+1,1)),"")</f>
        <v/>
      </c>
      <c r="B115" s="1" t="str">
        <f>IF(ROW()&lt;=Results!$C$1+1,VLOOKUP($A115,Data!$A$2:$C$117,2,TRUE),"")</f>
        <v/>
      </c>
      <c r="C115" s="14" t="str">
        <f>IF(ROW()&lt;=Results!$C$1+1,IF(B115&lt;=0,"",LN(B115)),"")</f>
        <v/>
      </c>
      <c r="D115" s="58" t="str">
        <f ca="1">IF(Results!$S$5,A115,IF(ROW()&lt;=Results!$C$1+1,INDEX(Data!$A:$A,CEILING((COUNTA(Data!$A:$A)-1)*RAND()+1,1)),""))</f>
        <v/>
      </c>
      <c r="E115" s="1" t="str">
        <f>IF(ROW()&lt;=Results!$C$1+1,VLOOKUP($D115,Data!$A$2:$C$117,3,TRUE),"")</f>
        <v/>
      </c>
      <c r="F115" s="14" t="str">
        <f>IF(ROW()&lt;=Results!$C$1+1,IF(E115&lt;=0,"",LN(E115)),"")</f>
        <v/>
      </c>
      <c r="G115" s="53" t="str">
        <f>IF(ROW()&lt;=Results!$C$1+1,IF(ISERROR(C115-F115),"",C115-F115),"")</f>
        <v/>
      </c>
    </row>
    <row r="116" spans="1:7" x14ac:dyDescent="0.25">
      <c r="A116" s="1" t="str">
        <f ca="1">IF(ROW()&lt;=Results!$C$1+1,INDEX(Data!$A:$A,CEILING((COUNTA(Data!$A:$A)-1)*RAND()+1,1)),"")</f>
        <v/>
      </c>
      <c r="B116" s="1" t="str">
        <f>IF(ROW()&lt;=Results!$C$1+1,VLOOKUP($A116,Data!$A$2:$C$117,2,TRUE),"")</f>
        <v/>
      </c>
      <c r="C116" s="14" t="str">
        <f>IF(ROW()&lt;=Results!$C$1+1,IF(B116&lt;=0,"",LN(B116)),"")</f>
        <v/>
      </c>
      <c r="D116" s="58" t="str">
        <f ca="1">IF(Results!$S$5,A116,IF(ROW()&lt;=Results!$C$1+1,INDEX(Data!$A:$A,CEILING((COUNTA(Data!$A:$A)-1)*RAND()+1,1)),""))</f>
        <v/>
      </c>
      <c r="E116" s="1" t="str">
        <f>IF(ROW()&lt;=Results!$C$1+1,VLOOKUP($D116,Data!$A$2:$C$117,3,TRUE),"")</f>
        <v/>
      </c>
      <c r="F116" s="14" t="str">
        <f>IF(ROW()&lt;=Results!$C$1+1,IF(E116&lt;=0,"",LN(E116)),"")</f>
        <v/>
      </c>
      <c r="G116" s="53" t="str">
        <f>IF(ROW()&lt;=Results!$C$1+1,IF(ISERROR(C116-F116),"",C116-F116),"")</f>
        <v/>
      </c>
    </row>
    <row r="117" spans="1:7" x14ac:dyDescent="0.25">
      <c r="A117" s="1" t="str">
        <f ca="1">IF(ROW()&lt;=Results!$C$1+1,INDEX(Data!$A:$A,CEILING((COUNTA(Data!$A:$A)-1)*RAND()+1,1)),"")</f>
        <v/>
      </c>
      <c r="B117" s="1" t="str">
        <f>IF(ROW()&lt;=Results!$C$1+1,VLOOKUP($A117,Data!$A$2:$C$117,2,TRUE),"")</f>
        <v/>
      </c>
      <c r="C117" s="14" t="str">
        <f>IF(ROW()&lt;=Results!$C$1+1,IF(B117&lt;=0,"",LN(B117)),"")</f>
        <v/>
      </c>
      <c r="D117" s="58" t="str">
        <f ca="1">IF(Results!$S$5,A117,IF(ROW()&lt;=Results!$C$1+1,INDEX(Data!$A:$A,CEILING((COUNTA(Data!$A:$A)-1)*RAND()+1,1)),""))</f>
        <v/>
      </c>
      <c r="E117" s="1" t="str">
        <f>IF(ROW()&lt;=Results!$C$1+1,VLOOKUP($D117,Data!$A$2:$C$117,3,TRUE),"")</f>
        <v/>
      </c>
      <c r="F117" s="14" t="str">
        <f>IF(ROW()&lt;=Results!$C$1+1,IF(E117&lt;=0,"",LN(E117)),"")</f>
        <v/>
      </c>
      <c r="G117" s="53" t="str">
        <f>IF(ROW()&lt;=Results!$C$1+1,IF(ISERROR(C117-F117),"",C117-F117),"")</f>
        <v/>
      </c>
    </row>
    <row r="118" spans="1:7" x14ac:dyDescent="0.25">
      <c r="A118" s="1" t="str">
        <f ca="1">IF(ROW()&lt;=Results!$C$1+1,INDEX(Data!$A:$A,CEILING((COUNTA(Data!$A:$A)-1)*RAND()+1,1)),"")</f>
        <v/>
      </c>
      <c r="B118" s="1" t="str">
        <f>IF(ROW()&lt;=Results!$C$1+1,VLOOKUP($A118,Data!$A$2:$C$117,2,TRUE),"")</f>
        <v/>
      </c>
      <c r="C118" s="14" t="str">
        <f>IF(ROW()&lt;=Results!$C$1+1,IF(B118&lt;=0,"",LN(B118)),"")</f>
        <v/>
      </c>
      <c r="D118" s="58" t="str">
        <f ca="1">IF(Results!$S$5,A118,IF(ROW()&lt;=Results!$C$1+1,INDEX(Data!$A:$A,CEILING((COUNTA(Data!$A:$A)-1)*RAND()+1,1)),""))</f>
        <v/>
      </c>
      <c r="E118" s="1" t="str">
        <f>IF(ROW()&lt;=Results!$C$1+1,VLOOKUP($D118,Data!$A$2:$C$117,3,TRUE),"")</f>
        <v/>
      </c>
      <c r="F118" s="14" t="str">
        <f>IF(ROW()&lt;=Results!$C$1+1,IF(E118&lt;=0,"",LN(E118)),"")</f>
        <v/>
      </c>
      <c r="G118" s="53" t="str">
        <f>IF(ROW()&lt;=Results!$C$1+1,IF(ISERROR(C118-F118),"",C118-F118),"")</f>
        <v/>
      </c>
    </row>
    <row r="119" spans="1:7" x14ac:dyDescent="0.25">
      <c r="A119" s="1" t="str">
        <f ca="1">IF(ROW()&lt;=Results!$C$1+1,INDEX(Data!$A:$A,CEILING((COUNTA(Data!$A:$A)-1)*RAND()+1,1)),"")</f>
        <v/>
      </c>
      <c r="B119" s="1" t="str">
        <f>IF(ROW()&lt;=Results!$C$1+1,VLOOKUP($A119,Data!$A$2:$C$117,2,TRUE),"")</f>
        <v/>
      </c>
      <c r="C119" s="14" t="str">
        <f>IF(ROW()&lt;=Results!$C$1+1,IF(B119&lt;=0,"",LN(B119)),"")</f>
        <v/>
      </c>
      <c r="D119" s="58" t="str">
        <f ca="1">IF(Results!$S$5,A119,IF(ROW()&lt;=Results!$C$1+1,INDEX(Data!$A:$A,CEILING((COUNTA(Data!$A:$A)-1)*RAND()+1,1)),""))</f>
        <v/>
      </c>
      <c r="E119" s="1" t="str">
        <f>IF(ROW()&lt;=Results!$C$1+1,VLOOKUP($D119,Data!$A$2:$C$117,3,TRUE),"")</f>
        <v/>
      </c>
      <c r="F119" s="14" t="str">
        <f>IF(ROW()&lt;=Results!$C$1+1,IF(E119&lt;=0,"",LN(E119)),"")</f>
        <v/>
      </c>
      <c r="G119" s="53" t="str">
        <f>IF(ROW()&lt;=Results!$C$1+1,IF(ISERROR(C119-F119),"",C119-F119),"")</f>
        <v/>
      </c>
    </row>
    <row r="120" spans="1:7" x14ac:dyDescent="0.25">
      <c r="A120" s="1" t="str">
        <f ca="1">IF(ROW()&lt;=Results!$C$1+1,INDEX(Data!$A:$A,CEILING((COUNTA(Data!$A:$A)-1)*RAND()+1,1)),"")</f>
        <v/>
      </c>
      <c r="B120" s="1" t="str">
        <f>IF(ROW()&lt;=Results!$C$1+1,VLOOKUP($A120,Data!$A$2:$C$117,2,TRUE),"")</f>
        <v/>
      </c>
      <c r="C120" s="14" t="str">
        <f>IF(ROW()&lt;=Results!$C$1+1,IF(B120&lt;=0,"",LN(B120)),"")</f>
        <v/>
      </c>
      <c r="D120" s="58" t="str">
        <f ca="1">IF(Results!$S$5,A120,IF(ROW()&lt;=Results!$C$1+1,INDEX(Data!$A:$A,CEILING((COUNTA(Data!$A:$A)-1)*RAND()+1,1)),""))</f>
        <v/>
      </c>
      <c r="E120" s="1" t="str">
        <f>IF(ROW()&lt;=Results!$C$1+1,VLOOKUP($D120,Data!$A$2:$C$117,3,TRUE),"")</f>
        <v/>
      </c>
      <c r="F120" s="14" t="str">
        <f>IF(ROW()&lt;=Results!$C$1+1,IF(E120&lt;=0,"",LN(E120)),"")</f>
        <v/>
      </c>
      <c r="G120" s="53" t="str">
        <f>IF(ROW()&lt;=Results!$C$1+1,IF(ISERROR(C120-F120),"",C120-F120),"")</f>
        <v/>
      </c>
    </row>
    <row r="121" spans="1:7" x14ac:dyDescent="0.25">
      <c r="A121" s="1" t="str">
        <f ca="1">IF(ROW()&lt;=Results!$C$1+1,INDEX(Data!$A:$A,CEILING((COUNTA(Data!$A:$A)-1)*RAND()+1,1)),"")</f>
        <v/>
      </c>
      <c r="B121" s="1" t="str">
        <f>IF(ROW()&lt;=Results!$C$1+1,VLOOKUP($A121,Data!$A$2:$C$117,2,TRUE),"")</f>
        <v/>
      </c>
      <c r="C121" s="14" t="str">
        <f>IF(ROW()&lt;=Results!$C$1+1,IF(B121&lt;=0,"",LN(B121)),"")</f>
        <v/>
      </c>
      <c r="D121" s="58" t="str">
        <f ca="1">IF(Results!$S$5,A121,IF(ROW()&lt;=Results!$C$1+1,INDEX(Data!$A:$A,CEILING((COUNTA(Data!$A:$A)-1)*RAND()+1,1)),""))</f>
        <v/>
      </c>
      <c r="E121" s="1" t="str">
        <f>IF(ROW()&lt;=Results!$C$1+1,VLOOKUP($D121,Data!$A$2:$C$117,3,TRUE),"")</f>
        <v/>
      </c>
      <c r="F121" s="14" t="str">
        <f>IF(ROW()&lt;=Results!$C$1+1,IF(E121&lt;=0,"",LN(E121)),"")</f>
        <v/>
      </c>
      <c r="G121" s="53" t="str">
        <f>IF(ROW()&lt;=Results!$C$1+1,IF(ISERROR(C121-F121),"",C121-F121),"")</f>
        <v/>
      </c>
    </row>
    <row r="122" spans="1:7" x14ac:dyDescent="0.25">
      <c r="A122" s="1" t="str">
        <f ca="1">IF(ROW()&lt;=Results!$C$1+1,INDEX(Data!$A:$A,CEILING((COUNTA(Data!$A:$A)-1)*RAND()+1,1)),"")</f>
        <v/>
      </c>
      <c r="B122" s="1" t="str">
        <f>IF(ROW()&lt;=Results!$C$1+1,VLOOKUP($A122,Data!$A$2:$C$117,2,TRUE),"")</f>
        <v/>
      </c>
      <c r="C122" s="14" t="str">
        <f>IF(ROW()&lt;=Results!$C$1+1,IF(B122&lt;=0,"",LN(B122)),"")</f>
        <v/>
      </c>
      <c r="D122" s="58" t="str">
        <f ca="1">IF(Results!$S$5,A122,IF(ROW()&lt;=Results!$C$1+1,INDEX(Data!$A:$A,CEILING((COUNTA(Data!$A:$A)-1)*RAND()+1,1)),""))</f>
        <v/>
      </c>
      <c r="E122" s="1" t="str">
        <f>IF(ROW()&lt;=Results!$C$1+1,VLOOKUP($D122,Data!$A$2:$C$117,3,TRUE),"")</f>
        <v/>
      </c>
      <c r="F122" s="14" t="str">
        <f>IF(ROW()&lt;=Results!$C$1+1,IF(E122&lt;=0,"",LN(E122)),"")</f>
        <v/>
      </c>
      <c r="G122" s="53" t="str">
        <f>IF(ROW()&lt;=Results!$C$1+1,IF(ISERROR(C122-F122),"",C122-F122),"")</f>
        <v/>
      </c>
    </row>
    <row r="123" spans="1:7" x14ac:dyDescent="0.25">
      <c r="A123" s="1" t="str">
        <f ca="1">IF(ROW()&lt;=Results!$C$1+1,INDEX(Data!$A:$A,CEILING((COUNTA(Data!$A:$A)-1)*RAND()+1,1)),"")</f>
        <v/>
      </c>
      <c r="B123" s="1" t="str">
        <f>IF(ROW()&lt;=Results!$C$1+1,VLOOKUP($A123,Data!$A$2:$C$117,2,TRUE),"")</f>
        <v/>
      </c>
      <c r="C123" s="14" t="str">
        <f>IF(ROW()&lt;=Results!$C$1+1,IF(B123&lt;=0,"",LN(B123)),"")</f>
        <v/>
      </c>
      <c r="D123" s="58" t="str">
        <f ca="1">IF(Results!$S$5,A123,IF(ROW()&lt;=Results!$C$1+1,INDEX(Data!$A:$A,CEILING((COUNTA(Data!$A:$A)-1)*RAND()+1,1)),""))</f>
        <v/>
      </c>
      <c r="E123" s="1" t="str">
        <f>IF(ROW()&lt;=Results!$C$1+1,VLOOKUP($D123,Data!$A$2:$C$117,3,TRUE),"")</f>
        <v/>
      </c>
      <c r="F123" s="14" t="str">
        <f>IF(ROW()&lt;=Results!$C$1+1,IF(E123&lt;=0,"",LN(E123)),"")</f>
        <v/>
      </c>
      <c r="G123" s="53" t="str">
        <f>IF(ROW()&lt;=Results!$C$1+1,IF(ISERROR(C123-F123),"",C123-F123),"")</f>
        <v/>
      </c>
    </row>
    <row r="124" spans="1:7" x14ac:dyDescent="0.25">
      <c r="A124" s="1" t="str">
        <f ca="1">IF(ROW()&lt;=Results!$C$1+1,INDEX(Data!$A:$A,CEILING((COUNTA(Data!$A:$A)-1)*RAND()+1,1)),"")</f>
        <v/>
      </c>
      <c r="B124" s="1" t="str">
        <f>IF(ROW()&lt;=Results!$C$1+1,VLOOKUP($A124,Data!$A$2:$C$117,2,TRUE),"")</f>
        <v/>
      </c>
      <c r="C124" s="14" t="str">
        <f>IF(ROW()&lt;=Results!$C$1+1,IF(B124&lt;=0,"",LN(B124)),"")</f>
        <v/>
      </c>
      <c r="D124" s="58" t="str">
        <f ca="1">IF(Results!$S$5,A124,IF(ROW()&lt;=Results!$C$1+1,INDEX(Data!$A:$A,CEILING((COUNTA(Data!$A:$A)-1)*RAND()+1,1)),""))</f>
        <v/>
      </c>
      <c r="E124" s="1" t="str">
        <f>IF(ROW()&lt;=Results!$C$1+1,VLOOKUP($D124,Data!$A$2:$C$117,3,TRUE),"")</f>
        <v/>
      </c>
      <c r="F124" s="14" t="str">
        <f>IF(ROW()&lt;=Results!$C$1+1,IF(E124&lt;=0,"",LN(E124)),"")</f>
        <v/>
      </c>
      <c r="G124" s="53" t="str">
        <f>IF(ROW()&lt;=Results!$C$1+1,IF(ISERROR(C124-F124),"",C124-F124),"")</f>
        <v/>
      </c>
    </row>
    <row r="125" spans="1:7" x14ac:dyDescent="0.25">
      <c r="A125" s="1" t="str">
        <f ca="1">IF(ROW()&lt;=Results!$C$1+1,INDEX(Data!$A:$A,CEILING((COUNTA(Data!$A:$A)-1)*RAND()+1,1)),"")</f>
        <v/>
      </c>
      <c r="B125" s="1" t="str">
        <f>IF(ROW()&lt;=Results!$C$1+1,VLOOKUP($A125,Data!$A$2:$C$117,2,TRUE),"")</f>
        <v/>
      </c>
      <c r="C125" s="14" t="str">
        <f>IF(ROW()&lt;=Results!$C$1+1,IF(B125&lt;=0,"",LN(B125)),"")</f>
        <v/>
      </c>
      <c r="D125" s="58" t="str">
        <f ca="1">IF(Results!$S$5,A125,IF(ROW()&lt;=Results!$C$1+1,INDEX(Data!$A:$A,CEILING((COUNTA(Data!$A:$A)-1)*RAND()+1,1)),""))</f>
        <v/>
      </c>
      <c r="E125" s="1" t="str">
        <f>IF(ROW()&lt;=Results!$C$1+1,VLOOKUP($D125,Data!$A$2:$C$117,3,TRUE),"")</f>
        <v/>
      </c>
      <c r="F125" s="14" t="str">
        <f>IF(ROW()&lt;=Results!$C$1+1,IF(E125&lt;=0,"",LN(E125)),"")</f>
        <v/>
      </c>
      <c r="G125" s="53" t="str">
        <f>IF(ROW()&lt;=Results!$C$1+1,IF(ISERROR(C125-F125),"",C125-F125),"")</f>
        <v/>
      </c>
    </row>
    <row r="126" spans="1:7" x14ac:dyDescent="0.25">
      <c r="A126" s="1" t="str">
        <f ca="1">IF(ROW()&lt;=Results!$C$1+1,INDEX(Data!$A:$A,CEILING((COUNTA(Data!$A:$A)-1)*RAND()+1,1)),"")</f>
        <v/>
      </c>
      <c r="B126" s="1" t="str">
        <f>IF(ROW()&lt;=Results!$C$1+1,VLOOKUP($A126,Data!$A$2:$C$117,2,TRUE),"")</f>
        <v/>
      </c>
      <c r="C126" s="14" t="str">
        <f>IF(ROW()&lt;=Results!$C$1+1,IF(B126&lt;=0,"",LN(B126)),"")</f>
        <v/>
      </c>
      <c r="D126" s="58" t="str">
        <f ca="1">IF(Results!$S$5,A126,IF(ROW()&lt;=Results!$C$1+1,INDEX(Data!$A:$A,CEILING((COUNTA(Data!$A:$A)-1)*RAND()+1,1)),""))</f>
        <v/>
      </c>
      <c r="E126" s="1" t="str">
        <f>IF(ROW()&lt;=Results!$C$1+1,VLOOKUP($D126,Data!$A$2:$C$117,3,TRUE),"")</f>
        <v/>
      </c>
      <c r="F126" s="14" t="str">
        <f>IF(ROW()&lt;=Results!$C$1+1,IF(E126&lt;=0,"",LN(E126)),"")</f>
        <v/>
      </c>
      <c r="G126" s="53" t="str">
        <f>IF(ROW()&lt;=Results!$C$1+1,IF(ISERROR(C126-F126),"",C126-F126),"")</f>
        <v/>
      </c>
    </row>
    <row r="127" spans="1:7" x14ac:dyDescent="0.25">
      <c r="A127" s="1" t="str">
        <f ca="1">IF(ROW()&lt;=Results!$C$1+1,INDEX(Data!$A:$A,CEILING((COUNTA(Data!$A:$A)-1)*RAND()+1,1)),"")</f>
        <v/>
      </c>
      <c r="B127" s="1" t="str">
        <f>IF(ROW()&lt;=Results!$C$1+1,VLOOKUP($A127,Data!$A$2:$C$117,2,TRUE),"")</f>
        <v/>
      </c>
      <c r="C127" s="14" t="str">
        <f>IF(ROW()&lt;=Results!$C$1+1,IF(B127&lt;=0,"",LN(B127)),"")</f>
        <v/>
      </c>
      <c r="D127" s="58" t="str">
        <f ca="1">IF(Results!$S$5,A127,IF(ROW()&lt;=Results!$C$1+1,INDEX(Data!$A:$A,CEILING((COUNTA(Data!$A:$A)-1)*RAND()+1,1)),""))</f>
        <v/>
      </c>
      <c r="E127" s="1" t="str">
        <f>IF(ROW()&lt;=Results!$C$1+1,VLOOKUP($D127,Data!$A$2:$C$117,3,TRUE),"")</f>
        <v/>
      </c>
      <c r="F127" s="14" t="str">
        <f>IF(ROW()&lt;=Results!$C$1+1,IF(E127&lt;=0,"",LN(E127)),"")</f>
        <v/>
      </c>
      <c r="G127" s="53" t="str">
        <f>IF(ROW()&lt;=Results!$C$1+1,IF(ISERROR(C127-F127),"",C127-F127),"")</f>
        <v/>
      </c>
    </row>
    <row r="128" spans="1:7" x14ac:dyDescent="0.25">
      <c r="A128" s="1" t="str">
        <f ca="1">IF(ROW()&lt;=Results!$C$1+1,INDEX(Data!$A:$A,CEILING((COUNTA(Data!$A:$A)-1)*RAND()+1,1)),"")</f>
        <v/>
      </c>
      <c r="B128" s="1" t="str">
        <f>IF(ROW()&lt;=Results!$C$1+1,VLOOKUP($A128,Data!$A$2:$C$117,2,TRUE),"")</f>
        <v/>
      </c>
      <c r="C128" s="14" t="str">
        <f>IF(ROW()&lt;=Results!$C$1+1,IF(B128&lt;=0,"",LN(B128)),"")</f>
        <v/>
      </c>
      <c r="D128" s="58" t="str">
        <f ca="1">IF(Results!$S$5,A128,IF(ROW()&lt;=Results!$C$1+1,INDEX(Data!$A:$A,CEILING((COUNTA(Data!$A:$A)-1)*RAND()+1,1)),""))</f>
        <v/>
      </c>
      <c r="E128" s="1" t="str">
        <f>IF(ROW()&lt;=Results!$C$1+1,VLOOKUP($D128,Data!$A$2:$C$117,3,TRUE),"")</f>
        <v/>
      </c>
      <c r="F128" s="14" t="str">
        <f>IF(ROW()&lt;=Results!$C$1+1,IF(E128&lt;=0,"",LN(E128)),"")</f>
        <v/>
      </c>
      <c r="G128" s="53" t="str">
        <f>IF(ROW()&lt;=Results!$C$1+1,IF(ISERROR(C128-F128),"",C128-F128),"")</f>
        <v/>
      </c>
    </row>
    <row r="129" spans="1:7" x14ac:dyDescent="0.25">
      <c r="A129" s="1" t="str">
        <f ca="1">IF(ROW()&lt;=Results!$C$1+1,INDEX(Data!$A:$A,CEILING((COUNTA(Data!$A:$A)-1)*RAND()+1,1)),"")</f>
        <v/>
      </c>
      <c r="B129" s="1" t="str">
        <f>IF(ROW()&lt;=Results!$C$1+1,VLOOKUP($A129,Data!$A$2:$C$117,2,TRUE),"")</f>
        <v/>
      </c>
      <c r="C129" s="14" t="str">
        <f>IF(ROW()&lt;=Results!$C$1+1,IF(B129&lt;=0,"",LN(B129)),"")</f>
        <v/>
      </c>
      <c r="D129" s="58" t="str">
        <f ca="1">IF(Results!$S$5,A129,IF(ROW()&lt;=Results!$C$1+1,INDEX(Data!$A:$A,CEILING((COUNTA(Data!$A:$A)-1)*RAND()+1,1)),""))</f>
        <v/>
      </c>
      <c r="E129" s="1" t="str">
        <f>IF(ROW()&lt;=Results!$C$1+1,VLOOKUP($D129,Data!$A$2:$C$117,3,TRUE),"")</f>
        <v/>
      </c>
      <c r="F129" s="14" t="str">
        <f>IF(ROW()&lt;=Results!$C$1+1,IF(E129&lt;=0,"",LN(E129)),"")</f>
        <v/>
      </c>
      <c r="G129" s="53" t="str">
        <f>IF(ROW()&lt;=Results!$C$1+1,IF(ISERROR(C129-F129),"",C129-F129),"")</f>
        <v/>
      </c>
    </row>
    <row r="130" spans="1:7" x14ac:dyDescent="0.25">
      <c r="A130" s="1" t="str">
        <f ca="1">IF(ROW()&lt;=Results!$C$1+1,INDEX(Data!$A:$A,CEILING((COUNTA(Data!$A:$A)-1)*RAND()+1,1)),"")</f>
        <v/>
      </c>
      <c r="B130" s="1" t="str">
        <f>IF(ROW()&lt;=Results!$C$1+1,VLOOKUP($A130,Data!$A$2:$C$117,2,TRUE),"")</f>
        <v/>
      </c>
      <c r="C130" s="14" t="str">
        <f>IF(ROW()&lt;=Results!$C$1+1,IF(B130&lt;=0,"",LN(B130)),"")</f>
        <v/>
      </c>
      <c r="D130" s="58" t="str">
        <f ca="1">IF(Results!$S$5,A130,IF(ROW()&lt;=Results!$C$1+1,INDEX(Data!$A:$A,CEILING((COUNTA(Data!$A:$A)-1)*RAND()+1,1)),""))</f>
        <v/>
      </c>
      <c r="E130" s="1" t="str">
        <f>IF(ROW()&lt;=Results!$C$1+1,VLOOKUP($D130,Data!$A$2:$C$117,3,TRUE),"")</f>
        <v/>
      </c>
      <c r="F130" s="14" t="str">
        <f>IF(ROW()&lt;=Results!$C$1+1,IF(E130&lt;=0,"",LN(E130)),"")</f>
        <v/>
      </c>
      <c r="G130" s="53" t="str">
        <f>IF(ROW()&lt;=Results!$C$1+1,IF(ISERROR(C130-F130),"",C130-F130),"")</f>
        <v/>
      </c>
    </row>
    <row r="131" spans="1:7" x14ac:dyDescent="0.25">
      <c r="A131" s="1" t="str">
        <f ca="1">IF(ROW()&lt;=Results!$C$1+1,INDEX(Data!$A:$A,CEILING((COUNTA(Data!$A:$A)-1)*RAND()+1,1)),"")</f>
        <v/>
      </c>
      <c r="B131" s="1" t="str">
        <f>IF(ROW()&lt;=Results!$C$1+1,VLOOKUP($A131,Data!$A$2:$C$117,2,TRUE),"")</f>
        <v/>
      </c>
      <c r="C131" s="14" t="str">
        <f>IF(ROW()&lt;=Results!$C$1+1,IF(B131&lt;=0,"",LN(B131)),"")</f>
        <v/>
      </c>
      <c r="D131" s="58" t="str">
        <f ca="1">IF(Results!$S$5,A131,IF(ROW()&lt;=Results!$C$1+1,INDEX(Data!$A:$A,CEILING((COUNTA(Data!$A:$A)-1)*RAND()+1,1)),""))</f>
        <v/>
      </c>
      <c r="E131" s="1" t="str">
        <f>IF(ROW()&lt;=Results!$C$1+1,VLOOKUP($D131,Data!$A$2:$C$117,3,TRUE),"")</f>
        <v/>
      </c>
      <c r="F131" s="14" t="str">
        <f>IF(ROW()&lt;=Results!$C$1+1,IF(E131&lt;=0,"",LN(E131)),"")</f>
        <v/>
      </c>
      <c r="G131" s="53" t="str">
        <f>IF(ROW()&lt;=Results!$C$1+1,IF(ISERROR(C131-F131),"",C131-F131),"")</f>
        <v/>
      </c>
    </row>
    <row r="132" spans="1:7" x14ac:dyDescent="0.25">
      <c r="A132" s="1" t="str">
        <f ca="1">IF(ROW()&lt;=Results!$C$1+1,INDEX(Data!$A:$A,CEILING((COUNTA(Data!$A:$A)-1)*RAND()+1,1)),"")</f>
        <v/>
      </c>
      <c r="B132" s="1" t="str">
        <f>IF(ROW()&lt;=Results!$C$1+1,VLOOKUP($A132,Data!$A$2:$C$117,2,TRUE),"")</f>
        <v/>
      </c>
      <c r="C132" s="14" t="str">
        <f>IF(ROW()&lt;=Results!$C$1+1,IF(B132&lt;=0,"",LN(B132)),"")</f>
        <v/>
      </c>
      <c r="D132" s="58" t="str">
        <f ca="1">IF(Results!$S$5,A132,IF(ROW()&lt;=Results!$C$1+1,INDEX(Data!$A:$A,CEILING((COUNTA(Data!$A:$A)-1)*RAND()+1,1)),""))</f>
        <v/>
      </c>
      <c r="E132" s="1" t="str">
        <f>IF(ROW()&lt;=Results!$C$1+1,VLOOKUP($D132,Data!$A$2:$C$117,3,TRUE),"")</f>
        <v/>
      </c>
      <c r="F132" s="14" t="str">
        <f>IF(ROW()&lt;=Results!$C$1+1,IF(E132&lt;=0,"",LN(E132)),"")</f>
        <v/>
      </c>
      <c r="G132" s="53" t="str">
        <f>IF(ROW()&lt;=Results!$C$1+1,IF(ISERROR(C132-F132),"",C132-F132),"")</f>
        <v/>
      </c>
    </row>
    <row r="133" spans="1:7" x14ac:dyDescent="0.25">
      <c r="A133" s="1" t="str">
        <f ca="1">IF(ROW()&lt;=Results!$C$1+1,INDEX(Data!$A:$A,CEILING((COUNTA(Data!$A:$A)-1)*RAND()+1,1)),"")</f>
        <v/>
      </c>
      <c r="B133" s="1" t="str">
        <f>IF(ROW()&lt;=Results!$C$1+1,VLOOKUP($A133,Data!$A$2:$C$117,2,TRUE),"")</f>
        <v/>
      </c>
      <c r="C133" s="14" t="str">
        <f>IF(ROW()&lt;=Results!$C$1+1,IF(B133&lt;=0,"",LN(B133)),"")</f>
        <v/>
      </c>
      <c r="D133" s="58" t="str">
        <f ca="1">IF(Results!$S$5,A133,IF(ROW()&lt;=Results!$C$1+1,INDEX(Data!$A:$A,CEILING((COUNTA(Data!$A:$A)-1)*RAND()+1,1)),""))</f>
        <v/>
      </c>
      <c r="E133" s="1" t="str">
        <f>IF(ROW()&lt;=Results!$C$1+1,VLOOKUP($D133,Data!$A$2:$C$117,3,TRUE),"")</f>
        <v/>
      </c>
      <c r="F133" s="14" t="str">
        <f>IF(ROW()&lt;=Results!$C$1+1,IF(E133&lt;=0,"",LN(E133)),"")</f>
        <v/>
      </c>
      <c r="G133" s="53" t="str">
        <f>IF(ROW()&lt;=Results!$C$1+1,IF(ISERROR(C133-F133),"",C133-F133),"")</f>
        <v/>
      </c>
    </row>
    <row r="134" spans="1:7" x14ac:dyDescent="0.25">
      <c r="A134" s="1" t="str">
        <f ca="1">IF(ROW()&lt;=Results!$C$1+1,INDEX(Data!$A:$A,CEILING((COUNTA(Data!$A:$A)-1)*RAND()+1,1)),"")</f>
        <v/>
      </c>
      <c r="B134" s="1" t="str">
        <f>IF(ROW()&lt;=Results!$C$1+1,VLOOKUP($A134,Data!$A$2:$C$117,2,TRUE),"")</f>
        <v/>
      </c>
      <c r="C134" s="14" t="str">
        <f>IF(ROW()&lt;=Results!$C$1+1,IF(B134&lt;=0,"",LN(B134)),"")</f>
        <v/>
      </c>
      <c r="D134" s="58" t="str">
        <f ca="1">IF(Results!$S$5,A134,IF(ROW()&lt;=Results!$C$1+1,INDEX(Data!$A:$A,CEILING((COUNTA(Data!$A:$A)-1)*RAND()+1,1)),""))</f>
        <v/>
      </c>
      <c r="E134" s="1" t="str">
        <f>IF(ROW()&lt;=Results!$C$1+1,VLOOKUP($D134,Data!$A$2:$C$117,3,TRUE),"")</f>
        <v/>
      </c>
      <c r="F134" s="14" t="str">
        <f>IF(ROW()&lt;=Results!$C$1+1,IF(E134&lt;=0,"",LN(E134)),"")</f>
        <v/>
      </c>
      <c r="G134" s="53" t="str">
        <f>IF(ROW()&lt;=Results!$C$1+1,IF(ISERROR(C134-F134),"",C134-F134),"")</f>
        <v/>
      </c>
    </row>
    <row r="135" spans="1:7" x14ac:dyDescent="0.25">
      <c r="A135" s="1" t="str">
        <f ca="1">IF(ROW()&lt;=Results!$C$1+1,INDEX(Data!$A:$A,CEILING((COUNTA(Data!$A:$A)-1)*RAND()+1,1)),"")</f>
        <v/>
      </c>
      <c r="B135" s="1" t="str">
        <f>IF(ROW()&lt;=Results!$C$1+1,VLOOKUP($A135,Data!$A$2:$C$117,2,TRUE),"")</f>
        <v/>
      </c>
      <c r="C135" s="14" t="str">
        <f>IF(ROW()&lt;=Results!$C$1+1,IF(B135&lt;=0,"",LN(B135)),"")</f>
        <v/>
      </c>
      <c r="D135" s="58" t="str">
        <f ca="1">IF(Results!$S$5,A135,IF(ROW()&lt;=Results!$C$1+1,INDEX(Data!$A:$A,CEILING((COUNTA(Data!$A:$A)-1)*RAND()+1,1)),""))</f>
        <v/>
      </c>
      <c r="E135" s="1" t="str">
        <f>IF(ROW()&lt;=Results!$C$1+1,VLOOKUP($D135,Data!$A$2:$C$117,3,TRUE),"")</f>
        <v/>
      </c>
      <c r="F135" s="14" t="str">
        <f>IF(ROW()&lt;=Results!$C$1+1,IF(E135&lt;=0,"",LN(E135)),"")</f>
        <v/>
      </c>
      <c r="G135" s="53" t="str">
        <f>IF(ROW()&lt;=Results!$C$1+1,IF(ISERROR(C135-F135),"",C135-F135),"")</f>
        <v/>
      </c>
    </row>
    <row r="136" spans="1:7" x14ac:dyDescent="0.25">
      <c r="A136" s="1" t="str">
        <f ca="1">IF(ROW()&lt;=Results!$C$1+1,INDEX(Data!$A:$A,CEILING((COUNTA(Data!$A:$A)-1)*RAND()+1,1)),"")</f>
        <v/>
      </c>
      <c r="B136" s="1" t="str">
        <f>IF(ROW()&lt;=Results!$C$1+1,VLOOKUP($A136,Data!$A$2:$C$117,2,TRUE),"")</f>
        <v/>
      </c>
      <c r="C136" s="14" t="str">
        <f>IF(ROW()&lt;=Results!$C$1+1,IF(B136&lt;=0,"",LN(B136)),"")</f>
        <v/>
      </c>
      <c r="D136" s="58" t="str">
        <f ca="1">IF(Results!$S$5,A136,IF(ROW()&lt;=Results!$C$1+1,INDEX(Data!$A:$A,CEILING((COUNTA(Data!$A:$A)-1)*RAND()+1,1)),""))</f>
        <v/>
      </c>
      <c r="E136" s="1" t="str">
        <f>IF(ROW()&lt;=Results!$C$1+1,VLOOKUP($D136,Data!$A$2:$C$117,3,TRUE),"")</f>
        <v/>
      </c>
      <c r="F136" s="14" t="str">
        <f>IF(ROW()&lt;=Results!$C$1+1,IF(E136&lt;=0,"",LN(E136)),"")</f>
        <v/>
      </c>
      <c r="G136" s="53" t="str">
        <f>IF(ROW()&lt;=Results!$C$1+1,IF(ISERROR(C136-F136),"",C136-F136),"")</f>
        <v/>
      </c>
    </row>
    <row r="137" spans="1:7" x14ac:dyDescent="0.25">
      <c r="A137" s="1" t="str">
        <f ca="1">IF(ROW()&lt;=Results!$C$1+1,INDEX(Data!$A:$A,CEILING((COUNTA(Data!$A:$A)-1)*RAND()+1,1)),"")</f>
        <v/>
      </c>
      <c r="B137" s="1" t="str">
        <f>IF(ROW()&lt;=Results!$C$1+1,VLOOKUP($A137,Data!$A$2:$C$117,2,TRUE),"")</f>
        <v/>
      </c>
      <c r="C137" s="14" t="str">
        <f>IF(ROW()&lt;=Results!$C$1+1,IF(B137&lt;=0,"",LN(B137)),"")</f>
        <v/>
      </c>
      <c r="D137" s="58" t="str">
        <f ca="1">IF(Results!$S$5,A137,IF(ROW()&lt;=Results!$C$1+1,INDEX(Data!$A:$A,CEILING((COUNTA(Data!$A:$A)-1)*RAND()+1,1)),""))</f>
        <v/>
      </c>
      <c r="E137" s="1" t="str">
        <f>IF(ROW()&lt;=Results!$C$1+1,VLOOKUP($D137,Data!$A$2:$C$117,3,TRUE),"")</f>
        <v/>
      </c>
      <c r="F137" s="14" t="str">
        <f>IF(ROW()&lt;=Results!$C$1+1,IF(E137&lt;=0,"",LN(E137)),"")</f>
        <v/>
      </c>
      <c r="G137" s="53" t="str">
        <f>IF(ROW()&lt;=Results!$C$1+1,IF(ISERROR(C137-F137),"",C137-F137),"")</f>
        <v/>
      </c>
    </row>
    <row r="138" spans="1:7" x14ac:dyDescent="0.25">
      <c r="A138" s="1" t="str">
        <f ca="1">IF(ROW()&lt;=Results!$C$1+1,INDEX(Data!$A:$A,CEILING((COUNTA(Data!$A:$A)-1)*RAND()+1,1)),"")</f>
        <v/>
      </c>
      <c r="B138" s="1" t="str">
        <f>IF(ROW()&lt;=Results!$C$1+1,VLOOKUP($A138,Data!$A$2:$C$117,2,TRUE),"")</f>
        <v/>
      </c>
      <c r="C138" s="14" t="str">
        <f>IF(ROW()&lt;=Results!$C$1+1,IF(B138&lt;=0,"",LN(B138)),"")</f>
        <v/>
      </c>
      <c r="D138" s="58" t="str">
        <f ca="1">IF(Results!$S$5,A138,IF(ROW()&lt;=Results!$C$1+1,INDEX(Data!$A:$A,CEILING((COUNTA(Data!$A:$A)-1)*RAND()+1,1)),""))</f>
        <v/>
      </c>
      <c r="E138" s="1" t="str">
        <f>IF(ROW()&lt;=Results!$C$1+1,VLOOKUP($D138,Data!$A$2:$C$117,3,TRUE),"")</f>
        <v/>
      </c>
      <c r="F138" s="14" t="str">
        <f>IF(ROW()&lt;=Results!$C$1+1,IF(E138&lt;=0,"",LN(E138)),"")</f>
        <v/>
      </c>
      <c r="G138" s="53" t="str">
        <f>IF(ROW()&lt;=Results!$C$1+1,IF(ISERROR(C138-F138),"",C138-F138),"")</f>
        <v/>
      </c>
    </row>
    <row r="139" spans="1:7" x14ac:dyDescent="0.25">
      <c r="A139" s="1" t="str">
        <f ca="1">IF(ROW()&lt;=Results!$C$1+1,INDEX(Data!$A:$A,CEILING((COUNTA(Data!$A:$A)-1)*RAND()+1,1)),"")</f>
        <v/>
      </c>
      <c r="B139" s="1" t="str">
        <f>IF(ROW()&lt;=Results!$C$1+1,VLOOKUP($A139,Data!$A$2:$C$117,2,TRUE),"")</f>
        <v/>
      </c>
      <c r="C139" s="14" t="str">
        <f>IF(ROW()&lt;=Results!$C$1+1,IF(B139&lt;=0,"",LN(B139)),"")</f>
        <v/>
      </c>
      <c r="D139" s="58" t="str">
        <f ca="1">IF(Results!$S$5,A139,IF(ROW()&lt;=Results!$C$1+1,INDEX(Data!$A:$A,CEILING((COUNTA(Data!$A:$A)-1)*RAND()+1,1)),""))</f>
        <v/>
      </c>
      <c r="E139" s="1" t="str">
        <f>IF(ROW()&lt;=Results!$C$1+1,VLOOKUP($D139,Data!$A$2:$C$117,3,TRUE),"")</f>
        <v/>
      </c>
      <c r="F139" s="14" t="str">
        <f>IF(ROW()&lt;=Results!$C$1+1,IF(E139&lt;=0,"",LN(E139)),"")</f>
        <v/>
      </c>
      <c r="G139" s="53" t="str">
        <f>IF(ROW()&lt;=Results!$C$1+1,IF(ISERROR(C139-F139),"",C139-F139),"")</f>
        <v/>
      </c>
    </row>
    <row r="140" spans="1:7" x14ac:dyDescent="0.25">
      <c r="A140" s="1" t="str">
        <f ca="1">IF(ROW()&lt;=Results!$C$1+1,INDEX(Data!$A:$A,CEILING((COUNTA(Data!$A:$A)-1)*RAND()+1,1)),"")</f>
        <v/>
      </c>
      <c r="B140" s="1" t="str">
        <f>IF(ROW()&lt;=Results!$C$1+1,VLOOKUP($A140,Data!$A$2:$C$117,2,TRUE),"")</f>
        <v/>
      </c>
      <c r="C140" s="14" t="str">
        <f>IF(ROW()&lt;=Results!$C$1+1,IF(B140&lt;=0,"",LN(B140)),"")</f>
        <v/>
      </c>
      <c r="D140" s="58" t="str">
        <f ca="1">IF(Results!$S$5,A140,IF(ROW()&lt;=Results!$C$1+1,INDEX(Data!$A:$A,CEILING((COUNTA(Data!$A:$A)-1)*RAND()+1,1)),""))</f>
        <v/>
      </c>
      <c r="E140" s="1" t="str">
        <f>IF(ROW()&lt;=Results!$C$1+1,VLOOKUP($D140,Data!$A$2:$C$117,3,TRUE),"")</f>
        <v/>
      </c>
      <c r="F140" s="14" t="str">
        <f>IF(ROW()&lt;=Results!$C$1+1,IF(E140&lt;=0,"",LN(E140)),"")</f>
        <v/>
      </c>
      <c r="G140" s="53" t="str">
        <f>IF(ROW()&lt;=Results!$C$1+1,IF(ISERROR(C140-F140),"",C140-F140),"")</f>
        <v/>
      </c>
    </row>
    <row r="141" spans="1:7" x14ac:dyDescent="0.25">
      <c r="A141" s="1" t="str">
        <f ca="1">IF(ROW()&lt;=Results!$C$1+1,INDEX(Data!$A:$A,CEILING((COUNTA(Data!$A:$A)-1)*RAND()+1,1)),"")</f>
        <v/>
      </c>
      <c r="B141" s="1" t="str">
        <f>IF(ROW()&lt;=Results!$C$1+1,VLOOKUP($A141,Data!$A$2:$C$117,2,TRUE),"")</f>
        <v/>
      </c>
      <c r="C141" s="14" t="str">
        <f>IF(ROW()&lt;=Results!$C$1+1,IF(B141&lt;=0,"",LN(B141)),"")</f>
        <v/>
      </c>
      <c r="D141" s="58" t="str">
        <f ca="1">IF(Results!$S$5,A141,IF(ROW()&lt;=Results!$C$1+1,INDEX(Data!$A:$A,CEILING((COUNTA(Data!$A:$A)-1)*RAND()+1,1)),""))</f>
        <v/>
      </c>
      <c r="E141" s="1" t="str">
        <f>IF(ROW()&lt;=Results!$C$1+1,VLOOKUP($D141,Data!$A$2:$C$117,3,TRUE),"")</f>
        <v/>
      </c>
      <c r="F141" s="14" t="str">
        <f>IF(ROW()&lt;=Results!$C$1+1,IF(E141&lt;=0,"",LN(E141)),"")</f>
        <v/>
      </c>
      <c r="G141" s="53" t="str">
        <f>IF(ROW()&lt;=Results!$C$1+1,IF(ISERROR(C141-F141),"",C141-F141),"")</f>
        <v/>
      </c>
    </row>
    <row r="142" spans="1:7" x14ac:dyDescent="0.25">
      <c r="A142" s="1" t="str">
        <f ca="1">IF(ROW()&lt;=Results!$C$1+1,INDEX(Data!$A:$A,CEILING((COUNTA(Data!$A:$A)-1)*RAND()+1,1)),"")</f>
        <v/>
      </c>
      <c r="B142" s="1" t="str">
        <f>IF(ROW()&lt;=Results!$C$1+1,VLOOKUP($A142,Data!$A$2:$C$117,2,TRUE),"")</f>
        <v/>
      </c>
      <c r="C142" s="14" t="str">
        <f>IF(ROW()&lt;=Results!$C$1+1,IF(B142&lt;=0,"",LN(B142)),"")</f>
        <v/>
      </c>
      <c r="D142" s="58" t="str">
        <f ca="1">IF(Results!$S$5,A142,IF(ROW()&lt;=Results!$C$1+1,INDEX(Data!$A:$A,CEILING((COUNTA(Data!$A:$A)-1)*RAND()+1,1)),""))</f>
        <v/>
      </c>
      <c r="E142" s="1" t="str">
        <f>IF(ROW()&lt;=Results!$C$1+1,VLOOKUP($D142,Data!$A$2:$C$117,3,TRUE),"")</f>
        <v/>
      </c>
      <c r="F142" s="14" t="str">
        <f>IF(ROW()&lt;=Results!$C$1+1,IF(E142&lt;=0,"",LN(E142)),"")</f>
        <v/>
      </c>
      <c r="G142" s="53" t="str">
        <f>IF(ROW()&lt;=Results!$C$1+1,IF(ISERROR(C142-F142),"",C142-F142),"")</f>
        <v/>
      </c>
    </row>
    <row r="143" spans="1:7" x14ac:dyDescent="0.25">
      <c r="A143" s="1" t="str">
        <f ca="1">IF(ROW()&lt;=Results!$C$1+1,INDEX(Data!$A:$A,CEILING((COUNTA(Data!$A:$A)-1)*RAND()+1,1)),"")</f>
        <v/>
      </c>
      <c r="B143" s="1" t="str">
        <f>IF(ROW()&lt;=Results!$C$1+1,VLOOKUP($A143,Data!$A$2:$C$117,2,TRUE),"")</f>
        <v/>
      </c>
      <c r="C143" s="14" t="str">
        <f>IF(ROW()&lt;=Results!$C$1+1,IF(B143&lt;=0,"",LN(B143)),"")</f>
        <v/>
      </c>
      <c r="D143" s="58" t="str">
        <f ca="1">IF(Results!$S$5,A143,IF(ROW()&lt;=Results!$C$1+1,INDEX(Data!$A:$A,CEILING((COUNTA(Data!$A:$A)-1)*RAND()+1,1)),""))</f>
        <v/>
      </c>
      <c r="E143" s="1" t="str">
        <f>IF(ROW()&lt;=Results!$C$1+1,VLOOKUP($D143,Data!$A$2:$C$117,3,TRUE),"")</f>
        <v/>
      </c>
      <c r="F143" s="14" t="str">
        <f>IF(ROW()&lt;=Results!$C$1+1,IF(E143&lt;=0,"",LN(E143)),"")</f>
        <v/>
      </c>
      <c r="G143" s="53" t="str">
        <f>IF(ROW()&lt;=Results!$C$1+1,IF(ISERROR(C143-F143),"",C143-F143),"")</f>
        <v/>
      </c>
    </row>
    <row r="144" spans="1:7" x14ac:dyDescent="0.25">
      <c r="A144" s="1" t="str">
        <f ca="1">IF(ROW()&lt;=Results!$C$1+1,INDEX(Data!$A:$A,CEILING((COUNTA(Data!$A:$A)-1)*RAND()+1,1)),"")</f>
        <v/>
      </c>
      <c r="B144" s="1" t="str">
        <f>IF(ROW()&lt;=Results!$C$1+1,VLOOKUP($A144,Data!$A$2:$C$117,2,TRUE),"")</f>
        <v/>
      </c>
      <c r="C144" s="14" t="str">
        <f>IF(ROW()&lt;=Results!$C$1+1,IF(B144&lt;=0,"",LN(B144)),"")</f>
        <v/>
      </c>
      <c r="D144" s="58" t="str">
        <f ca="1">IF(Results!$S$5,A144,IF(ROW()&lt;=Results!$C$1+1,INDEX(Data!$A:$A,CEILING((COUNTA(Data!$A:$A)-1)*RAND()+1,1)),""))</f>
        <v/>
      </c>
      <c r="E144" s="1" t="str">
        <f>IF(ROW()&lt;=Results!$C$1+1,VLOOKUP($D144,Data!$A$2:$C$117,3,TRUE),"")</f>
        <v/>
      </c>
      <c r="F144" s="14" t="str">
        <f>IF(ROW()&lt;=Results!$C$1+1,IF(E144&lt;=0,"",LN(E144)),"")</f>
        <v/>
      </c>
      <c r="G144" s="53" t="str">
        <f>IF(ROW()&lt;=Results!$C$1+1,IF(ISERROR(C144-F144),"",C144-F144),"")</f>
        <v/>
      </c>
    </row>
    <row r="145" spans="1:7" x14ac:dyDescent="0.25">
      <c r="A145" s="1" t="str">
        <f ca="1">IF(ROW()&lt;=Results!$C$1+1,INDEX(Data!$A:$A,CEILING((COUNTA(Data!$A:$A)-1)*RAND()+1,1)),"")</f>
        <v/>
      </c>
      <c r="B145" s="1" t="str">
        <f>IF(ROW()&lt;=Results!$C$1+1,VLOOKUP($A145,Data!$A$2:$C$117,2,TRUE),"")</f>
        <v/>
      </c>
      <c r="C145" s="14" t="str">
        <f>IF(ROW()&lt;=Results!$C$1+1,IF(B145&lt;=0,"",LN(B145)),"")</f>
        <v/>
      </c>
      <c r="D145" s="58" t="str">
        <f ca="1">IF(Results!$S$5,A145,IF(ROW()&lt;=Results!$C$1+1,INDEX(Data!$A:$A,CEILING((COUNTA(Data!$A:$A)-1)*RAND()+1,1)),""))</f>
        <v/>
      </c>
      <c r="E145" s="1" t="str">
        <f>IF(ROW()&lt;=Results!$C$1+1,VLOOKUP($D145,Data!$A$2:$C$117,3,TRUE),"")</f>
        <v/>
      </c>
      <c r="F145" s="14" t="str">
        <f>IF(ROW()&lt;=Results!$C$1+1,IF(E145&lt;=0,"",LN(E145)),"")</f>
        <v/>
      </c>
      <c r="G145" s="53" t="str">
        <f>IF(ROW()&lt;=Results!$C$1+1,IF(ISERROR(C145-F145),"",C145-F145),"")</f>
        <v/>
      </c>
    </row>
    <row r="146" spans="1:7" x14ac:dyDescent="0.25">
      <c r="A146" s="1" t="str">
        <f ca="1">IF(ROW()&lt;=Results!$C$1+1,INDEX(Data!$A:$A,CEILING((COUNTA(Data!$A:$A)-1)*RAND()+1,1)),"")</f>
        <v/>
      </c>
      <c r="B146" s="1" t="str">
        <f>IF(ROW()&lt;=Results!$C$1+1,VLOOKUP($A146,Data!$A$2:$C$117,2,TRUE),"")</f>
        <v/>
      </c>
      <c r="C146" s="14" t="str">
        <f>IF(ROW()&lt;=Results!$C$1+1,IF(B146&lt;=0,"",LN(B146)),"")</f>
        <v/>
      </c>
      <c r="D146" s="58" t="str">
        <f ca="1">IF(Results!$S$5,A146,IF(ROW()&lt;=Results!$C$1+1,INDEX(Data!$A:$A,CEILING((COUNTA(Data!$A:$A)-1)*RAND()+1,1)),""))</f>
        <v/>
      </c>
      <c r="E146" s="1" t="str">
        <f>IF(ROW()&lt;=Results!$C$1+1,VLOOKUP($D146,Data!$A$2:$C$117,3,TRUE),"")</f>
        <v/>
      </c>
      <c r="F146" s="14" t="str">
        <f>IF(ROW()&lt;=Results!$C$1+1,IF(E146&lt;=0,"",LN(E146)),"")</f>
        <v/>
      </c>
      <c r="G146" s="53" t="str">
        <f>IF(ROW()&lt;=Results!$C$1+1,IF(ISERROR(C146-F146),"",C146-F146),"")</f>
        <v/>
      </c>
    </row>
    <row r="147" spans="1:7" x14ac:dyDescent="0.25">
      <c r="A147" s="1" t="str">
        <f ca="1">IF(ROW()&lt;=Results!$C$1+1,INDEX(Data!$A:$A,CEILING((COUNTA(Data!$A:$A)-1)*RAND()+1,1)),"")</f>
        <v/>
      </c>
      <c r="B147" s="1" t="str">
        <f>IF(ROW()&lt;=Results!$C$1+1,VLOOKUP($A147,Data!$A$2:$C$117,2,TRUE),"")</f>
        <v/>
      </c>
      <c r="C147" s="14" t="str">
        <f>IF(ROW()&lt;=Results!$C$1+1,IF(B147&lt;=0,"",LN(B147)),"")</f>
        <v/>
      </c>
      <c r="D147" s="58" t="str">
        <f ca="1">IF(Results!$S$5,A147,IF(ROW()&lt;=Results!$C$1+1,INDEX(Data!$A:$A,CEILING((COUNTA(Data!$A:$A)-1)*RAND()+1,1)),""))</f>
        <v/>
      </c>
      <c r="E147" s="1" t="str">
        <f>IF(ROW()&lt;=Results!$C$1+1,VLOOKUP($D147,Data!$A$2:$C$117,3,TRUE),"")</f>
        <v/>
      </c>
      <c r="F147" s="14" t="str">
        <f>IF(ROW()&lt;=Results!$C$1+1,IF(E147&lt;=0,"",LN(E147)),"")</f>
        <v/>
      </c>
      <c r="G147" s="53" t="str">
        <f>IF(ROW()&lt;=Results!$C$1+1,IF(ISERROR(C147-F147),"",C147-F147),"")</f>
        <v/>
      </c>
    </row>
    <row r="148" spans="1:7" x14ac:dyDescent="0.25">
      <c r="A148" s="1" t="str">
        <f ca="1">IF(ROW()&lt;=Results!$C$1+1,INDEX(Data!$A:$A,CEILING((COUNTA(Data!$A:$A)-1)*RAND()+1,1)),"")</f>
        <v/>
      </c>
      <c r="B148" s="1" t="str">
        <f>IF(ROW()&lt;=Results!$C$1+1,VLOOKUP($A148,Data!$A$2:$C$117,2,TRUE),"")</f>
        <v/>
      </c>
      <c r="C148" s="14" t="str">
        <f>IF(ROW()&lt;=Results!$C$1+1,IF(B148&lt;=0,"",LN(B148)),"")</f>
        <v/>
      </c>
      <c r="D148" s="58" t="str">
        <f ca="1">IF(Results!$S$5,A148,IF(ROW()&lt;=Results!$C$1+1,INDEX(Data!$A:$A,CEILING((COUNTA(Data!$A:$A)-1)*RAND()+1,1)),""))</f>
        <v/>
      </c>
      <c r="E148" s="1" t="str">
        <f>IF(ROW()&lt;=Results!$C$1+1,VLOOKUP($D148,Data!$A$2:$C$117,3,TRUE),"")</f>
        <v/>
      </c>
      <c r="F148" s="14" t="str">
        <f>IF(ROW()&lt;=Results!$C$1+1,IF(E148&lt;=0,"",LN(E148)),"")</f>
        <v/>
      </c>
      <c r="G148" s="53" t="str">
        <f>IF(ROW()&lt;=Results!$C$1+1,IF(ISERROR(C148-F148),"",C148-F148),"")</f>
        <v/>
      </c>
    </row>
    <row r="149" spans="1:7" x14ac:dyDescent="0.25">
      <c r="A149" s="1" t="str">
        <f ca="1">IF(ROW()&lt;=Results!$C$1+1,INDEX(Data!$A:$A,CEILING((COUNTA(Data!$A:$A)-1)*RAND()+1,1)),"")</f>
        <v/>
      </c>
      <c r="B149" s="1" t="str">
        <f>IF(ROW()&lt;=Results!$C$1+1,VLOOKUP($A149,Data!$A$2:$C$117,2,TRUE),"")</f>
        <v/>
      </c>
      <c r="C149" s="14" t="str">
        <f>IF(ROW()&lt;=Results!$C$1+1,IF(B149&lt;=0,"",LN(B149)),"")</f>
        <v/>
      </c>
      <c r="D149" s="58" t="str">
        <f ca="1">IF(Results!$S$5,A149,IF(ROW()&lt;=Results!$C$1+1,INDEX(Data!$A:$A,CEILING((COUNTA(Data!$A:$A)-1)*RAND()+1,1)),""))</f>
        <v/>
      </c>
      <c r="E149" s="1" t="str">
        <f>IF(ROW()&lt;=Results!$C$1+1,VLOOKUP($D149,Data!$A$2:$C$117,3,TRUE),"")</f>
        <v/>
      </c>
      <c r="F149" s="14" t="str">
        <f>IF(ROW()&lt;=Results!$C$1+1,IF(E149&lt;=0,"",LN(E149)),"")</f>
        <v/>
      </c>
      <c r="G149" s="53" t="str">
        <f>IF(ROW()&lt;=Results!$C$1+1,IF(ISERROR(C149-F149),"",C149-F149),"")</f>
        <v/>
      </c>
    </row>
    <row r="150" spans="1:7" x14ac:dyDescent="0.25">
      <c r="A150" s="1" t="str">
        <f ca="1">IF(ROW()&lt;=Results!$C$1+1,INDEX(Data!$A:$A,CEILING((COUNTA(Data!$A:$A)-1)*RAND()+1,1)),"")</f>
        <v/>
      </c>
      <c r="B150" s="1" t="str">
        <f>IF(ROW()&lt;=Results!$C$1+1,VLOOKUP($A150,Data!$A$2:$C$117,2,TRUE),"")</f>
        <v/>
      </c>
      <c r="C150" s="14" t="str">
        <f>IF(ROW()&lt;=Results!$C$1+1,IF(B150&lt;=0,"",LN(B150)),"")</f>
        <v/>
      </c>
      <c r="D150" s="58" t="str">
        <f ca="1">IF(Results!$S$5,A150,IF(ROW()&lt;=Results!$C$1+1,INDEX(Data!$A:$A,CEILING((COUNTA(Data!$A:$A)-1)*RAND()+1,1)),""))</f>
        <v/>
      </c>
      <c r="E150" s="1" t="str">
        <f>IF(ROW()&lt;=Results!$C$1+1,VLOOKUP($D150,Data!$A$2:$C$117,3,TRUE),"")</f>
        <v/>
      </c>
      <c r="F150" s="14" t="str">
        <f>IF(ROW()&lt;=Results!$C$1+1,IF(E150&lt;=0,"",LN(E150)),"")</f>
        <v/>
      </c>
      <c r="G150" s="53" t="str">
        <f>IF(ROW()&lt;=Results!$C$1+1,IF(ISERROR(C150-F150),"",C150-F150),"")</f>
        <v/>
      </c>
    </row>
    <row r="151" spans="1:7" x14ac:dyDescent="0.25">
      <c r="A151" s="1" t="str">
        <f ca="1">IF(ROW()&lt;=Results!$C$1+1,INDEX(Data!$A:$A,CEILING((COUNTA(Data!$A:$A)-1)*RAND()+1,1)),"")</f>
        <v/>
      </c>
      <c r="B151" s="1" t="str">
        <f>IF(ROW()&lt;=Results!$C$1+1,VLOOKUP($A151,Data!$A$2:$C$117,2,TRUE),"")</f>
        <v/>
      </c>
      <c r="C151" s="14" t="str">
        <f>IF(ROW()&lt;=Results!$C$1+1,IF(B151&lt;=0,"",LN(B151)),"")</f>
        <v/>
      </c>
      <c r="D151" s="58" t="str">
        <f ca="1">IF(Results!$S$5,A151,IF(ROW()&lt;=Results!$C$1+1,INDEX(Data!$A:$A,CEILING((COUNTA(Data!$A:$A)-1)*RAND()+1,1)),""))</f>
        <v/>
      </c>
      <c r="E151" s="1" t="str">
        <f>IF(ROW()&lt;=Results!$C$1+1,VLOOKUP($D151,Data!$A$2:$C$117,3,TRUE),"")</f>
        <v/>
      </c>
      <c r="F151" s="14" t="str">
        <f>IF(ROW()&lt;=Results!$C$1+1,IF(E151&lt;=0,"",LN(E151)),"")</f>
        <v/>
      </c>
      <c r="G151" s="53" t="str">
        <f>IF(ROW()&lt;=Results!$C$1+1,IF(ISERROR(C151-F151),"",C151-F151),"")</f>
        <v/>
      </c>
    </row>
    <row r="152" spans="1:7" x14ac:dyDescent="0.25">
      <c r="A152" s="1" t="str">
        <f ca="1">IF(ROW()&lt;=Results!$C$1+1,INDEX(Data!$A:$A,CEILING((COUNTA(Data!$A:$A)-1)*RAND()+1,1)),"")</f>
        <v/>
      </c>
      <c r="B152" s="1" t="str">
        <f>IF(ROW()&lt;=Results!$C$1+1,VLOOKUP($A152,Data!$A$2:$C$117,2,TRUE),"")</f>
        <v/>
      </c>
      <c r="C152" s="14" t="str">
        <f>IF(ROW()&lt;=Results!$C$1+1,IF(B152&lt;=0,"",LN(B152)),"")</f>
        <v/>
      </c>
      <c r="D152" s="58" t="str">
        <f ca="1">IF(Results!$S$5,A152,IF(ROW()&lt;=Results!$C$1+1,INDEX(Data!$A:$A,CEILING((COUNTA(Data!$A:$A)-1)*RAND()+1,1)),""))</f>
        <v/>
      </c>
      <c r="E152" s="1" t="str">
        <f>IF(ROW()&lt;=Results!$C$1+1,VLOOKUP($D152,Data!$A$2:$C$117,3,TRUE),"")</f>
        <v/>
      </c>
      <c r="F152" s="14" t="str">
        <f>IF(ROW()&lt;=Results!$C$1+1,IF(E152&lt;=0,"",LN(E152)),"")</f>
        <v/>
      </c>
      <c r="G152" s="53" t="str">
        <f>IF(ROW()&lt;=Results!$C$1+1,IF(ISERROR(C152-F152),"",C152-F152),"")</f>
        <v/>
      </c>
    </row>
    <row r="153" spans="1:7" x14ac:dyDescent="0.25">
      <c r="A153" s="1" t="str">
        <f ca="1">IF(ROW()&lt;=Results!$C$1+1,INDEX(Data!$A:$A,CEILING((COUNTA(Data!$A:$A)-1)*RAND()+1,1)),"")</f>
        <v/>
      </c>
      <c r="B153" s="1" t="str">
        <f>IF(ROW()&lt;=Results!$C$1+1,VLOOKUP($A153,Data!$A$2:$C$117,2,TRUE),"")</f>
        <v/>
      </c>
      <c r="C153" s="14" t="str">
        <f>IF(ROW()&lt;=Results!$C$1+1,IF(B153&lt;=0,"",LN(B153)),"")</f>
        <v/>
      </c>
      <c r="D153" s="58" t="str">
        <f ca="1">IF(Results!$S$5,A153,IF(ROW()&lt;=Results!$C$1+1,INDEX(Data!$A:$A,CEILING((COUNTA(Data!$A:$A)-1)*RAND()+1,1)),""))</f>
        <v/>
      </c>
      <c r="E153" s="1" t="str">
        <f>IF(ROW()&lt;=Results!$C$1+1,VLOOKUP($D153,Data!$A$2:$C$117,3,TRUE),"")</f>
        <v/>
      </c>
      <c r="F153" s="14" t="str">
        <f>IF(ROW()&lt;=Results!$C$1+1,IF(E153&lt;=0,"",LN(E153)),"")</f>
        <v/>
      </c>
      <c r="G153" s="53" t="str">
        <f>IF(ROW()&lt;=Results!$C$1+1,IF(ISERROR(C153-F153),"",C153-F153),"")</f>
        <v/>
      </c>
    </row>
    <row r="154" spans="1:7" x14ac:dyDescent="0.25">
      <c r="A154" s="1" t="str">
        <f ca="1">IF(ROW()&lt;=Results!$C$1+1,INDEX(Data!$A:$A,CEILING((COUNTA(Data!$A:$A)-1)*RAND()+1,1)),"")</f>
        <v/>
      </c>
      <c r="B154" s="1" t="str">
        <f>IF(ROW()&lt;=Results!$C$1+1,VLOOKUP($A154,Data!$A$2:$C$117,2,TRUE),"")</f>
        <v/>
      </c>
      <c r="C154" s="14" t="str">
        <f>IF(ROW()&lt;=Results!$C$1+1,IF(B154&lt;=0,"",LN(B154)),"")</f>
        <v/>
      </c>
      <c r="D154" s="58" t="str">
        <f ca="1">IF(Results!$S$5,A154,IF(ROW()&lt;=Results!$C$1+1,INDEX(Data!$A:$A,CEILING((COUNTA(Data!$A:$A)-1)*RAND()+1,1)),""))</f>
        <v/>
      </c>
      <c r="E154" s="1" t="str">
        <f>IF(ROW()&lt;=Results!$C$1+1,VLOOKUP($D154,Data!$A$2:$C$117,3,TRUE),"")</f>
        <v/>
      </c>
      <c r="F154" s="14" t="str">
        <f>IF(ROW()&lt;=Results!$C$1+1,IF(E154&lt;=0,"",LN(E154)),"")</f>
        <v/>
      </c>
      <c r="G154" s="53" t="str">
        <f>IF(ROW()&lt;=Results!$C$1+1,IF(ISERROR(C154-F154),"",C154-F154),"")</f>
        <v/>
      </c>
    </row>
    <row r="155" spans="1:7" x14ac:dyDescent="0.25">
      <c r="A155" s="1" t="str">
        <f ca="1">IF(ROW()&lt;=Results!$C$1+1,INDEX(Data!$A:$A,CEILING((COUNTA(Data!$A:$A)-1)*RAND()+1,1)),"")</f>
        <v/>
      </c>
      <c r="B155" s="1" t="str">
        <f>IF(ROW()&lt;=Results!$C$1+1,VLOOKUP($A155,Data!$A$2:$C$117,2,TRUE),"")</f>
        <v/>
      </c>
      <c r="C155" s="14" t="str">
        <f>IF(ROW()&lt;=Results!$C$1+1,IF(B155&lt;=0,"",LN(B155)),"")</f>
        <v/>
      </c>
      <c r="D155" s="58" t="str">
        <f ca="1">IF(Results!$S$5,A155,IF(ROW()&lt;=Results!$C$1+1,INDEX(Data!$A:$A,CEILING((COUNTA(Data!$A:$A)-1)*RAND()+1,1)),""))</f>
        <v/>
      </c>
      <c r="E155" s="1" t="str">
        <f>IF(ROW()&lt;=Results!$C$1+1,VLOOKUP($D155,Data!$A$2:$C$117,3,TRUE),"")</f>
        <v/>
      </c>
      <c r="F155" s="14" t="str">
        <f>IF(ROW()&lt;=Results!$C$1+1,IF(E155&lt;=0,"",LN(E155)),"")</f>
        <v/>
      </c>
      <c r="G155" s="53" t="str">
        <f>IF(ROW()&lt;=Results!$C$1+1,IF(ISERROR(C155-F155),"",C155-F155),"")</f>
        <v/>
      </c>
    </row>
    <row r="156" spans="1:7" x14ac:dyDescent="0.25">
      <c r="A156" s="1" t="str">
        <f ca="1">IF(ROW()&lt;=Results!$C$1+1,INDEX(Data!$A:$A,CEILING((COUNTA(Data!$A:$A)-1)*RAND()+1,1)),"")</f>
        <v/>
      </c>
      <c r="B156" s="1" t="str">
        <f>IF(ROW()&lt;=Results!$C$1+1,VLOOKUP($A156,Data!$A$2:$C$117,2,TRUE),"")</f>
        <v/>
      </c>
      <c r="C156" s="14" t="str">
        <f>IF(ROW()&lt;=Results!$C$1+1,IF(B156&lt;=0,"",LN(B156)),"")</f>
        <v/>
      </c>
      <c r="D156" s="58" t="str">
        <f ca="1">IF(Results!$S$5,A156,IF(ROW()&lt;=Results!$C$1+1,INDEX(Data!$A:$A,CEILING((COUNTA(Data!$A:$A)-1)*RAND()+1,1)),""))</f>
        <v/>
      </c>
      <c r="E156" s="1" t="str">
        <f>IF(ROW()&lt;=Results!$C$1+1,VLOOKUP($D156,Data!$A$2:$C$117,3,TRUE),"")</f>
        <v/>
      </c>
      <c r="F156" s="14" t="str">
        <f>IF(ROW()&lt;=Results!$C$1+1,IF(E156&lt;=0,"",LN(E156)),"")</f>
        <v/>
      </c>
      <c r="G156" s="53" t="str">
        <f>IF(ROW()&lt;=Results!$C$1+1,IF(ISERROR(C156-F156),"",C156-F156),"")</f>
        <v/>
      </c>
    </row>
    <row r="157" spans="1:7" x14ac:dyDescent="0.25">
      <c r="A157" s="1" t="str">
        <f ca="1">IF(ROW()&lt;=Results!$C$1+1,INDEX(Data!$A:$A,CEILING((COUNTA(Data!$A:$A)-1)*RAND()+1,1)),"")</f>
        <v/>
      </c>
      <c r="B157" s="1" t="str">
        <f>IF(ROW()&lt;=Results!$C$1+1,VLOOKUP($A157,Data!$A$2:$C$117,2,TRUE),"")</f>
        <v/>
      </c>
      <c r="C157" s="14" t="str">
        <f>IF(ROW()&lt;=Results!$C$1+1,IF(B157&lt;=0,"",LN(B157)),"")</f>
        <v/>
      </c>
      <c r="D157" s="58" t="str">
        <f ca="1">IF(Results!$S$5,A157,IF(ROW()&lt;=Results!$C$1+1,INDEX(Data!$A:$A,CEILING((COUNTA(Data!$A:$A)-1)*RAND()+1,1)),""))</f>
        <v/>
      </c>
      <c r="E157" s="1" t="str">
        <f>IF(ROW()&lt;=Results!$C$1+1,VLOOKUP($D157,Data!$A$2:$C$117,3,TRUE),"")</f>
        <v/>
      </c>
      <c r="F157" s="14" t="str">
        <f>IF(ROW()&lt;=Results!$C$1+1,IF(E157&lt;=0,"",LN(E157)),"")</f>
        <v/>
      </c>
      <c r="G157" s="53" t="str">
        <f>IF(ROW()&lt;=Results!$C$1+1,IF(ISERROR(C157-F157),"",C157-F157),"")</f>
        <v/>
      </c>
    </row>
    <row r="158" spans="1:7" x14ac:dyDescent="0.25">
      <c r="A158" s="1" t="str">
        <f ca="1">IF(ROW()&lt;=Results!$C$1+1,INDEX(Data!$A:$A,CEILING((COUNTA(Data!$A:$A)-1)*RAND()+1,1)),"")</f>
        <v/>
      </c>
      <c r="B158" s="1" t="str">
        <f>IF(ROW()&lt;=Results!$C$1+1,VLOOKUP($A158,Data!$A$2:$C$117,2,TRUE),"")</f>
        <v/>
      </c>
      <c r="C158" s="14" t="str">
        <f>IF(ROW()&lt;=Results!$C$1+1,IF(B158&lt;=0,"",LN(B158)),"")</f>
        <v/>
      </c>
      <c r="D158" s="58" t="str">
        <f ca="1">IF(Results!$S$5,A158,IF(ROW()&lt;=Results!$C$1+1,INDEX(Data!$A:$A,CEILING((COUNTA(Data!$A:$A)-1)*RAND()+1,1)),""))</f>
        <v/>
      </c>
      <c r="E158" s="1" t="str">
        <f>IF(ROW()&lt;=Results!$C$1+1,VLOOKUP($D158,Data!$A$2:$C$117,3,TRUE),"")</f>
        <v/>
      </c>
      <c r="F158" s="14" t="str">
        <f>IF(ROW()&lt;=Results!$C$1+1,IF(E158&lt;=0,"",LN(E158)),"")</f>
        <v/>
      </c>
      <c r="G158" s="53" t="str">
        <f>IF(ROW()&lt;=Results!$C$1+1,IF(ISERROR(C158-F158),"",C158-F158),"")</f>
        <v/>
      </c>
    </row>
    <row r="159" spans="1:7" x14ac:dyDescent="0.25">
      <c r="A159" s="1" t="str">
        <f ca="1">IF(ROW()&lt;=Results!$C$1+1,INDEX(Data!$A:$A,CEILING((COUNTA(Data!$A:$A)-1)*RAND()+1,1)),"")</f>
        <v/>
      </c>
      <c r="B159" s="1" t="str">
        <f>IF(ROW()&lt;=Results!$C$1+1,VLOOKUP($A159,Data!$A$2:$C$117,2,TRUE),"")</f>
        <v/>
      </c>
      <c r="C159" s="14" t="str">
        <f>IF(ROW()&lt;=Results!$C$1+1,IF(B159&lt;=0,"",LN(B159)),"")</f>
        <v/>
      </c>
      <c r="D159" s="58" t="str">
        <f ca="1">IF(Results!$S$5,A159,IF(ROW()&lt;=Results!$C$1+1,INDEX(Data!$A:$A,CEILING((COUNTA(Data!$A:$A)-1)*RAND()+1,1)),""))</f>
        <v/>
      </c>
      <c r="E159" s="1" t="str">
        <f>IF(ROW()&lt;=Results!$C$1+1,VLOOKUP($D159,Data!$A$2:$C$117,3,TRUE),"")</f>
        <v/>
      </c>
      <c r="F159" s="14" t="str">
        <f>IF(ROW()&lt;=Results!$C$1+1,IF(E159&lt;=0,"",LN(E159)),"")</f>
        <v/>
      </c>
      <c r="G159" s="53" t="str">
        <f>IF(ROW()&lt;=Results!$C$1+1,IF(ISERROR(C159-F159),"",C159-F159),"")</f>
        <v/>
      </c>
    </row>
    <row r="160" spans="1:7" x14ac:dyDescent="0.25">
      <c r="A160" s="1" t="str">
        <f ca="1">IF(ROW()&lt;=Results!$C$1+1,INDEX(Data!$A:$A,CEILING((COUNTA(Data!$A:$A)-1)*RAND()+1,1)),"")</f>
        <v/>
      </c>
      <c r="B160" s="1" t="str">
        <f>IF(ROW()&lt;=Results!$C$1+1,VLOOKUP($A160,Data!$A$2:$C$117,2,TRUE),"")</f>
        <v/>
      </c>
      <c r="C160" s="14" t="str">
        <f>IF(ROW()&lt;=Results!$C$1+1,IF(B160&lt;=0,"",LN(B160)),"")</f>
        <v/>
      </c>
      <c r="D160" s="58" t="str">
        <f ca="1">IF(Results!$S$5,A160,IF(ROW()&lt;=Results!$C$1+1,INDEX(Data!$A:$A,CEILING((COUNTA(Data!$A:$A)-1)*RAND()+1,1)),""))</f>
        <v/>
      </c>
      <c r="E160" s="1" t="str">
        <f>IF(ROW()&lt;=Results!$C$1+1,VLOOKUP($D160,Data!$A$2:$C$117,3,TRUE),"")</f>
        <v/>
      </c>
      <c r="F160" s="14" t="str">
        <f>IF(ROW()&lt;=Results!$C$1+1,IF(E160&lt;=0,"",LN(E160)),"")</f>
        <v/>
      </c>
      <c r="G160" s="53" t="str">
        <f>IF(ROW()&lt;=Results!$C$1+1,IF(ISERROR(C160-F160),"",C160-F160),"")</f>
        <v/>
      </c>
    </row>
    <row r="161" spans="1:7" x14ac:dyDescent="0.25">
      <c r="A161" s="1" t="str">
        <f ca="1">IF(ROW()&lt;=Results!$C$1+1,INDEX(Data!$A:$A,CEILING((COUNTA(Data!$A:$A)-1)*RAND()+1,1)),"")</f>
        <v/>
      </c>
      <c r="B161" s="1" t="str">
        <f>IF(ROW()&lt;=Results!$C$1+1,VLOOKUP($A161,Data!$A$2:$C$117,2,TRUE),"")</f>
        <v/>
      </c>
      <c r="C161" s="14" t="str">
        <f>IF(ROW()&lt;=Results!$C$1+1,IF(B161&lt;=0,"",LN(B161)),"")</f>
        <v/>
      </c>
      <c r="D161" s="58" t="str">
        <f ca="1">IF(Results!$S$5,A161,IF(ROW()&lt;=Results!$C$1+1,INDEX(Data!$A:$A,CEILING((COUNTA(Data!$A:$A)-1)*RAND()+1,1)),""))</f>
        <v/>
      </c>
      <c r="E161" s="1" t="str">
        <f>IF(ROW()&lt;=Results!$C$1+1,VLOOKUP($D161,Data!$A$2:$C$117,3,TRUE),"")</f>
        <v/>
      </c>
      <c r="F161" s="14" t="str">
        <f>IF(ROW()&lt;=Results!$C$1+1,IF(E161&lt;=0,"",LN(E161)),"")</f>
        <v/>
      </c>
      <c r="G161" s="53" t="str">
        <f>IF(ROW()&lt;=Results!$C$1+1,IF(ISERROR(C161-F161),"",C161-F161),"")</f>
        <v/>
      </c>
    </row>
    <row r="162" spans="1:7" x14ac:dyDescent="0.25">
      <c r="A162" s="1" t="str">
        <f ca="1">IF(ROW()&lt;=Results!$C$1+1,INDEX(Data!$A:$A,CEILING((COUNTA(Data!$A:$A)-1)*RAND()+1,1)),"")</f>
        <v/>
      </c>
      <c r="B162" s="1" t="str">
        <f>IF(ROW()&lt;=Results!$C$1+1,VLOOKUP($A162,Data!$A$2:$C$117,2,TRUE),"")</f>
        <v/>
      </c>
      <c r="C162" s="14" t="str">
        <f>IF(ROW()&lt;=Results!$C$1+1,IF(B162&lt;=0,"",LN(B162)),"")</f>
        <v/>
      </c>
      <c r="D162" s="58" t="str">
        <f ca="1">IF(Results!$S$5,A162,IF(ROW()&lt;=Results!$C$1+1,INDEX(Data!$A:$A,CEILING((COUNTA(Data!$A:$A)-1)*RAND()+1,1)),""))</f>
        <v/>
      </c>
      <c r="E162" s="1" t="str">
        <f>IF(ROW()&lt;=Results!$C$1+1,VLOOKUP($D162,Data!$A$2:$C$117,3,TRUE),"")</f>
        <v/>
      </c>
      <c r="F162" s="14" t="str">
        <f>IF(ROW()&lt;=Results!$C$1+1,IF(E162&lt;=0,"",LN(E162)),"")</f>
        <v/>
      </c>
      <c r="G162" s="53" t="str">
        <f>IF(ROW()&lt;=Results!$C$1+1,IF(ISERROR(C162-F162),"",C162-F162),"")</f>
        <v/>
      </c>
    </row>
    <row r="163" spans="1:7" x14ac:dyDescent="0.25">
      <c r="A163" s="1" t="str">
        <f ca="1">IF(ROW()&lt;=Results!$C$1+1,INDEX(Data!$A:$A,CEILING((COUNTA(Data!$A:$A)-1)*RAND()+1,1)),"")</f>
        <v/>
      </c>
      <c r="B163" s="1" t="str">
        <f>IF(ROW()&lt;=Results!$C$1+1,VLOOKUP($A163,Data!$A$2:$C$117,2,TRUE),"")</f>
        <v/>
      </c>
      <c r="C163" s="14" t="str">
        <f>IF(ROW()&lt;=Results!$C$1+1,IF(B163&lt;=0,"",LN(B163)),"")</f>
        <v/>
      </c>
      <c r="D163" s="58" t="str">
        <f ca="1">IF(Results!$S$5,A163,IF(ROW()&lt;=Results!$C$1+1,INDEX(Data!$A:$A,CEILING((COUNTA(Data!$A:$A)-1)*RAND()+1,1)),""))</f>
        <v/>
      </c>
      <c r="E163" s="1" t="str">
        <f>IF(ROW()&lt;=Results!$C$1+1,VLOOKUP($D163,Data!$A$2:$C$117,3,TRUE),"")</f>
        <v/>
      </c>
      <c r="F163" s="14" t="str">
        <f>IF(ROW()&lt;=Results!$C$1+1,IF(E163&lt;=0,"",LN(E163)),"")</f>
        <v/>
      </c>
      <c r="G163" s="53" t="str">
        <f>IF(ROW()&lt;=Results!$C$1+1,IF(ISERROR(C163-F163),"",C163-F163),"")</f>
        <v/>
      </c>
    </row>
    <row r="164" spans="1:7" x14ac:dyDescent="0.25">
      <c r="A164" s="1" t="str">
        <f ca="1">IF(ROW()&lt;=Results!$C$1+1,INDEX(Data!$A:$A,CEILING((COUNTA(Data!$A:$A)-1)*RAND()+1,1)),"")</f>
        <v/>
      </c>
      <c r="B164" s="1" t="str">
        <f>IF(ROW()&lt;=Results!$C$1+1,VLOOKUP($A164,Data!$A$2:$C$117,2,TRUE),"")</f>
        <v/>
      </c>
      <c r="C164" s="14" t="str">
        <f>IF(ROW()&lt;=Results!$C$1+1,IF(B164&lt;=0,"",LN(B164)),"")</f>
        <v/>
      </c>
      <c r="D164" s="58" t="str">
        <f ca="1">IF(Results!$S$5,A164,IF(ROW()&lt;=Results!$C$1+1,INDEX(Data!$A:$A,CEILING((COUNTA(Data!$A:$A)-1)*RAND()+1,1)),""))</f>
        <v/>
      </c>
      <c r="E164" s="1" t="str">
        <f>IF(ROW()&lt;=Results!$C$1+1,VLOOKUP($D164,Data!$A$2:$C$117,3,TRUE),"")</f>
        <v/>
      </c>
      <c r="F164" s="14" t="str">
        <f>IF(ROW()&lt;=Results!$C$1+1,IF(E164&lt;=0,"",LN(E164)),"")</f>
        <v/>
      </c>
      <c r="G164" s="53" t="str">
        <f>IF(ROW()&lt;=Results!$C$1+1,IF(ISERROR(C164-F164),"",C164-F164),"")</f>
        <v/>
      </c>
    </row>
    <row r="165" spans="1:7" x14ac:dyDescent="0.25">
      <c r="A165" s="1" t="str">
        <f ca="1">IF(ROW()&lt;=Results!$C$1+1,INDEX(Data!$A:$A,CEILING((COUNTA(Data!$A:$A)-1)*RAND()+1,1)),"")</f>
        <v/>
      </c>
      <c r="B165" s="1" t="str">
        <f>IF(ROW()&lt;=Results!$C$1+1,VLOOKUP($A165,Data!$A$2:$C$117,2,TRUE),"")</f>
        <v/>
      </c>
      <c r="C165" s="14" t="str">
        <f>IF(ROW()&lt;=Results!$C$1+1,IF(B165&lt;=0,"",LN(B165)),"")</f>
        <v/>
      </c>
      <c r="D165" s="58" t="str">
        <f ca="1">IF(Results!$S$5,A165,IF(ROW()&lt;=Results!$C$1+1,INDEX(Data!$A:$A,CEILING((COUNTA(Data!$A:$A)-1)*RAND()+1,1)),""))</f>
        <v/>
      </c>
      <c r="E165" s="1" t="str">
        <f>IF(ROW()&lt;=Results!$C$1+1,VLOOKUP($D165,Data!$A$2:$C$117,3,TRUE),"")</f>
        <v/>
      </c>
      <c r="F165" s="14" t="str">
        <f>IF(ROW()&lt;=Results!$C$1+1,IF(E165&lt;=0,"",LN(E165)),"")</f>
        <v/>
      </c>
      <c r="G165" s="53" t="str">
        <f>IF(ROW()&lt;=Results!$C$1+1,IF(ISERROR(C165-F165),"",C165-F165),"")</f>
        <v/>
      </c>
    </row>
    <row r="166" spans="1:7" x14ac:dyDescent="0.25">
      <c r="A166" s="1" t="str">
        <f ca="1">IF(ROW()&lt;=Results!$C$1+1,INDEX(Data!$A:$A,CEILING((COUNTA(Data!$A:$A)-1)*RAND()+1,1)),"")</f>
        <v/>
      </c>
      <c r="B166" s="1" t="str">
        <f>IF(ROW()&lt;=Results!$C$1+1,VLOOKUP($A166,Data!$A$2:$C$117,2,TRUE),"")</f>
        <v/>
      </c>
      <c r="C166" s="14" t="str">
        <f>IF(ROW()&lt;=Results!$C$1+1,IF(B166&lt;=0,"",LN(B166)),"")</f>
        <v/>
      </c>
      <c r="D166" s="58" t="str">
        <f ca="1">IF(Results!$S$5,A166,IF(ROW()&lt;=Results!$C$1+1,INDEX(Data!$A:$A,CEILING((COUNTA(Data!$A:$A)-1)*RAND()+1,1)),""))</f>
        <v/>
      </c>
      <c r="E166" s="1" t="str">
        <f>IF(ROW()&lt;=Results!$C$1+1,VLOOKUP($D166,Data!$A$2:$C$117,3,TRUE),"")</f>
        <v/>
      </c>
      <c r="F166" s="14" t="str">
        <f>IF(ROW()&lt;=Results!$C$1+1,IF(E166&lt;=0,"",LN(E166)),"")</f>
        <v/>
      </c>
      <c r="G166" s="53" t="str">
        <f>IF(ROW()&lt;=Results!$C$1+1,IF(ISERROR(C166-F166),"",C166-F166),"")</f>
        <v/>
      </c>
    </row>
    <row r="167" spans="1:7" x14ac:dyDescent="0.25">
      <c r="A167" s="1" t="str">
        <f ca="1">IF(ROW()&lt;=Results!$C$1+1,INDEX(Data!$A:$A,CEILING((COUNTA(Data!$A:$A)-1)*RAND()+1,1)),"")</f>
        <v/>
      </c>
      <c r="B167" s="1" t="str">
        <f>IF(ROW()&lt;=Results!$C$1+1,VLOOKUP($A167,Data!$A$2:$C$117,2,TRUE),"")</f>
        <v/>
      </c>
      <c r="C167" s="14" t="str">
        <f>IF(ROW()&lt;=Results!$C$1+1,IF(B167&lt;=0,"",LN(B167)),"")</f>
        <v/>
      </c>
      <c r="D167" s="58" t="str">
        <f ca="1">IF(Results!$S$5,A167,IF(ROW()&lt;=Results!$C$1+1,INDEX(Data!$A:$A,CEILING((COUNTA(Data!$A:$A)-1)*RAND()+1,1)),""))</f>
        <v/>
      </c>
      <c r="E167" s="1" t="str">
        <f>IF(ROW()&lt;=Results!$C$1+1,VLOOKUP($D167,Data!$A$2:$C$117,3,TRUE),"")</f>
        <v/>
      </c>
      <c r="F167" s="14" t="str">
        <f>IF(ROW()&lt;=Results!$C$1+1,IF(E167&lt;=0,"",LN(E167)),"")</f>
        <v/>
      </c>
      <c r="G167" s="53" t="str">
        <f>IF(ROW()&lt;=Results!$C$1+1,IF(ISERROR(C167-F167),"",C167-F167),"")</f>
        <v/>
      </c>
    </row>
    <row r="168" spans="1:7" x14ac:dyDescent="0.25">
      <c r="A168" s="1" t="str">
        <f ca="1">IF(ROW()&lt;=Results!$C$1+1,INDEX(Data!$A:$A,CEILING((COUNTA(Data!$A:$A)-1)*RAND()+1,1)),"")</f>
        <v/>
      </c>
      <c r="B168" s="1" t="str">
        <f>IF(ROW()&lt;=Results!$C$1+1,VLOOKUP($A168,Data!$A$2:$C$117,2,TRUE),"")</f>
        <v/>
      </c>
      <c r="C168" s="14" t="str">
        <f>IF(ROW()&lt;=Results!$C$1+1,IF(B168&lt;=0,"",LN(B168)),"")</f>
        <v/>
      </c>
      <c r="D168" s="58" t="str">
        <f ca="1">IF(Results!$S$5,A168,IF(ROW()&lt;=Results!$C$1+1,INDEX(Data!$A:$A,CEILING((COUNTA(Data!$A:$A)-1)*RAND()+1,1)),""))</f>
        <v/>
      </c>
      <c r="E168" s="1" t="str">
        <f>IF(ROW()&lt;=Results!$C$1+1,VLOOKUP($D168,Data!$A$2:$C$117,3,TRUE),"")</f>
        <v/>
      </c>
      <c r="F168" s="14" t="str">
        <f>IF(ROW()&lt;=Results!$C$1+1,IF(E168&lt;=0,"",LN(E168)),"")</f>
        <v/>
      </c>
      <c r="G168" s="53" t="str">
        <f>IF(ROW()&lt;=Results!$C$1+1,IF(ISERROR(C168-F168),"",C168-F168),"")</f>
        <v/>
      </c>
    </row>
    <row r="169" spans="1:7" x14ac:dyDescent="0.25">
      <c r="A169" s="1" t="str">
        <f ca="1">IF(ROW()&lt;=Results!$C$1+1,INDEX(Data!$A:$A,CEILING((COUNTA(Data!$A:$A)-1)*RAND()+1,1)),"")</f>
        <v/>
      </c>
      <c r="B169" s="1" t="str">
        <f>IF(ROW()&lt;=Results!$C$1+1,VLOOKUP($A169,Data!$A$2:$C$117,2,TRUE),"")</f>
        <v/>
      </c>
      <c r="C169" s="14" t="str">
        <f>IF(ROW()&lt;=Results!$C$1+1,IF(B169&lt;=0,"",LN(B169)),"")</f>
        <v/>
      </c>
      <c r="D169" s="58" t="str">
        <f ca="1">IF(Results!$S$5,A169,IF(ROW()&lt;=Results!$C$1+1,INDEX(Data!$A:$A,CEILING((COUNTA(Data!$A:$A)-1)*RAND()+1,1)),""))</f>
        <v/>
      </c>
      <c r="E169" s="1" t="str">
        <f>IF(ROW()&lt;=Results!$C$1+1,VLOOKUP($D169,Data!$A$2:$C$117,3,TRUE),"")</f>
        <v/>
      </c>
      <c r="F169" s="14" t="str">
        <f>IF(ROW()&lt;=Results!$C$1+1,IF(E169&lt;=0,"",LN(E169)),"")</f>
        <v/>
      </c>
      <c r="G169" s="53" t="str">
        <f>IF(ROW()&lt;=Results!$C$1+1,IF(ISERROR(C169-F169),"",C169-F169),"")</f>
        <v/>
      </c>
    </row>
    <row r="170" spans="1:7" x14ac:dyDescent="0.25">
      <c r="A170" s="1" t="str">
        <f ca="1">IF(ROW()&lt;=Results!$C$1+1,INDEX(Data!$A:$A,CEILING((COUNTA(Data!$A:$A)-1)*RAND()+1,1)),"")</f>
        <v/>
      </c>
      <c r="B170" s="1" t="str">
        <f>IF(ROW()&lt;=Results!$C$1+1,VLOOKUP($A170,Data!$A$2:$C$117,2,TRUE),"")</f>
        <v/>
      </c>
      <c r="C170" s="14" t="str">
        <f>IF(ROW()&lt;=Results!$C$1+1,IF(B170&lt;=0,"",LN(B170)),"")</f>
        <v/>
      </c>
      <c r="D170" s="58" t="str">
        <f ca="1">IF(Results!$S$5,A170,IF(ROW()&lt;=Results!$C$1+1,INDEX(Data!$A:$A,CEILING((COUNTA(Data!$A:$A)-1)*RAND()+1,1)),""))</f>
        <v/>
      </c>
      <c r="E170" s="1" t="str">
        <f>IF(ROW()&lt;=Results!$C$1+1,VLOOKUP($D170,Data!$A$2:$C$117,3,TRUE),"")</f>
        <v/>
      </c>
      <c r="F170" s="14" t="str">
        <f>IF(ROW()&lt;=Results!$C$1+1,IF(E170&lt;=0,"",LN(E170)),"")</f>
        <v/>
      </c>
      <c r="G170" s="53" t="str">
        <f>IF(ROW()&lt;=Results!$C$1+1,IF(ISERROR(C170-F170),"",C170-F170),"")</f>
        <v/>
      </c>
    </row>
    <row r="171" spans="1:7" x14ac:dyDescent="0.25">
      <c r="A171" s="1" t="str">
        <f ca="1">IF(ROW()&lt;=Results!$C$1+1,INDEX(Data!$A:$A,CEILING((COUNTA(Data!$A:$A)-1)*RAND()+1,1)),"")</f>
        <v/>
      </c>
      <c r="B171" s="1" t="str">
        <f>IF(ROW()&lt;=Results!$C$1+1,VLOOKUP($A171,Data!$A$2:$C$117,2,TRUE),"")</f>
        <v/>
      </c>
      <c r="C171" s="14" t="str">
        <f>IF(ROW()&lt;=Results!$C$1+1,IF(B171&lt;=0,"",LN(B171)),"")</f>
        <v/>
      </c>
      <c r="D171" s="58" t="str">
        <f ca="1">IF(Results!$S$5,A171,IF(ROW()&lt;=Results!$C$1+1,INDEX(Data!$A:$A,CEILING((COUNTA(Data!$A:$A)-1)*RAND()+1,1)),""))</f>
        <v/>
      </c>
      <c r="E171" s="1" t="str">
        <f>IF(ROW()&lt;=Results!$C$1+1,VLOOKUP($D171,Data!$A$2:$C$117,3,TRUE),"")</f>
        <v/>
      </c>
      <c r="F171" s="14" t="str">
        <f>IF(ROW()&lt;=Results!$C$1+1,IF(E171&lt;=0,"",LN(E171)),"")</f>
        <v/>
      </c>
      <c r="G171" s="53" t="str">
        <f>IF(ROW()&lt;=Results!$C$1+1,IF(ISERROR(C171-F171),"",C171-F171),"")</f>
        <v/>
      </c>
    </row>
    <row r="172" spans="1:7" x14ac:dyDescent="0.25">
      <c r="A172" s="1" t="str">
        <f ca="1">IF(ROW()&lt;=Results!$C$1+1,INDEX(Data!$A:$A,CEILING((COUNTA(Data!$A:$A)-1)*RAND()+1,1)),"")</f>
        <v/>
      </c>
      <c r="B172" s="1" t="str">
        <f>IF(ROW()&lt;=Results!$C$1+1,VLOOKUP($A172,Data!$A$2:$C$117,2,TRUE),"")</f>
        <v/>
      </c>
      <c r="C172" s="14" t="str">
        <f>IF(ROW()&lt;=Results!$C$1+1,IF(B172&lt;=0,"",LN(B172)),"")</f>
        <v/>
      </c>
      <c r="D172" s="58" t="str">
        <f ca="1">IF(Results!$S$5,A172,IF(ROW()&lt;=Results!$C$1+1,INDEX(Data!$A:$A,CEILING((COUNTA(Data!$A:$A)-1)*RAND()+1,1)),""))</f>
        <v/>
      </c>
      <c r="E172" s="1" t="str">
        <f>IF(ROW()&lt;=Results!$C$1+1,VLOOKUP($D172,Data!$A$2:$C$117,3,TRUE),"")</f>
        <v/>
      </c>
      <c r="F172" s="14" t="str">
        <f>IF(ROW()&lt;=Results!$C$1+1,IF(E172&lt;=0,"",LN(E172)),"")</f>
        <v/>
      </c>
      <c r="G172" s="53" t="str">
        <f>IF(ROW()&lt;=Results!$C$1+1,IF(ISERROR(C172-F172),"",C172-F172),"")</f>
        <v/>
      </c>
    </row>
    <row r="173" spans="1:7" x14ac:dyDescent="0.25">
      <c r="A173" s="1" t="str">
        <f ca="1">IF(ROW()&lt;=Results!$C$1+1,INDEX(Data!$A:$A,CEILING((COUNTA(Data!$A:$A)-1)*RAND()+1,1)),"")</f>
        <v/>
      </c>
      <c r="B173" s="1" t="str">
        <f>IF(ROW()&lt;=Results!$C$1+1,VLOOKUP($A173,Data!$A$2:$C$117,2,TRUE),"")</f>
        <v/>
      </c>
      <c r="C173" s="14" t="str">
        <f>IF(ROW()&lt;=Results!$C$1+1,IF(B173&lt;=0,"",LN(B173)),"")</f>
        <v/>
      </c>
      <c r="D173" s="58" t="str">
        <f ca="1">IF(Results!$S$5,A173,IF(ROW()&lt;=Results!$C$1+1,INDEX(Data!$A:$A,CEILING((COUNTA(Data!$A:$A)-1)*RAND()+1,1)),""))</f>
        <v/>
      </c>
      <c r="E173" s="1" t="str">
        <f>IF(ROW()&lt;=Results!$C$1+1,VLOOKUP($D173,Data!$A$2:$C$117,3,TRUE),"")</f>
        <v/>
      </c>
      <c r="F173" s="14" t="str">
        <f>IF(ROW()&lt;=Results!$C$1+1,IF(E173&lt;=0,"",LN(E173)),"")</f>
        <v/>
      </c>
      <c r="G173" s="53" t="str">
        <f>IF(ROW()&lt;=Results!$C$1+1,IF(ISERROR(C173-F173),"",C173-F173),"")</f>
        <v/>
      </c>
    </row>
    <row r="174" spans="1:7" x14ac:dyDescent="0.25">
      <c r="A174" s="1" t="str">
        <f ca="1">IF(ROW()&lt;=Results!$C$1+1,INDEX(Data!$A:$A,CEILING((COUNTA(Data!$A:$A)-1)*RAND()+1,1)),"")</f>
        <v/>
      </c>
      <c r="B174" s="1" t="str">
        <f>IF(ROW()&lt;=Results!$C$1+1,VLOOKUP($A174,Data!$A$2:$C$117,2,TRUE),"")</f>
        <v/>
      </c>
      <c r="C174" s="14" t="str">
        <f>IF(ROW()&lt;=Results!$C$1+1,IF(B174&lt;=0,"",LN(B174)),"")</f>
        <v/>
      </c>
      <c r="D174" s="58" t="str">
        <f ca="1">IF(Results!$S$5,A174,IF(ROW()&lt;=Results!$C$1+1,INDEX(Data!$A:$A,CEILING((COUNTA(Data!$A:$A)-1)*RAND()+1,1)),""))</f>
        <v/>
      </c>
      <c r="E174" s="1" t="str">
        <f>IF(ROW()&lt;=Results!$C$1+1,VLOOKUP($D174,Data!$A$2:$C$117,3,TRUE),"")</f>
        <v/>
      </c>
      <c r="F174" s="14" t="str">
        <f>IF(ROW()&lt;=Results!$C$1+1,IF(E174&lt;=0,"",LN(E174)),"")</f>
        <v/>
      </c>
      <c r="G174" s="53" t="str">
        <f>IF(ROW()&lt;=Results!$C$1+1,IF(ISERROR(C174-F174),"",C174-F174),"")</f>
        <v/>
      </c>
    </row>
    <row r="175" spans="1:7" x14ac:dyDescent="0.25">
      <c r="A175" s="1" t="str">
        <f ca="1">IF(ROW()&lt;=Results!$C$1+1,INDEX(Data!$A:$A,CEILING((COUNTA(Data!$A:$A)-1)*RAND()+1,1)),"")</f>
        <v/>
      </c>
      <c r="B175" s="1" t="str">
        <f>IF(ROW()&lt;=Results!$C$1+1,VLOOKUP($A175,Data!$A$2:$C$117,2,TRUE),"")</f>
        <v/>
      </c>
      <c r="C175" s="14" t="str">
        <f>IF(ROW()&lt;=Results!$C$1+1,IF(B175&lt;=0,"",LN(B175)),"")</f>
        <v/>
      </c>
      <c r="D175" s="58" t="str">
        <f ca="1">IF(Results!$S$5,A175,IF(ROW()&lt;=Results!$C$1+1,INDEX(Data!$A:$A,CEILING((COUNTA(Data!$A:$A)-1)*RAND()+1,1)),""))</f>
        <v/>
      </c>
      <c r="E175" s="1" t="str">
        <f>IF(ROW()&lt;=Results!$C$1+1,VLOOKUP($D175,Data!$A$2:$C$117,3,TRUE),"")</f>
        <v/>
      </c>
      <c r="F175" s="14" t="str">
        <f>IF(ROW()&lt;=Results!$C$1+1,IF(E175&lt;=0,"",LN(E175)),"")</f>
        <v/>
      </c>
      <c r="G175" s="53" t="str">
        <f>IF(ROW()&lt;=Results!$C$1+1,IF(ISERROR(C175-F175),"",C175-F175),"")</f>
        <v/>
      </c>
    </row>
    <row r="176" spans="1:7" x14ac:dyDescent="0.25">
      <c r="A176" s="1" t="str">
        <f ca="1">IF(ROW()&lt;=Results!$C$1+1,INDEX(Data!$A:$A,CEILING((COUNTA(Data!$A:$A)-1)*RAND()+1,1)),"")</f>
        <v/>
      </c>
      <c r="B176" s="1" t="str">
        <f>IF(ROW()&lt;=Results!$C$1+1,VLOOKUP($A176,Data!$A$2:$C$117,2,TRUE),"")</f>
        <v/>
      </c>
      <c r="C176" s="14" t="str">
        <f>IF(ROW()&lt;=Results!$C$1+1,IF(B176&lt;=0,"",LN(B176)),"")</f>
        <v/>
      </c>
      <c r="D176" s="58" t="str">
        <f ca="1">IF(Results!$S$5,A176,IF(ROW()&lt;=Results!$C$1+1,INDEX(Data!$A:$A,CEILING((COUNTA(Data!$A:$A)-1)*RAND()+1,1)),""))</f>
        <v/>
      </c>
      <c r="E176" s="1" t="str">
        <f>IF(ROW()&lt;=Results!$C$1+1,VLOOKUP($D176,Data!$A$2:$C$117,3,TRUE),"")</f>
        <v/>
      </c>
      <c r="F176" s="14" t="str">
        <f>IF(ROW()&lt;=Results!$C$1+1,IF(E176&lt;=0,"",LN(E176)),"")</f>
        <v/>
      </c>
      <c r="G176" s="53" t="str">
        <f>IF(ROW()&lt;=Results!$C$1+1,IF(ISERROR(C176-F176),"",C176-F176),"")</f>
        <v/>
      </c>
    </row>
    <row r="177" spans="1:7" x14ac:dyDescent="0.25">
      <c r="A177" s="1" t="str">
        <f ca="1">IF(ROW()&lt;=Results!$C$1+1,INDEX(Data!$A:$A,CEILING((COUNTA(Data!$A:$A)-1)*RAND()+1,1)),"")</f>
        <v/>
      </c>
      <c r="B177" s="1" t="str">
        <f>IF(ROW()&lt;=Results!$C$1+1,VLOOKUP($A177,Data!$A$2:$C$117,2,TRUE),"")</f>
        <v/>
      </c>
      <c r="C177" s="14" t="str">
        <f>IF(ROW()&lt;=Results!$C$1+1,IF(B177&lt;=0,"",LN(B177)),"")</f>
        <v/>
      </c>
      <c r="D177" s="58" t="str">
        <f ca="1">IF(Results!$S$5,A177,IF(ROW()&lt;=Results!$C$1+1,INDEX(Data!$A:$A,CEILING((COUNTA(Data!$A:$A)-1)*RAND()+1,1)),""))</f>
        <v/>
      </c>
      <c r="E177" s="1" t="str">
        <f>IF(ROW()&lt;=Results!$C$1+1,VLOOKUP($D177,Data!$A$2:$C$117,3,TRUE),"")</f>
        <v/>
      </c>
      <c r="F177" s="14" t="str">
        <f>IF(ROW()&lt;=Results!$C$1+1,IF(E177&lt;=0,"",LN(E177)),"")</f>
        <v/>
      </c>
      <c r="G177" s="53" t="str">
        <f>IF(ROW()&lt;=Results!$C$1+1,IF(ISERROR(C177-F177),"",C177-F177),"")</f>
        <v/>
      </c>
    </row>
    <row r="178" spans="1:7" x14ac:dyDescent="0.25">
      <c r="A178" s="1" t="str">
        <f ca="1">IF(ROW()&lt;=Results!$C$1+1,INDEX(Data!$A:$A,CEILING((COUNTA(Data!$A:$A)-1)*RAND()+1,1)),"")</f>
        <v/>
      </c>
      <c r="B178" s="1" t="str">
        <f>IF(ROW()&lt;=Results!$C$1+1,VLOOKUP($A178,Data!$A$2:$C$117,2,TRUE),"")</f>
        <v/>
      </c>
      <c r="C178" s="14" t="str">
        <f>IF(ROW()&lt;=Results!$C$1+1,IF(B178&lt;=0,"",LN(B178)),"")</f>
        <v/>
      </c>
      <c r="D178" s="58" t="str">
        <f ca="1">IF(Results!$S$5,A178,IF(ROW()&lt;=Results!$C$1+1,INDEX(Data!$A:$A,CEILING((COUNTA(Data!$A:$A)-1)*RAND()+1,1)),""))</f>
        <v/>
      </c>
      <c r="E178" s="1" t="str">
        <f>IF(ROW()&lt;=Results!$C$1+1,VLOOKUP($D178,Data!$A$2:$C$117,3,TRUE),"")</f>
        <v/>
      </c>
      <c r="F178" s="14" t="str">
        <f>IF(ROW()&lt;=Results!$C$1+1,IF(E178&lt;=0,"",LN(E178)),"")</f>
        <v/>
      </c>
      <c r="G178" s="53" t="str">
        <f>IF(ROW()&lt;=Results!$C$1+1,IF(ISERROR(C178-F178),"",C178-F178),"")</f>
        <v/>
      </c>
    </row>
    <row r="179" spans="1:7" x14ac:dyDescent="0.25">
      <c r="A179" s="1" t="str">
        <f ca="1">IF(ROW()&lt;=Results!$C$1+1,INDEX(Data!$A:$A,CEILING((COUNTA(Data!$A:$A)-1)*RAND()+1,1)),"")</f>
        <v/>
      </c>
      <c r="B179" s="1" t="str">
        <f>IF(ROW()&lt;=Results!$C$1+1,VLOOKUP($A179,Data!$A$2:$C$117,2,TRUE),"")</f>
        <v/>
      </c>
      <c r="C179" s="14" t="str">
        <f>IF(ROW()&lt;=Results!$C$1+1,IF(B179&lt;=0,"",LN(B179)),"")</f>
        <v/>
      </c>
      <c r="D179" s="58" t="str">
        <f ca="1">IF(Results!$S$5,A179,IF(ROW()&lt;=Results!$C$1+1,INDEX(Data!$A:$A,CEILING((COUNTA(Data!$A:$A)-1)*RAND()+1,1)),""))</f>
        <v/>
      </c>
      <c r="E179" s="1" t="str">
        <f>IF(ROW()&lt;=Results!$C$1+1,VLOOKUP($D179,Data!$A$2:$C$117,3,TRUE),"")</f>
        <v/>
      </c>
      <c r="F179" s="14" t="str">
        <f>IF(ROW()&lt;=Results!$C$1+1,IF(E179&lt;=0,"",LN(E179)),"")</f>
        <v/>
      </c>
      <c r="G179" s="53" t="str">
        <f>IF(ROW()&lt;=Results!$C$1+1,IF(ISERROR(C179-F179),"",C179-F179),"")</f>
        <v/>
      </c>
    </row>
    <row r="180" spans="1:7" x14ac:dyDescent="0.25">
      <c r="A180" s="1" t="str">
        <f ca="1">IF(ROW()&lt;=Results!$C$1+1,INDEX(Data!$A:$A,CEILING((COUNTA(Data!$A:$A)-1)*RAND()+1,1)),"")</f>
        <v/>
      </c>
      <c r="B180" s="1" t="str">
        <f>IF(ROW()&lt;=Results!$C$1+1,VLOOKUP($A180,Data!$A$2:$C$117,2,TRUE),"")</f>
        <v/>
      </c>
      <c r="C180" s="14" t="str">
        <f>IF(ROW()&lt;=Results!$C$1+1,IF(B180&lt;=0,"",LN(B180)),"")</f>
        <v/>
      </c>
      <c r="D180" s="58" t="str">
        <f ca="1">IF(Results!$S$5,A180,IF(ROW()&lt;=Results!$C$1+1,INDEX(Data!$A:$A,CEILING((COUNTA(Data!$A:$A)-1)*RAND()+1,1)),""))</f>
        <v/>
      </c>
      <c r="E180" s="1" t="str">
        <f>IF(ROW()&lt;=Results!$C$1+1,VLOOKUP($D180,Data!$A$2:$C$117,3,TRUE),"")</f>
        <v/>
      </c>
      <c r="F180" s="14" t="str">
        <f>IF(ROW()&lt;=Results!$C$1+1,IF(E180&lt;=0,"",LN(E180)),"")</f>
        <v/>
      </c>
      <c r="G180" s="53" t="str">
        <f>IF(ROW()&lt;=Results!$C$1+1,IF(ISERROR(C180-F180),"",C180-F180),"")</f>
        <v/>
      </c>
    </row>
    <row r="181" spans="1:7" x14ac:dyDescent="0.25">
      <c r="A181" s="1" t="str">
        <f ca="1">IF(ROW()&lt;=Results!$C$1+1,INDEX(Data!$A:$A,CEILING((COUNTA(Data!$A:$A)-1)*RAND()+1,1)),"")</f>
        <v/>
      </c>
      <c r="B181" s="1" t="str">
        <f>IF(ROW()&lt;=Results!$C$1+1,VLOOKUP($A181,Data!$A$2:$C$117,2,TRUE),"")</f>
        <v/>
      </c>
      <c r="C181" s="14" t="str">
        <f>IF(ROW()&lt;=Results!$C$1+1,IF(B181&lt;=0,"",LN(B181)),"")</f>
        <v/>
      </c>
      <c r="D181" s="58" t="str">
        <f ca="1">IF(Results!$S$5,A181,IF(ROW()&lt;=Results!$C$1+1,INDEX(Data!$A:$A,CEILING((COUNTA(Data!$A:$A)-1)*RAND()+1,1)),""))</f>
        <v/>
      </c>
      <c r="E181" s="1" t="str">
        <f>IF(ROW()&lt;=Results!$C$1+1,VLOOKUP($D181,Data!$A$2:$C$117,3,TRUE),"")</f>
        <v/>
      </c>
      <c r="F181" s="14" t="str">
        <f>IF(ROW()&lt;=Results!$C$1+1,IF(E181&lt;=0,"",LN(E181)),"")</f>
        <v/>
      </c>
      <c r="G181" s="53" t="str">
        <f>IF(ROW()&lt;=Results!$C$1+1,IF(ISERROR(C181-F181),"",C181-F181),"")</f>
        <v/>
      </c>
    </row>
    <row r="182" spans="1:7" x14ac:dyDescent="0.25">
      <c r="A182" s="1" t="str">
        <f ca="1">IF(ROW()&lt;=Results!$C$1+1,INDEX(Data!$A:$A,CEILING((COUNTA(Data!$A:$A)-1)*RAND()+1,1)),"")</f>
        <v/>
      </c>
      <c r="B182" s="1" t="str">
        <f>IF(ROW()&lt;=Results!$C$1+1,VLOOKUP($A182,Data!$A$2:$C$117,2,TRUE),"")</f>
        <v/>
      </c>
      <c r="C182" s="14" t="str">
        <f>IF(ROW()&lt;=Results!$C$1+1,IF(B182&lt;=0,"",LN(B182)),"")</f>
        <v/>
      </c>
      <c r="D182" s="58" t="str">
        <f ca="1">IF(Results!$S$5,A182,IF(ROW()&lt;=Results!$C$1+1,INDEX(Data!$A:$A,CEILING((COUNTA(Data!$A:$A)-1)*RAND()+1,1)),""))</f>
        <v/>
      </c>
      <c r="E182" s="1" t="str">
        <f>IF(ROW()&lt;=Results!$C$1+1,VLOOKUP($D182,Data!$A$2:$C$117,3,TRUE),"")</f>
        <v/>
      </c>
      <c r="F182" s="14" t="str">
        <f>IF(ROW()&lt;=Results!$C$1+1,IF(E182&lt;=0,"",LN(E182)),"")</f>
        <v/>
      </c>
      <c r="G182" s="53" t="str">
        <f>IF(ROW()&lt;=Results!$C$1+1,IF(ISERROR(C182-F182),"",C182-F182),"")</f>
        <v/>
      </c>
    </row>
    <row r="183" spans="1:7" x14ac:dyDescent="0.25">
      <c r="A183" s="1" t="str">
        <f ca="1">IF(ROW()&lt;=Results!$C$1+1,INDEX(Data!$A:$A,CEILING((COUNTA(Data!$A:$A)-1)*RAND()+1,1)),"")</f>
        <v/>
      </c>
      <c r="B183" s="1" t="str">
        <f>IF(ROW()&lt;=Results!$C$1+1,VLOOKUP($A183,Data!$A$2:$C$117,2,TRUE),"")</f>
        <v/>
      </c>
      <c r="C183" s="14" t="str">
        <f>IF(ROW()&lt;=Results!$C$1+1,IF(B183&lt;=0,"",LN(B183)),"")</f>
        <v/>
      </c>
      <c r="D183" s="58" t="str">
        <f ca="1">IF(Results!$S$5,A183,IF(ROW()&lt;=Results!$C$1+1,INDEX(Data!$A:$A,CEILING((COUNTA(Data!$A:$A)-1)*RAND()+1,1)),""))</f>
        <v/>
      </c>
      <c r="E183" s="1" t="str">
        <f>IF(ROW()&lt;=Results!$C$1+1,VLOOKUP($D183,Data!$A$2:$C$117,3,TRUE),"")</f>
        <v/>
      </c>
      <c r="F183" s="14" t="str">
        <f>IF(ROW()&lt;=Results!$C$1+1,IF(E183&lt;=0,"",LN(E183)),"")</f>
        <v/>
      </c>
      <c r="G183" s="53" t="str">
        <f>IF(ROW()&lt;=Results!$C$1+1,IF(ISERROR(C183-F183),"",C183-F183),"")</f>
        <v/>
      </c>
    </row>
    <row r="184" spans="1:7" x14ac:dyDescent="0.25">
      <c r="A184" s="1" t="str">
        <f ca="1">IF(ROW()&lt;=Results!$C$1+1,INDEX(Data!$A:$A,CEILING((COUNTA(Data!$A:$A)-1)*RAND()+1,1)),"")</f>
        <v/>
      </c>
      <c r="B184" s="1" t="str">
        <f>IF(ROW()&lt;=Results!$C$1+1,VLOOKUP($A184,Data!$A$2:$C$117,2,TRUE),"")</f>
        <v/>
      </c>
      <c r="C184" s="14" t="str">
        <f>IF(ROW()&lt;=Results!$C$1+1,IF(B184&lt;=0,"",LN(B184)),"")</f>
        <v/>
      </c>
      <c r="D184" s="58" t="str">
        <f ca="1">IF(Results!$S$5,A184,IF(ROW()&lt;=Results!$C$1+1,INDEX(Data!$A:$A,CEILING((COUNTA(Data!$A:$A)-1)*RAND()+1,1)),""))</f>
        <v/>
      </c>
      <c r="E184" s="1" t="str">
        <f>IF(ROW()&lt;=Results!$C$1+1,VLOOKUP($D184,Data!$A$2:$C$117,3,TRUE),"")</f>
        <v/>
      </c>
      <c r="F184" s="14" t="str">
        <f>IF(ROW()&lt;=Results!$C$1+1,IF(E184&lt;=0,"",LN(E184)),"")</f>
        <v/>
      </c>
      <c r="G184" s="53" t="str">
        <f>IF(ROW()&lt;=Results!$C$1+1,IF(ISERROR(C184-F184),"",C184-F184),"")</f>
        <v/>
      </c>
    </row>
    <row r="185" spans="1:7" x14ac:dyDescent="0.25">
      <c r="A185" s="1" t="str">
        <f ca="1">IF(ROW()&lt;=Results!$C$1+1,INDEX(Data!$A:$A,CEILING((COUNTA(Data!$A:$A)-1)*RAND()+1,1)),"")</f>
        <v/>
      </c>
      <c r="B185" s="1" t="str">
        <f>IF(ROW()&lt;=Results!$C$1+1,VLOOKUP($A185,Data!$A$2:$C$117,2,TRUE),"")</f>
        <v/>
      </c>
      <c r="C185" s="14" t="str">
        <f>IF(ROW()&lt;=Results!$C$1+1,IF(B185&lt;=0,"",LN(B185)),"")</f>
        <v/>
      </c>
      <c r="D185" s="58" t="str">
        <f ca="1">IF(Results!$S$5,A185,IF(ROW()&lt;=Results!$C$1+1,INDEX(Data!$A:$A,CEILING((COUNTA(Data!$A:$A)-1)*RAND()+1,1)),""))</f>
        <v/>
      </c>
      <c r="E185" s="1" t="str">
        <f>IF(ROW()&lt;=Results!$C$1+1,VLOOKUP($D185,Data!$A$2:$C$117,3,TRUE),"")</f>
        <v/>
      </c>
      <c r="F185" s="14" t="str">
        <f>IF(ROW()&lt;=Results!$C$1+1,IF(E185&lt;=0,"",LN(E185)),"")</f>
        <v/>
      </c>
      <c r="G185" s="53" t="str">
        <f>IF(ROW()&lt;=Results!$C$1+1,IF(ISERROR(C185-F185),"",C185-F185),"")</f>
        <v/>
      </c>
    </row>
    <row r="186" spans="1:7" x14ac:dyDescent="0.25">
      <c r="A186" s="1" t="str">
        <f ca="1">IF(ROW()&lt;=Results!$C$1+1,INDEX(Data!$A:$A,CEILING((COUNTA(Data!$A:$A)-1)*RAND()+1,1)),"")</f>
        <v/>
      </c>
      <c r="B186" s="1" t="str">
        <f>IF(ROW()&lt;=Results!$C$1+1,VLOOKUP($A186,Data!$A$2:$C$117,2,TRUE),"")</f>
        <v/>
      </c>
      <c r="C186" s="14" t="str">
        <f>IF(ROW()&lt;=Results!$C$1+1,IF(B186&lt;=0,"",LN(B186)),"")</f>
        <v/>
      </c>
      <c r="D186" s="58" t="str">
        <f ca="1">IF(Results!$S$5,A186,IF(ROW()&lt;=Results!$C$1+1,INDEX(Data!$A:$A,CEILING((COUNTA(Data!$A:$A)-1)*RAND()+1,1)),""))</f>
        <v/>
      </c>
      <c r="E186" s="1" t="str">
        <f>IF(ROW()&lt;=Results!$C$1+1,VLOOKUP($D186,Data!$A$2:$C$117,3,TRUE),"")</f>
        <v/>
      </c>
      <c r="F186" s="14" t="str">
        <f>IF(ROW()&lt;=Results!$C$1+1,IF(E186&lt;=0,"",LN(E186)),"")</f>
        <v/>
      </c>
      <c r="G186" s="53" t="str">
        <f>IF(ROW()&lt;=Results!$C$1+1,IF(ISERROR(C186-F186),"",C186-F186),"")</f>
        <v/>
      </c>
    </row>
    <row r="187" spans="1:7" x14ac:dyDescent="0.25">
      <c r="A187" s="1" t="str">
        <f ca="1">IF(ROW()&lt;=Results!$C$1+1,INDEX(Data!$A:$A,CEILING((COUNTA(Data!$A:$A)-1)*RAND()+1,1)),"")</f>
        <v/>
      </c>
      <c r="B187" s="1" t="str">
        <f>IF(ROW()&lt;=Results!$C$1+1,VLOOKUP($A187,Data!$A$2:$C$117,2,TRUE),"")</f>
        <v/>
      </c>
      <c r="C187" s="14" t="str">
        <f>IF(ROW()&lt;=Results!$C$1+1,IF(B187&lt;=0,"",LN(B187)),"")</f>
        <v/>
      </c>
      <c r="D187" s="58" t="str">
        <f ca="1">IF(Results!$S$5,A187,IF(ROW()&lt;=Results!$C$1+1,INDEX(Data!$A:$A,CEILING((COUNTA(Data!$A:$A)-1)*RAND()+1,1)),""))</f>
        <v/>
      </c>
      <c r="E187" s="1" t="str">
        <f>IF(ROW()&lt;=Results!$C$1+1,VLOOKUP($D187,Data!$A$2:$C$117,3,TRUE),"")</f>
        <v/>
      </c>
      <c r="F187" s="14" t="str">
        <f>IF(ROW()&lt;=Results!$C$1+1,IF(E187&lt;=0,"",LN(E187)),"")</f>
        <v/>
      </c>
      <c r="G187" s="53" t="str">
        <f>IF(ROW()&lt;=Results!$C$1+1,IF(ISERROR(C187-F187),"",C187-F187),"")</f>
        <v/>
      </c>
    </row>
    <row r="188" spans="1:7" x14ac:dyDescent="0.25">
      <c r="A188" s="1" t="str">
        <f ca="1">IF(ROW()&lt;=Results!$C$1+1,INDEX(Data!$A:$A,CEILING((COUNTA(Data!$A:$A)-1)*RAND()+1,1)),"")</f>
        <v/>
      </c>
      <c r="B188" s="1" t="str">
        <f>IF(ROW()&lt;=Results!$C$1+1,VLOOKUP($A188,Data!$A$2:$C$117,2,TRUE),"")</f>
        <v/>
      </c>
      <c r="C188" s="14" t="str">
        <f>IF(ROW()&lt;=Results!$C$1+1,IF(B188&lt;=0,"",LN(B188)),"")</f>
        <v/>
      </c>
      <c r="D188" s="58" t="str">
        <f ca="1">IF(Results!$S$5,A188,IF(ROW()&lt;=Results!$C$1+1,INDEX(Data!$A:$A,CEILING((COUNTA(Data!$A:$A)-1)*RAND()+1,1)),""))</f>
        <v/>
      </c>
      <c r="E188" s="1" t="str">
        <f>IF(ROW()&lt;=Results!$C$1+1,VLOOKUP($D188,Data!$A$2:$C$117,3,TRUE),"")</f>
        <v/>
      </c>
      <c r="F188" s="14" t="str">
        <f>IF(ROW()&lt;=Results!$C$1+1,IF(E188&lt;=0,"",LN(E188)),"")</f>
        <v/>
      </c>
      <c r="G188" s="53" t="str">
        <f>IF(ROW()&lt;=Results!$C$1+1,IF(ISERROR(C188-F188),"",C188-F188),"")</f>
        <v/>
      </c>
    </row>
    <row r="189" spans="1:7" x14ac:dyDescent="0.25">
      <c r="A189" s="1" t="str">
        <f ca="1">IF(ROW()&lt;=Results!$C$1+1,INDEX(Data!$A:$A,CEILING((COUNTA(Data!$A:$A)-1)*RAND()+1,1)),"")</f>
        <v/>
      </c>
      <c r="B189" s="1" t="str">
        <f>IF(ROW()&lt;=Results!$C$1+1,VLOOKUP($A189,Data!$A$2:$C$117,2,TRUE),"")</f>
        <v/>
      </c>
      <c r="C189" s="14" t="str">
        <f>IF(ROW()&lt;=Results!$C$1+1,IF(B189&lt;=0,"",LN(B189)),"")</f>
        <v/>
      </c>
      <c r="D189" s="58" t="str">
        <f ca="1">IF(Results!$S$5,A189,IF(ROW()&lt;=Results!$C$1+1,INDEX(Data!$A:$A,CEILING((COUNTA(Data!$A:$A)-1)*RAND()+1,1)),""))</f>
        <v/>
      </c>
      <c r="E189" s="1" t="str">
        <f>IF(ROW()&lt;=Results!$C$1+1,VLOOKUP($D189,Data!$A$2:$C$117,3,TRUE),"")</f>
        <v/>
      </c>
      <c r="F189" s="14" t="str">
        <f>IF(ROW()&lt;=Results!$C$1+1,IF(E189&lt;=0,"",LN(E189)),"")</f>
        <v/>
      </c>
      <c r="G189" s="53" t="str">
        <f>IF(ROW()&lt;=Results!$C$1+1,IF(ISERROR(C189-F189),"",C189-F189),"")</f>
        <v/>
      </c>
    </row>
    <row r="190" spans="1:7" x14ac:dyDescent="0.25">
      <c r="A190" s="1" t="str">
        <f ca="1">IF(ROW()&lt;=Results!$C$1+1,INDEX(Data!$A:$A,CEILING((COUNTA(Data!$A:$A)-1)*RAND()+1,1)),"")</f>
        <v/>
      </c>
      <c r="B190" s="1" t="str">
        <f>IF(ROW()&lt;=Results!$C$1+1,VLOOKUP($A190,Data!$A$2:$C$117,2,TRUE),"")</f>
        <v/>
      </c>
      <c r="C190" s="14" t="str">
        <f>IF(ROW()&lt;=Results!$C$1+1,IF(B190&lt;=0,"",LN(B190)),"")</f>
        <v/>
      </c>
      <c r="D190" s="58" t="str">
        <f ca="1">IF(Results!$S$5,A190,IF(ROW()&lt;=Results!$C$1+1,INDEX(Data!$A:$A,CEILING((COUNTA(Data!$A:$A)-1)*RAND()+1,1)),""))</f>
        <v/>
      </c>
      <c r="E190" s="1" t="str">
        <f>IF(ROW()&lt;=Results!$C$1+1,VLOOKUP($D190,Data!$A$2:$C$117,3,TRUE),"")</f>
        <v/>
      </c>
      <c r="F190" s="14" t="str">
        <f>IF(ROW()&lt;=Results!$C$1+1,IF(E190&lt;=0,"",LN(E190)),"")</f>
        <v/>
      </c>
      <c r="G190" s="53" t="str">
        <f>IF(ROW()&lt;=Results!$C$1+1,IF(ISERROR(C190-F190),"",C190-F190),"")</f>
        <v/>
      </c>
    </row>
    <row r="191" spans="1:7" x14ac:dyDescent="0.25">
      <c r="A191" s="1" t="str">
        <f ca="1">IF(ROW()&lt;=Results!$C$1+1,INDEX(Data!$A:$A,CEILING((COUNTA(Data!$A:$A)-1)*RAND()+1,1)),"")</f>
        <v/>
      </c>
      <c r="B191" s="1" t="str">
        <f>IF(ROW()&lt;=Results!$C$1+1,VLOOKUP($A191,Data!$A$2:$C$117,2,TRUE),"")</f>
        <v/>
      </c>
      <c r="C191" s="14" t="str">
        <f>IF(ROW()&lt;=Results!$C$1+1,IF(B191&lt;=0,"",LN(B191)),"")</f>
        <v/>
      </c>
      <c r="D191" s="58" t="str">
        <f ca="1">IF(Results!$S$5,A191,IF(ROW()&lt;=Results!$C$1+1,INDEX(Data!$A:$A,CEILING((COUNTA(Data!$A:$A)-1)*RAND()+1,1)),""))</f>
        <v/>
      </c>
      <c r="E191" s="1" t="str">
        <f>IF(ROW()&lt;=Results!$C$1+1,VLOOKUP($D191,Data!$A$2:$C$117,3,TRUE),"")</f>
        <v/>
      </c>
      <c r="F191" s="14" t="str">
        <f>IF(ROW()&lt;=Results!$C$1+1,IF(E191&lt;=0,"",LN(E191)),"")</f>
        <v/>
      </c>
      <c r="G191" s="53" t="str">
        <f>IF(ROW()&lt;=Results!$C$1+1,IF(ISERROR(C191-F191),"",C191-F191),"")</f>
        <v/>
      </c>
    </row>
    <row r="192" spans="1:7" x14ac:dyDescent="0.25">
      <c r="A192" s="1" t="str">
        <f ca="1">IF(ROW()&lt;=Results!$C$1+1,INDEX(Data!$A:$A,CEILING((COUNTA(Data!$A:$A)-1)*RAND()+1,1)),"")</f>
        <v/>
      </c>
      <c r="B192" s="1" t="str">
        <f>IF(ROW()&lt;=Results!$C$1+1,VLOOKUP($A192,Data!$A$2:$C$117,2,TRUE),"")</f>
        <v/>
      </c>
      <c r="C192" s="14" t="str">
        <f>IF(ROW()&lt;=Results!$C$1+1,IF(B192&lt;=0,"",LN(B192)),"")</f>
        <v/>
      </c>
      <c r="D192" s="58" t="str">
        <f ca="1">IF(Results!$S$5,A192,IF(ROW()&lt;=Results!$C$1+1,INDEX(Data!$A:$A,CEILING((COUNTA(Data!$A:$A)-1)*RAND()+1,1)),""))</f>
        <v/>
      </c>
      <c r="E192" s="1" t="str">
        <f>IF(ROW()&lt;=Results!$C$1+1,VLOOKUP($D192,Data!$A$2:$C$117,3,TRUE),"")</f>
        <v/>
      </c>
      <c r="F192" s="14" t="str">
        <f>IF(ROW()&lt;=Results!$C$1+1,IF(E192&lt;=0,"",LN(E192)),"")</f>
        <v/>
      </c>
      <c r="G192" s="53" t="str">
        <f>IF(ROW()&lt;=Results!$C$1+1,IF(ISERROR(C192-F192),"",C192-F192),"")</f>
        <v/>
      </c>
    </row>
    <row r="193" spans="1:7" x14ac:dyDescent="0.25">
      <c r="A193" s="1" t="str">
        <f ca="1">IF(ROW()&lt;=Results!$C$1+1,INDEX(Data!$A:$A,CEILING((COUNTA(Data!$A:$A)-1)*RAND()+1,1)),"")</f>
        <v/>
      </c>
      <c r="B193" s="1" t="str">
        <f>IF(ROW()&lt;=Results!$C$1+1,VLOOKUP($A193,Data!$A$2:$C$117,2,TRUE),"")</f>
        <v/>
      </c>
      <c r="C193" s="14" t="str">
        <f>IF(ROW()&lt;=Results!$C$1+1,IF(B193&lt;=0,"",LN(B193)),"")</f>
        <v/>
      </c>
      <c r="D193" s="58" t="str">
        <f ca="1">IF(Results!$S$5,A193,IF(ROW()&lt;=Results!$C$1+1,INDEX(Data!$A:$A,CEILING((COUNTA(Data!$A:$A)-1)*RAND()+1,1)),""))</f>
        <v/>
      </c>
      <c r="E193" s="1" t="str">
        <f>IF(ROW()&lt;=Results!$C$1+1,VLOOKUP($D193,Data!$A$2:$C$117,3,TRUE),"")</f>
        <v/>
      </c>
      <c r="F193" s="14" t="str">
        <f>IF(ROW()&lt;=Results!$C$1+1,IF(E193&lt;=0,"",LN(E193)),"")</f>
        <v/>
      </c>
      <c r="G193" s="53" t="str">
        <f>IF(ROW()&lt;=Results!$C$1+1,IF(ISERROR(C193-F193),"",C193-F193),"")</f>
        <v/>
      </c>
    </row>
    <row r="194" spans="1:7" x14ac:dyDescent="0.25">
      <c r="A194" s="1" t="str">
        <f ca="1">IF(ROW()&lt;=Results!$C$1+1,INDEX(Data!$A:$A,CEILING((COUNTA(Data!$A:$A)-1)*RAND()+1,1)),"")</f>
        <v/>
      </c>
      <c r="B194" s="1" t="str">
        <f>IF(ROW()&lt;=Results!$C$1+1,VLOOKUP($A194,Data!$A$2:$C$117,2,TRUE),"")</f>
        <v/>
      </c>
      <c r="C194" s="14" t="str">
        <f>IF(ROW()&lt;=Results!$C$1+1,IF(B194&lt;=0,"",LN(B194)),"")</f>
        <v/>
      </c>
      <c r="D194" s="58" t="str">
        <f ca="1">IF(Results!$S$5,A194,IF(ROW()&lt;=Results!$C$1+1,INDEX(Data!$A:$A,CEILING((COUNTA(Data!$A:$A)-1)*RAND()+1,1)),""))</f>
        <v/>
      </c>
      <c r="E194" s="1" t="str">
        <f>IF(ROW()&lt;=Results!$C$1+1,VLOOKUP($D194,Data!$A$2:$C$117,3,TRUE),"")</f>
        <v/>
      </c>
      <c r="F194" s="14" t="str">
        <f>IF(ROW()&lt;=Results!$C$1+1,IF(E194&lt;=0,"",LN(E194)),"")</f>
        <v/>
      </c>
      <c r="G194" s="53" t="str">
        <f>IF(ROW()&lt;=Results!$C$1+1,IF(ISERROR(C194-F194),"",C194-F194),"")</f>
        <v/>
      </c>
    </row>
    <row r="195" spans="1:7" x14ac:dyDescent="0.25">
      <c r="A195" s="1" t="str">
        <f ca="1">IF(ROW()&lt;=Results!$C$1+1,INDEX(Data!$A:$A,CEILING((COUNTA(Data!$A:$A)-1)*RAND()+1,1)),"")</f>
        <v/>
      </c>
      <c r="B195" s="1" t="str">
        <f>IF(ROW()&lt;=Results!$C$1+1,VLOOKUP($A195,Data!$A$2:$C$117,2,TRUE),"")</f>
        <v/>
      </c>
      <c r="C195" s="14" t="str">
        <f>IF(ROW()&lt;=Results!$C$1+1,IF(B195&lt;=0,"",LN(B195)),"")</f>
        <v/>
      </c>
      <c r="D195" s="58" t="str">
        <f ca="1">IF(Results!$S$5,A195,IF(ROW()&lt;=Results!$C$1+1,INDEX(Data!$A:$A,CEILING((COUNTA(Data!$A:$A)-1)*RAND()+1,1)),""))</f>
        <v/>
      </c>
      <c r="E195" s="1" t="str">
        <f>IF(ROW()&lt;=Results!$C$1+1,VLOOKUP($D195,Data!$A$2:$C$117,3,TRUE),"")</f>
        <v/>
      </c>
      <c r="F195" s="14" t="str">
        <f>IF(ROW()&lt;=Results!$C$1+1,IF(E195&lt;=0,"",LN(E195)),"")</f>
        <v/>
      </c>
      <c r="G195" s="53" t="str">
        <f>IF(ROW()&lt;=Results!$C$1+1,IF(ISERROR(C195-F195),"",C195-F195),"")</f>
        <v/>
      </c>
    </row>
    <row r="196" spans="1:7" x14ac:dyDescent="0.25">
      <c r="A196" s="1" t="str">
        <f ca="1">IF(ROW()&lt;=Results!$C$1+1,INDEX(Data!$A:$A,CEILING((COUNTA(Data!$A:$A)-1)*RAND()+1,1)),"")</f>
        <v/>
      </c>
      <c r="B196" s="1" t="str">
        <f>IF(ROW()&lt;=Results!$C$1+1,VLOOKUP($A196,Data!$A$2:$C$117,2,TRUE),"")</f>
        <v/>
      </c>
      <c r="C196" s="14" t="str">
        <f>IF(ROW()&lt;=Results!$C$1+1,IF(B196&lt;=0,"",LN(B196)),"")</f>
        <v/>
      </c>
      <c r="D196" s="58" t="str">
        <f ca="1">IF(Results!$S$5,A196,IF(ROW()&lt;=Results!$C$1+1,INDEX(Data!$A:$A,CEILING((COUNTA(Data!$A:$A)-1)*RAND()+1,1)),""))</f>
        <v/>
      </c>
      <c r="E196" s="1" t="str">
        <f>IF(ROW()&lt;=Results!$C$1+1,VLOOKUP($D196,Data!$A$2:$C$117,3,TRUE),"")</f>
        <v/>
      </c>
      <c r="F196" s="14" t="str">
        <f>IF(ROW()&lt;=Results!$C$1+1,IF(E196&lt;=0,"",LN(E196)),"")</f>
        <v/>
      </c>
      <c r="G196" s="53" t="str">
        <f>IF(ROW()&lt;=Results!$C$1+1,IF(ISERROR(C196-F196),"",C196-F196),"")</f>
        <v/>
      </c>
    </row>
    <row r="197" spans="1:7" x14ac:dyDescent="0.25">
      <c r="A197" s="1" t="str">
        <f ca="1">IF(ROW()&lt;=Results!$C$1+1,INDEX(Data!$A:$A,CEILING((COUNTA(Data!$A:$A)-1)*RAND()+1,1)),"")</f>
        <v/>
      </c>
      <c r="B197" s="1" t="str">
        <f>IF(ROW()&lt;=Results!$C$1+1,VLOOKUP($A197,Data!$A$2:$C$117,2,TRUE),"")</f>
        <v/>
      </c>
      <c r="C197" s="14" t="str">
        <f>IF(ROW()&lt;=Results!$C$1+1,IF(B197&lt;=0,"",LN(B197)),"")</f>
        <v/>
      </c>
      <c r="D197" s="58" t="str">
        <f ca="1">IF(Results!$S$5,A197,IF(ROW()&lt;=Results!$C$1+1,INDEX(Data!$A:$A,CEILING((COUNTA(Data!$A:$A)-1)*RAND()+1,1)),""))</f>
        <v/>
      </c>
      <c r="E197" s="1" t="str">
        <f>IF(ROW()&lt;=Results!$C$1+1,VLOOKUP($D197,Data!$A$2:$C$117,3,TRUE),"")</f>
        <v/>
      </c>
      <c r="F197" s="14" t="str">
        <f>IF(ROW()&lt;=Results!$C$1+1,IF(E197&lt;=0,"",LN(E197)),"")</f>
        <v/>
      </c>
      <c r="G197" s="53" t="str">
        <f>IF(ROW()&lt;=Results!$C$1+1,IF(ISERROR(C197-F197),"",C197-F197),"")</f>
        <v/>
      </c>
    </row>
    <row r="198" spans="1:7" x14ac:dyDescent="0.25">
      <c r="A198" s="1" t="str">
        <f ca="1">IF(ROW()&lt;=Results!$C$1+1,INDEX(Data!$A:$A,CEILING((COUNTA(Data!$A:$A)-1)*RAND()+1,1)),"")</f>
        <v/>
      </c>
      <c r="B198" s="1" t="str">
        <f>IF(ROW()&lt;=Results!$C$1+1,VLOOKUP($A198,Data!$A$2:$C$117,2,TRUE),"")</f>
        <v/>
      </c>
      <c r="C198" s="14" t="str">
        <f>IF(ROW()&lt;=Results!$C$1+1,IF(B198&lt;=0,"",LN(B198)),"")</f>
        <v/>
      </c>
      <c r="D198" s="58" t="str">
        <f ca="1">IF(Results!$S$5,A198,IF(ROW()&lt;=Results!$C$1+1,INDEX(Data!$A:$A,CEILING((COUNTA(Data!$A:$A)-1)*RAND()+1,1)),""))</f>
        <v/>
      </c>
      <c r="E198" s="1" t="str">
        <f>IF(ROW()&lt;=Results!$C$1+1,VLOOKUP($D198,Data!$A$2:$C$117,3,TRUE),"")</f>
        <v/>
      </c>
      <c r="F198" s="14" t="str">
        <f>IF(ROW()&lt;=Results!$C$1+1,IF(E198&lt;=0,"",LN(E198)),"")</f>
        <v/>
      </c>
      <c r="G198" s="53" t="str">
        <f>IF(ROW()&lt;=Results!$C$1+1,IF(ISERROR(C198-F198),"",C198-F198),"")</f>
        <v/>
      </c>
    </row>
    <row r="199" spans="1:7" x14ac:dyDescent="0.25">
      <c r="A199" s="1" t="str">
        <f ca="1">IF(ROW()&lt;=Results!$C$1+1,INDEX(Data!$A:$A,CEILING((COUNTA(Data!$A:$A)-1)*RAND()+1,1)),"")</f>
        <v/>
      </c>
      <c r="B199" s="1" t="str">
        <f>IF(ROW()&lt;=Results!$C$1+1,VLOOKUP($A199,Data!$A$2:$C$117,2,TRUE),"")</f>
        <v/>
      </c>
      <c r="C199" s="14" t="str">
        <f>IF(ROW()&lt;=Results!$C$1+1,IF(B199&lt;=0,"",LN(B199)),"")</f>
        <v/>
      </c>
      <c r="D199" s="58" t="str">
        <f ca="1">IF(Results!$S$5,A199,IF(ROW()&lt;=Results!$C$1+1,INDEX(Data!$A:$A,CEILING((COUNTA(Data!$A:$A)-1)*RAND()+1,1)),""))</f>
        <v/>
      </c>
      <c r="E199" s="1" t="str">
        <f>IF(ROW()&lt;=Results!$C$1+1,VLOOKUP($D199,Data!$A$2:$C$117,3,TRUE),"")</f>
        <v/>
      </c>
      <c r="F199" s="14" t="str">
        <f>IF(ROW()&lt;=Results!$C$1+1,IF(E199&lt;=0,"",LN(E199)),"")</f>
        <v/>
      </c>
      <c r="G199" s="53" t="str">
        <f>IF(ROW()&lt;=Results!$C$1+1,IF(ISERROR(C199-F199),"",C199-F199),"")</f>
        <v/>
      </c>
    </row>
    <row r="200" spans="1:7" x14ac:dyDescent="0.25">
      <c r="A200" s="1" t="str">
        <f ca="1">IF(ROW()&lt;=Results!$C$1+1,INDEX(Data!$A:$A,CEILING((COUNTA(Data!$A:$A)-1)*RAND()+1,1)),"")</f>
        <v/>
      </c>
      <c r="B200" s="1" t="str">
        <f>IF(ROW()&lt;=Results!$C$1+1,VLOOKUP($A200,Data!$A$2:$C$117,2,TRUE),"")</f>
        <v/>
      </c>
      <c r="C200" s="14" t="str">
        <f>IF(ROW()&lt;=Results!$C$1+1,IF(B200&lt;=0,"",LN(B200)),"")</f>
        <v/>
      </c>
      <c r="D200" s="58" t="str">
        <f ca="1">IF(Results!$S$5,A200,IF(ROW()&lt;=Results!$C$1+1,INDEX(Data!$A:$A,CEILING((COUNTA(Data!$A:$A)-1)*RAND()+1,1)),""))</f>
        <v/>
      </c>
      <c r="E200" s="1" t="str">
        <f>IF(ROW()&lt;=Results!$C$1+1,VLOOKUP($D200,Data!$A$2:$C$117,3,TRUE),"")</f>
        <v/>
      </c>
      <c r="F200" s="14" t="str">
        <f>IF(ROW()&lt;=Results!$C$1+1,IF(E200&lt;=0,"",LN(E200)),"")</f>
        <v/>
      </c>
      <c r="G200" s="53" t="str">
        <f>IF(ROW()&lt;=Results!$C$1+1,IF(ISERROR(C200-F200),"",C200-F200),"")</f>
        <v/>
      </c>
    </row>
    <row r="201" spans="1:7" x14ac:dyDescent="0.25">
      <c r="A201" s="1" t="str">
        <f ca="1">IF(ROW()&lt;=Results!$C$1+1,INDEX(Data!$A:$A,CEILING((COUNTA(Data!$A:$A)-1)*RAND()+1,1)),"")</f>
        <v/>
      </c>
      <c r="B201" s="1" t="str">
        <f>IF(ROW()&lt;=Results!$C$1+1,VLOOKUP($A201,Data!$A$2:$C$117,2,TRUE),"")</f>
        <v/>
      </c>
      <c r="C201" s="14" t="str">
        <f>IF(ROW()&lt;=Results!$C$1+1,IF(B201&lt;=0,"",LN(B201)),"")</f>
        <v/>
      </c>
      <c r="D201" s="58" t="str">
        <f ca="1">IF(Results!$S$5,A201,IF(ROW()&lt;=Results!$C$1+1,INDEX(Data!$A:$A,CEILING((COUNTA(Data!$A:$A)-1)*RAND()+1,1)),""))</f>
        <v/>
      </c>
      <c r="E201" s="1" t="str">
        <f>IF(ROW()&lt;=Results!$C$1+1,VLOOKUP($D201,Data!$A$2:$C$117,3,TRUE),"")</f>
        <v/>
      </c>
      <c r="F201" s="14" t="str">
        <f>IF(ROW()&lt;=Results!$C$1+1,IF(E201&lt;=0,"",LN(E201)),"")</f>
        <v/>
      </c>
      <c r="G201" s="53" t="str">
        <f>IF(ROW()&lt;=Results!$C$1+1,IF(ISERROR(C201-F201),"",C201-F201),"")</f>
        <v/>
      </c>
    </row>
    <row r="202" spans="1:7" x14ac:dyDescent="0.25">
      <c r="A202" s="1" t="str">
        <f ca="1">IF(ROW()&lt;=Results!$C$1+1,INDEX(Data!$A:$A,CEILING((COUNTA(Data!$A:$A)-1)*RAND()+1,1)),"")</f>
        <v/>
      </c>
      <c r="B202" s="1" t="str">
        <f>IF(ROW()&lt;=Results!$C$1+1,VLOOKUP($A202,Data!$A$2:$C$117,2,TRUE),"")</f>
        <v/>
      </c>
      <c r="C202" s="14" t="str">
        <f>IF(ROW()&lt;=Results!$C$1+1,IF(B202&lt;=0,"",LN(B202)),"")</f>
        <v/>
      </c>
      <c r="D202" s="58" t="str">
        <f ca="1">IF(Results!$S$5,A202,IF(ROW()&lt;=Results!$C$1+1,INDEX(Data!$A:$A,CEILING((COUNTA(Data!$A:$A)-1)*RAND()+1,1)),""))</f>
        <v/>
      </c>
      <c r="E202" s="1" t="str">
        <f>IF(ROW()&lt;=Results!$C$1+1,VLOOKUP($D202,Data!$A$2:$C$117,3,TRUE),"")</f>
        <v/>
      </c>
      <c r="F202" s="14" t="str">
        <f>IF(ROW()&lt;=Results!$C$1+1,IF(E202&lt;=0,"",LN(E202)),"")</f>
        <v/>
      </c>
      <c r="G202" s="53" t="str">
        <f>IF(ROW()&lt;=Results!$C$1+1,IF(ISERROR(C202-F202),"",C202-F202),"")</f>
        <v/>
      </c>
    </row>
    <row r="203" spans="1:7" x14ac:dyDescent="0.25">
      <c r="A203" s="1" t="str">
        <f ca="1">IF(ROW()&lt;=Results!$C$1+1,INDEX(Data!$A:$A,CEILING((COUNTA(Data!$A:$A)-1)*RAND()+1,1)),"")</f>
        <v/>
      </c>
      <c r="B203" s="1" t="str">
        <f>IF(ROW()&lt;=Results!$C$1+1,VLOOKUP($A203,Data!$A$2:$C$117,2,TRUE),"")</f>
        <v/>
      </c>
      <c r="C203" s="14" t="str">
        <f>IF(ROW()&lt;=Results!$C$1+1,IF(B203&lt;=0,"",LN(B203)),"")</f>
        <v/>
      </c>
      <c r="D203" s="58" t="str">
        <f ca="1">IF(Results!$S$5,A203,IF(ROW()&lt;=Results!$C$1+1,INDEX(Data!$A:$A,CEILING((COUNTA(Data!$A:$A)-1)*RAND()+1,1)),""))</f>
        <v/>
      </c>
      <c r="E203" s="1" t="str">
        <f>IF(ROW()&lt;=Results!$C$1+1,VLOOKUP($D203,Data!$A$2:$C$117,3,TRUE),"")</f>
        <v/>
      </c>
      <c r="F203" s="14" t="str">
        <f>IF(ROW()&lt;=Results!$C$1+1,IF(E203&lt;=0,"",LN(E203)),"")</f>
        <v/>
      </c>
      <c r="G203" s="53" t="str">
        <f>IF(ROW()&lt;=Results!$C$1+1,IF(ISERROR(C203-F203),"",C203-F203),"")</f>
        <v/>
      </c>
    </row>
    <row r="204" spans="1:7" x14ac:dyDescent="0.25">
      <c r="A204" s="1" t="str">
        <f ca="1">IF(ROW()&lt;=Results!$C$1+1,INDEX(Data!$A:$A,CEILING((COUNTA(Data!$A:$A)-1)*RAND()+1,1)),"")</f>
        <v/>
      </c>
      <c r="B204" s="1" t="str">
        <f>IF(ROW()&lt;=Results!$C$1+1,VLOOKUP($A204,Data!$A$2:$C$117,2,TRUE),"")</f>
        <v/>
      </c>
      <c r="C204" s="14" t="str">
        <f>IF(ROW()&lt;=Results!$C$1+1,IF(B204&lt;=0,"",LN(B204)),"")</f>
        <v/>
      </c>
      <c r="D204" s="58" t="str">
        <f ca="1">IF(Results!$S$5,A204,IF(ROW()&lt;=Results!$C$1+1,INDEX(Data!$A:$A,CEILING((COUNTA(Data!$A:$A)-1)*RAND()+1,1)),""))</f>
        <v/>
      </c>
      <c r="E204" s="1" t="str">
        <f>IF(ROW()&lt;=Results!$C$1+1,VLOOKUP($D204,Data!$A$2:$C$117,3,TRUE),"")</f>
        <v/>
      </c>
      <c r="F204" s="14" t="str">
        <f>IF(ROW()&lt;=Results!$C$1+1,IF(E204&lt;=0,"",LN(E204)),"")</f>
        <v/>
      </c>
      <c r="G204" s="53" t="str">
        <f>IF(ROW()&lt;=Results!$C$1+1,IF(ISERROR(C204-F204),"",C204-F204),"")</f>
        <v/>
      </c>
    </row>
    <row r="205" spans="1:7" x14ac:dyDescent="0.25">
      <c r="A205" s="1" t="str">
        <f ca="1">IF(ROW()&lt;=Results!$C$1+1,INDEX(Data!$A:$A,CEILING((COUNTA(Data!$A:$A)-1)*RAND()+1,1)),"")</f>
        <v/>
      </c>
      <c r="B205" s="1" t="str">
        <f>IF(ROW()&lt;=Results!$C$1+1,VLOOKUP($A205,Data!$A$2:$C$117,2,TRUE),"")</f>
        <v/>
      </c>
      <c r="C205" s="14" t="str">
        <f>IF(ROW()&lt;=Results!$C$1+1,IF(B205&lt;=0,"",LN(B205)),"")</f>
        <v/>
      </c>
      <c r="D205" s="58" t="str">
        <f ca="1">IF(Results!$S$5,A205,IF(ROW()&lt;=Results!$C$1+1,INDEX(Data!$A:$A,CEILING((COUNTA(Data!$A:$A)-1)*RAND()+1,1)),""))</f>
        <v/>
      </c>
      <c r="E205" s="1" t="str">
        <f>IF(ROW()&lt;=Results!$C$1+1,VLOOKUP($D205,Data!$A$2:$C$117,3,TRUE),"")</f>
        <v/>
      </c>
      <c r="F205" s="14" t="str">
        <f>IF(ROW()&lt;=Results!$C$1+1,IF(E205&lt;=0,"",LN(E205)),"")</f>
        <v/>
      </c>
      <c r="G205" s="53" t="str">
        <f>IF(ROW()&lt;=Results!$C$1+1,IF(ISERROR(C205-F205),"",C205-F205),"")</f>
        <v/>
      </c>
    </row>
    <row r="206" spans="1:7" x14ac:dyDescent="0.25">
      <c r="A206" s="1" t="str">
        <f ca="1">IF(ROW()&lt;=Results!$C$1+1,INDEX(Data!$A:$A,CEILING((COUNTA(Data!$A:$A)-1)*RAND()+1,1)),"")</f>
        <v/>
      </c>
      <c r="B206" s="1" t="str">
        <f>IF(ROW()&lt;=Results!$C$1+1,VLOOKUP($A206,Data!$A$2:$C$117,2,TRUE),"")</f>
        <v/>
      </c>
      <c r="C206" s="14" t="str">
        <f>IF(ROW()&lt;=Results!$C$1+1,IF(B206&lt;=0,"",LN(B206)),"")</f>
        <v/>
      </c>
      <c r="D206" s="58" t="str">
        <f ca="1">IF(Results!$S$5,A206,IF(ROW()&lt;=Results!$C$1+1,INDEX(Data!$A:$A,CEILING((COUNTA(Data!$A:$A)-1)*RAND()+1,1)),""))</f>
        <v/>
      </c>
      <c r="E206" s="1" t="str">
        <f>IF(ROW()&lt;=Results!$C$1+1,VLOOKUP($D206,Data!$A$2:$C$117,3,TRUE),"")</f>
        <v/>
      </c>
      <c r="F206" s="14" t="str">
        <f>IF(ROW()&lt;=Results!$C$1+1,IF(E206&lt;=0,"",LN(E206)),"")</f>
        <v/>
      </c>
      <c r="G206" s="53" t="str">
        <f>IF(ROW()&lt;=Results!$C$1+1,IF(ISERROR(C206-F206),"",C206-F206),"")</f>
        <v/>
      </c>
    </row>
    <row r="207" spans="1:7" x14ac:dyDescent="0.25">
      <c r="A207" s="1" t="str">
        <f ca="1">IF(ROW()&lt;=Results!$C$1+1,INDEX(Data!$A:$A,CEILING((COUNTA(Data!$A:$A)-1)*RAND()+1,1)),"")</f>
        <v/>
      </c>
      <c r="B207" s="1" t="str">
        <f>IF(ROW()&lt;=Results!$C$1+1,VLOOKUP($A207,Data!$A$2:$C$117,2,TRUE),"")</f>
        <v/>
      </c>
      <c r="C207" s="14" t="str">
        <f>IF(ROW()&lt;=Results!$C$1+1,IF(B207&lt;=0,"",LN(B207)),"")</f>
        <v/>
      </c>
      <c r="D207" s="58" t="str">
        <f ca="1">IF(Results!$S$5,A207,IF(ROW()&lt;=Results!$C$1+1,INDEX(Data!$A:$A,CEILING((COUNTA(Data!$A:$A)-1)*RAND()+1,1)),""))</f>
        <v/>
      </c>
      <c r="E207" s="1" t="str">
        <f>IF(ROW()&lt;=Results!$C$1+1,VLOOKUP($D207,Data!$A$2:$C$117,3,TRUE),"")</f>
        <v/>
      </c>
      <c r="F207" s="14" t="str">
        <f>IF(ROW()&lt;=Results!$C$1+1,IF(E207&lt;=0,"",LN(E207)),"")</f>
        <v/>
      </c>
      <c r="G207" s="53" t="str">
        <f>IF(ROW()&lt;=Results!$C$1+1,IF(ISERROR(C207-F207),"",C207-F207),"")</f>
        <v/>
      </c>
    </row>
    <row r="208" spans="1:7" x14ac:dyDescent="0.25">
      <c r="A208" s="1" t="str">
        <f ca="1">IF(ROW()&lt;=Results!$C$1+1,INDEX(Data!$A:$A,CEILING((COUNTA(Data!$A:$A)-1)*RAND()+1,1)),"")</f>
        <v/>
      </c>
      <c r="B208" s="1" t="str">
        <f>IF(ROW()&lt;=Results!$C$1+1,VLOOKUP($A208,Data!$A$2:$C$117,2,TRUE),"")</f>
        <v/>
      </c>
      <c r="C208" s="14" t="str">
        <f>IF(ROW()&lt;=Results!$C$1+1,IF(B208&lt;=0,"",LN(B208)),"")</f>
        <v/>
      </c>
      <c r="D208" s="58" t="str">
        <f ca="1">IF(Results!$S$5,A208,IF(ROW()&lt;=Results!$C$1+1,INDEX(Data!$A:$A,CEILING((COUNTA(Data!$A:$A)-1)*RAND()+1,1)),""))</f>
        <v/>
      </c>
      <c r="E208" s="1" t="str">
        <f>IF(ROW()&lt;=Results!$C$1+1,VLOOKUP($D208,Data!$A$2:$C$117,3,TRUE),"")</f>
        <v/>
      </c>
      <c r="F208" s="14" t="str">
        <f>IF(ROW()&lt;=Results!$C$1+1,IF(E208&lt;=0,"",LN(E208)),"")</f>
        <v/>
      </c>
      <c r="G208" s="53" t="str">
        <f>IF(ROW()&lt;=Results!$C$1+1,IF(ISERROR(C208-F208),"",C208-F208),"")</f>
        <v/>
      </c>
    </row>
    <row r="209" spans="1:7" x14ac:dyDescent="0.25">
      <c r="A209" s="1" t="str">
        <f ca="1">IF(ROW()&lt;=Results!$C$1+1,INDEX(Data!$A:$A,CEILING((COUNTA(Data!$A:$A)-1)*RAND()+1,1)),"")</f>
        <v/>
      </c>
      <c r="B209" s="1" t="str">
        <f>IF(ROW()&lt;=Results!$C$1+1,VLOOKUP($A209,Data!$A$2:$C$117,2,TRUE),"")</f>
        <v/>
      </c>
      <c r="C209" s="14" t="str">
        <f>IF(ROW()&lt;=Results!$C$1+1,IF(B209&lt;=0,"",LN(B209)),"")</f>
        <v/>
      </c>
      <c r="D209" s="58" t="str">
        <f ca="1">IF(Results!$S$5,A209,IF(ROW()&lt;=Results!$C$1+1,INDEX(Data!$A:$A,CEILING((COUNTA(Data!$A:$A)-1)*RAND()+1,1)),""))</f>
        <v/>
      </c>
      <c r="E209" s="1" t="str">
        <f>IF(ROW()&lt;=Results!$C$1+1,VLOOKUP($D209,Data!$A$2:$C$117,3,TRUE),"")</f>
        <v/>
      </c>
      <c r="F209" s="14" t="str">
        <f>IF(ROW()&lt;=Results!$C$1+1,IF(E209&lt;=0,"",LN(E209)),"")</f>
        <v/>
      </c>
      <c r="G209" s="53" t="str">
        <f>IF(ROW()&lt;=Results!$C$1+1,IF(ISERROR(C209-F209),"",C209-F209),"")</f>
        <v/>
      </c>
    </row>
    <row r="210" spans="1:7" x14ac:dyDescent="0.25">
      <c r="A210" s="1" t="str">
        <f ca="1">IF(ROW()&lt;=Results!$C$1+1,INDEX(Data!$A:$A,CEILING((COUNTA(Data!$A:$A)-1)*RAND()+1,1)),"")</f>
        <v/>
      </c>
      <c r="B210" s="1" t="str">
        <f>IF(ROW()&lt;=Results!$C$1+1,VLOOKUP($A210,Data!$A$2:$C$117,2,TRUE),"")</f>
        <v/>
      </c>
      <c r="C210" s="14" t="str">
        <f>IF(ROW()&lt;=Results!$C$1+1,IF(B210&lt;=0,"",LN(B210)),"")</f>
        <v/>
      </c>
      <c r="D210" s="58" t="str">
        <f ca="1">IF(Results!$S$5,A210,IF(ROW()&lt;=Results!$C$1+1,INDEX(Data!$A:$A,CEILING((COUNTA(Data!$A:$A)-1)*RAND()+1,1)),""))</f>
        <v/>
      </c>
      <c r="E210" s="1" t="str">
        <f>IF(ROW()&lt;=Results!$C$1+1,VLOOKUP($D210,Data!$A$2:$C$117,3,TRUE),"")</f>
        <v/>
      </c>
      <c r="F210" s="14" t="str">
        <f>IF(ROW()&lt;=Results!$C$1+1,IF(E210&lt;=0,"",LN(E210)),"")</f>
        <v/>
      </c>
      <c r="G210" s="53" t="str">
        <f>IF(ROW()&lt;=Results!$C$1+1,IF(ISERROR(C210-F210),"",C210-F210),"")</f>
        <v/>
      </c>
    </row>
    <row r="211" spans="1:7" x14ac:dyDescent="0.25">
      <c r="A211" s="1" t="str">
        <f ca="1">IF(ROW()&lt;=Results!$C$1+1,INDEX(Data!$A:$A,CEILING((COUNTA(Data!$A:$A)-1)*RAND()+1,1)),"")</f>
        <v/>
      </c>
      <c r="B211" s="1" t="str">
        <f>IF(ROW()&lt;=Results!$C$1+1,VLOOKUP($A211,Data!$A$2:$C$117,2,TRUE),"")</f>
        <v/>
      </c>
      <c r="C211" s="14" t="str">
        <f>IF(ROW()&lt;=Results!$C$1+1,IF(B211&lt;=0,"",LN(B211)),"")</f>
        <v/>
      </c>
      <c r="D211" s="58" t="str">
        <f ca="1">IF(Results!$S$5,A211,IF(ROW()&lt;=Results!$C$1+1,INDEX(Data!$A:$A,CEILING((COUNTA(Data!$A:$A)-1)*RAND()+1,1)),""))</f>
        <v/>
      </c>
      <c r="E211" s="1" t="str">
        <f>IF(ROW()&lt;=Results!$C$1+1,VLOOKUP($D211,Data!$A$2:$C$117,3,TRUE),"")</f>
        <v/>
      </c>
      <c r="F211" s="14" t="str">
        <f>IF(ROW()&lt;=Results!$C$1+1,IF(E211&lt;=0,"",LN(E211)),"")</f>
        <v/>
      </c>
      <c r="G211" s="53" t="str">
        <f>IF(ROW()&lt;=Results!$C$1+1,IF(ISERROR(C211-F211),"",C211-F211),"")</f>
        <v/>
      </c>
    </row>
    <row r="212" spans="1:7" x14ac:dyDescent="0.25">
      <c r="A212" s="1" t="str">
        <f ca="1">IF(ROW()&lt;=Results!$C$1+1,INDEX(Data!$A:$A,CEILING((COUNTA(Data!$A:$A)-1)*RAND()+1,1)),"")</f>
        <v/>
      </c>
      <c r="B212" s="1" t="str">
        <f>IF(ROW()&lt;=Results!$C$1+1,VLOOKUP($A212,Data!$A$2:$C$117,2,TRUE),"")</f>
        <v/>
      </c>
      <c r="C212" s="14" t="str">
        <f>IF(ROW()&lt;=Results!$C$1+1,IF(B212&lt;=0,"",LN(B212)),"")</f>
        <v/>
      </c>
      <c r="D212" s="58" t="str">
        <f ca="1">IF(Results!$S$5,A212,IF(ROW()&lt;=Results!$C$1+1,INDEX(Data!$A:$A,CEILING((COUNTA(Data!$A:$A)-1)*RAND()+1,1)),""))</f>
        <v/>
      </c>
      <c r="E212" s="1" t="str">
        <f>IF(ROW()&lt;=Results!$C$1+1,VLOOKUP($D212,Data!$A$2:$C$117,3,TRUE),"")</f>
        <v/>
      </c>
      <c r="F212" s="14" t="str">
        <f>IF(ROW()&lt;=Results!$C$1+1,IF(E212&lt;=0,"",LN(E212)),"")</f>
        <v/>
      </c>
      <c r="G212" s="53" t="str">
        <f>IF(ROW()&lt;=Results!$C$1+1,IF(ISERROR(C212-F212),"",C212-F212),"")</f>
        <v/>
      </c>
    </row>
    <row r="213" spans="1:7" x14ac:dyDescent="0.25">
      <c r="A213" s="1" t="str">
        <f ca="1">IF(ROW()&lt;=Results!$C$1+1,INDEX(Data!$A:$A,CEILING((COUNTA(Data!$A:$A)-1)*RAND()+1,1)),"")</f>
        <v/>
      </c>
      <c r="B213" s="1" t="str">
        <f>IF(ROW()&lt;=Results!$C$1+1,VLOOKUP($A213,Data!$A$2:$C$117,2,TRUE),"")</f>
        <v/>
      </c>
      <c r="C213" s="14" t="str">
        <f>IF(ROW()&lt;=Results!$C$1+1,IF(B213&lt;=0,"",LN(B213)),"")</f>
        <v/>
      </c>
      <c r="D213" s="58" t="str">
        <f ca="1">IF(Results!$S$5,A213,IF(ROW()&lt;=Results!$C$1+1,INDEX(Data!$A:$A,CEILING((COUNTA(Data!$A:$A)-1)*RAND()+1,1)),""))</f>
        <v/>
      </c>
      <c r="E213" s="1" t="str">
        <f>IF(ROW()&lt;=Results!$C$1+1,VLOOKUP($D213,Data!$A$2:$C$117,3,TRUE),"")</f>
        <v/>
      </c>
      <c r="F213" s="14" t="str">
        <f>IF(ROW()&lt;=Results!$C$1+1,IF(E213&lt;=0,"",LN(E213)),"")</f>
        <v/>
      </c>
      <c r="G213" s="53" t="str">
        <f>IF(ROW()&lt;=Results!$C$1+1,IF(ISERROR(C213-F213),"",C213-F213),"")</f>
        <v/>
      </c>
    </row>
    <row r="214" spans="1:7" x14ac:dyDescent="0.25">
      <c r="A214" s="1" t="str">
        <f ca="1">IF(ROW()&lt;=Results!$C$1+1,INDEX(Data!$A:$A,CEILING((COUNTA(Data!$A:$A)-1)*RAND()+1,1)),"")</f>
        <v/>
      </c>
      <c r="B214" s="1" t="str">
        <f>IF(ROW()&lt;=Results!$C$1+1,VLOOKUP($A214,Data!$A$2:$C$117,2,TRUE),"")</f>
        <v/>
      </c>
      <c r="C214" s="14" t="str">
        <f>IF(ROW()&lt;=Results!$C$1+1,IF(B214&lt;=0,"",LN(B214)),"")</f>
        <v/>
      </c>
      <c r="D214" s="58" t="str">
        <f ca="1">IF(Results!$S$5,A214,IF(ROW()&lt;=Results!$C$1+1,INDEX(Data!$A:$A,CEILING((COUNTA(Data!$A:$A)-1)*RAND()+1,1)),""))</f>
        <v/>
      </c>
      <c r="E214" s="1" t="str">
        <f>IF(ROW()&lt;=Results!$C$1+1,VLOOKUP($D214,Data!$A$2:$C$117,3,TRUE),"")</f>
        <v/>
      </c>
      <c r="F214" s="14" t="str">
        <f>IF(ROW()&lt;=Results!$C$1+1,IF(E214&lt;=0,"",LN(E214)),"")</f>
        <v/>
      </c>
      <c r="G214" s="53" t="str">
        <f>IF(ROW()&lt;=Results!$C$1+1,IF(ISERROR(C214-F214),"",C214-F214),"")</f>
        <v/>
      </c>
    </row>
    <row r="215" spans="1:7" x14ac:dyDescent="0.25">
      <c r="A215" s="1" t="str">
        <f ca="1">IF(ROW()&lt;=Results!$C$1+1,INDEX(Data!$A:$A,CEILING((COUNTA(Data!$A:$A)-1)*RAND()+1,1)),"")</f>
        <v/>
      </c>
      <c r="B215" s="1" t="str">
        <f>IF(ROW()&lt;=Results!$C$1+1,VLOOKUP($A215,Data!$A$2:$C$117,2,TRUE),"")</f>
        <v/>
      </c>
      <c r="C215" s="14" t="str">
        <f>IF(ROW()&lt;=Results!$C$1+1,IF(B215&lt;=0,"",LN(B215)),"")</f>
        <v/>
      </c>
      <c r="D215" s="58" t="str">
        <f ca="1">IF(Results!$S$5,A215,IF(ROW()&lt;=Results!$C$1+1,INDEX(Data!$A:$A,CEILING((COUNTA(Data!$A:$A)-1)*RAND()+1,1)),""))</f>
        <v/>
      </c>
      <c r="E215" s="1" t="str">
        <f>IF(ROW()&lt;=Results!$C$1+1,VLOOKUP($D215,Data!$A$2:$C$117,3,TRUE),"")</f>
        <v/>
      </c>
      <c r="F215" s="14" t="str">
        <f>IF(ROW()&lt;=Results!$C$1+1,IF(E215&lt;=0,"",LN(E215)),"")</f>
        <v/>
      </c>
      <c r="G215" s="53" t="str">
        <f>IF(ROW()&lt;=Results!$C$1+1,IF(ISERROR(C215-F215),"",C215-F215),"")</f>
        <v/>
      </c>
    </row>
    <row r="216" spans="1:7" x14ac:dyDescent="0.25">
      <c r="A216" s="1" t="str">
        <f ca="1">IF(ROW()&lt;=Results!$C$1+1,INDEX(Data!$A:$A,CEILING((COUNTA(Data!$A:$A)-1)*RAND()+1,1)),"")</f>
        <v/>
      </c>
      <c r="B216" s="1" t="str">
        <f>IF(ROW()&lt;=Results!$C$1+1,VLOOKUP($A216,Data!$A$2:$C$117,2,TRUE),"")</f>
        <v/>
      </c>
      <c r="C216" s="14" t="str">
        <f>IF(ROW()&lt;=Results!$C$1+1,IF(B216&lt;=0,"",LN(B216)),"")</f>
        <v/>
      </c>
      <c r="D216" s="58" t="str">
        <f ca="1">IF(Results!$S$5,A216,IF(ROW()&lt;=Results!$C$1+1,INDEX(Data!$A:$A,CEILING((COUNTA(Data!$A:$A)-1)*RAND()+1,1)),""))</f>
        <v/>
      </c>
      <c r="E216" s="1" t="str">
        <f>IF(ROW()&lt;=Results!$C$1+1,VLOOKUP($D216,Data!$A$2:$C$117,3,TRUE),"")</f>
        <v/>
      </c>
      <c r="F216" s="14" t="str">
        <f>IF(ROW()&lt;=Results!$C$1+1,IF(E216&lt;=0,"",LN(E216)),"")</f>
        <v/>
      </c>
      <c r="G216" s="53" t="str">
        <f>IF(ROW()&lt;=Results!$C$1+1,IF(ISERROR(C216-F216),"",C216-F216),"")</f>
        <v/>
      </c>
    </row>
    <row r="217" spans="1:7" x14ac:dyDescent="0.25">
      <c r="A217" s="1" t="str">
        <f ca="1">IF(ROW()&lt;=Results!$C$1+1,INDEX(Data!$A:$A,CEILING((COUNTA(Data!$A:$A)-1)*RAND()+1,1)),"")</f>
        <v/>
      </c>
      <c r="B217" s="1" t="str">
        <f>IF(ROW()&lt;=Results!$C$1+1,VLOOKUP($A217,Data!$A$2:$C$117,2,TRUE),"")</f>
        <v/>
      </c>
      <c r="C217" s="14" t="str">
        <f>IF(ROW()&lt;=Results!$C$1+1,IF(B217&lt;=0,"",LN(B217)),"")</f>
        <v/>
      </c>
      <c r="D217" s="58" t="str">
        <f ca="1">IF(Results!$S$5,A217,IF(ROW()&lt;=Results!$C$1+1,INDEX(Data!$A:$A,CEILING((COUNTA(Data!$A:$A)-1)*RAND()+1,1)),""))</f>
        <v/>
      </c>
      <c r="E217" s="1" t="str">
        <f>IF(ROW()&lt;=Results!$C$1+1,VLOOKUP($D217,Data!$A$2:$C$117,3,TRUE),"")</f>
        <v/>
      </c>
      <c r="F217" s="14" t="str">
        <f>IF(ROW()&lt;=Results!$C$1+1,IF(E217&lt;=0,"",LN(E217)),"")</f>
        <v/>
      </c>
      <c r="G217" s="53" t="str">
        <f>IF(ROW()&lt;=Results!$C$1+1,IF(ISERROR(C217-F217),"",C217-F217),"")</f>
        <v/>
      </c>
    </row>
    <row r="218" spans="1:7" x14ac:dyDescent="0.25">
      <c r="A218" s="1" t="str">
        <f ca="1">IF(ROW()&lt;=Results!$C$1+1,INDEX(Data!$A:$A,CEILING((COUNTA(Data!$A:$A)-1)*RAND()+1,1)),"")</f>
        <v/>
      </c>
      <c r="B218" s="1" t="str">
        <f>IF(ROW()&lt;=Results!$C$1+1,VLOOKUP($A218,Data!$A$2:$C$117,2,TRUE),"")</f>
        <v/>
      </c>
      <c r="C218" s="14" t="str">
        <f>IF(ROW()&lt;=Results!$C$1+1,IF(B218&lt;=0,"",LN(B218)),"")</f>
        <v/>
      </c>
      <c r="D218" s="58" t="str">
        <f ca="1">IF(Results!$S$5,A218,IF(ROW()&lt;=Results!$C$1+1,INDEX(Data!$A:$A,CEILING((COUNTA(Data!$A:$A)-1)*RAND()+1,1)),""))</f>
        <v/>
      </c>
      <c r="E218" s="1" t="str">
        <f>IF(ROW()&lt;=Results!$C$1+1,VLOOKUP($D218,Data!$A$2:$C$117,3,TRUE),"")</f>
        <v/>
      </c>
      <c r="F218" s="14" t="str">
        <f>IF(ROW()&lt;=Results!$C$1+1,IF(E218&lt;=0,"",LN(E218)),"")</f>
        <v/>
      </c>
      <c r="G218" s="53" t="str">
        <f>IF(ROW()&lt;=Results!$C$1+1,IF(ISERROR(C218-F218),"",C218-F218),"")</f>
        <v/>
      </c>
    </row>
    <row r="219" spans="1:7" x14ac:dyDescent="0.25">
      <c r="A219" s="1" t="str">
        <f ca="1">IF(ROW()&lt;=Results!$C$1+1,INDEX(Data!$A:$A,CEILING((COUNTA(Data!$A:$A)-1)*RAND()+1,1)),"")</f>
        <v/>
      </c>
      <c r="B219" s="1" t="str">
        <f>IF(ROW()&lt;=Results!$C$1+1,VLOOKUP($A219,Data!$A$2:$C$117,2,TRUE),"")</f>
        <v/>
      </c>
      <c r="C219" s="14" t="str">
        <f>IF(ROW()&lt;=Results!$C$1+1,IF(B219&lt;=0,"",LN(B219)),"")</f>
        <v/>
      </c>
      <c r="D219" s="58" t="str">
        <f ca="1">IF(Results!$S$5,A219,IF(ROW()&lt;=Results!$C$1+1,INDEX(Data!$A:$A,CEILING((COUNTA(Data!$A:$A)-1)*RAND()+1,1)),""))</f>
        <v/>
      </c>
      <c r="E219" s="1" t="str">
        <f>IF(ROW()&lt;=Results!$C$1+1,VLOOKUP($D219,Data!$A$2:$C$117,3,TRUE),"")</f>
        <v/>
      </c>
      <c r="F219" s="14" t="str">
        <f>IF(ROW()&lt;=Results!$C$1+1,IF(E219&lt;=0,"",LN(E219)),"")</f>
        <v/>
      </c>
      <c r="G219" s="53" t="str">
        <f>IF(ROW()&lt;=Results!$C$1+1,IF(ISERROR(C219-F219),"",C219-F219),"")</f>
        <v/>
      </c>
    </row>
    <row r="220" spans="1:7" x14ac:dyDescent="0.25">
      <c r="A220" s="1" t="str">
        <f ca="1">IF(ROW()&lt;=Results!$C$1+1,INDEX(Data!$A:$A,CEILING((COUNTA(Data!$A:$A)-1)*RAND()+1,1)),"")</f>
        <v/>
      </c>
      <c r="B220" s="1" t="str">
        <f>IF(ROW()&lt;=Results!$C$1+1,VLOOKUP($A220,Data!$A$2:$C$117,2,TRUE),"")</f>
        <v/>
      </c>
      <c r="C220" s="14" t="str">
        <f>IF(ROW()&lt;=Results!$C$1+1,IF(B220&lt;=0,"",LN(B220)),"")</f>
        <v/>
      </c>
      <c r="D220" s="58" t="str">
        <f ca="1">IF(Results!$S$5,A220,IF(ROW()&lt;=Results!$C$1+1,INDEX(Data!$A:$A,CEILING((COUNTA(Data!$A:$A)-1)*RAND()+1,1)),""))</f>
        <v/>
      </c>
      <c r="E220" s="1" t="str">
        <f>IF(ROW()&lt;=Results!$C$1+1,VLOOKUP($D220,Data!$A$2:$C$117,3,TRUE),"")</f>
        <v/>
      </c>
      <c r="F220" s="14" t="str">
        <f>IF(ROW()&lt;=Results!$C$1+1,IF(E220&lt;=0,"",LN(E220)),"")</f>
        <v/>
      </c>
      <c r="G220" s="53" t="str">
        <f>IF(ROW()&lt;=Results!$C$1+1,IF(ISERROR(C220-F220),"",C220-F220),"")</f>
        <v/>
      </c>
    </row>
    <row r="221" spans="1:7" x14ac:dyDescent="0.25">
      <c r="A221" s="1" t="str">
        <f ca="1">IF(ROW()&lt;=Results!$C$1+1,INDEX(Data!$A:$A,CEILING((COUNTA(Data!$A:$A)-1)*RAND()+1,1)),"")</f>
        <v/>
      </c>
      <c r="B221" s="1" t="str">
        <f>IF(ROW()&lt;=Results!$C$1+1,VLOOKUP($A221,Data!$A$2:$C$117,2,TRUE),"")</f>
        <v/>
      </c>
      <c r="C221" s="14" t="str">
        <f>IF(ROW()&lt;=Results!$C$1+1,IF(B221&lt;=0,"",LN(B221)),"")</f>
        <v/>
      </c>
      <c r="D221" s="58" t="str">
        <f ca="1">IF(Results!$S$5,A221,IF(ROW()&lt;=Results!$C$1+1,INDEX(Data!$A:$A,CEILING((COUNTA(Data!$A:$A)-1)*RAND()+1,1)),""))</f>
        <v/>
      </c>
      <c r="E221" s="1" t="str">
        <f>IF(ROW()&lt;=Results!$C$1+1,VLOOKUP($D221,Data!$A$2:$C$117,3,TRUE),"")</f>
        <v/>
      </c>
      <c r="F221" s="14" t="str">
        <f>IF(ROW()&lt;=Results!$C$1+1,IF(E221&lt;=0,"",LN(E221)),"")</f>
        <v/>
      </c>
      <c r="G221" s="53" t="str">
        <f>IF(ROW()&lt;=Results!$C$1+1,IF(ISERROR(C221-F221),"",C221-F221),"")</f>
        <v/>
      </c>
    </row>
    <row r="222" spans="1:7" x14ac:dyDescent="0.25">
      <c r="A222" s="1" t="str">
        <f ca="1">IF(ROW()&lt;=Results!$C$1+1,INDEX(Data!$A:$A,CEILING((COUNTA(Data!$A:$A)-1)*RAND()+1,1)),"")</f>
        <v/>
      </c>
      <c r="B222" s="1" t="str">
        <f>IF(ROW()&lt;=Results!$C$1+1,VLOOKUP($A222,Data!$A$2:$C$117,2,TRUE),"")</f>
        <v/>
      </c>
      <c r="C222" s="14" t="str">
        <f>IF(ROW()&lt;=Results!$C$1+1,IF(B222&lt;=0,"",LN(B222)),"")</f>
        <v/>
      </c>
      <c r="D222" s="58" t="str">
        <f ca="1">IF(Results!$S$5,A222,IF(ROW()&lt;=Results!$C$1+1,INDEX(Data!$A:$A,CEILING((COUNTA(Data!$A:$A)-1)*RAND()+1,1)),""))</f>
        <v/>
      </c>
      <c r="E222" s="1" t="str">
        <f>IF(ROW()&lt;=Results!$C$1+1,VLOOKUP($D222,Data!$A$2:$C$117,3,TRUE),"")</f>
        <v/>
      </c>
      <c r="F222" s="14" t="str">
        <f>IF(ROW()&lt;=Results!$C$1+1,IF(E222&lt;=0,"",LN(E222)),"")</f>
        <v/>
      </c>
      <c r="G222" s="53" t="str">
        <f>IF(ROW()&lt;=Results!$C$1+1,IF(ISERROR(C222-F222),"",C222-F222),"")</f>
        <v/>
      </c>
    </row>
    <row r="223" spans="1:7" x14ac:dyDescent="0.25">
      <c r="A223" s="1" t="str">
        <f ca="1">IF(ROW()&lt;=Results!$C$1+1,INDEX(Data!$A:$A,CEILING((COUNTA(Data!$A:$A)-1)*RAND()+1,1)),"")</f>
        <v/>
      </c>
      <c r="B223" s="1" t="str">
        <f>IF(ROW()&lt;=Results!$C$1+1,VLOOKUP($A223,Data!$A$2:$C$117,2,TRUE),"")</f>
        <v/>
      </c>
      <c r="C223" s="14" t="str">
        <f>IF(ROW()&lt;=Results!$C$1+1,IF(B223&lt;=0,"",LN(B223)),"")</f>
        <v/>
      </c>
      <c r="D223" s="58" t="str">
        <f ca="1">IF(Results!$S$5,A223,IF(ROW()&lt;=Results!$C$1+1,INDEX(Data!$A:$A,CEILING((COUNTA(Data!$A:$A)-1)*RAND()+1,1)),""))</f>
        <v/>
      </c>
      <c r="E223" s="1" t="str">
        <f>IF(ROW()&lt;=Results!$C$1+1,VLOOKUP($D223,Data!$A$2:$C$117,3,TRUE),"")</f>
        <v/>
      </c>
      <c r="F223" s="14" t="str">
        <f>IF(ROW()&lt;=Results!$C$1+1,IF(E223&lt;=0,"",LN(E223)),"")</f>
        <v/>
      </c>
      <c r="G223" s="53" t="str">
        <f>IF(ROW()&lt;=Results!$C$1+1,IF(ISERROR(C223-F223),"",C223-F223),"")</f>
        <v/>
      </c>
    </row>
    <row r="224" spans="1:7" x14ac:dyDescent="0.25">
      <c r="A224" s="1" t="str">
        <f ca="1">IF(ROW()&lt;=Results!$C$1+1,INDEX(Data!$A:$A,CEILING((COUNTA(Data!$A:$A)-1)*RAND()+1,1)),"")</f>
        <v/>
      </c>
      <c r="B224" s="1" t="str">
        <f>IF(ROW()&lt;=Results!$C$1+1,VLOOKUP($A224,Data!$A$2:$C$117,2,TRUE),"")</f>
        <v/>
      </c>
      <c r="C224" s="14" t="str">
        <f>IF(ROW()&lt;=Results!$C$1+1,IF(B224&lt;=0,"",LN(B224)),"")</f>
        <v/>
      </c>
      <c r="D224" s="58" t="str">
        <f ca="1">IF(Results!$S$5,A224,IF(ROW()&lt;=Results!$C$1+1,INDEX(Data!$A:$A,CEILING((COUNTA(Data!$A:$A)-1)*RAND()+1,1)),""))</f>
        <v/>
      </c>
      <c r="E224" s="1" t="str">
        <f>IF(ROW()&lt;=Results!$C$1+1,VLOOKUP($D224,Data!$A$2:$C$117,3,TRUE),"")</f>
        <v/>
      </c>
      <c r="F224" s="14" t="str">
        <f>IF(ROW()&lt;=Results!$C$1+1,IF(E224&lt;=0,"",LN(E224)),"")</f>
        <v/>
      </c>
      <c r="G224" s="53" t="str">
        <f>IF(ROW()&lt;=Results!$C$1+1,IF(ISERROR(C224-F224),"",C224-F224),"")</f>
        <v/>
      </c>
    </row>
    <row r="225" spans="1:7" x14ac:dyDescent="0.25">
      <c r="A225" s="1" t="str">
        <f ca="1">IF(ROW()&lt;=Results!$C$1+1,INDEX(Data!$A:$A,CEILING((COUNTA(Data!$A:$A)-1)*RAND()+1,1)),"")</f>
        <v/>
      </c>
      <c r="B225" s="1" t="str">
        <f>IF(ROW()&lt;=Results!$C$1+1,VLOOKUP($A225,Data!$A$2:$C$117,2,TRUE),"")</f>
        <v/>
      </c>
      <c r="C225" s="14" t="str">
        <f>IF(ROW()&lt;=Results!$C$1+1,IF(B225&lt;=0,"",LN(B225)),"")</f>
        <v/>
      </c>
      <c r="D225" s="58" t="str">
        <f ca="1">IF(Results!$S$5,A225,IF(ROW()&lt;=Results!$C$1+1,INDEX(Data!$A:$A,CEILING((COUNTA(Data!$A:$A)-1)*RAND()+1,1)),""))</f>
        <v/>
      </c>
      <c r="E225" s="1" t="str">
        <f>IF(ROW()&lt;=Results!$C$1+1,VLOOKUP($D225,Data!$A$2:$C$117,3,TRUE),"")</f>
        <v/>
      </c>
      <c r="F225" s="14" t="str">
        <f>IF(ROW()&lt;=Results!$C$1+1,IF(E225&lt;=0,"",LN(E225)),"")</f>
        <v/>
      </c>
      <c r="G225" s="53" t="str">
        <f>IF(ROW()&lt;=Results!$C$1+1,IF(ISERROR(C225-F225),"",C225-F225),"")</f>
        <v/>
      </c>
    </row>
    <row r="226" spans="1:7" x14ac:dyDescent="0.25">
      <c r="A226" s="1" t="str">
        <f ca="1">IF(ROW()&lt;=Results!$C$1+1,INDEX(Data!$A:$A,CEILING((COUNTA(Data!$A:$A)-1)*RAND()+1,1)),"")</f>
        <v/>
      </c>
      <c r="B226" s="1" t="str">
        <f>IF(ROW()&lt;=Results!$C$1+1,VLOOKUP($A226,Data!$A$2:$C$117,2,TRUE),"")</f>
        <v/>
      </c>
      <c r="C226" s="14" t="str">
        <f>IF(ROW()&lt;=Results!$C$1+1,IF(B226&lt;=0,"",LN(B226)),"")</f>
        <v/>
      </c>
      <c r="D226" s="58" t="str">
        <f ca="1">IF(Results!$S$5,A226,IF(ROW()&lt;=Results!$C$1+1,INDEX(Data!$A:$A,CEILING((COUNTA(Data!$A:$A)-1)*RAND()+1,1)),""))</f>
        <v/>
      </c>
      <c r="E226" s="1" t="str">
        <f>IF(ROW()&lt;=Results!$C$1+1,VLOOKUP($D226,Data!$A$2:$C$117,3,TRUE),"")</f>
        <v/>
      </c>
      <c r="F226" s="14" t="str">
        <f>IF(ROW()&lt;=Results!$C$1+1,IF(E226&lt;=0,"",LN(E226)),"")</f>
        <v/>
      </c>
      <c r="G226" s="53" t="str">
        <f>IF(ROW()&lt;=Results!$C$1+1,IF(ISERROR(C226-F226),"",C226-F226),"")</f>
        <v/>
      </c>
    </row>
    <row r="227" spans="1:7" x14ac:dyDescent="0.25">
      <c r="A227" s="1" t="str">
        <f ca="1">IF(ROW()&lt;=Results!$C$1+1,INDEX(Data!$A:$A,CEILING((COUNTA(Data!$A:$A)-1)*RAND()+1,1)),"")</f>
        <v/>
      </c>
      <c r="B227" s="1" t="str">
        <f>IF(ROW()&lt;=Results!$C$1+1,VLOOKUP($A227,Data!$A$2:$C$117,2,TRUE),"")</f>
        <v/>
      </c>
      <c r="C227" s="14" t="str">
        <f>IF(ROW()&lt;=Results!$C$1+1,IF(B227&lt;=0,"",LN(B227)),"")</f>
        <v/>
      </c>
      <c r="D227" s="58" t="str">
        <f ca="1">IF(Results!$S$5,A227,IF(ROW()&lt;=Results!$C$1+1,INDEX(Data!$A:$A,CEILING((COUNTA(Data!$A:$A)-1)*RAND()+1,1)),""))</f>
        <v/>
      </c>
      <c r="E227" s="1" t="str">
        <f>IF(ROW()&lt;=Results!$C$1+1,VLOOKUP($D227,Data!$A$2:$C$117,3,TRUE),"")</f>
        <v/>
      </c>
      <c r="F227" s="14" t="str">
        <f>IF(ROW()&lt;=Results!$C$1+1,IF(E227&lt;=0,"",LN(E227)),"")</f>
        <v/>
      </c>
      <c r="G227" s="53" t="str">
        <f>IF(ROW()&lt;=Results!$C$1+1,IF(ISERROR(C227-F227),"",C227-F227),"")</f>
        <v/>
      </c>
    </row>
    <row r="228" spans="1:7" x14ac:dyDescent="0.25">
      <c r="A228" s="1" t="str">
        <f ca="1">IF(ROW()&lt;=Results!$C$1+1,INDEX(Data!$A:$A,CEILING((COUNTA(Data!$A:$A)-1)*RAND()+1,1)),"")</f>
        <v/>
      </c>
      <c r="B228" s="1" t="str">
        <f>IF(ROW()&lt;=Results!$C$1+1,VLOOKUP($A228,Data!$A$2:$C$117,2,TRUE),"")</f>
        <v/>
      </c>
      <c r="C228" s="14" t="str">
        <f>IF(ROW()&lt;=Results!$C$1+1,IF(B228&lt;=0,"",LN(B228)),"")</f>
        <v/>
      </c>
      <c r="D228" s="58" t="str">
        <f ca="1">IF(Results!$S$5,A228,IF(ROW()&lt;=Results!$C$1+1,INDEX(Data!$A:$A,CEILING((COUNTA(Data!$A:$A)-1)*RAND()+1,1)),""))</f>
        <v/>
      </c>
      <c r="E228" s="1" t="str">
        <f>IF(ROW()&lt;=Results!$C$1+1,VLOOKUP($D228,Data!$A$2:$C$117,3,TRUE),"")</f>
        <v/>
      </c>
      <c r="F228" s="14" t="str">
        <f>IF(ROW()&lt;=Results!$C$1+1,IF(E228&lt;=0,"",LN(E228)),"")</f>
        <v/>
      </c>
      <c r="G228" s="53" t="str">
        <f>IF(ROW()&lt;=Results!$C$1+1,IF(ISERROR(C228-F228),"",C228-F228),"")</f>
        <v/>
      </c>
    </row>
    <row r="229" spans="1:7" x14ac:dyDescent="0.25">
      <c r="A229" s="1" t="str">
        <f ca="1">IF(ROW()&lt;=Results!$C$1+1,INDEX(Data!$A:$A,CEILING((COUNTA(Data!$A:$A)-1)*RAND()+1,1)),"")</f>
        <v/>
      </c>
      <c r="B229" s="1" t="str">
        <f>IF(ROW()&lt;=Results!$C$1+1,VLOOKUP($A229,Data!$A$2:$C$117,2,TRUE),"")</f>
        <v/>
      </c>
      <c r="C229" s="14" t="str">
        <f>IF(ROW()&lt;=Results!$C$1+1,IF(B229&lt;=0,"",LN(B229)),"")</f>
        <v/>
      </c>
      <c r="D229" s="58" t="str">
        <f ca="1">IF(Results!$S$5,A229,IF(ROW()&lt;=Results!$C$1+1,INDEX(Data!$A:$A,CEILING((COUNTA(Data!$A:$A)-1)*RAND()+1,1)),""))</f>
        <v/>
      </c>
      <c r="E229" s="1" t="str">
        <f>IF(ROW()&lt;=Results!$C$1+1,VLOOKUP($D229,Data!$A$2:$C$117,3,TRUE),"")</f>
        <v/>
      </c>
      <c r="F229" s="14" t="str">
        <f>IF(ROW()&lt;=Results!$C$1+1,IF(E229&lt;=0,"",LN(E229)),"")</f>
        <v/>
      </c>
      <c r="G229" s="53" t="str">
        <f>IF(ROW()&lt;=Results!$C$1+1,IF(ISERROR(C229-F229),"",C229-F229),"")</f>
        <v/>
      </c>
    </row>
    <row r="230" spans="1:7" x14ac:dyDescent="0.25">
      <c r="A230" s="1" t="str">
        <f ca="1">IF(ROW()&lt;=Results!$C$1+1,INDEX(Data!$A:$A,CEILING((COUNTA(Data!$A:$A)-1)*RAND()+1,1)),"")</f>
        <v/>
      </c>
      <c r="B230" s="1" t="str">
        <f>IF(ROW()&lt;=Results!$C$1+1,VLOOKUP($A230,Data!$A$2:$C$117,2,TRUE),"")</f>
        <v/>
      </c>
      <c r="C230" s="14" t="str">
        <f>IF(ROW()&lt;=Results!$C$1+1,IF(B230&lt;=0,"",LN(B230)),"")</f>
        <v/>
      </c>
      <c r="D230" s="58" t="str">
        <f ca="1">IF(Results!$S$5,A230,IF(ROW()&lt;=Results!$C$1+1,INDEX(Data!$A:$A,CEILING((COUNTA(Data!$A:$A)-1)*RAND()+1,1)),""))</f>
        <v/>
      </c>
      <c r="E230" s="1" t="str">
        <f>IF(ROW()&lt;=Results!$C$1+1,VLOOKUP($D230,Data!$A$2:$C$117,3,TRUE),"")</f>
        <v/>
      </c>
      <c r="F230" s="14" t="str">
        <f>IF(ROW()&lt;=Results!$C$1+1,IF(E230&lt;=0,"",LN(E230)),"")</f>
        <v/>
      </c>
      <c r="G230" s="53" t="str">
        <f>IF(ROW()&lt;=Results!$C$1+1,IF(ISERROR(C230-F230),"",C230-F230),"")</f>
        <v/>
      </c>
    </row>
    <row r="231" spans="1:7" x14ac:dyDescent="0.25">
      <c r="A231" s="1" t="str">
        <f ca="1">IF(ROW()&lt;=Results!$C$1+1,INDEX(Data!$A:$A,CEILING((COUNTA(Data!$A:$A)-1)*RAND()+1,1)),"")</f>
        <v/>
      </c>
      <c r="B231" s="1" t="str">
        <f>IF(ROW()&lt;=Results!$C$1+1,VLOOKUP($A231,Data!$A$2:$C$117,2,TRUE),"")</f>
        <v/>
      </c>
      <c r="C231" s="14" t="str">
        <f>IF(ROW()&lt;=Results!$C$1+1,IF(B231&lt;=0,"",LN(B231)),"")</f>
        <v/>
      </c>
      <c r="D231" s="58" t="str">
        <f ca="1">IF(Results!$S$5,A231,IF(ROW()&lt;=Results!$C$1+1,INDEX(Data!$A:$A,CEILING((COUNTA(Data!$A:$A)-1)*RAND()+1,1)),""))</f>
        <v/>
      </c>
      <c r="E231" s="1" t="str">
        <f>IF(ROW()&lt;=Results!$C$1+1,VLOOKUP($D231,Data!$A$2:$C$117,3,TRUE),"")</f>
        <v/>
      </c>
      <c r="F231" s="14" t="str">
        <f>IF(ROW()&lt;=Results!$C$1+1,IF(E231&lt;=0,"",LN(E231)),"")</f>
        <v/>
      </c>
      <c r="G231" s="53" t="str">
        <f>IF(ROW()&lt;=Results!$C$1+1,IF(ISERROR(C231-F231),"",C231-F231),"")</f>
        <v/>
      </c>
    </row>
    <row r="232" spans="1:7" x14ac:dyDescent="0.25">
      <c r="A232" s="1" t="str">
        <f ca="1">IF(ROW()&lt;=Results!$C$1+1,INDEX(Data!$A:$A,CEILING((COUNTA(Data!$A:$A)-1)*RAND()+1,1)),"")</f>
        <v/>
      </c>
      <c r="B232" s="1" t="str">
        <f>IF(ROW()&lt;=Results!$C$1+1,VLOOKUP($A232,Data!$A$2:$C$117,2,TRUE),"")</f>
        <v/>
      </c>
      <c r="C232" s="14" t="str">
        <f>IF(ROW()&lt;=Results!$C$1+1,IF(B232&lt;=0,"",LN(B232)),"")</f>
        <v/>
      </c>
      <c r="D232" s="58" t="str">
        <f ca="1">IF(Results!$S$5,A232,IF(ROW()&lt;=Results!$C$1+1,INDEX(Data!$A:$A,CEILING((COUNTA(Data!$A:$A)-1)*RAND()+1,1)),""))</f>
        <v/>
      </c>
      <c r="E232" s="1" t="str">
        <f>IF(ROW()&lt;=Results!$C$1+1,VLOOKUP($D232,Data!$A$2:$C$117,3,TRUE),"")</f>
        <v/>
      </c>
      <c r="F232" s="14" t="str">
        <f>IF(ROW()&lt;=Results!$C$1+1,IF(E232&lt;=0,"",LN(E232)),"")</f>
        <v/>
      </c>
      <c r="G232" s="53" t="str">
        <f>IF(ROW()&lt;=Results!$C$1+1,IF(ISERROR(C232-F232),"",C232-F232),"")</f>
        <v/>
      </c>
    </row>
    <row r="233" spans="1:7" x14ac:dyDescent="0.25">
      <c r="A233" s="1" t="str">
        <f ca="1">IF(ROW()&lt;=Results!$C$1+1,INDEX(Data!$A:$A,CEILING((COUNTA(Data!$A:$A)-1)*RAND()+1,1)),"")</f>
        <v/>
      </c>
      <c r="B233" s="1" t="str">
        <f>IF(ROW()&lt;=Results!$C$1+1,VLOOKUP($A233,Data!$A$2:$C$117,2,TRUE),"")</f>
        <v/>
      </c>
      <c r="C233" s="14" t="str">
        <f>IF(ROW()&lt;=Results!$C$1+1,IF(B233&lt;=0,"",LN(B233)),"")</f>
        <v/>
      </c>
      <c r="D233" s="58" t="str">
        <f ca="1">IF(Results!$S$5,A233,IF(ROW()&lt;=Results!$C$1+1,INDEX(Data!$A:$A,CEILING((COUNTA(Data!$A:$A)-1)*RAND()+1,1)),""))</f>
        <v/>
      </c>
      <c r="E233" s="1" t="str">
        <f>IF(ROW()&lt;=Results!$C$1+1,VLOOKUP($D233,Data!$A$2:$C$117,3,TRUE),"")</f>
        <v/>
      </c>
      <c r="F233" s="14" t="str">
        <f>IF(ROW()&lt;=Results!$C$1+1,IF(E233&lt;=0,"",LN(E233)),"")</f>
        <v/>
      </c>
      <c r="G233" s="53" t="str">
        <f>IF(ROW()&lt;=Results!$C$1+1,IF(ISERROR(C233-F233),"",C233-F233),"")</f>
        <v/>
      </c>
    </row>
    <row r="234" spans="1:7" x14ac:dyDescent="0.25">
      <c r="A234" s="1" t="str">
        <f ca="1">IF(ROW()&lt;=Results!$C$1+1,INDEX(Data!$A:$A,CEILING((COUNTA(Data!$A:$A)-1)*RAND()+1,1)),"")</f>
        <v/>
      </c>
      <c r="B234" s="1" t="str">
        <f>IF(ROW()&lt;=Results!$C$1+1,VLOOKUP($A234,Data!$A$2:$C$117,2,TRUE),"")</f>
        <v/>
      </c>
      <c r="C234" s="14" t="str">
        <f>IF(ROW()&lt;=Results!$C$1+1,IF(B234&lt;=0,"",LN(B234)),"")</f>
        <v/>
      </c>
      <c r="D234" s="58" t="str">
        <f ca="1">IF(Results!$S$5,A234,IF(ROW()&lt;=Results!$C$1+1,INDEX(Data!$A:$A,CEILING((COUNTA(Data!$A:$A)-1)*RAND()+1,1)),""))</f>
        <v/>
      </c>
      <c r="E234" s="1" t="str">
        <f>IF(ROW()&lt;=Results!$C$1+1,VLOOKUP($D234,Data!$A$2:$C$117,3,TRUE),"")</f>
        <v/>
      </c>
      <c r="F234" s="14" t="str">
        <f>IF(ROW()&lt;=Results!$C$1+1,IF(E234&lt;=0,"",LN(E234)),"")</f>
        <v/>
      </c>
      <c r="G234" s="53" t="str">
        <f>IF(ROW()&lt;=Results!$C$1+1,IF(ISERROR(C234-F234),"",C234-F234),"")</f>
        <v/>
      </c>
    </row>
    <row r="235" spans="1:7" x14ac:dyDescent="0.25">
      <c r="A235" s="1" t="str">
        <f ca="1">IF(ROW()&lt;=Results!$C$1+1,INDEX(Data!$A:$A,CEILING((COUNTA(Data!$A:$A)-1)*RAND()+1,1)),"")</f>
        <v/>
      </c>
      <c r="B235" s="1" t="str">
        <f>IF(ROW()&lt;=Results!$C$1+1,VLOOKUP($A235,Data!$A$2:$C$117,2,TRUE),"")</f>
        <v/>
      </c>
      <c r="C235" s="14" t="str">
        <f>IF(ROW()&lt;=Results!$C$1+1,IF(B235&lt;=0,"",LN(B235)),"")</f>
        <v/>
      </c>
      <c r="D235" s="58" t="str">
        <f ca="1">IF(Results!$S$5,A235,IF(ROW()&lt;=Results!$C$1+1,INDEX(Data!$A:$A,CEILING((COUNTA(Data!$A:$A)-1)*RAND()+1,1)),""))</f>
        <v/>
      </c>
      <c r="E235" s="1" t="str">
        <f>IF(ROW()&lt;=Results!$C$1+1,VLOOKUP($D235,Data!$A$2:$C$117,3,TRUE),"")</f>
        <v/>
      </c>
      <c r="F235" s="14" t="str">
        <f>IF(ROW()&lt;=Results!$C$1+1,IF(E235&lt;=0,"",LN(E235)),"")</f>
        <v/>
      </c>
      <c r="G235" s="53" t="str">
        <f>IF(ROW()&lt;=Results!$C$1+1,IF(ISERROR(C235-F235),"",C235-F235),"")</f>
        <v/>
      </c>
    </row>
    <row r="236" spans="1:7" x14ac:dyDescent="0.25">
      <c r="A236" s="1" t="str">
        <f ca="1">IF(ROW()&lt;=Results!$C$1+1,INDEX(Data!$A:$A,CEILING((COUNTA(Data!$A:$A)-1)*RAND()+1,1)),"")</f>
        <v/>
      </c>
      <c r="B236" s="1" t="str">
        <f>IF(ROW()&lt;=Results!$C$1+1,VLOOKUP($A236,Data!$A$2:$C$117,2,TRUE),"")</f>
        <v/>
      </c>
      <c r="C236" s="14" t="str">
        <f>IF(ROW()&lt;=Results!$C$1+1,IF(B236&lt;=0,"",LN(B236)),"")</f>
        <v/>
      </c>
      <c r="D236" s="58" t="str">
        <f ca="1">IF(Results!$S$5,A236,IF(ROW()&lt;=Results!$C$1+1,INDEX(Data!$A:$A,CEILING((COUNTA(Data!$A:$A)-1)*RAND()+1,1)),""))</f>
        <v/>
      </c>
      <c r="E236" s="1" t="str">
        <f>IF(ROW()&lt;=Results!$C$1+1,VLOOKUP($D236,Data!$A$2:$C$117,3,TRUE),"")</f>
        <v/>
      </c>
      <c r="F236" s="14" t="str">
        <f>IF(ROW()&lt;=Results!$C$1+1,IF(E236&lt;=0,"",LN(E236)),"")</f>
        <v/>
      </c>
      <c r="G236" s="53" t="str">
        <f>IF(ROW()&lt;=Results!$C$1+1,IF(ISERROR(C236-F236),"",C236-F236),"")</f>
        <v/>
      </c>
    </row>
    <row r="237" spans="1:7" x14ac:dyDescent="0.25">
      <c r="A237" s="1" t="str">
        <f ca="1">IF(ROW()&lt;=Results!$C$1+1,INDEX(Data!$A:$A,CEILING((COUNTA(Data!$A:$A)-1)*RAND()+1,1)),"")</f>
        <v/>
      </c>
      <c r="B237" s="1" t="str">
        <f>IF(ROW()&lt;=Results!$C$1+1,VLOOKUP($A237,Data!$A$2:$C$117,2,TRUE),"")</f>
        <v/>
      </c>
      <c r="C237" s="14" t="str">
        <f>IF(ROW()&lt;=Results!$C$1+1,IF(B237&lt;=0,"",LN(B237)),"")</f>
        <v/>
      </c>
      <c r="D237" s="58" t="str">
        <f ca="1">IF(Results!$S$5,A237,IF(ROW()&lt;=Results!$C$1+1,INDEX(Data!$A:$A,CEILING((COUNTA(Data!$A:$A)-1)*RAND()+1,1)),""))</f>
        <v/>
      </c>
      <c r="E237" s="1" t="str">
        <f>IF(ROW()&lt;=Results!$C$1+1,VLOOKUP($D237,Data!$A$2:$C$117,3,TRUE),"")</f>
        <v/>
      </c>
      <c r="F237" s="14" t="str">
        <f>IF(ROW()&lt;=Results!$C$1+1,IF(E237&lt;=0,"",LN(E237)),"")</f>
        <v/>
      </c>
      <c r="G237" s="53" t="str">
        <f>IF(ROW()&lt;=Results!$C$1+1,IF(ISERROR(C237-F237),"",C237-F237),"")</f>
        <v/>
      </c>
    </row>
    <row r="238" spans="1:7" x14ac:dyDescent="0.25">
      <c r="A238" s="1" t="str">
        <f ca="1">IF(ROW()&lt;=Results!$C$1+1,INDEX(Data!$A:$A,CEILING((COUNTA(Data!$A:$A)-1)*RAND()+1,1)),"")</f>
        <v/>
      </c>
      <c r="B238" s="1" t="str">
        <f>IF(ROW()&lt;=Results!$C$1+1,VLOOKUP($A238,Data!$A$2:$C$117,2,TRUE),"")</f>
        <v/>
      </c>
      <c r="C238" s="14" t="str">
        <f>IF(ROW()&lt;=Results!$C$1+1,IF(B238&lt;=0,"",LN(B238)),"")</f>
        <v/>
      </c>
      <c r="D238" s="58" t="str">
        <f ca="1">IF(Results!$S$5,A238,IF(ROW()&lt;=Results!$C$1+1,INDEX(Data!$A:$A,CEILING((COUNTA(Data!$A:$A)-1)*RAND()+1,1)),""))</f>
        <v/>
      </c>
      <c r="E238" s="1" t="str">
        <f>IF(ROW()&lt;=Results!$C$1+1,VLOOKUP($D238,Data!$A$2:$C$117,3,TRUE),"")</f>
        <v/>
      </c>
      <c r="F238" s="14" t="str">
        <f>IF(ROW()&lt;=Results!$C$1+1,IF(E238&lt;=0,"",LN(E238)),"")</f>
        <v/>
      </c>
      <c r="G238" s="53" t="str">
        <f>IF(ROW()&lt;=Results!$C$1+1,IF(ISERROR(C238-F238),"",C238-F238),"")</f>
        <v/>
      </c>
    </row>
    <row r="239" spans="1:7" x14ac:dyDescent="0.25">
      <c r="A239" s="1" t="str">
        <f ca="1">IF(ROW()&lt;=Results!$C$1+1,INDEX(Data!$A:$A,CEILING((COUNTA(Data!$A:$A)-1)*RAND()+1,1)),"")</f>
        <v/>
      </c>
      <c r="B239" s="1" t="str">
        <f>IF(ROW()&lt;=Results!$C$1+1,VLOOKUP($A239,Data!$A$2:$C$117,2,TRUE),"")</f>
        <v/>
      </c>
      <c r="C239" s="14" t="str">
        <f>IF(ROW()&lt;=Results!$C$1+1,IF(B239&lt;=0,"",LN(B239)),"")</f>
        <v/>
      </c>
      <c r="D239" s="58" t="str">
        <f ca="1">IF(Results!$S$5,A239,IF(ROW()&lt;=Results!$C$1+1,INDEX(Data!$A:$A,CEILING((COUNTA(Data!$A:$A)-1)*RAND()+1,1)),""))</f>
        <v/>
      </c>
      <c r="E239" s="1" t="str">
        <f>IF(ROW()&lt;=Results!$C$1+1,VLOOKUP($D239,Data!$A$2:$C$117,3,TRUE),"")</f>
        <v/>
      </c>
      <c r="F239" s="14" t="str">
        <f>IF(ROW()&lt;=Results!$C$1+1,IF(E239&lt;=0,"",LN(E239)),"")</f>
        <v/>
      </c>
      <c r="G239" s="53" t="str">
        <f>IF(ROW()&lt;=Results!$C$1+1,IF(ISERROR(C239-F239),"",C239-F239),"")</f>
        <v/>
      </c>
    </row>
    <row r="240" spans="1:7" x14ac:dyDescent="0.25">
      <c r="A240" s="1" t="str">
        <f ca="1">IF(ROW()&lt;=Results!$C$1+1,INDEX(Data!$A:$A,CEILING((COUNTA(Data!$A:$A)-1)*RAND()+1,1)),"")</f>
        <v/>
      </c>
      <c r="B240" s="1" t="str">
        <f>IF(ROW()&lt;=Results!$C$1+1,VLOOKUP($A240,Data!$A$2:$C$117,2,TRUE),"")</f>
        <v/>
      </c>
      <c r="C240" s="14" t="str">
        <f>IF(ROW()&lt;=Results!$C$1+1,IF(B240&lt;=0,"",LN(B240)),"")</f>
        <v/>
      </c>
      <c r="D240" s="58" t="str">
        <f ca="1">IF(Results!$S$5,A240,IF(ROW()&lt;=Results!$C$1+1,INDEX(Data!$A:$A,CEILING((COUNTA(Data!$A:$A)-1)*RAND()+1,1)),""))</f>
        <v/>
      </c>
      <c r="E240" s="1" t="str">
        <f>IF(ROW()&lt;=Results!$C$1+1,VLOOKUP($D240,Data!$A$2:$C$117,3,TRUE),"")</f>
        <v/>
      </c>
      <c r="F240" s="14" t="str">
        <f>IF(ROW()&lt;=Results!$C$1+1,IF(E240&lt;=0,"",LN(E240)),"")</f>
        <v/>
      </c>
      <c r="G240" s="53" t="str">
        <f>IF(ROW()&lt;=Results!$C$1+1,IF(ISERROR(C240-F240),"",C240-F240),"")</f>
        <v/>
      </c>
    </row>
    <row r="241" spans="1:7" x14ac:dyDescent="0.25">
      <c r="A241" s="1" t="str">
        <f ca="1">IF(ROW()&lt;=Results!$C$1+1,INDEX(Data!$A:$A,CEILING((COUNTA(Data!$A:$A)-1)*RAND()+1,1)),"")</f>
        <v/>
      </c>
      <c r="B241" s="1" t="str">
        <f>IF(ROW()&lt;=Results!$C$1+1,VLOOKUP($A241,Data!$A$2:$C$117,2,TRUE),"")</f>
        <v/>
      </c>
      <c r="C241" s="14" t="str">
        <f>IF(ROW()&lt;=Results!$C$1+1,IF(B241&lt;=0,"",LN(B241)),"")</f>
        <v/>
      </c>
      <c r="D241" s="58" t="str">
        <f ca="1">IF(Results!$S$5,A241,IF(ROW()&lt;=Results!$C$1+1,INDEX(Data!$A:$A,CEILING((COUNTA(Data!$A:$A)-1)*RAND()+1,1)),""))</f>
        <v/>
      </c>
      <c r="E241" s="1" t="str">
        <f>IF(ROW()&lt;=Results!$C$1+1,VLOOKUP($D241,Data!$A$2:$C$117,3,TRUE),"")</f>
        <v/>
      </c>
      <c r="F241" s="14" t="str">
        <f>IF(ROW()&lt;=Results!$C$1+1,IF(E241&lt;=0,"",LN(E241)),"")</f>
        <v/>
      </c>
      <c r="G241" s="53" t="str">
        <f>IF(ROW()&lt;=Results!$C$1+1,IF(ISERROR(C241-F241),"",C241-F241),"")</f>
        <v/>
      </c>
    </row>
    <row r="242" spans="1:7" x14ac:dyDescent="0.25">
      <c r="A242" s="1" t="str">
        <f ca="1">IF(ROW()&lt;=Results!$C$1+1,INDEX(Data!$A:$A,CEILING((COUNTA(Data!$A:$A)-1)*RAND()+1,1)),"")</f>
        <v/>
      </c>
      <c r="B242" s="1" t="str">
        <f>IF(ROW()&lt;=Results!$C$1+1,VLOOKUP($A242,Data!$A$2:$C$117,2,TRUE),"")</f>
        <v/>
      </c>
      <c r="C242" s="14" t="str">
        <f>IF(ROW()&lt;=Results!$C$1+1,IF(B242&lt;=0,"",LN(B242)),"")</f>
        <v/>
      </c>
      <c r="D242" s="58" t="str">
        <f ca="1">IF(Results!$S$5,A242,IF(ROW()&lt;=Results!$C$1+1,INDEX(Data!$A:$A,CEILING((COUNTA(Data!$A:$A)-1)*RAND()+1,1)),""))</f>
        <v/>
      </c>
      <c r="E242" s="1" t="str">
        <f>IF(ROW()&lt;=Results!$C$1+1,VLOOKUP($D242,Data!$A$2:$C$117,3,TRUE),"")</f>
        <v/>
      </c>
      <c r="F242" s="14" t="str">
        <f>IF(ROW()&lt;=Results!$C$1+1,IF(E242&lt;=0,"",LN(E242)),"")</f>
        <v/>
      </c>
      <c r="G242" s="53" t="str">
        <f>IF(ROW()&lt;=Results!$C$1+1,IF(ISERROR(C242-F242),"",C242-F242),"")</f>
        <v/>
      </c>
    </row>
    <row r="243" spans="1:7" x14ac:dyDescent="0.25">
      <c r="A243" s="1" t="str">
        <f ca="1">IF(ROW()&lt;=Results!$C$1+1,INDEX(Data!$A:$A,CEILING((COUNTA(Data!$A:$A)-1)*RAND()+1,1)),"")</f>
        <v/>
      </c>
      <c r="B243" s="1" t="str">
        <f>IF(ROW()&lt;=Results!$C$1+1,VLOOKUP($A243,Data!$A$2:$C$117,2,TRUE),"")</f>
        <v/>
      </c>
      <c r="C243" s="14" t="str">
        <f>IF(ROW()&lt;=Results!$C$1+1,IF(B243&lt;=0,"",LN(B243)),"")</f>
        <v/>
      </c>
      <c r="D243" s="58" t="str">
        <f ca="1">IF(Results!$S$5,A243,IF(ROW()&lt;=Results!$C$1+1,INDEX(Data!$A:$A,CEILING((COUNTA(Data!$A:$A)-1)*RAND()+1,1)),""))</f>
        <v/>
      </c>
      <c r="E243" s="1" t="str">
        <f>IF(ROW()&lt;=Results!$C$1+1,VLOOKUP($D243,Data!$A$2:$C$117,3,TRUE),"")</f>
        <v/>
      </c>
      <c r="F243" s="14" t="str">
        <f>IF(ROW()&lt;=Results!$C$1+1,IF(E243&lt;=0,"",LN(E243)),"")</f>
        <v/>
      </c>
      <c r="G243" s="53" t="str">
        <f>IF(ROW()&lt;=Results!$C$1+1,IF(ISERROR(C243-F243),"",C243-F243),"")</f>
        <v/>
      </c>
    </row>
    <row r="244" spans="1:7" x14ac:dyDescent="0.25">
      <c r="A244" s="1" t="str">
        <f ca="1">IF(ROW()&lt;=Results!$C$1+1,INDEX(Data!$A:$A,CEILING((COUNTA(Data!$A:$A)-1)*RAND()+1,1)),"")</f>
        <v/>
      </c>
      <c r="B244" s="1" t="str">
        <f>IF(ROW()&lt;=Results!$C$1+1,VLOOKUP($A244,Data!$A$2:$C$117,2,TRUE),"")</f>
        <v/>
      </c>
      <c r="C244" s="14" t="str">
        <f>IF(ROW()&lt;=Results!$C$1+1,IF(B244&lt;=0,"",LN(B244)),"")</f>
        <v/>
      </c>
      <c r="D244" s="58" t="str">
        <f ca="1">IF(Results!$S$5,A244,IF(ROW()&lt;=Results!$C$1+1,INDEX(Data!$A:$A,CEILING((COUNTA(Data!$A:$A)-1)*RAND()+1,1)),""))</f>
        <v/>
      </c>
      <c r="E244" s="1" t="str">
        <f>IF(ROW()&lt;=Results!$C$1+1,VLOOKUP($D244,Data!$A$2:$C$117,3,TRUE),"")</f>
        <v/>
      </c>
      <c r="F244" s="14" t="str">
        <f>IF(ROW()&lt;=Results!$C$1+1,IF(E244&lt;=0,"",LN(E244)),"")</f>
        <v/>
      </c>
      <c r="G244" s="53" t="str">
        <f>IF(ROW()&lt;=Results!$C$1+1,IF(ISERROR(C244-F244),"",C244-F244),"")</f>
        <v/>
      </c>
    </row>
    <row r="245" spans="1:7" x14ac:dyDescent="0.25">
      <c r="A245" s="1" t="str">
        <f ca="1">IF(ROW()&lt;=Results!$C$1+1,INDEX(Data!$A:$A,CEILING((COUNTA(Data!$A:$A)-1)*RAND()+1,1)),"")</f>
        <v/>
      </c>
      <c r="B245" s="1" t="str">
        <f>IF(ROW()&lt;=Results!$C$1+1,VLOOKUP($A245,Data!$A$2:$C$117,2,TRUE),"")</f>
        <v/>
      </c>
      <c r="C245" s="14" t="str">
        <f>IF(ROW()&lt;=Results!$C$1+1,IF(B245&lt;=0,"",LN(B245)),"")</f>
        <v/>
      </c>
      <c r="D245" s="58" t="str">
        <f ca="1">IF(Results!$S$5,A245,IF(ROW()&lt;=Results!$C$1+1,INDEX(Data!$A:$A,CEILING((COUNTA(Data!$A:$A)-1)*RAND()+1,1)),""))</f>
        <v/>
      </c>
      <c r="E245" s="1" t="str">
        <f>IF(ROW()&lt;=Results!$C$1+1,VLOOKUP($D245,Data!$A$2:$C$117,3,TRUE),"")</f>
        <v/>
      </c>
      <c r="F245" s="14" t="str">
        <f>IF(ROW()&lt;=Results!$C$1+1,IF(E245&lt;=0,"",LN(E245)),"")</f>
        <v/>
      </c>
      <c r="G245" s="53" t="str">
        <f>IF(ROW()&lt;=Results!$C$1+1,IF(ISERROR(C245-F245),"",C245-F245),"")</f>
        <v/>
      </c>
    </row>
    <row r="246" spans="1:7" x14ac:dyDescent="0.25">
      <c r="A246" s="1" t="str">
        <f ca="1">IF(ROW()&lt;=Results!$C$1+1,INDEX(Data!$A:$A,CEILING((COUNTA(Data!$A:$A)-1)*RAND()+1,1)),"")</f>
        <v/>
      </c>
      <c r="B246" s="1" t="str">
        <f>IF(ROW()&lt;=Results!$C$1+1,VLOOKUP($A246,Data!$A$2:$C$117,2,TRUE),"")</f>
        <v/>
      </c>
      <c r="C246" s="14" t="str">
        <f>IF(ROW()&lt;=Results!$C$1+1,IF(B246&lt;=0,"",LN(B246)),"")</f>
        <v/>
      </c>
      <c r="D246" s="58" t="str">
        <f ca="1">IF(Results!$S$5,A246,IF(ROW()&lt;=Results!$C$1+1,INDEX(Data!$A:$A,CEILING((COUNTA(Data!$A:$A)-1)*RAND()+1,1)),""))</f>
        <v/>
      </c>
      <c r="E246" s="1" t="str">
        <f>IF(ROW()&lt;=Results!$C$1+1,VLOOKUP($D246,Data!$A$2:$C$117,3,TRUE),"")</f>
        <v/>
      </c>
      <c r="F246" s="14" t="str">
        <f>IF(ROW()&lt;=Results!$C$1+1,IF(E246&lt;=0,"",LN(E246)),"")</f>
        <v/>
      </c>
      <c r="G246" s="53" t="str">
        <f>IF(ROW()&lt;=Results!$C$1+1,IF(ISERROR(C246-F246),"",C246-F246),"")</f>
        <v/>
      </c>
    </row>
    <row r="247" spans="1:7" x14ac:dyDescent="0.25">
      <c r="A247" s="1" t="str">
        <f ca="1">IF(ROW()&lt;=Results!$C$1+1,INDEX(Data!$A:$A,CEILING((COUNTA(Data!$A:$A)-1)*RAND()+1,1)),"")</f>
        <v/>
      </c>
      <c r="B247" s="1" t="str">
        <f>IF(ROW()&lt;=Results!$C$1+1,VLOOKUP($A247,Data!$A$2:$C$117,2,TRUE),"")</f>
        <v/>
      </c>
      <c r="C247" s="14" t="str">
        <f>IF(ROW()&lt;=Results!$C$1+1,IF(B247&lt;=0,"",LN(B247)),"")</f>
        <v/>
      </c>
      <c r="D247" s="58" t="str">
        <f ca="1">IF(Results!$S$5,A247,IF(ROW()&lt;=Results!$C$1+1,INDEX(Data!$A:$A,CEILING((COUNTA(Data!$A:$A)-1)*RAND()+1,1)),""))</f>
        <v/>
      </c>
      <c r="E247" s="1" t="str">
        <f>IF(ROW()&lt;=Results!$C$1+1,VLOOKUP($D247,Data!$A$2:$C$117,3,TRUE),"")</f>
        <v/>
      </c>
      <c r="F247" s="14" t="str">
        <f>IF(ROW()&lt;=Results!$C$1+1,IF(E247&lt;=0,"",LN(E247)),"")</f>
        <v/>
      </c>
      <c r="G247" s="53" t="str">
        <f>IF(ROW()&lt;=Results!$C$1+1,IF(ISERROR(C247-F247),"",C247-F247),"")</f>
        <v/>
      </c>
    </row>
    <row r="248" spans="1:7" x14ac:dyDescent="0.25">
      <c r="A248" s="1" t="str">
        <f ca="1">IF(ROW()&lt;=Results!$C$1+1,INDEX(Data!$A:$A,CEILING((COUNTA(Data!$A:$A)-1)*RAND()+1,1)),"")</f>
        <v/>
      </c>
      <c r="B248" s="1" t="str">
        <f>IF(ROW()&lt;=Results!$C$1+1,VLOOKUP($A248,Data!$A$2:$C$117,2,TRUE),"")</f>
        <v/>
      </c>
      <c r="C248" s="14" t="str">
        <f>IF(ROW()&lt;=Results!$C$1+1,IF(B248&lt;=0,"",LN(B248)),"")</f>
        <v/>
      </c>
      <c r="D248" s="58" t="str">
        <f ca="1">IF(Results!$S$5,A248,IF(ROW()&lt;=Results!$C$1+1,INDEX(Data!$A:$A,CEILING((COUNTA(Data!$A:$A)-1)*RAND()+1,1)),""))</f>
        <v/>
      </c>
      <c r="E248" s="1" t="str">
        <f>IF(ROW()&lt;=Results!$C$1+1,VLOOKUP($D248,Data!$A$2:$C$117,3,TRUE),"")</f>
        <v/>
      </c>
      <c r="F248" s="14" t="str">
        <f>IF(ROW()&lt;=Results!$C$1+1,IF(E248&lt;=0,"",LN(E248)),"")</f>
        <v/>
      </c>
      <c r="G248" s="53" t="str">
        <f>IF(ROW()&lt;=Results!$C$1+1,IF(ISERROR(C248-F248),"",C248-F248),"")</f>
        <v/>
      </c>
    </row>
    <row r="249" spans="1:7" x14ac:dyDescent="0.25">
      <c r="A249" s="1" t="str">
        <f ca="1">IF(ROW()&lt;=Results!$C$1+1,INDEX(Data!$A:$A,CEILING((COUNTA(Data!$A:$A)-1)*RAND()+1,1)),"")</f>
        <v/>
      </c>
      <c r="B249" s="1" t="str">
        <f>IF(ROW()&lt;=Results!$C$1+1,VLOOKUP($A249,Data!$A$2:$C$117,2,TRUE),"")</f>
        <v/>
      </c>
      <c r="C249" s="14" t="str">
        <f>IF(ROW()&lt;=Results!$C$1+1,IF(B249&lt;=0,"",LN(B249)),"")</f>
        <v/>
      </c>
      <c r="D249" s="58" t="str">
        <f ca="1">IF(Results!$S$5,A249,IF(ROW()&lt;=Results!$C$1+1,INDEX(Data!$A:$A,CEILING((COUNTA(Data!$A:$A)-1)*RAND()+1,1)),""))</f>
        <v/>
      </c>
      <c r="E249" s="1" t="str">
        <f>IF(ROW()&lt;=Results!$C$1+1,VLOOKUP($D249,Data!$A$2:$C$117,3,TRUE),"")</f>
        <v/>
      </c>
      <c r="F249" s="14" t="str">
        <f>IF(ROW()&lt;=Results!$C$1+1,IF(E249&lt;=0,"",LN(E249)),"")</f>
        <v/>
      </c>
      <c r="G249" s="53" t="str">
        <f>IF(ROW()&lt;=Results!$C$1+1,IF(ISERROR(C249-F249),"",C249-F249),"")</f>
        <v/>
      </c>
    </row>
    <row r="250" spans="1:7" x14ac:dyDescent="0.25">
      <c r="A250" s="1" t="str">
        <f ca="1">IF(ROW()&lt;=Results!$C$1+1,INDEX(Data!$A:$A,CEILING((COUNTA(Data!$A:$A)-1)*RAND()+1,1)),"")</f>
        <v/>
      </c>
      <c r="B250" s="1" t="str">
        <f>IF(ROW()&lt;=Results!$C$1+1,VLOOKUP($A250,Data!$A$2:$C$117,2,TRUE),"")</f>
        <v/>
      </c>
      <c r="C250" s="14" t="str">
        <f>IF(ROW()&lt;=Results!$C$1+1,IF(B250&lt;=0,"",LN(B250)),"")</f>
        <v/>
      </c>
      <c r="D250" s="58" t="str">
        <f ca="1">IF(Results!$S$5,A250,IF(ROW()&lt;=Results!$C$1+1,INDEX(Data!$A:$A,CEILING((COUNTA(Data!$A:$A)-1)*RAND()+1,1)),""))</f>
        <v/>
      </c>
      <c r="E250" s="1" t="str">
        <f>IF(ROW()&lt;=Results!$C$1+1,VLOOKUP($D250,Data!$A$2:$C$117,3,TRUE),"")</f>
        <v/>
      </c>
      <c r="F250" s="14" t="str">
        <f>IF(ROW()&lt;=Results!$C$1+1,IF(E250&lt;=0,"",LN(E250)),"")</f>
        <v/>
      </c>
      <c r="G250" s="53" t="str">
        <f>IF(ROW()&lt;=Results!$C$1+1,IF(ISERROR(C250-F250),"",C250-F250),"")</f>
        <v/>
      </c>
    </row>
    <row r="251" spans="1:7" x14ac:dyDescent="0.25">
      <c r="A251" s="1" t="str">
        <f ca="1">IF(ROW()&lt;=Results!$C$1+1,INDEX(Data!$A:$A,CEILING((COUNTA(Data!$A:$A)-1)*RAND()+1,1)),"")</f>
        <v/>
      </c>
      <c r="B251" s="1" t="str">
        <f>IF(ROW()&lt;=Results!$C$1+1,VLOOKUP($A251,Data!$A$2:$C$117,2,TRUE),"")</f>
        <v/>
      </c>
      <c r="C251" s="14" t="str">
        <f>IF(ROW()&lt;=Results!$C$1+1,IF(B251&lt;=0,"",LN(B251)),"")</f>
        <v/>
      </c>
      <c r="D251" s="58" t="str">
        <f ca="1">IF(Results!$S$5,A251,IF(ROW()&lt;=Results!$C$1+1,INDEX(Data!$A:$A,CEILING((COUNTA(Data!$A:$A)-1)*RAND()+1,1)),""))</f>
        <v/>
      </c>
      <c r="E251" s="1" t="str">
        <f>IF(ROW()&lt;=Results!$C$1+1,VLOOKUP($D251,Data!$A$2:$C$117,3,TRUE),"")</f>
        <v/>
      </c>
      <c r="F251" s="14" t="str">
        <f>IF(ROW()&lt;=Results!$C$1+1,IF(E251&lt;=0,"",LN(E251)),"")</f>
        <v/>
      </c>
      <c r="G251" s="53" t="str">
        <f>IF(ROW()&lt;=Results!$C$1+1,IF(ISERROR(C251-F251),"",C251-F251),"")</f>
        <v/>
      </c>
    </row>
    <row r="252" spans="1:7" x14ac:dyDescent="0.25">
      <c r="A252" s="1" t="str">
        <f ca="1">IF(ROW()&lt;=Results!$C$1+1,INDEX(Data!$A:$A,CEILING((COUNTA(Data!$A:$A)-1)*RAND()+1,1)),"")</f>
        <v/>
      </c>
      <c r="B252" s="1" t="str">
        <f>IF(ROW()&lt;=Results!$C$1+1,VLOOKUP($A252,Data!$A$2:$C$117,2,TRUE),"")</f>
        <v/>
      </c>
      <c r="C252" s="14" t="str">
        <f>IF(ROW()&lt;=Results!$C$1+1,IF(B252&lt;=0,"",LN(B252)),"")</f>
        <v/>
      </c>
      <c r="D252" s="58" t="str">
        <f ca="1">IF(Results!$S$5,A252,IF(ROW()&lt;=Results!$C$1+1,INDEX(Data!$A:$A,CEILING((COUNTA(Data!$A:$A)-1)*RAND()+1,1)),""))</f>
        <v/>
      </c>
      <c r="E252" s="1" t="str">
        <f>IF(ROW()&lt;=Results!$C$1+1,VLOOKUP($D252,Data!$A$2:$C$117,3,TRUE),"")</f>
        <v/>
      </c>
      <c r="F252" s="14" t="str">
        <f>IF(ROW()&lt;=Results!$C$1+1,IF(E252&lt;=0,"",LN(E252)),"")</f>
        <v/>
      </c>
      <c r="G252" s="53" t="str">
        <f>IF(ROW()&lt;=Results!$C$1+1,IF(ISERROR(C252-F252),"",C252-F252),"")</f>
        <v/>
      </c>
    </row>
    <row r="253" spans="1:7" x14ac:dyDescent="0.25">
      <c r="A253" s="1" t="str">
        <f ca="1">IF(ROW()&lt;=Results!$C$1+1,INDEX(Data!$A:$A,CEILING((COUNTA(Data!$A:$A)-1)*RAND()+1,1)),"")</f>
        <v/>
      </c>
      <c r="B253" s="1" t="str">
        <f>IF(ROW()&lt;=Results!$C$1+1,VLOOKUP($A253,Data!$A$2:$C$117,2,TRUE),"")</f>
        <v/>
      </c>
      <c r="C253" s="14" t="str">
        <f>IF(ROW()&lt;=Results!$C$1+1,IF(B253&lt;=0,"",LN(B253)),"")</f>
        <v/>
      </c>
      <c r="D253" s="58" t="str">
        <f ca="1">IF(Results!$S$5,A253,IF(ROW()&lt;=Results!$C$1+1,INDEX(Data!$A:$A,CEILING((COUNTA(Data!$A:$A)-1)*RAND()+1,1)),""))</f>
        <v/>
      </c>
      <c r="E253" s="1" t="str">
        <f>IF(ROW()&lt;=Results!$C$1+1,VLOOKUP($D253,Data!$A$2:$C$117,3,TRUE),"")</f>
        <v/>
      </c>
      <c r="F253" s="14" t="str">
        <f>IF(ROW()&lt;=Results!$C$1+1,IF(E253&lt;=0,"",LN(E253)),"")</f>
        <v/>
      </c>
      <c r="G253" s="53" t="str">
        <f>IF(ROW()&lt;=Results!$C$1+1,IF(ISERROR(C253-F253),"",C253-F253),"")</f>
        <v/>
      </c>
    </row>
    <row r="254" spans="1:7" x14ac:dyDescent="0.25">
      <c r="A254" s="1" t="str">
        <f ca="1">IF(ROW()&lt;=Results!$C$1+1,INDEX(Data!$A:$A,CEILING((COUNTA(Data!$A:$A)-1)*RAND()+1,1)),"")</f>
        <v/>
      </c>
      <c r="B254" s="1" t="str">
        <f>IF(ROW()&lt;=Results!$C$1+1,VLOOKUP($A254,Data!$A$2:$C$117,2,TRUE),"")</f>
        <v/>
      </c>
      <c r="C254" s="14" t="str">
        <f>IF(ROW()&lt;=Results!$C$1+1,IF(B254&lt;=0,"",LN(B254)),"")</f>
        <v/>
      </c>
      <c r="D254" s="58" t="str">
        <f ca="1">IF(Results!$S$5,A254,IF(ROW()&lt;=Results!$C$1+1,INDEX(Data!$A:$A,CEILING((COUNTA(Data!$A:$A)-1)*RAND()+1,1)),""))</f>
        <v/>
      </c>
      <c r="E254" s="1" t="str">
        <f>IF(ROW()&lt;=Results!$C$1+1,VLOOKUP($D254,Data!$A$2:$C$117,3,TRUE),"")</f>
        <v/>
      </c>
      <c r="F254" s="14" t="str">
        <f>IF(ROW()&lt;=Results!$C$1+1,IF(E254&lt;=0,"",LN(E254)),"")</f>
        <v/>
      </c>
      <c r="G254" s="53" t="str">
        <f>IF(ROW()&lt;=Results!$C$1+1,IF(ISERROR(C254-F254),"",C254-F254),"")</f>
        <v/>
      </c>
    </row>
    <row r="255" spans="1:7" x14ac:dyDescent="0.25">
      <c r="A255" s="1" t="str">
        <f ca="1">IF(ROW()&lt;=Results!$C$1+1,INDEX(Data!$A:$A,CEILING((COUNTA(Data!$A:$A)-1)*RAND()+1,1)),"")</f>
        <v/>
      </c>
      <c r="B255" s="1" t="str">
        <f>IF(ROW()&lt;=Results!$C$1+1,VLOOKUP($A255,Data!$A$2:$C$117,2,TRUE),"")</f>
        <v/>
      </c>
      <c r="C255" s="14" t="str">
        <f>IF(ROW()&lt;=Results!$C$1+1,IF(B255&lt;=0,"",LN(B255)),"")</f>
        <v/>
      </c>
      <c r="D255" s="58" t="str">
        <f ca="1">IF(Results!$S$5,A255,IF(ROW()&lt;=Results!$C$1+1,INDEX(Data!$A:$A,CEILING((COUNTA(Data!$A:$A)-1)*RAND()+1,1)),""))</f>
        <v/>
      </c>
      <c r="E255" s="1" t="str">
        <f>IF(ROW()&lt;=Results!$C$1+1,VLOOKUP($D255,Data!$A$2:$C$117,3,TRUE),"")</f>
        <v/>
      </c>
      <c r="F255" s="14" t="str">
        <f>IF(ROW()&lt;=Results!$C$1+1,IF(E255&lt;=0,"",LN(E255)),"")</f>
        <v/>
      </c>
      <c r="G255" s="53" t="str">
        <f>IF(ROW()&lt;=Results!$C$1+1,IF(ISERROR(C255-F255),"",C255-F255),"")</f>
        <v/>
      </c>
    </row>
    <row r="256" spans="1:7" x14ac:dyDescent="0.25">
      <c r="A256" s="1" t="str">
        <f ca="1">IF(ROW()&lt;=Results!$C$1+1,INDEX(Data!$A:$A,CEILING((COUNTA(Data!$A:$A)-1)*RAND()+1,1)),"")</f>
        <v/>
      </c>
      <c r="B256" s="1" t="str">
        <f>IF(ROW()&lt;=Results!$C$1+1,VLOOKUP($A256,Data!$A$2:$C$117,2,TRUE),"")</f>
        <v/>
      </c>
      <c r="C256" s="14" t="str">
        <f>IF(ROW()&lt;=Results!$C$1+1,IF(B256&lt;=0,"",LN(B256)),"")</f>
        <v/>
      </c>
      <c r="D256" s="58" t="str">
        <f ca="1">IF(Results!$S$5,A256,IF(ROW()&lt;=Results!$C$1+1,INDEX(Data!$A:$A,CEILING((COUNTA(Data!$A:$A)-1)*RAND()+1,1)),""))</f>
        <v/>
      </c>
      <c r="E256" s="1" t="str">
        <f>IF(ROW()&lt;=Results!$C$1+1,VLOOKUP($D256,Data!$A$2:$C$117,3,TRUE),"")</f>
        <v/>
      </c>
      <c r="F256" s="14" t="str">
        <f>IF(ROW()&lt;=Results!$C$1+1,IF(E256&lt;=0,"",LN(E256)),"")</f>
        <v/>
      </c>
      <c r="G256" s="53" t="str">
        <f>IF(ROW()&lt;=Results!$C$1+1,IF(ISERROR(C256-F256),"",C256-F256),"")</f>
        <v/>
      </c>
    </row>
    <row r="257" spans="1:7" x14ac:dyDescent="0.25">
      <c r="A257" s="1" t="str">
        <f ca="1">IF(ROW()&lt;=Results!$C$1+1,INDEX(Data!$A:$A,CEILING((COUNTA(Data!$A:$A)-1)*RAND()+1,1)),"")</f>
        <v/>
      </c>
      <c r="B257" s="1" t="str">
        <f>IF(ROW()&lt;=Results!$C$1+1,VLOOKUP($A257,Data!$A$2:$C$117,2,TRUE),"")</f>
        <v/>
      </c>
      <c r="C257" s="14" t="str">
        <f>IF(ROW()&lt;=Results!$C$1+1,IF(B257&lt;=0,"",LN(B257)),"")</f>
        <v/>
      </c>
      <c r="D257" s="58" t="str">
        <f ca="1">IF(Results!$S$5,A257,IF(ROW()&lt;=Results!$C$1+1,INDEX(Data!$A:$A,CEILING((COUNTA(Data!$A:$A)-1)*RAND()+1,1)),""))</f>
        <v/>
      </c>
      <c r="E257" s="1" t="str">
        <f>IF(ROW()&lt;=Results!$C$1+1,VLOOKUP($D257,Data!$A$2:$C$117,3,TRUE),"")</f>
        <v/>
      </c>
      <c r="F257" s="14" t="str">
        <f>IF(ROW()&lt;=Results!$C$1+1,IF(E257&lt;=0,"",LN(E257)),"")</f>
        <v/>
      </c>
      <c r="G257" s="53" t="str">
        <f>IF(ROW()&lt;=Results!$C$1+1,IF(ISERROR(C257-F257),"",C257-F257),"")</f>
        <v/>
      </c>
    </row>
    <row r="258" spans="1:7" x14ac:dyDescent="0.25">
      <c r="A258" s="1" t="str">
        <f ca="1">IF(ROW()&lt;=Results!$C$1+1,INDEX(Data!$A:$A,CEILING((COUNTA(Data!$A:$A)-1)*RAND()+1,1)),"")</f>
        <v/>
      </c>
      <c r="B258" s="1" t="str">
        <f>IF(ROW()&lt;=Results!$C$1+1,VLOOKUP($A258,Data!$A$2:$C$117,2,TRUE),"")</f>
        <v/>
      </c>
      <c r="C258" s="14" t="str">
        <f>IF(ROW()&lt;=Results!$C$1+1,IF(B258&lt;=0,"",LN(B258)),"")</f>
        <v/>
      </c>
      <c r="D258" s="58" t="str">
        <f ca="1">IF(Results!$S$5,A258,IF(ROW()&lt;=Results!$C$1+1,INDEX(Data!$A:$A,CEILING((COUNTA(Data!$A:$A)-1)*RAND()+1,1)),""))</f>
        <v/>
      </c>
      <c r="E258" s="1" t="str">
        <f>IF(ROW()&lt;=Results!$C$1+1,VLOOKUP($D258,Data!$A$2:$C$117,3,TRUE),"")</f>
        <v/>
      </c>
      <c r="F258" s="14" t="str">
        <f>IF(ROW()&lt;=Results!$C$1+1,IF(E258&lt;=0,"",LN(E258)),"")</f>
        <v/>
      </c>
      <c r="G258" s="53" t="str">
        <f>IF(ROW()&lt;=Results!$C$1+1,IF(ISERROR(C258-F258),"",C258-F258),"")</f>
        <v/>
      </c>
    </row>
    <row r="259" spans="1:7" x14ac:dyDescent="0.25">
      <c r="A259" s="1" t="str">
        <f ca="1">IF(ROW()&lt;=Results!$C$1+1,INDEX(Data!$A:$A,CEILING((COUNTA(Data!$A:$A)-1)*RAND()+1,1)),"")</f>
        <v/>
      </c>
      <c r="B259" s="1" t="str">
        <f>IF(ROW()&lt;=Results!$C$1+1,VLOOKUP($A259,Data!$A$2:$C$117,2,TRUE),"")</f>
        <v/>
      </c>
      <c r="C259" s="14" t="str">
        <f>IF(ROW()&lt;=Results!$C$1+1,IF(B259&lt;=0,"",LN(B259)),"")</f>
        <v/>
      </c>
      <c r="D259" s="58" t="str">
        <f ca="1">IF(Results!$S$5,A259,IF(ROW()&lt;=Results!$C$1+1,INDEX(Data!$A:$A,CEILING((COUNTA(Data!$A:$A)-1)*RAND()+1,1)),""))</f>
        <v/>
      </c>
      <c r="E259" s="1" t="str">
        <f>IF(ROW()&lt;=Results!$C$1+1,VLOOKUP($D259,Data!$A$2:$C$117,3,TRUE),"")</f>
        <v/>
      </c>
      <c r="F259" s="14" t="str">
        <f>IF(ROW()&lt;=Results!$C$1+1,IF(E259&lt;=0,"",LN(E259)),"")</f>
        <v/>
      </c>
      <c r="G259" s="53" t="str">
        <f>IF(ROW()&lt;=Results!$C$1+1,IF(ISERROR(C259-F259),"",C259-F259),"")</f>
        <v/>
      </c>
    </row>
    <row r="260" spans="1:7" x14ac:dyDescent="0.25">
      <c r="A260" s="1" t="str">
        <f ca="1">IF(ROW()&lt;=Results!$C$1+1,INDEX(Data!$A:$A,CEILING((COUNTA(Data!$A:$A)-1)*RAND()+1,1)),"")</f>
        <v/>
      </c>
      <c r="B260" s="1" t="str">
        <f>IF(ROW()&lt;=Results!$C$1+1,VLOOKUP($A260,Data!$A$2:$C$117,2,TRUE),"")</f>
        <v/>
      </c>
      <c r="C260" s="14" t="str">
        <f>IF(ROW()&lt;=Results!$C$1+1,IF(B260&lt;=0,"",LN(B260)),"")</f>
        <v/>
      </c>
      <c r="D260" s="58" t="str">
        <f ca="1">IF(Results!$S$5,A260,IF(ROW()&lt;=Results!$C$1+1,INDEX(Data!$A:$A,CEILING((COUNTA(Data!$A:$A)-1)*RAND()+1,1)),""))</f>
        <v/>
      </c>
      <c r="E260" s="1" t="str">
        <f>IF(ROW()&lt;=Results!$C$1+1,VLOOKUP($D260,Data!$A$2:$C$117,3,TRUE),"")</f>
        <v/>
      </c>
      <c r="F260" s="14" t="str">
        <f>IF(ROW()&lt;=Results!$C$1+1,IF(E260&lt;=0,"",LN(E260)),"")</f>
        <v/>
      </c>
      <c r="G260" s="53" t="str">
        <f>IF(ROW()&lt;=Results!$C$1+1,IF(ISERROR(C260-F260),"",C260-F260),"")</f>
        <v/>
      </c>
    </row>
    <row r="261" spans="1:7" x14ac:dyDescent="0.25">
      <c r="A261" s="1" t="str">
        <f ca="1">IF(ROW()&lt;=Results!$C$1+1,INDEX(Data!$A:$A,CEILING((COUNTA(Data!$A:$A)-1)*RAND()+1,1)),"")</f>
        <v/>
      </c>
      <c r="B261" s="1" t="str">
        <f>IF(ROW()&lt;=Results!$C$1+1,VLOOKUP($A261,Data!$A$2:$C$117,2,TRUE),"")</f>
        <v/>
      </c>
      <c r="C261" s="14" t="str">
        <f>IF(ROW()&lt;=Results!$C$1+1,IF(B261&lt;=0,"",LN(B261)),"")</f>
        <v/>
      </c>
      <c r="D261" s="58" t="str">
        <f ca="1">IF(Results!$S$5,A261,IF(ROW()&lt;=Results!$C$1+1,INDEX(Data!$A:$A,CEILING((COUNTA(Data!$A:$A)-1)*RAND()+1,1)),""))</f>
        <v/>
      </c>
      <c r="E261" s="1" t="str">
        <f>IF(ROW()&lt;=Results!$C$1+1,VLOOKUP($D261,Data!$A$2:$C$117,3,TRUE),"")</f>
        <v/>
      </c>
      <c r="F261" s="14" t="str">
        <f>IF(ROW()&lt;=Results!$C$1+1,IF(E261&lt;=0,"",LN(E261)),"")</f>
        <v/>
      </c>
      <c r="G261" s="53" t="str">
        <f>IF(ROW()&lt;=Results!$C$1+1,IF(ISERROR(C261-F261),"",C261-F261),"")</f>
        <v/>
      </c>
    </row>
    <row r="262" spans="1:7" x14ac:dyDescent="0.25">
      <c r="A262" s="1" t="str">
        <f ca="1">IF(ROW()&lt;=Results!$C$1+1,INDEX(Data!$A:$A,CEILING((COUNTA(Data!$A:$A)-1)*RAND()+1,1)),"")</f>
        <v/>
      </c>
      <c r="B262" s="1" t="str">
        <f>IF(ROW()&lt;=Results!$C$1+1,VLOOKUP($A262,Data!$A$2:$C$117,2,TRUE),"")</f>
        <v/>
      </c>
      <c r="C262" s="14" t="str">
        <f>IF(ROW()&lt;=Results!$C$1+1,IF(B262&lt;=0,"",LN(B262)),"")</f>
        <v/>
      </c>
      <c r="D262" s="58" t="str">
        <f ca="1">IF(Results!$S$5,A262,IF(ROW()&lt;=Results!$C$1+1,INDEX(Data!$A:$A,CEILING((COUNTA(Data!$A:$A)-1)*RAND()+1,1)),""))</f>
        <v/>
      </c>
      <c r="E262" s="1" t="str">
        <f>IF(ROW()&lt;=Results!$C$1+1,VLOOKUP($D262,Data!$A$2:$C$117,3,TRUE),"")</f>
        <v/>
      </c>
      <c r="F262" s="14" t="str">
        <f>IF(ROW()&lt;=Results!$C$1+1,IF(E262&lt;=0,"",LN(E262)),"")</f>
        <v/>
      </c>
      <c r="G262" s="53" t="str">
        <f>IF(ROW()&lt;=Results!$C$1+1,IF(ISERROR(C262-F262),"",C262-F262),"")</f>
        <v/>
      </c>
    </row>
    <row r="263" spans="1:7" x14ac:dyDescent="0.25">
      <c r="A263" s="1" t="str">
        <f ca="1">IF(ROW()&lt;=Results!$C$1+1,INDEX(Data!$A:$A,CEILING((COUNTA(Data!$A:$A)-1)*RAND()+1,1)),"")</f>
        <v/>
      </c>
      <c r="B263" s="1" t="str">
        <f>IF(ROW()&lt;=Results!$C$1+1,VLOOKUP($A263,Data!$A$2:$C$117,2,TRUE),"")</f>
        <v/>
      </c>
      <c r="C263" s="14" t="str">
        <f>IF(ROW()&lt;=Results!$C$1+1,IF(B263&lt;=0,"",LN(B263)),"")</f>
        <v/>
      </c>
      <c r="D263" s="58" t="str">
        <f ca="1">IF(Results!$S$5,A263,IF(ROW()&lt;=Results!$C$1+1,INDEX(Data!$A:$A,CEILING((COUNTA(Data!$A:$A)-1)*RAND()+1,1)),""))</f>
        <v/>
      </c>
      <c r="E263" s="1" t="str">
        <f>IF(ROW()&lt;=Results!$C$1+1,VLOOKUP($D263,Data!$A$2:$C$117,3,TRUE),"")</f>
        <v/>
      </c>
      <c r="F263" s="14" t="str">
        <f>IF(ROW()&lt;=Results!$C$1+1,IF(E263&lt;=0,"",LN(E263)),"")</f>
        <v/>
      </c>
      <c r="G263" s="53" t="str">
        <f>IF(ROW()&lt;=Results!$C$1+1,IF(ISERROR(C263-F263),"",C263-F263),"")</f>
        <v/>
      </c>
    </row>
    <row r="264" spans="1:7" x14ac:dyDescent="0.25">
      <c r="A264" s="1" t="str">
        <f ca="1">IF(ROW()&lt;=Results!$C$1+1,INDEX(Data!$A:$A,CEILING((COUNTA(Data!$A:$A)-1)*RAND()+1,1)),"")</f>
        <v/>
      </c>
      <c r="B264" s="1" t="str">
        <f>IF(ROW()&lt;=Results!$C$1+1,VLOOKUP($A264,Data!$A$2:$C$117,2,TRUE),"")</f>
        <v/>
      </c>
      <c r="C264" s="14" t="str">
        <f>IF(ROW()&lt;=Results!$C$1+1,IF(B264&lt;=0,"",LN(B264)),"")</f>
        <v/>
      </c>
      <c r="D264" s="58" t="str">
        <f ca="1">IF(Results!$S$5,A264,IF(ROW()&lt;=Results!$C$1+1,INDEX(Data!$A:$A,CEILING((COUNTA(Data!$A:$A)-1)*RAND()+1,1)),""))</f>
        <v/>
      </c>
      <c r="E264" s="1" t="str">
        <f>IF(ROW()&lt;=Results!$C$1+1,VLOOKUP($D264,Data!$A$2:$C$117,3,TRUE),"")</f>
        <v/>
      </c>
      <c r="F264" s="14" t="str">
        <f>IF(ROW()&lt;=Results!$C$1+1,IF(E264&lt;=0,"",LN(E264)),"")</f>
        <v/>
      </c>
      <c r="G264" s="53" t="str">
        <f>IF(ROW()&lt;=Results!$C$1+1,IF(ISERROR(C264-F264),"",C264-F264),"")</f>
        <v/>
      </c>
    </row>
    <row r="265" spans="1:7" x14ac:dyDescent="0.25">
      <c r="A265" s="1" t="str">
        <f ca="1">IF(ROW()&lt;=Results!$C$1+1,INDEX(Data!$A:$A,CEILING((COUNTA(Data!$A:$A)-1)*RAND()+1,1)),"")</f>
        <v/>
      </c>
      <c r="B265" s="1" t="str">
        <f>IF(ROW()&lt;=Results!$C$1+1,VLOOKUP($A265,Data!$A$2:$C$117,2,TRUE),"")</f>
        <v/>
      </c>
      <c r="C265" s="14" t="str">
        <f>IF(ROW()&lt;=Results!$C$1+1,IF(B265&lt;=0,"",LN(B265)),"")</f>
        <v/>
      </c>
      <c r="D265" s="58" t="str">
        <f ca="1">IF(Results!$S$5,A265,IF(ROW()&lt;=Results!$C$1+1,INDEX(Data!$A:$A,CEILING((COUNTA(Data!$A:$A)-1)*RAND()+1,1)),""))</f>
        <v/>
      </c>
      <c r="E265" s="1" t="str">
        <f>IF(ROW()&lt;=Results!$C$1+1,VLOOKUP($D265,Data!$A$2:$C$117,3,TRUE),"")</f>
        <v/>
      </c>
      <c r="F265" s="14" t="str">
        <f>IF(ROW()&lt;=Results!$C$1+1,IF(E265&lt;=0,"",LN(E265)),"")</f>
        <v/>
      </c>
      <c r="G265" s="53" t="str">
        <f>IF(ROW()&lt;=Results!$C$1+1,IF(ISERROR(C265-F265),"",C265-F265),"")</f>
        <v/>
      </c>
    </row>
    <row r="266" spans="1:7" x14ac:dyDescent="0.25">
      <c r="A266" s="1" t="str">
        <f ca="1">IF(ROW()&lt;=Results!$C$1+1,INDEX(Data!$A:$A,CEILING((COUNTA(Data!$A:$A)-1)*RAND()+1,1)),"")</f>
        <v/>
      </c>
      <c r="B266" s="1" t="str">
        <f>IF(ROW()&lt;=Results!$C$1+1,VLOOKUP($A266,Data!$A$2:$C$117,2,TRUE),"")</f>
        <v/>
      </c>
      <c r="C266" s="14" t="str">
        <f>IF(ROW()&lt;=Results!$C$1+1,IF(B266&lt;=0,"",LN(B266)),"")</f>
        <v/>
      </c>
      <c r="D266" s="58" t="str">
        <f ca="1">IF(Results!$S$5,A266,IF(ROW()&lt;=Results!$C$1+1,INDEX(Data!$A:$A,CEILING((COUNTA(Data!$A:$A)-1)*RAND()+1,1)),""))</f>
        <v/>
      </c>
      <c r="E266" s="1" t="str">
        <f>IF(ROW()&lt;=Results!$C$1+1,VLOOKUP($D266,Data!$A$2:$C$117,3,TRUE),"")</f>
        <v/>
      </c>
      <c r="F266" s="14" t="str">
        <f>IF(ROW()&lt;=Results!$C$1+1,IF(E266&lt;=0,"",LN(E266)),"")</f>
        <v/>
      </c>
      <c r="G266" s="53" t="str">
        <f>IF(ROW()&lt;=Results!$C$1+1,IF(ISERROR(C266-F266),"",C266-F266),"")</f>
        <v/>
      </c>
    </row>
    <row r="267" spans="1:7" x14ac:dyDescent="0.25">
      <c r="A267" s="1" t="str">
        <f ca="1">IF(ROW()&lt;=Results!$C$1+1,INDEX(Data!$A:$A,CEILING((COUNTA(Data!$A:$A)-1)*RAND()+1,1)),"")</f>
        <v/>
      </c>
      <c r="B267" s="1" t="str">
        <f>IF(ROW()&lt;=Results!$C$1+1,VLOOKUP($A267,Data!$A$2:$C$117,2,TRUE),"")</f>
        <v/>
      </c>
      <c r="C267" s="14" t="str">
        <f>IF(ROW()&lt;=Results!$C$1+1,IF(B267&lt;=0,"",LN(B267)),"")</f>
        <v/>
      </c>
      <c r="D267" s="58" t="str">
        <f ca="1">IF(Results!$S$5,A267,IF(ROW()&lt;=Results!$C$1+1,INDEX(Data!$A:$A,CEILING((COUNTA(Data!$A:$A)-1)*RAND()+1,1)),""))</f>
        <v/>
      </c>
      <c r="E267" s="1" t="str">
        <f>IF(ROW()&lt;=Results!$C$1+1,VLOOKUP($D267,Data!$A$2:$C$117,3,TRUE),"")</f>
        <v/>
      </c>
      <c r="F267" s="14" t="str">
        <f>IF(ROW()&lt;=Results!$C$1+1,IF(E267&lt;=0,"",LN(E267)),"")</f>
        <v/>
      </c>
      <c r="G267" s="53" t="str">
        <f>IF(ROW()&lt;=Results!$C$1+1,IF(ISERROR(C267-F267),"",C267-F267),"")</f>
        <v/>
      </c>
    </row>
    <row r="268" spans="1:7" x14ac:dyDescent="0.25">
      <c r="A268" s="1" t="str">
        <f ca="1">IF(ROW()&lt;=Results!$C$1+1,INDEX(Data!$A:$A,CEILING((COUNTA(Data!$A:$A)-1)*RAND()+1,1)),"")</f>
        <v/>
      </c>
      <c r="B268" s="1" t="str">
        <f>IF(ROW()&lt;=Results!$C$1+1,VLOOKUP($A268,Data!$A$2:$C$117,2,TRUE),"")</f>
        <v/>
      </c>
      <c r="C268" s="14" t="str">
        <f>IF(ROW()&lt;=Results!$C$1+1,IF(B268&lt;=0,"",LN(B268)),"")</f>
        <v/>
      </c>
      <c r="D268" s="58" t="str">
        <f ca="1">IF(Results!$S$5,A268,IF(ROW()&lt;=Results!$C$1+1,INDEX(Data!$A:$A,CEILING((COUNTA(Data!$A:$A)-1)*RAND()+1,1)),""))</f>
        <v/>
      </c>
      <c r="E268" s="1" t="str">
        <f>IF(ROW()&lt;=Results!$C$1+1,VLOOKUP($D268,Data!$A$2:$C$117,3,TRUE),"")</f>
        <v/>
      </c>
      <c r="F268" s="14" t="str">
        <f>IF(ROW()&lt;=Results!$C$1+1,IF(E268&lt;=0,"",LN(E268)),"")</f>
        <v/>
      </c>
      <c r="G268" s="53" t="str">
        <f>IF(ROW()&lt;=Results!$C$1+1,IF(ISERROR(C268-F268),"",C268-F268),"")</f>
        <v/>
      </c>
    </row>
    <row r="269" spans="1:7" x14ac:dyDescent="0.25">
      <c r="A269" s="1" t="str">
        <f ca="1">IF(ROW()&lt;=Results!$C$1+1,INDEX(Data!$A:$A,CEILING((COUNTA(Data!$A:$A)-1)*RAND()+1,1)),"")</f>
        <v/>
      </c>
      <c r="B269" s="1" t="str">
        <f>IF(ROW()&lt;=Results!$C$1+1,VLOOKUP($A269,Data!$A$2:$C$117,2,TRUE),"")</f>
        <v/>
      </c>
      <c r="C269" s="14" t="str">
        <f>IF(ROW()&lt;=Results!$C$1+1,IF(B269&lt;=0,"",LN(B269)),"")</f>
        <v/>
      </c>
      <c r="D269" s="58" t="str">
        <f ca="1">IF(Results!$S$5,A269,IF(ROW()&lt;=Results!$C$1+1,INDEX(Data!$A:$A,CEILING((COUNTA(Data!$A:$A)-1)*RAND()+1,1)),""))</f>
        <v/>
      </c>
      <c r="E269" s="1" t="str">
        <f>IF(ROW()&lt;=Results!$C$1+1,VLOOKUP($D269,Data!$A$2:$C$117,3,TRUE),"")</f>
        <v/>
      </c>
      <c r="F269" s="14" t="str">
        <f>IF(ROW()&lt;=Results!$C$1+1,IF(E269&lt;=0,"",LN(E269)),"")</f>
        <v/>
      </c>
      <c r="G269" s="53" t="str">
        <f>IF(ROW()&lt;=Results!$C$1+1,IF(ISERROR(C269-F269),"",C269-F269),"")</f>
        <v/>
      </c>
    </row>
    <row r="270" spans="1:7" x14ac:dyDescent="0.25">
      <c r="A270" s="1" t="str">
        <f ca="1">IF(ROW()&lt;=Results!$C$1+1,INDEX(Data!$A:$A,CEILING((COUNTA(Data!$A:$A)-1)*RAND()+1,1)),"")</f>
        <v/>
      </c>
      <c r="B270" s="1" t="str">
        <f>IF(ROW()&lt;=Results!$C$1+1,VLOOKUP($A270,Data!$A$2:$C$117,2,TRUE),"")</f>
        <v/>
      </c>
      <c r="C270" s="14" t="str">
        <f>IF(ROW()&lt;=Results!$C$1+1,IF(B270&lt;=0,"",LN(B270)),"")</f>
        <v/>
      </c>
      <c r="D270" s="58" t="str">
        <f ca="1">IF(Results!$S$5,A270,IF(ROW()&lt;=Results!$C$1+1,INDEX(Data!$A:$A,CEILING((COUNTA(Data!$A:$A)-1)*RAND()+1,1)),""))</f>
        <v/>
      </c>
      <c r="E270" s="1" t="str">
        <f>IF(ROW()&lt;=Results!$C$1+1,VLOOKUP($D270,Data!$A$2:$C$117,3,TRUE),"")</f>
        <v/>
      </c>
      <c r="F270" s="14" t="str">
        <f>IF(ROW()&lt;=Results!$C$1+1,IF(E270&lt;=0,"",LN(E270)),"")</f>
        <v/>
      </c>
      <c r="G270" s="53" t="str">
        <f>IF(ROW()&lt;=Results!$C$1+1,IF(ISERROR(C270-F270),"",C270-F270),"")</f>
        <v/>
      </c>
    </row>
    <row r="271" spans="1:7" x14ac:dyDescent="0.25">
      <c r="A271" s="1" t="str">
        <f ca="1">IF(ROW()&lt;=Results!$C$1+1,INDEX(Data!$A:$A,CEILING((COUNTA(Data!$A:$A)-1)*RAND()+1,1)),"")</f>
        <v/>
      </c>
      <c r="B271" s="1" t="str">
        <f>IF(ROW()&lt;=Results!$C$1+1,VLOOKUP($A271,Data!$A$2:$C$117,2,TRUE),"")</f>
        <v/>
      </c>
      <c r="C271" s="14" t="str">
        <f>IF(ROW()&lt;=Results!$C$1+1,IF(B271&lt;=0,"",LN(B271)),"")</f>
        <v/>
      </c>
      <c r="D271" s="58" t="str">
        <f ca="1">IF(Results!$S$5,A271,IF(ROW()&lt;=Results!$C$1+1,INDEX(Data!$A:$A,CEILING((COUNTA(Data!$A:$A)-1)*RAND()+1,1)),""))</f>
        <v/>
      </c>
      <c r="E271" s="1" t="str">
        <f>IF(ROW()&lt;=Results!$C$1+1,VLOOKUP($D271,Data!$A$2:$C$117,3,TRUE),"")</f>
        <v/>
      </c>
      <c r="F271" s="14" t="str">
        <f>IF(ROW()&lt;=Results!$C$1+1,IF(E271&lt;=0,"",LN(E271)),"")</f>
        <v/>
      </c>
      <c r="G271" s="53" t="str">
        <f>IF(ROW()&lt;=Results!$C$1+1,IF(ISERROR(C271-F271),"",C271-F271),"")</f>
        <v/>
      </c>
    </row>
    <row r="272" spans="1:7" x14ac:dyDescent="0.25">
      <c r="A272" s="1" t="str">
        <f ca="1">IF(ROW()&lt;=Results!$C$1+1,INDEX(Data!$A:$A,CEILING((COUNTA(Data!$A:$A)-1)*RAND()+1,1)),"")</f>
        <v/>
      </c>
      <c r="B272" s="1" t="str">
        <f>IF(ROW()&lt;=Results!$C$1+1,VLOOKUP($A272,Data!$A$2:$C$117,2,TRUE),"")</f>
        <v/>
      </c>
      <c r="C272" s="14" t="str">
        <f>IF(ROW()&lt;=Results!$C$1+1,IF(B272&lt;=0,"",LN(B272)),"")</f>
        <v/>
      </c>
      <c r="D272" s="58" t="str">
        <f ca="1">IF(Results!$S$5,A272,IF(ROW()&lt;=Results!$C$1+1,INDEX(Data!$A:$A,CEILING((COUNTA(Data!$A:$A)-1)*RAND()+1,1)),""))</f>
        <v/>
      </c>
      <c r="E272" s="1" t="str">
        <f>IF(ROW()&lt;=Results!$C$1+1,VLOOKUP($D272,Data!$A$2:$C$117,3,TRUE),"")</f>
        <v/>
      </c>
      <c r="F272" s="14" t="str">
        <f>IF(ROW()&lt;=Results!$C$1+1,IF(E272&lt;=0,"",LN(E272)),"")</f>
        <v/>
      </c>
      <c r="G272" s="53" t="str">
        <f>IF(ROW()&lt;=Results!$C$1+1,IF(ISERROR(C272-F272),"",C272-F272),"")</f>
        <v/>
      </c>
    </row>
    <row r="273" spans="1:7" x14ac:dyDescent="0.25">
      <c r="A273" s="1" t="str">
        <f ca="1">IF(ROW()&lt;=Results!$C$1+1,INDEX(Data!$A:$A,CEILING((COUNTA(Data!$A:$A)-1)*RAND()+1,1)),"")</f>
        <v/>
      </c>
      <c r="B273" s="1" t="str">
        <f>IF(ROW()&lt;=Results!$C$1+1,VLOOKUP($A273,Data!$A$2:$C$117,2,TRUE),"")</f>
        <v/>
      </c>
      <c r="C273" s="14" t="str">
        <f>IF(ROW()&lt;=Results!$C$1+1,IF(B273&lt;=0,"",LN(B273)),"")</f>
        <v/>
      </c>
      <c r="D273" s="58" t="str">
        <f ca="1">IF(Results!$S$5,A273,IF(ROW()&lt;=Results!$C$1+1,INDEX(Data!$A:$A,CEILING((COUNTA(Data!$A:$A)-1)*RAND()+1,1)),""))</f>
        <v/>
      </c>
      <c r="E273" s="1" t="str">
        <f>IF(ROW()&lt;=Results!$C$1+1,VLOOKUP($D273,Data!$A$2:$C$117,3,TRUE),"")</f>
        <v/>
      </c>
      <c r="F273" s="14" t="str">
        <f>IF(ROW()&lt;=Results!$C$1+1,IF(E273&lt;=0,"",LN(E273)),"")</f>
        <v/>
      </c>
      <c r="G273" s="53" t="str">
        <f>IF(ROW()&lt;=Results!$C$1+1,IF(ISERROR(C273-F273),"",C273-F273),"")</f>
        <v/>
      </c>
    </row>
    <row r="274" spans="1:7" x14ac:dyDescent="0.25">
      <c r="A274" s="1" t="str">
        <f ca="1">IF(ROW()&lt;=Results!$C$1+1,INDEX(Data!$A:$A,CEILING((COUNTA(Data!$A:$A)-1)*RAND()+1,1)),"")</f>
        <v/>
      </c>
      <c r="B274" s="1" t="str">
        <f>IF(ROW()&lt;=Results!$C$1+1,VLOOKUP($A274,Data!$A$2:$C$117,2,TRUE),"")</f>
        <v/>
      </c>
      <c r="C274" s="14" t="str">
        <f>IF(ROW()&lt;=Results!$C$1+1,IF(B274&lt;=0,"",LN(B274)),"")</f>
        <v/>
      </c>
      <c r="D274" s="58" t="str">
        <f ca="1">IF(Results!$S$5,A274,IF(ROW()&lt;=Results!$C$1+1,INDEX(Data!$A:$A,CEILING((COUNTA(Data!$A:$A)-1)*RAND()+1,1)),""))</f>
        <v/>
      </c>
      <c r="E274" s="1" t="str">
        <f>IF(ROW()&lt;=Results!$C$1+1,VLOOKUP($D274,Data!$A$2:$C$117,3,TRUE),"")</f>
        <v/>
      </c>
      <c r="F274" s="14" t="str">
        <f>IF(ROW()&lt;=Results!$C$1+1,IF(E274&lt;=0,"",LN(E274)),"")</f>
        <v/>
      </c>
      <c r="G274" s="53" t="str">
        <f>IF(ROW()&lt;=Results!$C$1+1,IF(ISERROR(C274-F274),"",C274-F274),"")</f>
        <v/>
      </c>
    </row>
    <row r="275" spans="1:7" x14ac:dyDescent="0.25">
      <c r="A275" s="1" t="str">
        <f ca="1">IF(ROW()&lt;=Results!$C$1+1,INDEX(Data!$A:$A,CEILING((COUNTA(Data!$A:$A)-1)*RAND()+1,1)),"")</f>
        <v/>
      </c>
      <c r="B275" s="1" t="str">
        <f>IF(ROW()&lt;=Results!$C$1+1,VLOOKUP($A275,Data!$A$2:$C$117,2,TRUE),"")</f>
        <v/>
      </c>
      <c r="C275" s="14" t="str">
        <f>IF(ROW()&lt;=Results!$C$1+1,IF(B275&lt;=0,"",LN(B275)),"")</f>
        <v/>
      </c>
      <c r="D275" s="58" t="str">
        <f ca="1">IF(Results!$S$5,A275,IF(ROW()&lt;=Results!$C$1+1,INDEX(Data!$A:$A,CEILING((COUNTA(Data!$A:$A)-1)*RAND()+1,1)),""))</f>
        <v/>
      </c>
      <c r="E275" s="1" t="str">
        <f>IF(ROW()&lt;=Results!$C$1+1,VLOOKUP($D275,Data!$A$2:$C$117,3,TRUE),"")</f>
        <v/>
      </c>
      <c r="F275" s="14" t="str">
        <f>IF(ROW()&lt;=Results!$C$1+1,IF(E275&lt;=0,"",LN(E275)),"")</f>
        <v/>
      </c>
      <c r="G275" s="53" t="str">
        <f>IF(ROW()&lt;=Results!$C$1+1,IF(ISERROR(C275-F275),"",C275-F275),"")</f>
        <v/>
      </c>
    </row>
    <row r="276" spans="1:7" x14ac:dyDescent="0.25">
      <c r="A276" s="1" t="str">
        <f ca="1">IF(ROW()&lt;=Results!$C$1+1,INDEX(Data!$A:$A,CEILING((COUNTA(Data!$A:$A)-1)*RAND()+1,1)),"")</f>
        <v/>
      </c>
      <c r="B276" s="1" t="str">
        <f>IF(ROW()&lt;=Results!$C$1+1,VLOOKUP($A276,Data!$A$2:$C$117,2,TRUE),"")</f>
        <v/>
      </c>
      <c r="C276" s="14" t="str">
        <f>IF(ROW()&lt;=Results!$C$1+1,IF(B276&lt;=0,"",LN(B276)),"")</f>
        <v/>
      </c>
      <c r="D276" s="58" t="str">
        <f ca="1">IF(Results!$S$5,A276,IF(ROW()&lt;=Results!$C$1+1,INDEX(Data!$A:$A,CEILING((COUNTA(Data!$A:$A)-1)*RAND()+1,1)),""))</f>
        <v/>
      </c>
      <c r="E276" s="1" t="str">
        <f>IF(ROW()&lt;=Results!$C$1+1,VLOOKUP($D276,Data!$A$2:$C$117,3,TRUE),"")</f>
        <v/>
      </c>
      <c r="F276" s="14" t="str">
        <f>IF(ROW()&lt;=Results!$C$1+1,IF(E276&lt;=0,"",LN(E276)),"")</f>
        <v/>
      </c>
      <c r="G276" s="53" t="str">
        <f>IF(ROW()&lt;=Results!$C$1+1,IF(ISERROR(C276-F276),"",C276-F276),"")</f>
        <v/>
      </c>
    </row>
    <row r="277" spans="1:7" x14ac:dyDescent="0.25">
      <c r="A277" s="1" t="str">
        <f ca="1">IF(ROW()&lt;=Results!$C$1+1,INDEX(Data!$A:$A,CEILING((COUNTA(Data!$A:$A)-1)*RAND()+1,1)),"")</f>
        <v/>
      </c>
      <c r="B277" s="1" t="str">
        <f>IF(ROW()&lt;=Results!$C$1+1,VLOOKUP($A277,Data!$A$2:$C$117,2,TRUE),"")</f>
        <v/>
      </c>
      <c r="C277" s="14" t="str">
        <f>IF(ROW()&lt;=Results!$C$1+1,IF(B277&lt;=0,"",LN(B277)),"")</f>
        <v/>
      </c>
      <c r="D277" s="58" t="str">
        <f ca="1">IF(Results!$S$5,A277,IF(ROW()&lt;=Results!$C$1+1,INDEX(Data!$A:$A,CEILING((COUNTA(Data!$A:$A)-1)*RAND()+1,1)),""))</f>
        <v/>
      </c>
      <c r="E277" s="1" t="str">
        <f>IF(ROW()&lt;=Results!$C$1+1,VLOOKUP($D277,Data!$A$2:$C$117,3,TRUE),"")</f>
        <v/>
      </c>
      <c r="F277" s="14" t="str">
        <f>IF(ROW()&lt;=Results!$C$1+1,IF(E277&lt;=0,"",LN(E277)),"")</f>
        <v/>
      </c>
      <c r="G277" s="53" t="str">
        <f>IF(ROW()&lt;=Results!$C$1+1,IF(ISERROR(C277-F277),"",C277-F277),"")</f>
        <v/>
      </c>
    </row>
    <row r="278" spans="1:7" x14ac:dyDescent="0.25">
      <c r="A278" s="1" t="str">
        <f ca="1">IF(ROW()&lt;=Results!$C$1+1,INDEX(Data!$A:$A,CEILING((COUNTA(Data!$A:$A)-1)*RAND()+1,1)),"")</f>
        <v/>
      </c>
      <c r="B278" s="1" t="str">
        <f>IF(ROW()&lt;=Results!$C$1+1,VLOOKUP($A278,Data!$A$2:$C$117,2,TRUE),"")</f>
        <v/>
      </c>
      <c r="C278" s="14" t="str">
        <f>IF(ROW()&lt;=Results!$C$1+1,IF(B278&lt;=0,"",LN(B278)),"")</f>
        <v/>
      </c>
      <c r="D278" s="58" t="str">
        <f ca="1">IF(Results!$S$5,A278,IF(ROW()&lt;=Results!$C$1+1,INDEX(Data!$A:$A,CEILING((COUNTA(Data!$A:$A)-1)*RAND()+1,1)),""))</f>
        <v/>
      </c>
      <c r="E278" s="1" t="str">
        <f>IF(ROW()&lt;=Results!$C$1+1,VLOOKUP($D278,Data!$A$2:$C$117,3,TRUE),"")</f>
        <v/>
      </c>
      <c r="F278" s="14" t="str">
        <f>IF(ROW()&lt;=Results!$C$1+1,IF(E278&lt;=0,"",LN(E278)),"")</f>
        <v/>
      </c>
      <c r="G278" s="53" t="str">
        <f>IF(ROW()&lt;=Results!$C$1+1,IF(ISERROR(C278-F278),"",C278-F278),"")</f>
        <v/>
      </c>
    </row>
    <row r="279" spans="1:7" x14ac:dyDescent="0.25">
      <c r="A279" s="1" t="str">
        <f ca="1">IF(ROW()&lt;=Results!$C$1+1,INDEX(Data!$A:$A,CEILING((COUNTA(Data!$A:$A)-1)*RAND()+1,1)),"")</f>
        <v/>
      </c>
      <c r="B279" s="1" t="str">
        <f>IF(ROW()&lt;=Results!$C$1+1,VLOOKUP($A279,Data!$A$2:$C$117,2,TRUE),"")</f>
        <v/>
      </c>
      <c r="C279" s="14" t="str">
        <f>IF(ROW()&lt;=Results!$C$1+1,IF(B279&lt;=0,"",LN(B279)),"")</f>
        <v/>
      </c>
      <c r="D279" s="58" t="str">
        <f ca="1">IF(Results!$S$5,A279,IF(ROW()&lt;=Results!$C$1+1,INDEX(Data!$A:$A,CEILING((COUNTA(Data!$A:$A)-1)*RAND()+1,1)),""))</f>
        <v/>
      </c>
      <c r="E279" s="1" t="str">
        <f>IF(ROW()&lt;=Results!$C$1+1,VLOOKUP($D279,Data!$A$2:$C$117,3,TRUE),"")</f>
        <v/>
      </c>
      <c r="F279" s="14" t="str">
        <f>IF(ROW()&lt;=Results!$C$1+1,IF(E279&lt;=0,"",LN(E279)),"")</f>
        <v/>
      </c>
      <c r="G279" s="53" t="str">
        <f>IF(ROW()&lt;=Results!$C$1+1,IF(ISERROR(C279-F279),"",C279-F279),"")</f>
        <v/>
      </c>
    </row>
    <row r="280" spans="1:7" x14ac:dyDescent="0.25">
      <c r="A280" s="1" t="str">
        <f ca="1">IF(ROW()&lt;=Results!$C$1+1,INDEX(Data!$A:$A,CEILING((COUNTA(Data!$A:$A)-1)*RAND()+1,1)),"")</f>
        <v/>
      </c>
      <c r="B280" s="1" t="str">
        <f>IF(ROW()&lt;=Results!$C$1+1,VLOOKUP($A280,Data!$A$2:$C$117,2,TRUE),"")</f>
        <v/>
      </c>
      <c r="C280" s="14" t="str">
        <f>IF(ROW()&lt;=Results!$C$1+1,IF(B280&lt;=0,"",LN(B280)),"")</f>
        <v/>
      </c>
      <c r="D280" s="58" t="str">
        <f ca="1">IF(Results!$S$5,A280,IF(ROW()&lt;=Results!$C$1+1,INDEX(Data!$A:$A,CEILING((COUNTA(Data!$A:$A)-1)*RAND()+1,1)),""))</f>
        <v/>
      </c>
      <c r="E280" s="1" t="str">
        <f>IF(ROW()&lt;=Results!$C$1+1,VLOOKUP($D280,Data!$A$2:$C$117,3,TRUE),"")</f>
        <v/>
      </c>
      <c r="F280" s="14" t="str">
        <f>IF(ROW()&lt;=Results!$C$1+1,IF(E280&lt;=0,"",LN(E280)),"")</f>
        <v/>
      </c>
      <c r="G280" s="53" t="str">
        <f>IF(ROW()&lt;=Results!$C$1+1,IF(ISERROR(C280-F280),"",C280-F280),"")</f>
        <v/>
      </c>
    </row>
    <row r="281" spans="1:7" x14ac:dyDescent="0.25">
      <c r="A281" s="1" t="str">
        <f ca="1">IF(ROW()&lt;=Results!$C$1+1,INDEX(Data!$A:$A,CEILING((COUNTA(Data!$A:$A)-1)*RAND()+1,1)),"")</f>
        <v/>
      </c>
      <c r="B281" s="1" t="str">
        <f>IF(ROW()&lt;=Results!$C$1+1,VLOOKUP($A281,Data!$A$2:$C$117,2,TRUE),"")</f>
        <v/>
      </c>
      <c r="C281" s="14" t="str">
        <f>IF(ROW()&lt;=Results!$C$1+1,IF(B281&lt;=0,"",LN(B281)),"")</f>
        <v/>
      </c>
      <c r="D281" s="58" t="str">
        <f ca="1">IF(Results!$S$5,A281,IF(ROW()&lt;=Results!$C$1+1,INDEX(Data!$A:$A,CEILING((COUNTA(Data!$A:$A)-1)*RAND()+1,1)),""))</f>
        <v/>
      </c>
      <c r="E281" s="1" t="str">
        <f>IF(ROW()&lt;=Results!$C$1+1,VLOOKUP($D281,Data!$A$2:$C$117,3,TRUE),"")</f>
        <v/>
      </c>
      <c r="F281" s="14" t="str">
        <f>IF(ROW()&lt;=Results!$C$1+1,IF(E281&lt;=0,"",LN(E281)),"")</f>
        <v/>
      </c>
      <c r="G281" s="53" t="str">
        <f>IF(ROW()&lt;=Results!$C$1+1,IF(ISERROR(C281-F281),"",C281-F281),"")</f>
        <v/>
      </c>
    </row>
    <row r="282" spans="1:7" x14ac:dyDescent="0.25">
      <c r="A282" s="1" t="str">
        <f ca="1">IF(ROW()&lt;=Results!$C$1+1,INDEX(Data!$A:$A,CEILING((COUNTA(Data!$A:$A)-1)*RAND()+1,1)),"")</f>
        <v/>
      </c>
      <c r="B282" s="1" t="str">
        <f>IF(ROW()&lt;=Results!$C$1+1,VLOOKUP($A282,Data!$A$2:$C$117,2,TRUE),"")</f>
        <v/>
      </c>
      <c r="C282" s="14" t="str">
        <f>IF(ROW()&lt;=Results!$C$1+1,IF(B282&lt;=0,"",LN(B282)),"")</f>
        <v/>
      </c>
      <c r="D282" s="58" t="str">
        <f ca="1">IF(Results!$S$5,A282,IF(ROW()&lt;=Results!$C$1+1,INDEX(Data!$A:$A,CEILING((COUNTA(Data!$A:$A)-1)*RAND()+1,1)),""))</f>
        <v/>
      </c>
      <c r="E282" s="1" t="str">
        <f>IF(ROW()&lt;=Results!$C$1+1,VLOOKUP($D282,Data!$A$2:$C$117,3,TRUE),"")</f>
        <v/>
      </c>
      <c r="F282" s="14" t="str">
        <f>IF(ROW()&lt;=Results!$C$1+1,IF(E282&lt;=0,"",LN(E282)),"")</f>
        <v/>
      </c>
      <c r="G282" s="53" t="str">
        <f>IF(ROW()&lt;=Results!$C$1+1,IF(ISERROR(C282-F282),"",C282-F282),"")</f>
        <v/>
      </c>
    </row>
    <row r="283" spans="1:7" x14ac:dyDescent="0.25">
      <c r="A283" s="1" t="str">
        <f ca="1">IF(ROW()&lt;=Results!$C$1+1,INDEX(Data!$A:$A,CEILING((COUNTA(Data!$A:$A)-1)*RAND()+1,1)),"")</f>
        <v/>
      </c>
      <c r="B283" s="1" t="str">
        <f>IF(ROW()&lt;=Results!$C$1+1,VLOOKUP($A283,Data!$A$2:$C$117,2,TRUE),"")</f>
        <v/>
      </c>
      <c r="C283" s="14" t="str">
        <f>IF(ROW()&lt;=Results!$C$1+1,IF(B283&lt;=0,"",LN(B283)),"")</f>
        <v/>
      </c>
      <c r="D283" s="58" t="str">
        <f ca="1">IF(Results!$S$5,A283,IF(ROW()&lt;=Results!$C$1+1,INDEX(Data!$A:$A,CEILING((COUNTA(Data!$A:$A)-1)*RAND()+1,1)),""))</f>
        <v/>
      </c>
      <c r="E283" s="1" t="str">
        <f>IF(ROW()&lt;=Results!$C$1+1,VLOOKUP($D283,Data!$A$2:$C$117,3,TRUE),"")</f>
        <v/>
      </c>
      <c r="F283" s="14" t="str">
        <f>IF(ROW()&lt;=Results!$C$1+1,IF(E283&lt;=0,"",LN(E283)),"")</f>
        <v/>
      </c>
      <c r="G283" s="53" t="str">
        <f>IF(ROW()&lt;=Results!$C$1+1,IF(ISERROR(C283-F283),"",C283-F283),"")</f>
        <v/>
      </c>
    </row>
    <row r="284" spans="1:7" x14ac:dyDescent="0.25">
      <c r="A284" s="1" t="str">
        <f ca="1">IF(ROW()&lt;=Results!$C$1+1,INDEX(Data!$A:$A,CEILING((COUNTA(Data!$A:$A)-1)*RAND()+1,1)),"")</f>
        <v/>
      </c>
      <c r="B284" s="1" t="str">
        <f>IF(ROW()&lt;=Results!$C$1+1,VLOOKUP($A284,Data!$A$2:$C$117,2,TRUE),"")</f>
        <v/>
      </c>
      <c r="C284" s="14" t="str">
        <f>IF(ROW()&lt;=Results!$C$1+1,IF(B284&lt;=0,"",LN(B284)),"")</f>
        <v/>
      </c>
      <c r="D284" s="58" t="str">
        <f ca="1">IF(Results!$S$5,A284,IF(ROW()&lt;=Results!$C$1+1,INDEX(Data!$A:$A,CEILING((COUNTA(Data!$A:$A)-1)*RAND()+1,1)),""))</f>
        <v/>
      </c>
      <c r="E284" s="1" t="str">
        <f>IF(ROW()&lt;=Results!$C$1+1,VLOOKUP($D284,Data!$A$2:$C$117,3,TRUE),"")</f>
        <v/>
      </c>
      <c r="F284" s="14" t="str">
        <f>IF(ROW()&lt;=Results!$C$1+1,IF(E284&lt;=0,"",LN(E284)),"")</f>
        <v/>
      </c>
      <c r="G284" s="53" t="str">
        <f>IF(ROW()&lt;=Results!$C$1+1,IF(ISERROR(C284-F284),"",C284-F284),"")</f>
        <v/>
      </c>
    </row>
    <row r="285" spans="1:7" x14ac:dyDescent="0.25">
      <c r="A285" s="1" t="str">
        <f ca="1">IF(ROW()&lt;=Results!$C$1+1,INDEX(Data!$A:$A,CEILING((COUNTA(Data!$A:$A)-1)*RAND()+1,1)),"")</f>
        <v/>
      </c>
      <c r="B285" s="1" t="str">
        <f>IF(ROW()&lt;=Results!$C$1+1,VLOOKUP($A285,Data!$A$2:$C$117,2,TRUE),"")</f>
        <v/>
      </c>
      <c r="C285" s="14" t="str">
        <f>IF(ROW()&lt;=Results!$C$1+1,IF(B285&lt;=0,"",LN(B285)),"")</f>
        <v/>
      </c>
      <c r="D285" s="58" t="str">
        <f ca="1">IF(Results!$S$5,A285,IF(ROW()&lt;=Results!$C$1+1,INDEX(Data!$A:$A,CEILING((COUNTA(Data!$A:$A)-1)*RAND()+1,1)),""))</f>
        <v/>
      </c>
      <c r="E285" s="1" t="str">
        <f>IF(ROW()&lt;=Results!$C$1+1,VLOOKUP($D285,Data!$A$2:$C$117,3,TRUE),"")</f>
        <v/>
      </c>
      <c r="F285" s="14" t="str">
        <f>IF(ROW()&lt;=Results!$C$1+1,IF(E285&lt;=0,"",LN(E285)),"")</f>
        <v/>
      </c>
      <c r="G285" s="53" t="str">
        <f>IF(ROW()&lt;=Results!$C$1+1,IF(ISERROR(C285-F285),"",C285-F285),"")</f>
        <v/>
      </c>
    </row>
    <row r="286" spans="1:7" x14ac:dyDescent="0.25">
      <c r="A286" s="1" t="str">
        <f ca="1">IF(ROW()&lt;=Results!$C$1+1,INDEX(Data!$A:$A,CEILING((COUNTA(Data!$A:$A)-1)*RAND()+1,1)),"")</f>
        <v/>
      </c>
      <c r="B286" s="1" t="str">
        <f>IF(ROW()&lt;=Results!$C$1+1,VLOOKUP($A286,Data!$A$2:$C$117,2,TRUE),"")</f>
        <v/>
      </c>
      <c r="C286" s="14" t="str">
        <f>IF(ROW()&lt;=Results!$C$1+1,IF(B286&lt;=0,"",LN(B286)),"")</f>
        <v/>
      </c>
      <c r="D286" s="58" t="str">
        <f ca="1">IF(Results!$S$5,A286,IF(ROW()&lt;=Results!$C$1+1,INDEX(Data!$A:$A,CEILING((COUNTA(Data!$A:$A)-1)*RAND()+1,1)),""))</f>
        <v/>
      </c>
      <c r="E286" s="1" t="str">
        <f>IF(ROW()&lt;=Results!$C$1+1,VLOOKUP($D286,Data!$A$2:$C$117,3,TRUE),"")</f>
        <v/>
      </c>
      <c r="F286" s="14" t="str">
        <f>IF(ROW()&lt;=Results!$C$1+1,IF(E286&lt;=0,"",LN(E286)),"")</f>
        <v/>
      </c>
      <c r="G286" s="53" t="str">
        <f>IF(ROW()&lt;=Results!$C$1+1,IF(ISERROR(C286-F286),"",C286-F286),"")</f>
        <v/>
      </c>
    </row>
    <row r="287" spans="1:7" x14ac:dyDescent="0.25">
      <c r="A287" s="1" t="str">
        <f ca="1">IF(ROW()&lt;=Results!$C$1+1,INDEX(Data!$A:$A,CEILING((COUNTA(Data!$A:$A)-1)*RAND()+1,1)),"")</f>
        <v/>
      </c>
      <c r="B287" s="1" t="str">
        <f>IF(ROW()&lt;=Results!$C$1+1,VLOOKUP($A287,Data!$A$2:$C$117,2,TRUE),"")</f>
        <v/>
      </c>
      <c r="C287" s="14" t="str">
        <f>IF(ROW()&lt;=Results!$C$1+1,IF(B287&lt;=0,"",LN(B287)),"")</f>
        <v/>
      </c>
      <c r="D287" s="58" t="str">
        <f ca="1">IF(Results!$S$5,A287,IF(ROW()&lt;=Results!$C$1+1,INDEX(Data!$A:$A,CEILING((COUNTA(Data!$A:$A)-1)*RAND()+1,1)),""))</f>
        <v/>
      </c>
      <c r="E287" s="1" t="str">
        <f>IF(ROW()&lt;=Results!$C$1+1,VLOOKUP($D287,Data!$A$2:$C$117,3,TRUE),"")</f>
        <v/>
      </c>
      <c r="F287" s="14" t="str">
        <f>IF(ROW()&lt;=Results!$C$1+1,IF(E287&lt;=0,"",LN(E287)),"")</f>
        <v/>
      </c>
      <c r="G287" s="53" t="str">
        <f>IF(ROW()&lt;=Results!$C$1+1,IF(ISERROR(C287-F287),"",C287-F287),"")</f>
        <v/>
      </c>
    </row>
    <row r="288" spans="1:7" x14ac:dyDescent="0.25">
      <c r="A288" s="1" t="str">
        <f ca="1">IF(ROW()&lt;=Results!$C$1+1,INDEX(Data!$A:$A,CEILING((COUNTA(Data!$A:$A)-1)*RAND()+1,1)),"")</f>
        <v/>
      </c>
      <c r="B288" s="1" t="str">
        <f>IF(ROW()&lt;=Results!$C$1+1,VLOOKUP($A288,Data!$A$2:$C$117,2,TRUE),"")</f>
        <v/>
      </c>
      <c r="C288" s="14" t="str">
        <f>IF(ROW()&lt;=Results!$C$1+1,IF(B288&lt;=0,"",LN(B288)),"")</f>
        <v/>
      </c>
      <c r="D288" s="58" t="str">
        <f ca="1">IF(Results!$S$5,A288,IF(ROW()&lt;=Results!$C$1+1,INDEX(Data!$A:$A,CEILING((COUNTA(Data!$A:$A)-1)*RAND()+1,1)),""))</f>
        <v/>
      </c>
      <c r="E288" s="1" t="str">
        <f>IF(ROW()&lt;=Results!$C$1+1,VLOOKUP($D288,Data!$A$2:$C$117,3,TRUE),"")</f>
        <v/>
      </c>
      <c r="F288" s="14" t="str">
        <f>IF(ROW()&lt;=Results!$C$1+1,IF(E288&lt;=0,"",LN(E288)),"")</f>
        <v/>
      </c>
      <c r="G288" s="53" t="str">
        <f>IF(ROW()&lt;=Results!$C$1+1,IF(ISERROR(C288-F288),"",C288-F288),"")</f>
        <v/>
      </c>
    </row>
    <row r="289" spans="1:7" x14ac:dyDescent="0.25">
      <c r="A289" s="1" t="str">
        <f ca="1">IF(ROW()&lt;=Results!$C$1+1,INDEX(Data!$A:$A,CEILING((COUNTA(Data!$A:$A)-1)*RAND()+1,1)),"")</f>
        <v/>
      </c>
      <c r="B289" s="1" t="str">
        <f>IF(ROW()&lt;=Results!$C$1+1,VLOOKUP($A289,Data!$A$2:$C$117,2,TRUE),"")</f>
        <v/>
      </c>
      <c r="C289" s="14" t="str">
        <f>IF(ROW()&lt;=Results!$C$1+1,IF(B289&lt;=0,"",LN(B289)),"")</f>
        <v/>
      </c>
      <c r="D289" s="58" t="str">
        <f ca="1">IF(Results!$S$5,A289,IF(ROW()&lt;=Results!$C$1+1,INDEX(Data!$A:$A,CEILING((COUNTA(Data!$A:$A)-1)*RAND()+1,1)),""))</f>
        <v/>
      </c>
      <c r="E289" s="1" t="str">
        <f>IF(ROW()&lt;=Results!$C$1+1,VLOOKUP($D289,Data!$A$2:$C$117,3,TRUE),"")</f>
        <v/>
      </c>
      <c r="F289" s="14" t="str">
        <f>IF(ROW()&lt;=Results!$C$1+1,IF(E289&lt;=0,"",LN(E289)),"")</f>
        <v/>
      </c>
      <c r="G289" s="53" t="str">
        <f>IF(ROW()&lt;=Results!$C$1+1,IF(ISERROR(C289-F289),"",C289-F289),"")</f>
        <v/>
      </c>
    </row>
    <row r="290" spans="1:7" x14ac:dyDescent="0.25">
      <c r="A290" s="1" t="str">
        <f ca="1">IF(ROW()&lt;=Results!$C$1+1,INDEX(Data!$A:$A,CEILING((COUNTA(Data!$A:$A)-1)*RAND()+1,1)),"")</f>
        <v/>
      </c>
      <c r="B290" s="1" t="str">
        <f>IF(ROW()&lt;=Results!$C$1+1,VLOOKUP($A290,Data!$A$2:$C$117,2,TRUE),"")</f>
        <v/>
      </c>
      <c r="C290" s="14" t="str">
        <f>IF(ROW()&lt;=Results!$C$1+1,IF(B290&lt;=0,"",LN(B290)),"")</f>
        <v/>
      </c>
      <c r="D290" s="58" t="str">
        <f ca="1">IF(Results!$S$5,A290,IF(ROW()&lt;=Results!$C$1+1,INDEX(Data!$A:$A,CEILING((COUNTA(Data!$A:$A)-1)*RAND()+1,1)),""))</f>
        <v/>
      </c>
      <c r="E290" s="1" t="str">
        <f>IF(ROW()&lt;=Results!$C$1+1,VLOOKUP($D290,Data!$A$2:$C$117,3,TRUE),"")</f>
        <v/>
      </c>
      <c r="F290" s="14" t="str">
        <f>IF(ROW()&lt;=Results!$C$1+1,IF(E290&lt;=0,"",LN(E290)),"")</f>
        <v/>
      </c>
      <c r="G290" s="53" t="str">
        <f>IF(ROW()&lt;=Results!$C$1+1,IF(ISERROR(C290-F290),"",C290-F290),"")</f>
        <v/>
      </c>
    </row>
    <row r="291" spans="1:7" x14ac:dyDescent="0.25">
      <c r="A291" s="1" t="str">
        <f ca="1">IF(ROW()&lt;=Results!$C$1+1,INDEX(Data!$A:$A,CEILING((COUNTA(Data!$A:$A)-1)*RAND()+1,1)),"")</f>
        <v/>
      </c>
      <c r="B291" s="1" t="str">
        <f>IF(ROW()&lt;=Results!$C$1+1,VLOOKUP($A291,Data!$A$2:$C$117,2,TRUE),"")</f>
        <v/>
      </c>
      <c r="C291" s="14" t="str">
        <f>IF(ROW()&lt;=Results!$C$1+1,IF(B291&lt;=0,"",LN(B291)),"")</f>
        <v/>
      </c>
      <c r="D291" s="58" t="str">
        <f ca="1">IF(Results!$S$5,A291,IF(ROW()&lt;=Results!$C$1+1,INDEX(Data!$A:$A,CEILING((COUNTA(Data!$A:$A)-1)*RAND()+1,1)),""))</f>
        <v/>
      </c>
      <c r="E291" s="1" t="str">
        <f>IF(ROW()&lt;=Results!$C$1+1,VLOOKUP($D291,Data!$A$2:$C$117,3,TRUE),"")</f>
        <v/>
      </c>
      <c r="F291" s="14" t="str">
        <f>IF(ROW()&lt;=Results!$C$1+1,IF(E291&lt;=0,"",LN(E291)),"")</f>
        <v/>
      </c>
      <c r="G291" s="53" t="str">
        <f>IF(ROW()&lt;=Results!$C$1+1,IF(ISERROR(C291-F291),"",C291-F291),"")</f>
        <v/>
      </c>
    </row>
    <row r="292" spans="1:7" x14ac:dyDescent="0.25">
      <c r="A292" s="1" t="str">
        <f ca="1">IF(ROW()&lt;=Results!$C$1+1,INDEX(Data!$A:$A,CEILING((COUNTA(Data!$A:$A)-1)*RAND()+1,1)),"")</f>
        <v/>
      </c>
      <c r="B292" s="1" t="str">
        <f>IF(ROW()&lt;=Results!$C$1+1,VLOOKUP($A292,Data!$A$2:$C$117,2,TRUE),"")</f>
        <v/>
      </c>
      <c r="C292" s="14" t="str">
        <f>IF(ROW()&lt;=Results!$C$1+1,IF(B292&lt;=0,"",LN(B292)),"")</f>
        <v/>
      </c>
      <c r="D292" s="58" t="str">
        <f ca="1">IF(Results!$S$5,A292,IF(ROW()&lt;=Results!$C$1+1,INDEX(Data!$A:$A,CEILING((COUNTA(Data!$A:$A)-1)*RAND()+1,1)),""))</f>
        <v/>
      </c>
      <c r="E292" s="1" t="str">
        <f>IF(ROW()&lt;=Results!$C$1+1,VLOOKUP($D292,Data!$A$2:$C$117,3,TRUE),"")</f>
        <v/>
      </c>
      <c r="F292" s="14" t="str">
        <f>IF(ROW()&lt;=Results!$C$1+1,IF(E292&lt;=0,"",LN(E292)),"")</f>
        <v/>
      </c>
      <c r="G292" s="53" t="str">
        <f>IF(ROW()&lt;=Results!$C$1+1,IF(ISERROR(C292-F292),"",C292-F292),"")</f>
        <v/>
      </c>
    </row>
    <row r="293" spans="1:7" x14ac:dyDescent="0.25">
      <c r="A293" s="1" t="str">
        <f ca="1">IF(ROW()&lt;=Results!$C$1+1,INDEX(Data!$A:$A,CEILING((COUNTA(Data!$A:$A)-1)*RAND()+1,1)),"")</f>
        <v/>
      </c>
      <c r="B293" s="1" t="str">
        <f>IF(ROW()&lt;=Results!$C$1+1,VLOOKUP($A293,Data!$A$2:$C$117,2,TRUE),"")</f>
        <v/>
      </c>
      <c r="C293" s="14" t="str">
        <f>IF(ROW()&lt;=Results!$C$1+1,IF(B293&lt;=0,"",LN(B293)),"")</f>
        <v/>
      </c>
      <c r="D293" s="58" t="str">
        <f ca="1">IF(Results!$S$5,A293,IF(ROW()&lt;=Results!$C$1+1,INDEX(Data!$A:$A,CEILING((COUNTA(Data!$A:$A)-1)*RAND()+1,1)),""))</f>
        <v/>
      </c>
      <c r="E293" s="1" t="str">
        <f>IF(ROW()&lt;=Results!$C$1+1,VLOOKUP($D293,Data!$A$2:$C$117,3,TRUE),"")</f>
        <v/>
      </c>
      <c r="F293" s="14" t="str">
        <f>IF(ROW()&lt;=Results!$C$1+1,IF(E293&lt;=0,"",LN(E293)),"")</f>
        <v/>
      </c>
      <c r="G293" s="53" t="str">
        <f>IF(ROW()&lt;=Results!$C$1+1,IF(ISERROR(C293-F293),"",C293-F293),"")</f>
        <v/>
      </c>
    </row>
    <row r="294" spans="1:7" x14ac:dyDescent="0.25">
      <c r="A294" s="1" t="str">
        <f ca="1">IF(ROW()&lt;=Results!$C$1+1,INDEX(Data!$A:$A,CEILING((COUNTA(Data!$A:$A)-1)*RAND()+1,1)),"")</f>
        <v/>
      </c>
      <c r="B294" s="1" t="str">
        <f>IF(ROW()&lt;=Results!$C$1+1,VLOOKUP($A294,Data!$A$2:$C$117,2,TRUE),"")</f>
        <v/>
      </c>
      <c r="C294" s="14" t="str">
        <f>IF(ROW()&lt;=Results!$C$1+1,IF(B294&lt;=0,"",LN(B294)),"")</f>
        <v/>
      </c>
      <c r="D294" s="58" t="str">
        <f ca="1">IF(Results!$S$5,A294,IF(ROW()&lt;=Results!$C$1+1,INDEX(Data!$A:$A,CEILING((COUNTA(Data!$A:$A)-1)*RAND()+1,1)),""))</f>
        <v/>
      </c>
      <c r="E294" s="1" t="str">
        <f>IF(ROW()&lt;=Results!$C$1+1,VLOOKUP($D294,Data!$A$2:$C$117,3,TRUE),"")</f>
        <v/>
      </c>
      <c r="F294" s="14" t="str">
        <f>IF(ROW()&lt;=Results!$C$1+1,IF(E294&lt;=0,"",LN(E294)),"")</f>
        <v/>
      </c>
      <c r="G294" s="53" t="str">
        <f>IF(ROW()&lt;=Results!$C$1+1,IF(ISERROR(C294-F294),"",C294-F294),"")</f>
        <v/>
      </c>
    </row>
    <row r="295" spans="1:7" x14ac:dyDescent="0.25">
      <c r="A295" s="1" t="str">
        <f ca="1">IF(ROW()&lt;=Results!$C$1+1,INDEX(Data!$A:$A,CEILING((COUNTA(Data!$A:$A)-1)*RAND()+1,1)),"")</f>
        <v/>
      </c>
      <c r="B295" s="1" t="str">
        <f>IF(ROW()&lt;=Results!$C$1+1,VLOOKUP($A295,Data!$A$2:$C$117,2,TRUE),"")</f>
        <v/>
      </c>
      <c r="C295" s="14" t="str">
        <f>IF(ROW()&lt;=Results!$C$1+1,IF(B295&lt;=0,"",LN(B295)),"")</f>
        <v/>
      </c>
      <c r="D295" s="58" t="str">
        <f ca="1">IF(Results!$S$5,A295,IF(ROW()&lt;=Results!$C$1+1,INDEX(Data!$A:$A,CEILING((COUNTA(Data!$A:$A)-1)*RAND()+1,1)),""))</f>
        <v/>
      </c>
      <c r="E295" s="1" t="str">
        <f>IF(ROW()&lt;=Results!$C$1+1,VLOOKUP($D295,Data!$A$2:$C$117,3,TRUE),"")</f>
        <v/>
      </c>
      <c r="F295" s="14" t="str">
        <f>IF(ROW()&lt;=Results!$C$1+1,IF(E295&lt;=0,"",LN(E295)),"")</f>
        <v/>
      </c>
      <c r="G295" s="53" t="str">
        <f>IF(ROW()&lt;=Results!$C$1+1,IF(ISERROR(C295-F295),"",C295-F295),"")</f>
        <v/>
      </c>
    </row>
    <row r="296" spans="1:7" x14ac:dyDescent="0.25">
      <c r="A296" s="1" t="str">
        <f ca="1">IF(ROW()&lt;=Results!$C$1+1,INDEX(Data!$A:$A,CEILING((COUNTA(Data!$A:$A)-1)*RAND()+1,1)),"")</f>
        <v/>
      </c>
      <c r="B296" s="1" t="str">
        <f>IF(ROW()&lt;=Results!$C$1+1,VLOOKUP($A296,Data!$A$2:$C$117,2,TRUE),"")</f>
        <v/>
      </c>
      <c r="C296" s="14" t="str">
        <f>IF(ROW()&lt;=Results!$C$1+1,IF(B296&lt;=0,"",LN(B296)),"")</f>
        <v/>
      </c>
      <c r="D296" s="58" t="str">
        <f ca="1">IF(Results!$S$5,A296,IF(ROW()&lt;=Results!$C$1+1,INDEX(Data!$A:$A,CEILING((COUNTA(Data!$A:$A)-1)*RAND()+1,1)),""))</f>
        <v/>
      </c>
      <c r="E296" s="1" t="str">
        <f>IF(ROW()&lt;=Results!$C$1+1,VLOOKUP($D296,Data!$A$2:$C$117,3,TRUE),"")</f>
        <v/>
      </c>
      <c r="F296" s="14" t="str">
        <f>IF(ROW()&lt;=Results!$C$1+1,IF(E296&lt;=0,"",LN(E296)),"")</f>
        <v/>
      </c>
      <c r="G296" s="53" t="str">
        <f>IF(ROW()&lt;=Results!$C$1+1,IF(ISERROR(C296-F296),"",C296-F296),"")</f>
        <v/>
      </c>
    </row>
    <row r="297" spans="1:7" x14ac:dyDescent="0.25">
      <c r="A297" s="1" t="str">
        <f ca="1">IF(ROW()&lt;=Results!$C$1+1,INDEX(Data!$A:$A,CEILING((COUNTA(Data!$A:$A)-1)*RAND()+1,1)),"")</f>
        <v/>
      </c>
      <c r="B297" s="1" t="str">
        <f>IF(ROW()&lt;=Results!$C$1+1,VLOOKUP($A297,Data!$A$2:$C$117,2,TRUE),"")</f>
        <v/>
      </c>
      <c r="C297" s="14" t="str">
        <f>IF(ROW()&lt;=Results!$C$1+1,IF(B297&lt;=0,"",LN(B297)),"")</f>
        <v/>
      </c>
      <c r="D297" s="58" t="str">
        <f ca="1">IF(Results!$S$5,A297,IF(ROW()&lt;=Results!$C$1+1,INDEX(Data!$A:$A,CEILING((COUNTA(Data!$A:$A)-1)*RAND()+1,1)),""))</f>
        <v/>
      </c>
      <c r="E297" s="1" t="str">
        <f>IF(ROW()&lt;=Results!$C$1+1,VLOOKUP($D297,Data!$A$2:$C$117,3,TRUE),"")</f>
        <v/>
      </c>
      <c r="F297" s="14" t="str">
        <f>IF(ROW()&lt;=Results!$C$1+1,IF(E297&lt;=0,"",LN(E297)),"")</f>
        <v/>
      </c>
      <c r="G297" s="53" t="str">
        <f>IF(ROW()&lt;=Results!$C$1+1,IF(ISERROR(C297-F297),"",C297-F297),"")</f>
        <v/>
      </c>
    </row>
    <row r="298" spans="1:7" x14ac:dyDescent="0.25">
      <c r="A298" s="1" t="str">
        <f ca="1">IF(ROW()&lt;=Results!$C$1+1,INDEX(Data!$A:$A,CEILING((COUNTA(Data!$A:$A)-1)*RAND()+1,1)),"")</f>
        <v/>
      </c>
      <c r="B298" s="1" t="str">
        <f>IF(ROW()&lt;=Results!$C$1+1,VLOOKUP($A298,Data!$A$2:$C$117,2,TRUE),"")</f>
        <v/>
      </c>
      <c r="C298" s="14" t="str">
        <f>IF(ROW()&lt;=Results!$C$1+1,IF(B298&lt;=0,"",LN(B298)),"")</f>
        <v/>
      </c>
      <c r="D298" s="58" t="str">
        <f ca="1">IF(Results!$S$5,A298,IF(ROW()&lt;=Results!$C$1+1,INDEX(Data!$A:$A,CEILING((COUNTA(Data!$A:$A)-1)*RAND()+1,1)),""))</f>
        <v/>
      </c>
      <c r="E298" s="1" t="str">
        <f>IF(ROW()&lt;=Results!$C$1+1,VLOOKUP($D298,Data!$A$2:$C$117,3,TRUE),"")</f>
        <v/>
      </c>
      <c r="F298" s="14" t="str">
        <f>IF(ROW()&lt;=Results!$C$1+1,IF(E298&lt;=0,"",LN(E298)),"")</f>
        <v/>
      </c>
      <c r="G298" s="53" t="str">
        <f>IF(ROW()&lt;=Results!$C$1+1,IF(ISERROR(C298-F298),"",C298-F298),"")</f>
        <v/>
      </c>
    </row>
    <row r="299" spans="1:7" x14ac:dyDescent="0.25">
      <c r="A299" s="1" t="str">
        <f ca="1">IF(ROW()&lt;=Results!$C$1+1,INDEX(Data!$A:$A,CEILING((COUNTA(Data!$A:$A)-1)*RAND()+1,1)),"")</f>
        <v/>
      </c>
      <c r="B299" s="1" t="str">
        <f>IF(ROW()&lt;=Results!$C$1+1,VLOOKUP($A299,Data!$A$2:$C$117,2,TRUE),"")</f>
        <v/>
      </c>
      <c r="C299" s="14" t="str">
        <f>IF(ROW()&lt;=Results!$C$1+1,IF(B299&lt;=0,"",LN(B299)),"")</f>
        <v/>
      </c>
      <c r="D299" s="58" t="str">
        <f ca="1">IF(Results!$S$5,A299,IF(ROW()&lt;=Results!$C$1+1,INDEX(Data!$A:$A,CEILING((COUNTA(Data!$A:$A)-1)*RAND()+1,1)),""))</f>
        <v/>
      </c>
      <c r="E299" s="1" t="str">
        <f>IF(ROW()&lt;=Results!$C$1+1,VLOOKUP($D299,Data!$A$2:$C$117,3,TRUE),"")</f>
        <v/>
      </c>
      <c r="F299" s="14" t="str">
        <f>IF(ROW()&lt;=Results!$C$1+1,IF(E299&lt;=0,"",LN(E299)),"")</f>
        <v/>
      </c>
      <c r="G299" s="53" t="str">
        <f>IF(ROW()&lt;=Results!$C$1+1,IF(ISERROR(C299-F299),"",C299-F299),"")</f>
        <v/>
      </c>
    </row>
    <row r="300" spans="1:7" x14ac:dyDescent="0.25">
      <c r="A300" s="1" t="str">
        <f ca="1">IF(ROW()&lt;=Results!$C$1+1,INDEX(Data!$A:$A,CEILING((COUNTA(Data!$A:$A)-1)*RAND()+1,1)),"")</f>
        <v/>
      </c>
      <c r="B300" s="1" t="str">
        <f>IF(ROW()&lt;=Results!$C$1+1,VLOOKUP($A300,Data!$A$2:$C$117,2,TRUE),"")</f>
        <v/>
      </c>
      <c r="C300" s="14" t="str">
        <f>IF(ROW()&lt;=Results!$C$1+1,IF(B300&lt;=0,"",LN(B300)),"")</f>
        <v/>
      </c>
      <c r="D300" s="58" t="str">
        <f ca="1">IF(Results!$S$5,A300,IF(ROW()&lt;=Results!$C$1+1,INDEX(Data!$A:$A,CEILING((COUNTA(Data!$A:$A)-1)*RAND()+1,1)),""))</f>
        <v/>
      </c>
      <c r="E300" s="1" t="str">
        <f>IF(ROW()&lt;=Results!$C$1+1,VLOOKUP($D300,Data!$A$2:$C$117,3,TRUE),"")</f>
        <v/>
      </c>
      <c r="F300" s="14" t="str">
        <f>IF(ROW()&lt;=Results!$C$1+1,IF(E300&lt;=0,"",LN(E300)),"")</f>
        <v/>
      </c>
      <c r="G300" s="53" t="str">
        <f>IF(ROW()&lt;=Results!$C$1+1,IF(ISERROR(C300-F300),"",C300-F300),"")</f>
        <v/>
      </c>
    </row>
    <row r="301" spans="1:7" x14ac:dyDescent="0.25">
      <c r="A301" s="1" t="str">
        <f ca="1">IF(ROW()&lt;=Results!$C$1+1,INDEX(Data!$A:$A,CEILING((COUNTA(Data!$A:$A)-1)*RAND()+1,1)),"")</f>
        <v/>
      </c>
      <c r="B301" s="1" t="str">
        <f>IF(ROW()&lt;=Results!$C$1+1,VLOOKUP($A301,Data!$A$2:$C$117,2,TRUE),"")</f>
        <v/>
      </c>
      <c r="C301" s="14" t="str">
        <f>IF(ROW()&lt;=Results!$C$1+1,IF(B301&lt;=0,"",LN(B301)),"")</f>
        <v/>
      </c>
      <c r="D301" s="58" t="str">
        <f ca="1">IF(Results!$S$5,A301,IF(ROW()&lt;=Results!$C$1+1,INDEX(Data!$A:$A,CEILING((COUNTA(Data!$A:$A)-1)*RAND()+1,1)),""))</f>
        <v/>
      </c>
      <c r="E301" s="1" t="str">
        <f>IF(ROW()&lt;=Results!$C$1+1,VLOOKUP($D301,Data!$A$2:$C$117,3,TRUE),"")</f>
        <v/>
      </c>
      <c r="F301" s="14" t="str">
        <f>IF(ROW()&lt;=Results!$C$1+1,IF(E301&lt;=0,"",LN(E301)),"")</f>
        <v/>
      </c>
      <c r="G301" s="53" t="str">
        <f>IF(ROW()&lt;=Results!$C$1+1,IF(ISERROR(C301-F301),"",C301-F301),"")</f>
        <v/>
      </c>
    </row>
    <row r="302" spans="1:7" x14ac:dyDescent="0.25">
      <c r="A302" s="1" t="str">
        <f ca="1">IF(ROW()&lt;=Results!$C$1+1,INDEX(Data!$A:$A,CEILING((COUNTA(Data!$A:$A)-1)*RAND()+1,1)),"")</f>
        <v/>
      </c>
      <c r="B302" s="1" t="str">
        <f>IF(ROW()&lt;=Results!$C$1+1,VLOOKUP($A302,Data!$A$2:$C$117,2,TRUE),"")</f>
        <v/>
      </c>
      <c r="C302" s="14" t="str">
        <f>IF(ROW()&lt;=Results!$C$1+1,IF(B302&lt;=0,"",LN(B302)),"")</f>
        <v/>
      </c>
      <c r="D302" s="58" t="str">
        <f ca="1">IF(Results!$S$5,A302,IF(ROW()&lt;=Results!$C$1+1,INDEX(Data!$A:$A,CEILING((COUNTA(Data!$A:$A)-1)*RAND()+1,1)),""))</f>
        <v/>
      </c>
      <c r="E302" s="1" t="str">
        <f>IF(ROW()&lt;=Results!$C$1+1,VLOOKUP($D302,Data!$A$2:$C$117,3,TRUE),"")</f>
        <v/>
      </c>
      <c r="F302" s="14" t="str">
        <f>IF(ROW()&lt;=Results!$C$1+1,IF(E302&lt;=0,"",LN(E302)),"")</f>
        <v/>
      </c>
      <c r="G302" s="53" t="str">
        <f>IF(ROW()&lt;=Results!$C$1+1,IF(ISERROR(C302-F302),"",C302-F302),"")</f>
        <v/>
      </c>
    </row>
    <row r="303" spans="1:7" x14ac:dyDescent="0.25">
      <c r="A303" s="1" t="str">
        <f ca="1">IF(ROW()&lt;=Results!$C$1+1,INDEX(Data!$A:$A,CEILING((COUNTA(Data!$A:$A)-1)*RAND()+1,1)),"")</f>
        <v/>
      </c>
      <c r="B303" s="1" t="str">
        <f>IF(ROW()&lt;=Results!$C$1+1,VLOOKUP($A303,Data!$A$2:$C$117,2,TRUE),"")</f>
        <v/>
      </c>
      <c r="C303" s="14" t="str">
        <f>IF(ROW()&lt;=Results!$C$1+1,IF(B303&lt;=0,"",LN(B303)),"")</f>
        <v/>
      </c>
      <c r="D303" s="58" t="str">
        <f ca="1">IF(Results!$S$5,A303,IF(ROW()&lt;=Results!$C$1+1,INDEX(Data!$A:$A,CEILING((COUNTA(Data!$A:$A)-1)*RAND()+1,1)),""))</f>
        <v/>
      </c>
      <c r="E303" s="1" t="str">
        <f>IF(ROW()&lt;=Results!$C$1+1,VLOOKUP($D303,Data!$A$2:$C$117,3,TRUE),"")</f>
        <v/>
      </c>
      <c r="F303" s="14" t="str">
        <f>IF(ROW()&lt;=Results!$C$1+1,IF(E303&lt;=0,"",LN(E303)),"")</f>
        <v/>
      </c>
      <c r="G303" s="53" t="str">
        <f>IF(ROW()&lt;=Results!$C$1+1,IF(ISERROR(C303-F303),"",C303-F303),"")</f>
        <v/>
      </c>
    </row>
    <row r="304" spans="1:7" x14ac:dyDescent="0.25">
      <c r="A304" s="1" t="str">
        <f ca="1">IF(ROW()&lt;=Results!$C$1+1,INDEX(Data!$A:$A,CEILING((COUNTA(Data!$A:$A)-1)*RAND()+1,1)),"")</f>
        <v/>
      </c>
      <c r="B304" s="1" t="str">
        <f>IF(ROW()&lt;=Results!$C$1+1,VLOOKUP($A304,Data!$A$2:$C$117,2,TRUE),"")</f>
        <v/>
      </c>
      <c r="C304" s="14" t="str">
        <f>IF(ROW()&lt;=Results!$C$1+1,IF(B304&lt;=0,"",LN(B304)),"")</f>
        <v/>
      </c>
      <c r="D304" s="58" t="str">
        <f ca="1">IF(Results!$S$5,A304,IF(ROW()&lt;=Results!$C$1+1,INDEX(Data!$A:$A,CEILING((COUNTA(Data!$A:$A)-1)*RAND()+1,1)),""))</f>
        <v/>
      </c>
      <c r="E304" s="1" t="str">
        <f>IF(ROW()&lt;=Results!$C$1+1,VLOOKUP($D304,Data!$A$2:$C$117,3,TRUE),"")</f>
        <v/>
      </c>
      <c r="F304" s="14" t="str">
        <f>IF(ROW()&lt;=Results!$C$1+1,IF(E304&lt;=0,"",LN(E304)),"")</f>
        <v/>
      </c>
      <c r="G304" s="53" t="str">
        <f>IF(ROW()&lt;=Results!$C$1+1,IF(ISERROR(C304-F304),"",C304-F304),"")</f>
        <v/>
      </c>
    </row>
    <row r="305" spans="1:7" x14ac:dyDescent="0.25">
      <c r="A305" s="1" t="str">
        <f ca="1">IF(ROW()&lt;=Results!$C$1+1,INDEX(Data!$A:$A,CEILING((COUNTA(Data!$A:$A)-1)*RAND()+1,1)),"")</f>
        <v/>
      </c>
      <c r="B305" s="1" t="str">
        <f>IF(ROW()&lt;=Results!$C$1+1,VLOOKUP($A305,Data!$A$2:$C$117,2,TRUE),"")</f>
        <v/>
      </c>
      <c r="C305" s="14" t="str">
        <f>IF(ROW()&lt;=Results!$C$1+1,IF(B305&lt;=0,"",LN(B305)),"")</f>
        <v/>
      </c>
      <c r="D305" s="58" t="str">
        <f ca="1">IF(Results!$S$5,A305,IF(ROW()&lt;=Results!$C$1+1,INDEX(Data!$A:$A,CEILING((COUNTA(Data!$A:$A)-1)*RAND()+1,1)),""))</f>
        <v/>
      </c>
      <c r="E305" s="1" t="str">
        <f>IF(ROW()&lt;=Results!$C$1+1,VLOOKUP($D305,Data!$A$2:$C$117,3,TRUE),"")</f>
        <v/>
      </c>
      <c r="F305" s="14" t="str">
        <f>IF(ROW()&lt;=Results!$C$1+1,IF(E305&lt;=0,"",LN(E305)),"")</f>
        <v/>
      </c>
      <c r="G305" s="53" t="str">
        <f>IF(ROW()&lt;=Results!$C$1+1,IF(ISERROR(C305-F305),"",C305-F305),"")</f>
        <v/>
      </c>
    </row>
    <row r="306" spans="1:7" x14ac:dyDescent="0.25">
      <c r="A306" s="1" t="str">
        <f ca="1">IF(ROW()&lt;=Results!$C$1+1,INDEX(Data!$A:$A,CEILING((COUNTA(Data!$A:$A)-1)*RAND()+1,1)),"")</f>
        <v/>
      </c>
      <c r="B306" s="1" t="str">
        <f>IF(ROW()&lt;=Results!$C$1+1,VLOOKUP($A306,Data!$A$2:$C$117,2,TRUE),"")</f>
        <v/>
      </c>
      <c r="C306" s="14" t="str">
        <f>IF(ROW()&lt;=Results!$C$1+1,IF(B306&lt;=0,"",LN(B306)),"")</f>
        <v/>
      </c>
      <c r="D306" s="58" t="str">
        <f ca="1">IF(Results!$S$5,A306,IF(ROW()&lt;=Results!$C$1+1,INDEX(Data!$A:$A,CEILING((COUNTA(Data!$A:$A)-1)*RAND()+1,1)),""))</f>
        <v/>
      </c>
      <c r="E306" s="1" t="str">
        <f>IF(ROW()&lt;=Results!$C$1+1,VLOOKUP($D306,Data!$A$2:$C$117,3,TRUE),"")</f>
        <v/>
      </c>
      <c r="F306" s="14" t="str">
        <f>IF(ROW()&lt;=Results!$C$1+1,IF(E306&lt;=0,"",LN(E306)),"")</f>
        <v/>
      </c>
      <c r="G306" s="53" t="str">
        <f>IF(ROW()&lt;=Results!$C$1+1,IF(ISERROR(C306-F306),"",C306-F306),"")</f>
        <v/>
      </c>
    </row>
    <row r="307" spans="1:7" x14ac:dyDescent="0.25">
      <c r="A307" s="1" t="str">
        <f ca="1">IF(ROW()&lt;=Results!$C$1+1,INDEX(Data!$A:$A,CEILING((COUNTA(Data!$A:$A)-1)*RAND()+1,1)),"")</f>
        <v/>
      </c>
      <c r="B307" s="1" t="str">
        <f>IF(ROW()&lt;=Results!$C$1+1,VLOOKUP($A307,Data!$A$2:$C$117,2,TRUE),"")</f>
        <v/>
      </c>
      <c r="C307" s="14" t="str">
        <f>IF(ROW()&lt;=Results!$C$1+1,IF(B307&lt;=0,"",LN(B307)),"")</f>
        <v/>
      </c>
      <c r="D307" s="58" t="str">
        <f ca="1">IF(Results!$S$5,A307,IF(ROW()&lt;=Results!$C$1+1,INDEX(Data!$A:$A,CEILING((COUNTA(Data!$A:$A)-1)*RAND()+1,1)),""))</f>
        <v/>
      </c>
      <c r="E307" s="1" t="str">
        <f>IF(ROW()&lt;=Results!$C$1+1,VLOOKUP($D307,Data!$A$2:$C$117,3,TRUE),"")</f>
        <v/>
      </c>
      <c r="F307" s="14" t="str">
        <f>IF(ROW()&lt;=Results!$C$1+1,IF(E307&lt;=0,"",LN(E307)),"")</f>
        <v/>
      </c>
      <c r="G307" s="53" t="str">
        <f>IF(ROW()&lt;=Results!$C$1+1,IF(ISERROR(C307-F307),"",C307-F307),"")</f>
        <v/>
      </c>
    </row>
    <row r="308" spans="1:7" x14ac:dyDescent="0.25">
      <c r="A308" s="1" t="str">
        <f ca="1">IF(ROW()&lt;=Results!$C$1+1,INDEX(Data!$A:$A,CEILING((COUNTA(Data!$A:$A)-1)*RAND()+1,1)),"")</f>
        <v/>
      </c>
      <c r="B308" s="1" t="str">
        <f>IF(ROW()&lt;=Results!$C$1+1,VLOOKUP($A308,Data!$A$2:$C$117,2,TRUE),"")</f>
        <v/>
      </c>
      <c r="C308" s="14" t="str">
        <f>IF(ROW()&lt;=Results!$C$1+1,IF(B308&lt;=0,"",LN(B308)),"")</f>
        <v/>
      </c>
      <c r="D308" s="58" t="str">
        <f ca="1">IF(Results!$S$5,A308,IF(ROW()&lt;=Results!$C$1+1,INDEX(Data!$A:$A,CEILING((COUNTA(Data!$A:$A)-1)*RAND()+1,1)),""))</f>
        <v/>
      </c>
      <c r="E308" s="1" t="str">
        <f>IF(ROW()&lt;=Results!$C$1+1,VLOOKUP($D308,Data!$A$2:$C$117,3,TRUE),"")</f>
        <v/>
      </c>
      <c r="F308" s="14" t="str">
        <f>IF(ROW()&lt;=Results!$C$1+1,IF(E308&lt;=0,"",LN(E308)),"")</f>
        <v/>
      </c>
      <c r="G308" s="53" t="str">
        <f>IF(ROW()&lt;=Results!$C$1+1,IF(ISERROR(C308-F308),"",C308-F308),"")</f>
        <v/>
      </c>
    </row>
    <row r="309" spans="1:7" x14ac:dyDescent="0.25">
      <c r="A309" s="1" t="str">
        <f ca="1">IF(ROW()&lt;=Results!$C$1+1,INDEX(Data!$A:$A,CEILING((COUNTA(Data!$A:$A)-1)*RAND()+1,1)),"")</f>
        <v/>
      </c>
      <c r="B309" s="1" t="str">
        <f>IF(ROW()&lt;=Results!$C$1+1,VLOOKUP($A309,Data!$A$2:$C$117,2,TRUE),"")</f>
        <v/>
      </c>
      <c r="C309" s="14" t="str">
        <f>IF(ROW()&lt;=Results!$C$1+1,IF(B309&lt;=0,"",LN(B309)),"")</f>
        <v/>
      </c>
      <c r="D309" s="58" t="str">
        <f ca="1">IF(Results!$S$5,A309,IF(ROW()&lt;=Results!$C$1+1,INDEX(Data!$A:$A,CEILING((COUNTA(Data!$A:$A)-1)*RAND()+1,1)),""))</f>
        <v/>
      </c>
      <c r="E309" s="1" t="str">
        <f>IF(ROW()&lt;=Results!$C$1+1,VLOOKUP($D309,Data!$A$2:$C$117,3,TRUE),"")</f>
        <v/>
      </c>
      <c r="F309" s="14" t="str">
        <f>IF(ROW()&lt;=Results!$C$1+1,IF(E309&lt;=0,"",LN(E309)),"")</f>
        <v/>
      </c>
      <c r="G309" s="53" t="str">
        <f>IF(ROW()&lt;=Results!$C$1+1,IF(ISERROR(C309-F309),"",C309-F309),"")</f>
        <v/>
      </c>
    </row>
    <row r="310" spans="1:7" x14ac:dyDescent="0.25">
      <c r="A310" s="1" t="str">
        <f ca="1">IF(ROW()&lt;=Results!$C$1+1,INDEX(Data!$A:$A,CEILING((COUNTA(Data!$A:$A)-1)*RAND()+1,1)),"")</f>
        <v/>
      </c>
      <c r="B310" s="1" t="str">
        <f>IF(ROW()&lt;=Results!$C$1+1,VLOOKUP($A310,Data!$A$2:$C$117,2,TRUE),"")</f>
        <v/>
      </c>
      <c r="C310" s="14" t="str">
        <f>IF(ROW()&lt;=Results!$C$1+1,IF(B310&lt;=0,"",LN(B310)),"")</f>
        <v/>
      </c>
      <c r="D310" s="58" t="str">
        <f ca="1">IF(Results!$S$5,A310,IF(ROW()&lt;=Results!$C$1+1,INDEX(Data!$A:$A,CEILING((COUNTA(Data!$A:$A)-1)*RAND()+1,1)),""))</f>
        <v/>
      </c>
      <c r="E310" s="1" t="str">
        <f>IF(ROW()&lt;=Results!$C$1+1,VLOOKUP($D310,Data!$A$2:$C$117,3,TRUE),"")</f>
        <v/>
      </c>
      <c r="F310" s="14" t="str">
        <f>IF(ROW()&lt;=Results!$C$1+1,IF(E310&lt;=0,"",LN(E310)),"")</f>
        <v/>
      </c>
      <c r="G310" s="53" t="str">
        <f>IF(ROW()&lt;=Results!$C$1+1,IF(ISERROR(C310-F310),"",C310-F310),"")</f>
        <v/>
      </c>
    </row>
    <row r="311" spans="1:7" x14ac:dyDescent="0.25">
      <c r="A311" s="1" t="str">
        <f ca="1">IF(ROW()&lt;=Results!$C$1+1,INDEX(Data!$A:$A,CEILING((COUNTA(Data!$A:$A)-1)*RAND()+1,1)),"")</f>
        <v/>
      </c>
      <c r="B311" s="1" t="str">
        <f>IF(ROW()&lt;=Results!$C$1+1,VLOOKUP($A311,Data!$A$2:$C$117,2,TRUE),"")</f>
        <v/>
      </c>
      <c r="C311" s="14" t="str">
        <f>IF(ROW()&lt;=Results!$C$1+1,IF(B311&lt;=0,"",LN(B311)),"")</f>
        <v/>
      </c>
      <c r="D311" s="58" t="str">
        <f ca="1">IF(Results!$S$5,A311,IF(ROW()&lt;=Results!$C$1+1,INDEX(Data!$A:$A,CEILING((COUNTA(Data!$A:$A)-1)*RAND()+1,1)),""))</f>
        <v/>
      </c>
      <c r="E311" s="1" t="str">
        <f>IF(ROW()&lt;=Results!$C$1+1,VLOOKUP($D311,Data!$A$2:$C$117,3,TRUE),"")</f>
        <v/>
      </c>
      <c r="F311" s="14" t="str">
        <f>IF(ROW()&lt;=Results!$C$1+1,IF(E311&lt;=0,"",LN(E311)),"")</f>
        <v/>
      </c>
      <c r="G311" s="53" t="str">
        <f>IF(ROW()&lt;=Results!$C$1+1,IF(ISERROR(C311-F311),"",C311-F311),"")</f>
        <v/>
      </c>
    </row>
    <row r="312" spans="1:7" x14ac:dyDescent="0.25">
      <c r="A312" s="1" t="str">
        <f ca="1">IF(ROW()&lt;=Results!$C$1+1,INDEX(Data!$A:$A,CEILING((COUNTA(Data!$A:$A)-1)*RAND()+1,1)),"")</f>
        <v/>
      </c>
      <c r="B312" s="1" t="str">
        <f>IF(ROW()&lt;=Results!$C$1+1,VLOOKUP($A312,Data!$A$2:$C$117,2,TRUE),"")</f>
        <v/>
      </c>
      <c r="C312" s="14" t="str">
        <f>IF(ROW()&lt;=Results!$C$1+1,IF(B312&lt;=0,"",LN(B312)),"")</f>
        <v/>
      </c>
      <c r="D312" s="58" t="str">
        <f ca="1">IF(Results!$S$5,A312,IF(ROW()&lt;=Results!$C$1+1,INDEX(Data!$A:$A,CEILING((COUNTA(Data!$A:$A)-1)*RAND()+1,1)),""))</f>
        <v/>
      </c>
      <c r="E312" s="1" t="str">
        <f>IF(ROW()&lt;=Results!$C$1+1,VLOOKUP($D312,Data!$A$2:$C$117,3,TRUE),"")</f>
        <v/>
      </c>
      <c r="F312" s="14" t="str">
        <f>IF(ROW()&lt;=Results!$C$1+1,IF(E312&lt;=0,"",LN(E312)),"")</f>
        <v/>
      </c>
      <c r="G312" s="53" t="str">
        <f>IF(ROW()&lt;=Results!$C$1+1,IF(ISERROR(C312-F312),"",C312-F312),"")</f>
        <v/>
      </c>
    </row>
    <row r="313" spans="1:7" x14ac:dyDescent="0.25">
      <c r="A313" s="1" t="str">
        <f ca="1">IF(ROW()&lt;=Results!$C$1+1,INDEX(Data!$A:$A,CEILING((COUNTA(Data!$A:$A)-1)*RAND()+1,1)),"")</f>
        <v/>
      </c>
      <c r="B313" s="1" t="str">
        <f>IF(ROW()&lt;=Results!$C$1+1,VLOOKUP($A313,Data!$A$2:$C$117,2,TRUE),"")</f>
        <v/>
      </c>
      <c r="C313" s="14" t="str">
        <f>IF(ROW()&lt;=Results!$C$1+1,IF(B313&lt;=0,"",LN(B313)),"")</f>
        <v/>
      </c>
      <c r="D313" s="58" t="str">
        <f ca="1">IF(Results!$S$5,A313,IF(ROW()&lt;=Results!$C$1+1,INDEX(Data!$A:$A,CEILING((COUNTA(Data!$A:$A)-1)*RAND()+1,1)),""))</f>
        <v/>
      </c>
      <c r="E313" s="1" t="str">
        <f>IF(ROW()&lt;=Results!$C$1+1,VLOOKUP($D313,Data!$A$2:$C$117,3,TRUE),"")</f>
        <v/>
      </c>
      <c r="F313" s="14" t="str">
        <f>IF(ROW()&lt;=Results!$C$1+1,IF(E313&lt;=0,"",LN(E313)),"")</f>
        <v/>
      </c>
      <c r="G313" s="53" t="str">
        <f>IF(ROW()&lt;=Results!$C$1+1,IF(ISERROR(C313-F313),"",C313-F313),"")</f>
        <v/>
      </c>
    </row>
    <row r="314" spans="1:7" x14ac:dyDescent="0.25">
      <c r="A314" s="1" t="str">
        <f ca="1">IF(ROW()&lt;=Results!$C$1+1,INDEX(Data!$A:$A,CEILING((COUNTA(Data!$A:$A)-1)*RAND()+1,1)),"")</f>
        <v/>
      </c>
      <c r="B314" s="1" t="str">
        <f>IF(ROW()&lt;=Results!$C$1+1,VLOOKUP($A314,Data!$A$2:$C$117,2,TRUE),"")</f>
        <v/>
      </c>
      <c r="C314" s="14" t="str">
        <f>IF(ROW()&lt;=Results!$C$1+1,IF(B314&lt;=0,"",LN(B314)),"")</f>
        <v/>
      </c>
      <c r="D314" s="58" t="str">
        <f ca="1">IF(Results!$S$5,A314,IF(ROW()&lt;=Results!$C$1+1,INDEX(Data!$A:$A,CEILING((COUNTA(Data!$A:$A)-1)*RAND()+1,1)),""))</f>
        <v/>
      </c>
      <c r="E314" s="1" t="str">
        <f>IF(ROW()&lt;=Results!$C$1+1,VLOOKUP($D314,Data!$A$2:$C$117,3,TRUE),"")</f>
        <v/>
      </c>
      <c r="F314" s="14" t="str">
        <f>IF(ROW()&lt;=Results!$C$1+1,IF(E314&lt;=0,"",LN(E314)),"")</f>
        <v/>
      </c>
      <c r="G314" s="53" t="str">
        <f>IF(ROW()&lt;=Results!$C$1+1,IF(ISERROR(C314-F314),"",C314-F314),"")</f>
        <v/>
      </c>
    </row>
    <row r="315" spans="1:7" x14ac:dyDescent="0.25">
      <c r="A315" s="1" t="str">
        <f ca="1">IF(ROW()&lt;=Results!$C$1+1,INDEX(Data!$A:$A,CEILING((COUNTA(Data!$A:$A)-1)*RAND()+1,1)),"")</f>
        <v/>
      </c>
      <c r="B315" s="1" t="str">
        <f>IF(ROW()&lt;=Results!$C$1+1,VLOOKUP($A315,Data!$A$2:$C$117,2,TRUE),"")</f>
        <v/>
      </c>
      <c r="C315" s="14" t="str">
        <f>IF(ROW()&lt;=Results!$C$1+1,IF(B315&lt;=0,"",LN(B315)),"")</f>
        <v/>
      </c>
      <c r="D315" s="58" t="str">
        <f ca="1">IF(Results!$S$5,A315,IF(ROW()&lt;=Results!$C$1+1,INDEX(Data!$A:$A,CEILING((COUNTA(Data!$A:$A)-1)*RAND()+1,1)),""))</f>
        <v/>
      </c>
      <c r="E315" s="1" t="str">
        <f>IF(ROW()&lt;=Results!$C$1+1,VLOOKUP($D315,Data!$A$2:$C$117,3,TRUE),"")</f>
        <v/>
      </c>
      <c r="F315" s="14" t="str">
        <f>IF(ROW()&lt;=Results!$C$1+1,IF(E315&lt;=0,"",LN(E315)),"")</f>
        <v/>
      </c>
      <c r="G315" s="53" t="str">
        <f>IF(ROW()&lt;=Results!$C$1+1,IF(ISERROR(C315-F315),"",C315-F315),"")</f>
        <v/>
      </c>
    </row>
    <row r="316" spans="1:7" x14ac:dyDescent="0.25">
      <c r="A316" s="1" t="str">
        <f ca="1">IF(ROW()&lt;=Results!$C$1+1,INDEX(Data!$A:$A,CEILING((COUNTA(Data!$A:$A)-1)*RAND()+1,1)),"")</f>
        <v/>
      </c>
      <c r="B316" s="1" t="str">
        <f>IF(ROW()&lt;=Results!$C$1+1,VLOOKUP($A316,Data!$A$2:$C$117,2,TRUE),"")</f>
        <v/>
      </c>
      <c r="C316" s="14" t="str">
        <f>IF(ROW()&lt;=Results!$C$1+1,IF(B316&lt;=0,"",LN(B316)),"")</f>
        <v/>
      </c>
      <c r="D316" s="58" t="str">
        <f ca="1">IF(Results!$S$5,A316,IF(ROW()&lt;=Results!$C$1+1,INDEX(Data!$A:$A,CEILING((COUNTA(Data!$A:$A)-1)*RAND()+1,1)),""))</f>
        <v/>
      </c>
      <c r="E316" s="1" t="str">
        <f>IF(ROW()&lt;=Results!$C$1+1,VLOOKUP($D316,Data!$A$2:$C$117,3,TRUE),"")</f>
        <v/>
      </c>
      <c r="F316" s="14" t="str">
        <f>IF(ROW()&lt;=Results!$C$1+1,IF(E316&lt;=0,"",LN(E316)),"")</f>
        <v/>
      </c>
      <c r="G316" s="53" t="str">
        <f>IF(ROW()&lt;=Results!$C$1+1,IF(ISERROR(C316-F316),"",C316-F316),"")</f>
        <v/>
      </c>
    </row>
    <row r="317" spans="1:7" x14ac:dyDescent="0.25">
      <c r="A317" s="1" t="str">
        <f ca="1">IF(ROW()&lt;=Results!$C$1+1,INDEX(Data!$A:$A,CEILING((COUNTA(Data!$A:$A)-1)*RAND()+1,1)),"")</f>
        <v/>
      </c>
      <c r="B317" s="1" t="str">
        <f>IF(ROW()&lt;=Results!$C$1+1,VLOOKUP($A317,Data!$A$2:$C$117,2,TRUE),"")</f>
        <v/>
      </c>
      <c r="C317" s="14" t="str">
        <f>IF(ROW()&lt;=Results!$C$1+1,IF(B317&lt;=0,"",LN(B317)),"")</f>
        <v/>
      </c>
      <c r="D317" s="58" t="str">
        <f ca="1">IF(Results!$S$5,A317,IF(ROW()&lt;=Results!$C$1+1,INDEX(Data!$A:$A,CEILING((COUNTA(Data!$A:$A)-1)*RAND()+1,1)),""))</f>
        <v/>
      </c>
      <c r="E317" s="1" t="str">
        <f>IF(ROW()&lt;=Results!$C$1+1,VLOOKUP($D317,Data!$A$2:$C$117,3,TRUE),"")</f>
        <v/>
      </c>
      <c r="F317" s="14" t="str">
        <f>IF(ROW()&lt;=Results!$C$1+1,IF(E317&lt;=0,"",LN(E317)),"")</f>
        <v/>
      </c>
      <c r="G317" s="53" t="str">
        <f>IF(ROW()&lt;=Results!$C$1+1,IF(ISERROR(C317-F317),"",C317-F317),"")</f>
        <v/>
      </c>
    </row>
    <row r="318" spans="1:7" x14ac:dyDescent="0.25">
      <c r="A318" s="1" t="str">
        <f ca="1">IF(ROW()&lt;=Results!$C$1+1,INDEX(Data!$A:$A,CEILING((COUNTA(Data!$A:$A)-1)*RAND()+1,1)),"")</f>
        <v/>
      </c>
      <c r="B318" s="1" t="str">
        <f>IF(ROW()&lt;=Results!$C$1+1,VLOOKUP($A318,Data!$A$2:$C$117,2,TRUE),"")</f>
        <v/>
      </c>
      <c r="C318" s="14" t="str">
        <f>IF(ROW()&lt;=Results!$C$1+1,IF(B318&lt;=0,"",LN(B318)),"")</f>
        <v/>
      </c>
      <c r="D318" s="58" t="str">
        <f ca="1">IF(Results!$S$5,A318,IF(ROW()&lt;=Results!$C$1+1,INDEX(Data!$A:$A,CEILING((COUNTA(Data!$A:$A)-1)*RAND()+1,1)),""))</f>
        <v/>
      </c>
      <c r="E318" s="1" t="str">
        <f>IF(ROW()&lt;=Results!$C$1+1,VLOOKUP($D318,Data!$A$2:$C$117,3,TRUE),"")</f>
        <v/>
      </c>
      <c r="F318" s="14" t="str">
        <f>IF(ROW()&lt;=Results!$C$1+1,IF(E318&lt;=0,"",LN(E318)),"")</f>
        <v/>
      </c>
      <c r="G318" s="53" t="str">
        <f>IF(ROW()&lt;=Results!$C$1+1,IF(ISERROR(C318-F318),"",C318-F318),"")</f>
        <v/>
      </c>
    </row>
    <row r="319" spans="1:7" x14ac:dyDescent="0.25">
      <c r="A319" s="1" t="str">
        <f ca="1">IF(ROW()&lt;=Results!$C$1+1,INDEX(Data!$A:$A,CEILING((COUNTA(Data!$A:$A)-1)*RAND()+1,1)),"")</f>
        <v/>
      </c>
      <c r="B319" s="1" t="str">
        <f>IF(ROW()&lt;=Results!$C$1+1,VLOOKUP($A319,Data!$A$2:$C$117,2,TRUE),"")</f>
        <v/>
      </c>
      <c r="C319" s="14" t="str">
        <f>IF(ROW()&lt;=Results!$C$1+1,IF(B319&lt;=0,"",LN(B319)),"")</f>
        <v/>
      </c>
      <c r="D319" s="58" t="str">
        <f ca="1">IF(Results!$S$5,A319,IF(ROW()&lt;=Results!$C$1+1,INDEX(Data!$A:$A,CEILING((COUNTA(Data!$A:$A)-1)*RAND()+1,1)),""))</f>
        <v/>
      </c>
      <c r="E319" s="1" t="str">
        <f>IF(ROW()&lt;=Results!$C$1+1,VLOOKUP($D319,Data!$A$2:$C$117,3,TRUE),"")</f>
        <v/>
      </c>
      <c r="F319" s="14" t="str">
        <f>IF(ROW()&lt;=Results!$C$1+1,IF(E319&lt;=0,"",LN(E319)),"")</f>
        <v/>
      </c>
      <c r="G319" s="53" t="str">
        <f>IF(ROW()&lt;=Results!$C$1+1,IF(ISERROR(C319-F319),"",C319-F319),"")</f>
        <v/>
      </c>
    </row>
    <row r="320" spans="1:7" x14ac:dyDescent="0.25">
      <c r="A320" s="1" t="str">
        <f ca="1">IF(ROW()&lt;=Results!$C$1+1,INDEX(Data!$A:$A,CEILING((COUNTA(Data!$A:$A)-1)*RAND()+1,1)),"")</f>
        <v/>
      </c>
      <c r="B320" s="1" t="str">
        <f>IF(ROW()&lt;=Results!$C$1+1,VLOOKUP($A320,Data!$A$2:$C$117,2,TRUE),"")</f>
        <v/>
      </c>
      <c r="C320" s="14" t="str">
        <f>IF(ROW()&lt;=Results!$C$1+1,IF(B320&lt;=0,"",LN(B320)),"")</f>
        <v/>
      </c>
      <c r="D320" s="58" t="str">
        <f ca="1">IF(Results!$S$5,A320,IF(ROW()&lt;=Results!$C$1+1,INDEX(Data!$A:$A,CEILING((COUNTA(Data!$A:$A)-1)*RAND()+1,1)),""))</f>
        <v/>
      </c>
      <c r="E320" s="1" t="str">
        <f>IF(ROW()&lt;=Results!$C$1+1,VLOOKUP($D320,Data!$A$2:$C$117,3,TRUE),"")</f>
        <v/>
      </c>
      <c r="F320" s="14" t="str">
        <f>IF(ROW()&lt;=Results!$C$1+1,IF(E320&lt;=0,"",LN(E320)),"")</f>
        <v/>
      </c>
      <c r="G320" s="53" t="str">
        <f>IF(ROW()&lt;=Results!$C$1+1,IF(ISERROR(C320-F320),"",C320-F320),"")</f>
        <v/>
      </c>
    </row>
    <row r="321" spans="1:7" x14ac:dyDescent="0.25">
      <c r="A321" s="1" t="str">
        <f ca="1">IF(ROW()&lt;=Results!$C$1+1,INDEX(Data!$A:$A,CEILING((COUNTA(Data!$A:$A)-1)*RAND()+1,1)),"")</f>
        <v/>
      </c>
      <c r="B321" s="1" t="str">
        <f>IF(ROW()&lt;=Results!$C$1+1,VLOOKUP($A321,Data!$A$2:$C$117,2,TRUE),"")</f>
        <v/>
      </c>
      <c r="C321" s="14" t="str">
        <f>IF(ROW()&lt;=Results!$C$1+1,IF(B321&lt;=0,"",LN(B321)),"")</f>
        <v/>
      </c>
      <c r="D321" s="58" t="str">
        <f ca="1">IF(Results!$S$5,A321,IF(ROW()&lt;=Results!$C$1+1,INDEX(Data!$A:$A,CEILING((COUNTA(Data!$A:$A)-1)*RAND()+1,1)),""))</f>
        <v/>
      </c>
      <c r="E321" s="1" t="str">
        <f>IF(ROW()&lt;=Results!$C$1+1,VLOOKUP($D321,Data!$A$2:$C$117,3,TRUE),"")</f>
        <v/>
      </c>
      <c r="F321" s="14" t="str">
        <f>IF(ROW()&lt;=Results!$C$1+1,IF(E321&lt;=0,"",LN(E321)),"")</f>
        <v/>
      </c>
      <c r="G321" s="53" t="str">
        <f>IF(ROW()&lt;=Results!$C$1+1,IF(ISERROR(C321-F321),"",C321-F321),"")</f>
        <v/>
      </c>
    </row>
    <row r="322" spans="1:7" x14ac:dyDescent="0.25">
      <c r="A322" s="1" t="str">
        <f ca="1">IF(ROW()&lt;=Results!$C$1+1,INDEX(Data!$A:$A,CEILING((COUNTA(Data!$A:$A)-1)*RAND()+1,1)),"")</f>
        <v/>
      </c>
      <c r="B322" s="1" t="str">
        <f>IF(ROW()&lt;=Results!$C$1+1,VLOOKUP($A322,Data!$A$2:$C$117,2,TRUE),"")</f>
        <v/>
      </c>
      <c r="C322" s="14" t="str">
        <f>IF(ROW()&lt;=Results!$C$1+1,IF(B322&lt;=0,"",LN(B322)),"")</f>
        <v/>
      </c>
      <c r="D322" s="58" t="str">
        <f ca="1">IF(Results!$S$5,A322,IF(ROW()&lt;=Results!$C$1+1,INDEX(Data!$A:$A,CEILING((COUNTA(Data!$A:$A)-1)*RAND()+1,1)),""))</f>
        <v/>
      </c>
      <c r="E322" s="1" t="str">
        <f>IF(ROW()&lt;=Results!$C$1+1,VLOOKUP($D322,Data!$A$2:$C$117,3,TRUE),"")</f>
        <v/>
      </c>
      <c r="F322" s="14" t="str">
        <f>IF(ROW()&lt;=Results!$C$1+1,IF(E322&lt;=0,"",LN(E322)),"")</f>
        <v/>
      </c>
      <c r="G322" s="53" t="str">
        <f>IF(ROW()&lt;=Results!$C$1+1,IF(ISERROR(C322-F322),"",C322-F322),"")</f>
        <v/>
      </c>
    </row>
    <row r="323" spans="1:7" x14ac:dyDescent="0.25">
      <c r="A323" s="1" t="str">
        <f ca="1">IF(ROW()&lt;=Results!$C$1+1,INDEX(Data!$A:$A,CEILING((COUNTA(Data!$A:$A)-1)*RAND()+1,1)),"")</f>
        <v/>
      </c>
      <c r="B323" s="1" t="str">
        <f>IF(ROW()&lt;=Results!$C$1+1,VLOOKUP($A323,Data!$A$2:$C$117,2,TRUE),"")</f>
        <v/>
      </c>
      <c r="C323" s="14" t="str">
        <f>IF(ROW()&lt;=Results!$C$1+1,IF(B323&lt;=0,"",LN(B323)),"")</f>
        <v/>
      </c>
      <c r="D323" s="58" t="str">
        <f ca="1">IF(Results!$S$5,A323,IF(ROW()&lt;=Results!$C$1+1,INDEX(Data!$A:$A,CEILING((COUNTA(Data!$A:$A)-1)*RAND()+1,1)),""))</f>
        <v/>
      </c>
      <c r="E323" s="1" t="str">
        <f>IF(ROW()&lt;=Results!$C$1+1,VLOOKUP($D323,Data!$A$2:$C$117,3,TRUE),"")</f>
        <v/>
      </c>
      <c r="F323" s="14" t="str">
        <f>IF(ROW()&lt;=Results!$C$1+1,IF(E323&lt;=0,"",LN(E323)),"")</f>
        <v/>
      </c>
      <c r="G323" s="53" t="str">
        <f>IF(ROW()&lt;=Results!$C$1+1,IF(ISERROR(C323-F323),"",C323-F323),"")</f>
        <v/>
      </c>
    </row>
    <row r="324" spans="1:7" x14ac:dyDescent="0.25">
      <c r="A324" s="1" t="str">
        <f ca="1">IF(ROW()&lt;=Results!$C$1+1,INDEX(Data!$A:$A,CEILING((COUNTA(Data!$A:$A)-1)*RAND()+1,1)),"")</f>
        <v/>
      </c>
      <c r="B324" s="1" t="str">
        <f>IF(ROW()&lt;=Results!$C$1+1,VLOOKUP($A324,Data!$A$2:$C$117,2,TRUE),"")</f>
        <v/>
      </c>
      <c r="C324" s="14" t="str">
        <f>IF(ROW()&lt;=Results!$C$1+1,IF(B324&lt;=0,"",LN(B324)),"")</f>
        <v/>
      </c>
      <c r="D324" s="58" t="str">
        <f ca="1">IF(Results!$S$5,A324,IF(ROW()&lt;=Results!$C$1+1,INDEX(Data!$A:$A,CEILING((COUNTA(Data!$A:$A)-1)*RAND()+1,1)),""))</f>
        <v/>
      </c>
      <c r="E324" s="1" t="str">
        <f>IF(ROW()&lt;=Results!$C$1+1,VLOOKUP($D324,Data!$A$2:$C$117,3,TRUE),"")</f>
        <v/>
      </c>
      <c r="F324" s="14" t="str">
        <f>IF(ROW()&lt;=Results!$C$1+1,IF(E324&lt;=0,"",LN(E324)),"")</f>
        <v/>
      </c>
      <c r="G324" s="53" t="str">
        <f>IF(ROW()&lt;=Results!$C$1+1,IF(ISERROR(C324-F324),"",C324-F324),"")</f>
        <v/>
      </c>
    </row>
    <row r="325" spans="1:7" x14ac:dyDescent="0.25">
      <c r="A325" s="1" t="str">
        <f ca="1">IF(ROW()&lt;=Results!$C$1+1,INDEX(Data!$A:$A,CEILING((COUNTA(Data!$A:$A)-1)*RAND()+1,1)),"")</f>
        <v/>
      </c>
      <c r="B325" s="1" t="str">
        <f>IF(ROW()&lt;=Results!$C$1+1,VLOOKUP($A325,Data!$A$2:$C$117,2,TRUE),"")</f>
        <v/>
      </c>
      <c r="C325" s="14" t="str">
        <f>IF(ROW()&lt;=Results!$C$1+1,IF(B325&lt;=0,"",LN(B325)),"")</f>
        <v/>
      </c>
      <c r="D325" s="58" t="str">
        <f ca="1">IF(Results!$S$5,A325,IF(ROW()&lt;=Results!$C$1+1,INDEX(Data!$A:$A,CEILING((COUNTA(Data!$A:$A)-1)*RAND()+1,1)),""))</f>
        <v/>
      </c>
      <c r="E325" s="1" t="str">
        <f>IF(ROW()&lt;=Results!$C$1+1,VLOOKUP($D325,Data!$A$2:$C$117,3,TRUE),"")</f>
        <v/>
      </c>
      <c r="F325" s="14" t="str">
        <f>IF(ROW()&lt;=Results!$C$1+1,IF(E325&lt;=0,"",LN(E325)),"")</f>
        <v/>
      </c>
      <c r="G325" s="53" t="str">
        <f>IF(ROW()&lt;=Results!$C$1+1,IF(ISERROR(C325-F325),"",C325-F325),"")</f>
        <v/>
      </c>
    </row>
    <row r="326" spans="1:7" x14ac:dyDescent="0.25">
      <c r="A326" s="1" t="str">
        <f ca="1">IF(ROW()&lt;=Results!$C$1+1,INDEX(Data!$A:$A,CEILING((COUNTA(Data!$A:$A)-1)*RAND()+1,1)),"")</f>
        <v/>
      </c>
      <c r="B326" s="1" t="str">
        <f>IF(ROW()&lt;=Results!$C$1+1,VLOOKUP($A326,Data!$A$2:$C$117,2,TRUE),"")</f>
        <v/>
      </c>
      <c r="C326" s="14" t="str">
        <f>IF(ROW()&lt;=Results!$C$1+1,IF(B326&lt;=0,"",LN(B326)),"")</f>
        <v/>
      </c>
      <c r="D326" s="58" t="str">
        <f ca="1">IF(Results!$S$5,A326,IF(ROW()&lt;=Results!$C$1+1,INDEX(Data!$A:$A,CEILING((COUNTA(Data!$A:$A)-1)*RAND()+1,1)),""))</f>
        <v/>
      </c>
      <c r="E326" s="1" t="str">
        <f>IF(ROW()&lt;=Results!$C$1+1,VLOOKUP($D326,Data!$A$2:$C$117,3,TRUE),"")</f>
        <v/>
      </c>
      <c r="F326" s="14" t="str">
        <f>IF(ROW()&lt;=Results!$C$1+1,IF(E326&lt;=0,"",LN(E326)),"")</f>
        <v/>
      </c>
      <c r="G326" s="53" t="str">
        <f>IF(ROW()&lt;=Results!$C$1+1,IF(ISERROR(C326-F326),"",C326-F326),"")</f>
        <v/>
      </c>
    </row>
    <row r="327" spans="1:7" x14ac:dyDescent="0.25">
      <c r="A327" s="1" t="str">
        <f ca="1">IF(ROW()&lt;=Results!$C$1+1,INDEX(Data!$A:$A,CEILING((COUNTA(Data!$A:$A)-1)*RAND()+1,1)),"")</f>
        <v/>
      </c>
      <c r="B327" s="1" t="str">
        <f>IF(ROW()&lt;=Results!$C$1+1,VLOOKUP($A327,Data!$A$2:$C$117,2,TRUE),"")</f>
        <v/>
      </c>
      <c r="C327" s="14" t="str">
        <f>IF(ROW()&lt;=Results!$C$1+1,IF(B327&lt;=0,"",LN(B327)),"")</f>
        <v/>
      </c>
      <c r="D327" s="58" t="str">
        <f ca="1">IF(Results!$S$5,A327,IF(ROW()&lt;=Results!$C$1+1,INDEX(Data!$A:$A,CEILING((COUNTA(Data!$A:$A)-1)*RAND()+1,1)),""))</f>
        <v/>
      </c>
      <c r="E327" s="1" t="str">
        <f>IF(ROW()&lt;=Results!$C$1+1,VLOOKUP($D327,Data!$A$2:$C$117,3,TRUE),"")</f>
        <v/>
      </c>
      <c r="F327" s="14" t="str">
        <f>IF(ROW()&lt;=Results!$C$1+1,IF(E327&lt;=0,"",LN(E327)),"")</f>
        <v/>
      </c>
      <c r="G327" s="53" t="str">
        <f>IF(ROW()&lt;=Results!$C$1+1,IF(ISERROR(C327-F327),"",C327-F327),"")</f>
        <v/>
      </c>
    </row>
    <row r="328" spans="1:7" x14ac:dyDescent="0.25">
      <c r="A328" s="1" t="str">
        <f ca="1">IF(ROW()&lt;=Results!$C$1+1,INDEX(Data!$A:$A,CEILING((COUNTA(Data!$A:$A)-1)*RAND()+1,1)),"")</f>
        <v/>
      </c>
      <c r="B328" s="1" t="str">
        <f>IF(ROW()&lt;=Results!$C$1+1,VLOOKUP($A328,Data!$A$2:$C$117,2,TRUE),"")</f>
        <v/>
      </c>
      <c r="C328" s="14" t="str">
        <f>IF(ROW()&lt;=Results!$C$1+1,IF(B328&lt;=0,"",LN(B328)),"")</f>
        <v/>
      </c>
      <c r="D328" s="58" t="str">
        <f ca="1">IF(Results!$S$5,A328,IF(ROW()&lt;=Results!$C$1+1,INDEX(Data!$A:$A,CEILING((COUNTA(Data!$A:$A)-1)*RAND()+1,1)),""))</f>
        <v/>
      </c>
      <c r="E328" s="1" t="str">
        <f>IF(ROW()&lt;=Results!$C$1+1,VLOOKUP($D328,Data!$A$2:$C$117,3,TRUE),"")</f>
        <v/>
      </c>
      <c r="F328" s="14" t="str">
        <f>IF(ROW()&lt;=Results!$C$1+1,IF(E328&lt;=0,"",LN(E328)),"")</f>
        <v/>
      </c>
      <c r="G328" s="53" t="str">
        <f>IF(ROW()&lt;=Results!$C$1+1,IF(ISERROR(C328-F328),"",C328-F328),"")</f>
        <v/>
      </c>
    </row>
    <row r="329" spans="1:7" x14ac:dyDescent="0.25">
      <c r="A329" s="1" t="str">
        <f ca="1">IF(ROW()&lt;=Results!$C$1+1,INDEX(Data!$A:$A,CEILING((COUNTA(Data!$A:$A)-1)*RAND()+1,1)),"")</f>
        <v/>
      </c>
      <c r="B329" s="1" t="str">
        <f>IF(ROW()&lt;=Results!$C$1+1,VLOOKUP($A329,Data!$A$2:$C$117,2,TRUE),"")</f>
        <v/>
      </c>
      <c r="C329" s="14" t="str">
        <f>IF(ROW()&lt;=Results!$C$1+1,IF(B329&lt;=0,"",LN(B329)),"")</f>
        <v/>
      </c>
      <c r="D329" s="58" t="str">
        <f ca="1">IF(Results!$S$5,A329,IF(ROW()&lt;=Results!$C$1+1,INDEX(Data!$A:$A,CEILING((COUNTA(Data!$A:$A)-1)*RAND()+1,1)),""))</f>
        <v/>
      </c>
      <c r="E329" s="1" t="str">
        <f>IF(ROW()&lt;=Results!$C$1+1,VLOOKUP($D329,Data!$A$2:$C$117,3,TRUE),"")</f>
        <v/>
      </c>
      <c r="F329" s="14" t="str">
        <f>IF(ROW()&lt;=Results!$C$1+1,IF(E329&lt;=0,"",LN(E329)),"")</f>
        <v/>
      </c>
      <c r="G329" s="53" t="str">
        <f>IF(ROW()&lt;=Results!$C$1+1,IF(ISERROR(C329-F329),"",C329-F329),"")</f>
        <v/>
      </c>
    </row>
    <row r="330" spans="1:7" x14ac:dyDescent="0.25">
      <c r="A330" s="1" t="str">
        <f ca="1">IF(ROW()&lt;=Results!$C$1+1,INDEX(Data!$A:$A,CEILING((COUNTA(Data!$A:$A)-1)*RAND()+1,1)),"")</f>
        <v/>
      </c>
      <c r="B330" s="1" t="str">
        <f>IF(ROW()&lt;=Results!$C$1+1,VLOOKUP($A330,Data!$A$2:$C$117,2,TRUE),"")</f>
        <v/>
      </c>
      <c r="C330" s="14" t="str">
        <f>IF(ROW()&lt;=Results!$C$1+1,IF(B330&lt;=0,"",LN(B330)),"")</f>
        <v/>
      </c>
      <c r="D330" s="58" t="str">
        <f ca="1">IF(Results!$S$5,A330,IF(ROW()&lt;=Results!$C$1+1,INDEX(Data!$A:$A,CEILING((COUNTA(Data!$A:$A)-1)*RAND()+1,1)),""))</f>
        <v/>
      </c>
      <c r="E330" s="1" t="str">
        <f>IF(ROW()&lt;=Results!$C$1+1,VLOOKUP($D330,Data!$A$2:$C$117,3,TRUE),"")</f>
        <v/>
      </c>
      <c r="F330" s="14" t="str">
        <f>IF(ROW()&lt;=Results!$C$1+1,IF(E330&lt;=0,"",LN(E330)),"")</f>
        <v/>
      </c>
      <c r="G330" s="53" t="str">
        <f>IF(ROW()&lt;=Results!$C$1+1,IF(ISERROR(C330-F330),"",C330-F330),"")</f>
        <v/>
      </c>
    </row>
    <row r="331" spans="1:7" x14ac:dyDescent="0.25">
      <c r="A331" s="1" t="str">
        <f ca="1">IF(ROW()&lt;=Results!$C$1+1,INDEX(Data!$A:$A,CEILING((COUNTA(Data!$A:$A)-1)*RAND()+1,1)),"")</f>
        <v/>
      </c>
      <c r="B331" s="1" t="str">
        <f>IF(ROW()&lt;=Results!$C$1+1,VLOOKUP($A331,Data!$A$2:$C$117,2,TRUE),"")</f>
        <v/>
      </c>
      <c r="C331" s="14" t="str">
        <f>IF(ROW()&lt;=Results!$C$1+1,IF(B331&lt;=0,"",LN(B331)),"")</f>
        <v/>
      </c>
      <c r="D331" s="58" t="str">
        <f ca="1">IF(Results!$S$5,A331,IF(ROW()&lt;=Results!$C$1+1,INDEX(Data!$A:$A,CEILING((COUNTA(Data!$A:$A)-1)*RAND()+1,1)),""))</f>
        <v/>
      </c>
      <c r="E331" s="1" t="str">
        <f>IF(ROW()&lt;=Results!$C$1+1,VLOOKUP($D331,Data!$A$2:$C$117,3,TRUE),"")</f>
        <v/>
      </c>
      <c r="F331" s="14" t="str">
        <f>IF(ROW()&lt;=Results!$C$1+1,IF(E331&lt;=0,"",LN(E331)),"")</f>
        <v/>
      </c>
      <c r="G331" s="53" t="str">
        <f>IF(ROW()&lt;=Results!$C$1+1,IF(ISERROR(C331-F331),"",C331-F331),"")</f>
        <v/>
      </c>
    </row>
    <row r="332" spans="1:7" x14ac:dyDescent="0.25">
      <c r="A332" s="1" t="str">
        <f ca="1">IF(ROW()&lt;=Results!$C$1+1,INDEX(Data!$A:$A,CEILING((COUNTA(Data!$A:$A)-1)*RAND()+1,1)),"")</f>
        <v/>
      </c>
      <c r="B332" s="1" t="str">
        <f>IF(ROW()&lt;=Results!$C$1+1,VLOOKUP($A332,Data!$A$2:$C$117,2,TRUE),"")</f>
        <v/>
      </c>
      <c r="C332" s="14" t="str">
        <f>IF(ROW()&lt;=Results!$C$1+1,IF(B332&lt;=0,"",LN(B332)),"")</f>
        <v/>
      </c>
      <c r="D332" s="58" t="str">
        <f ca="1">IF(Results!$S$5,A332,IF(ROW()&lt;=Results!$C$1+1,INDEX(Data!$A:$A,CEILING((COUNTA(Data!$A:$A)-1)*RAND()+1,1)),""))</f>
        <v/>
      </c>
      <c r="E332" s="1" t="str">
        <f>IF(ROW()&lt;=Results!$C$1+1,VLOOKUP($D332,Data!$A$2:$C$117,3,TRUE),"")</f>
        <v/>
      </c>
      <c r="F332" s="14" t="str">
        <f>IF(ROW()&lt;=Results!$C$1+1,IF(E332&lt;=0,"",LN(E332)),"")</f>
        <v/>
      </c>
      <c r="G332" s="53" t="str">
        <f>IF(ROW()&lt;=Results!$C$1+1,IF(ISERROR(C332-F332),"",C332-F332),"")</f>
        <v/>
      </c>
    </row>
    <row r="333" spans="1:7" x14ac:dyDescent="0.25">
      <c r="A333" s="1" t="str">
        <f ca="1">IF(ROW()&lt;=Results!$C$1+1,INDEX(Data!$A:$A,CEILING((COUNTA(Data!$A:$A)-1)*RAND()+1,1)),"")</f>
        <v/>
      </c>
      <c r="B333" s="1" t="str">
        <f>IF(ROW()&lt;=Results!$C$1+1,VLOOKUP($A333,Data!$A$2:$C$117,2,TRUE),"")</f>
        <v/>
      </c>
      <c r="C333" s="14" t="str">
        <f>IF(ROW()&lt;=Results!$C$1+1,IF(B333&lt;=0,"",LN(B333)),"")</f>
        <v/>
      </c>
      <c r="D333" s="58" t="str">
        <f ca="1">IF(Results!$S$5,A333,IF(ROW()&lt;=Results!$C$1+1,INDEX(Data!$A:$A,CEILING((COUNTA(Data!$A:$A)-1)*RAND()+1,1)),""))</f>
        <v/>
      </c>
      <c r="E333" s="1" t="str">
        <f>IF(ROW()&lt;=Results!$C$1+1,VLOOKUP($D333,Data!$A$2:$C$117,3,TRUE),"")</f>
        <v/>
      </c>
      <c r="F333" s="14" t="str">
        <f>IF(ROW()&lt;=Results!$C$1+1,IF(E333&lt;=0,"",LN(E333)),"")</f>
        <v/>
      </c>
      <c r="G333" s="53" t="str">
        <f>IF(ROW()&lt;=Results!$C$1+1,IF(ISERROR(C333-F333),"",C333-F333),"")</f>
        <v/>
      </c>
    </row>
    <row r="334" spans="1:7" x14ac:dyDescent="0.25">
      <c r="A334" s="1" t="str">
        <f ca="1">IF(ROW()&lt;=Results!$C$1+1,INDEX(Data!$A:$A,CEILING((COUNTA(Data!$A:$A)-1)*RAND()+1,1)),"")</f>
        <v/>
      </c>
      <c r="B334" s="1" t="str">
        <f>IF(ROW()&lt;=Results!$C$1+1,VLOOKUP($A334,Data!$A$2:$C$117,2,TRUE),"")</f>
        <v/>
      </c>
      <c r="C334" s="14" t="str">
        <f>IF(ROW()&lt;=Results!$C$1+1,IF(B334&lt;=0,"",LN(B334)),"")</f>
        <v/>
      </c>
      <c r="D334" s="58" t="str">
        <f ca="1">IF(Results!$S$5,A334,IF(ROW()&lt;=Results!$C$1+1,INDEX(Data!$A:$A,CEILING((COUNTA(Data!$A:$A)-1)*RAND()+1,1)),""))</f>
        <v/>
      </c>
      <c r="E334" s="1" t="str">
        <f>IF(ROW()&lt;=Results!$C$1+1,VLOOKUP($D334,Data!$A$2:$C$117,3,TRUE),"")</f>
        <v/>
      </c>
      <c r="F334" s="14" t="str">
        <f>IF(ROW()&lt;=Results!$C$1+1,IF(E334&lt;=0,"",LN(E334)),"")</f>
        <v/>
      </c>
      <c r="G334" s="53" t="str">
        <f>IF(ROW()&lt;=Results!$C$1+1,IF(ISERROR(C334-F334),"",C334-F334),"")</f>
        <v/>
      </c>
    </row>
    <row r="335" spans="1:7" x14ac:dyDescent="0.25">
      <c r="A335" s="1" t="str">
        <f ca="1">IF(ROW()&lt;=Results!$C$1+1,INDEX(Data!$A:$A,CEILING((COUNTA(Data!$A:$A)-1)*RAND()+1,1)),"")</f>
        <v/>
      </c>
      <c r="B335" s="1" t="str">
        <f>IF(ROW()&lt;=Results!$C$1+1,VLOOKUP($A335,Data!$A$2:$C$117,2,TRUE),"")</f>
        <v/>
      </c>
      <c r="C335" s="14" t="str">
        <f>IF(ROW()&lt;=Results!$C$1+1,IF(B335&lt;=0,"",LN(B335)),"")</f>
        <v/>
      </c>
      <c r="D335" s="58" t="str">
        <f ca="1">IF(Results!$S$5,A335,IF(ROW()&lt;=Results!$C$1+1,INDEX(Data!$A:$A,CEILING((COUNTA(Data!$A:$A)-1)*RAND()+1,1)),""))</f>
        <v/>
      </c>
      <c r="E335" s="1" t="str">
        <f>IF(ROW()&lt;=Results!$C$1+1,VLOOKUP($D335,Data!$A$2:$C$117,3,TRUE),"")</f>
        <v/>
      </c>
      <c r="F335" s="14" t="str">
        <f>IF(ROW()&lt;=Results!$C$1+1,IF(E335&lt;=0,"",LN(E335)),"")</f>
        <v/>
      </c>
      <c r="G335" s="53" t="str">
        <f>IF(ROW()&lt;=Results!$C$1+1,IF(ISERROR(C335-F335),"",C335-F335),"")</f>
        <v/>
      </c>
    </row>
    <row r="336" spans="1:7" x14ac:dyDescent="0.25">
      <c r="A336" s="1" t="str">
        <f ca="1">IF(ROW()&lt;=Results!$C$1+1,INDEX(Data!$A:$A,CEILING((COUNTA(Data!$A:$A)-1)*RAND()+1,1)),"")</f>
        <v/>
      </c>
      <c r="B336" s="1" t="str">
        <f>IF(ROW()&lt;=Results!$C$1+1,VLOOKUP($A336,Data!$A$2:$C$117,2,TRUE),"")</f>
        <v/>
      </c>
      <c r="C336" s="14" t="str">
        <f>IF(ROW()&lt;=Results!$C$1+1,IF(B336&lt;=0,"",LN(B336)),"")</f>
        <v/>
      </c>
      <c r="D336" s="58" t="str">
        <f ca="1">IF(Results!$S$5,A336,IF(ROW()&lt;=Results!$C$1+1,INDEX(Data!$A:$A,CEILING((COUNTA(Data!$A:$A)-1)*RAND()+1,1)),""))</f>
        <v/>
      </c>
      <c r="E336" s="1" t="str">
        <f>IF(ROW()&lt;=Results!$C$1+1,VLOOKUP($D336,Data!$A$2:$C$117,3,TRUE),"")</f>
        <v/>
      </c>
      <c r="F336" s="14" t="str">
        <f>IF(ROW()&lt;=Results!$C$1+1,IF(E336&lt;=0,"",LN(E336)),"")</f>
        <v/>
      </c>
      <c r="G336" s="53" t="str">
        <f>IF(ROW()&lt;=Results!$C$1+1,IF(ISERROR(C336-F336),"",C336-F336),"")</f>
        <v/>
      </c>
    </row>
    <row r="337" spans="1:7" x14ac:dyDescent="0.25">
      <c r="A337" s="1" t="str">
        <f ca="1">IF(ROW()&lt;=Results!$C$1+1,INDEX(Data!$A:$A,CEILING((COUNTA(Data!$A:$A)-1)*RAND()+1,1)),"")</f>
        <v/>
      </c>
      <c r="B337" s="1" t="str">
        <f>IF(ROW()&lt;=Results!$C$1+1,VLOOKUP($A337,Data!$A$2:$C$117,2,TRUE),"")</f>
        <v/>
      </c>
      <c r="C337" s="14" t="str">
        <f>IF(ROW()&lt;=Results!$C$1+1,IF(B337&lt;=0,"",LN(B337)),"")</f>
        <v/>
      </c>
      <c r="D337" s="58" t="str">
        <f ca="1">IF(Results!$S$5,A337,IF(ROW()&lt;=Results!$C$1+1,INDEX(Data!$A:$A,CEILING((COUNTA(Data!$A:$A)-1)*RAND()+1,1)),""))</f>
        <v/>
      </c>
      <c r="E337" s="1" t="str">
        <f>IF(ROW()&lt;=Results!$C$1+1,VLOOKUP($D337,Data!$A$2:$C$117,3,TRUE),"")</f>
        <v/>
      </c>
      <c r="F337" s="14" t="str">
        <f>IF(ROW()&lt;=Results!$C$1+1,IF(E337&lt;=0,"",LN(E337)),"")</f>
        <v/>
      </c>
      <c r="G337" s="53" t="str">
        <f>IF(ROW()&lt;=Results!$C$1+1,IF(ISERROR(C337-F337),"",C337-F337),"")</f>
        <v/>
      </c>
    </row>
    <row r="338" spans="1:7" x14ac:dyDescent="0.25">
      <c r="A338" s="1" t="str">
        <f ca="1">IF(ROW()&lt;=Results!$C$1+1,INDEX(Data!$A:$A,CEILING((COUNTA(Data!$A:$A)-1)*RAND()+1,1)),"")</f>
        <v/>
      </c>
      <c r="B338" s="1" t="str">
        <f>IF(ROW()&lt;=Results!$C$1+1,VLOOKUP($A338,Data!$A$2:$C$117,2,TRUE),"")</f>
        <v/>
      </c>
      <c r="C338" s="14" t="str">
        <f>IF(ROW()&lt;=Results!$C$1+1,IF(B338&lt;=0,"",LN(B338)),"")</f>
        <v/>
      </c>
      <c r="D338" s="58" t="str">
        <f ca="1">IF(Results!$S$5,A338,IF(ROW()&lt;=Results!$C$1+1,INDEX(Data!$A:$A,CEILING((COUNTA(Data!$A:$A)-1)*RAND()+1,1)),""))</f>
        <v/>
      </c>
      <c r="E338" s="1" t="str">
        <f>IF(ROW()&lt;=Results!$C$1+1,VLOOKUP($D338,Data!$A$2:$C$117,3,TRUE),"")</f>
        <v/>
      </c>
      <c r="F338" s="14" t="str">
        <f>IF(ROW()&lt;=Results!$C$1+1,IF(E338&lt;=0,"",LN(E338)),"")</f>
        <v/>
      </c>
      <c r="G338" s="53" t="str">
        <f>IF(ROW()&lt;=Results!$C$1+1,IF(ISERROR(C338-F338),"",C338-F338),"")</f>
        <v/>
      </c>
    </row>
    <row r="339" spans="1:7" x14ac:dyDescent="0.25">
      <c r="A339" s="1" t="str">
        <f ca="1">IF(ROW()&lt;=Results!$C$1+1,INDEX(Data!$A:$A,CEILING((COUNTA(Data!$A:$A)-1)*RAND()+1,1)),"")</f>
        <v/>
      </c>
      <c r="B339" s="1" t="str">
        <f>IF(ROW()&lt;=Results!$C$1+1,VLOOKUP($A339,Data!$A$2:$C$117,2,TRUE),"")</f>
        <v/>
      </c>
      <c r="C339" s="14" t="str">
        <f>IF(ROW()&lt;=Results!$C$1+1,IF(B339&lt;=0,"",LN(B339)),"")</f>
        <v/>
      </c>
      <c r="D339" s="58" t="str">
        <f ca="1">IF(Results!$S$5,A339,IF(ROW()&lt;=Results!$C$1+1,INDEX(Data!$A:$A,CEILING((COUNTA(Data!$A:$A)-1)*RAND()+1,1)),""))</f>
        <v/>
      </c>
      <c r="E339" s="1" t="str">
        <f>IF(ROW()&lt;=Results!$C$1+1,VLOOKUP($D339,Data!$A$2:$C$117,3,TRUE),"")</f>
        <v/>
      </c>
      <c r="F339" s="14" t="str">
        <f>IF(ROW()&lt;=Results!$C$1+1,IF(E339&lt;=0,"",LN(E339)),"")</f>
        <v/>
      </c>
      <c r="G339" s="53" t="str">
        <f>IF(ROW()&lt;=Results!$C$1+1,IF(ISERROR(C339-F339),"",C339-F339),"")</f>
        <v/>
      </c>
    </row>
    <row r="340" spans="1:7" x14ac:dyDescent="0.25">
      <c r="A340" s="1" t="str">
        <f ca="1">IF(ROW()&lt;=Results!$C$1+1,INDEX(Data!$A:$A,CEILING((COUNTA(Data!$A:$A)-1)*RAND()+1,1)),"")</f>
        <v/>
      </c>
      <c r="B340" s="1" t="str">
        <f>IF(ROW()&lt;=Results!$C$1+1,VLOOKUP($A340,Data!$A$2:$C$117,2,TRUE),"")</f>
        <v/>
      </c>
      <c r="C340" s="14" t="str">
        <f>IF(ROW()&lt;=Results!$C$1+1,IF(B340&lt;=0,"",LN(B340)),"")</f>
        <v/>
      </c>
      <c r="D340" s="58" t="str">
        <f ca="1">IF(Results!$S$5,A340,IF(ROW()&lt;=Results!$C$1+1,INDEX(Data!$A:$A,CEILING((COUNTA(Data!$A:$A)-1)*RAND()+1,1)),""))</f>
        <v/>
      </c>
      <c r="E340" s="1" t="str">
        <f>IF(ROW()&lt;=Results!$C$1+1,VLOOKUP($D340,Data!$A$2:$C$117,3,TRUE),"")</f>
        <v/>
      </c>
      <c r="F340" s="14" t="str">
        <f>IF(ROW()&lt;=Results!$C$1+1,IF(E340&lt;=0,"",LN(E340)),"")</f>
        <v/>
      </c>
      <c r="G340" s="53" t="str">
        <f>IF(ROW()&lt;=Results!$C$1+1,IF(ISERROR(C340-F340),"",C340-F340),"")</f>
        <v/>
      </c>
    </row>
    <row r="341" spans="1:7" x14ac:dyDescent="0.25">
      <c r="A341" s="1" t="str">
        <f ca="1">IF(ROW()&lt;=Results!$C$1+1,INDEX(Data!$A:$A,CEILING((COUNTA(Data!$A:$A)-1)*RAND()+1,1)),"")</f>
        <v/>
      </c>
      <c r="B341" s="1" t="str">
        <f>IF(ROW()&lt;=Results!$C$1+1,VLOOKUP($A341,Data!$A$2:$C$117,2,TRUE),"")</f>
        <v/>
      </c>
      <c r="C341" s="14" t="str">
        <f>IF(ROW()&lt;=Results!$C$1+1,IF(B341&lt;=0,"",LN(B341)),"")</f>
        <v/>
      </c>
      <c r="D341" s="58" t="str">
        <f ca="1">IF(Results!$S$5,A341,IF(ROW()&lt;=Results!$C$1+1,INDEX(Data!$A:$A,CEILING((COUNTA(Data!$A:$A)-1)*RAND()+1,1)),""))</f>
        <v/>
      </c>
      <c r="E341" s="1" t="str">
        <f>IF(ROW()&lt;=Results!$C$1+1,VLOOKUP($D341,Data!$A$2:$C$117,3,TRUE),"")</f>
        <v/>
      </c>
      <c r="F341" s="14" t="str">
        <f>IF(ROW()&lt;=Results!$C$1+1,IF(E341&lt;=0,"",LN(E341)),"")</f>
        <v/>
      </c>
      <c r="G341" s="53" t="str">
        <f>IF(ROW()&lt;=Results!$C$1+1,IF(ISERROR(C341-F341),"",C341-F341),"")</f>
        <v/>
      </c>
    </row>
    <row r="342" spans="1:7" x14ac:dyDescent="0.25">
      <c r="A342" s="1" t="str">
        <f ca="1">IF(ROW()&lt;=Results!$C$1+1,INDEX(Data!$A:$A,CEILING((COUNTA(Data!$A:$A)-1)*RAND()+1,1)),"")</f>
        <v/>
      </c>
      <c r="B342" s="1" t="str">
        <f>IF(ROW()&lt;=Results!$C$1+1,VLOOKUP($A342,Data!$A$2:$C$117,2,TRUE),"")</f>
        <v/>
      </c>
      <c r="C342" s="14" t="str">
        <f>IF(ROW()&lt;=Results!$C$1+1,IF(B342&lt;=0,"",LN(B342)),"")</f>
        <v/>
      </c>
      <c r="D342" s="58" t="str">
        <f ca="1">IF(Results!$S$5,A342,IF(ROW()&lt;=Results!$C$1+1,INDEX(Data!$A:$A,CEILING((COUNTA(Data!$A:$A)-1)*RAND()+1,1)),""))</f>
        <v/>
      </c>
      <c r="E342" s="1" t="str">
        <f>IF(ROW()&lt;=Results!$C$1+1,VLOOKUP($D342,Data!$A$2:$C$117,3,TRUE),"")</f>
        <v/>
      </c>
      <c r="F342" s="14" t="str">
        <f>IF(ROW()&lt;=Results!$C$1+1,IF(E342&lt;=0,"",LN(E342)),"")</f>
        <v/>
      </c>
      <c r="G342" s="53" t="str">
        <f>IF(ROW()&lt;=Results!$C$1+1,IF(ISERROR(C342-F342),"",C342-F342),"")</f>
        <v/>
      </c>
    </row>
    <row r="343" spans="1:7" x14ac:dyDescent="0.25">
      <c r="A343" s="1" t="str">
        <f ca="1">IF(ROW()&lt;=Results!$C$1+1,INDEX(Data!$A:$A,CEILING((COUNTA(Data!$A:$A)-1)*RAND()+1,1)),"")</f>
        <v/>
      </c>
      <c r="B343" s="1" t="str">
        <f>IF(ROW()&lt;=Results!$C$1+1,VLOOKUP($A343,Data!$A$2:$C$117,2,TRUE),"")</f>
        <v/>
      </c>
      <c r="C343" s="14" t="str">
        <f>IF(ROW()&lt;=Results!$C$1+1,IF(B343&lt;=0,"",LN(B343)),"")</f>
        <v/>
      </c>
      <c r="D343" s="58" t="str">
        <f ca="1">IF(Results!$S$5,A343,IF(ROW()&lt;=Results!$C$1+1,INDEX(Data!$A:$A,CEILING((COUNTA(Data!$A:$A)-1)*RAND()+1,1)),""))</f>
        <v/>
      </c>
      <c r="E343" s="1" t="str">
        <f>IF(ROW()&lt;=Results!$C$1+1,VLOOKUP($D343,Data!$A$2:$C$117,3,TRUE),"")</f>
        <v/>
      </c>
      <c r="F343" s="14" t="str">
        <f>IF(ROW()&lt;=Results!$C$1+1,IF(E343&lt;=0,"",LN(E343)),"")</f>
        <v/>
      </c>
      <c r="G343" s="53" t="str">
        <f>IF(ROW()&lt;=Results!$C$1+1,IF(ISERROR(C343-F343),"",C343-F343),"")</f>
        <v/>
      </c>
    </row>
    <row r="344" spans="1:7" x14ac:dyDescent="0.25">
      <c r="A344" s="1" t="str">
        <f ca="1">IF(ROW()&lt;=Results!$C$1+1,INDEX(Data!$A:$A,CEILING((COUNTA(Data!$A:$A)-1)*RAND()+1,1)),"")</f>
        <v/>
      </c>
      <c r="B344" s="1" t="str">
        <f>IF(ROW()&lt;=Results!$C$1+1,VLOOKUP($A344,Data!$A$2:$C$117,2,TRUE),"")</f>
        <v/>
      </c>
      <c r="C344" s="14" t="str">
        <f>IF(ROW()&lt;=Results!$C$1+1,IF(B344&lt;=0,"",LN(B344)),"")</f>
        <v/>
      </c>
      <c r="D344" s="58" t="str">
        <f ca="1">IF(Results!$S$5,A344,IF(ROW()&lt;=Results!$C$1+1,INDEX(Data!$A:$A,CEILING((COUNTA(Data!$A:$A)-1)*RAND()+1,1)),""))</f>
        <v/>
      </c>
      <c r="E344" s="1" t="str">
        <f>IF(ROW()&lt;=Results!$C$1+1,VLOOKUP($D344,Data!$A$2:$C$117,3,TRUE),"")</f>
        <v/>
      </c>
      <c r="F344" s="14" t="str">
        <f>IF(ROW()&lt;=Results!$C$1+1,IF(E344&lt;=0,"",LN(E344)),"")</f>
        <v/>
      </c>
      <c r="G344" s="53" t="str">
        <f>IF(ROW()&lt;=Results!$C$1+1,IF(ISERROR(C344-F344),"",C344-F344),"")</f>
        <v/>
      </c>
    </row>
    <row r="345" spans="1:7" x14ac:dyDescent="0.25">
      <c r="A345" s="1" t="str">
        <f ca="1">IF(ROW()&lt;=Results!$C$1+1,INDEX(Data!$A:$A,CEILING((COUNTA(Data!$A:$A)-1)*RAND()+1,1)),"")</f>
        <v/>
      </c>
      <c r="B345" s="1" t="str">
        <f>IF(ROW()&lt;=Results!$C$1+1,VLOOKUP($A345,Data!$A$2:$C$117,2,TRUE),"")</f>
        <v/>
      </c>
      <c r="C345" s="14" t="str">
        <f>IF(ROW()&lt;=Results!$C$1+1,IF(B345&lt;=0,"",LN(B345)),"")</f>
        <v/>
      </c>
      <c r="D345" s="58" t="str">
        <f ca="1">IF(Results!$S$5,A345,IF(ROW()&lt;=Results!$C$1+1,INDEX(Data!$A:$A,CEILING((COUNTA(Data!$A:$A)-1)*RAND()+1,1)),""))</f>
        <v/>
      </c>
      <c r="E345" s="1" t="str">
        <f>IF(ROW()&lt;=Results!$C$1+1,VLOOKUP($D345,Data!$A$2:$C$117,3,TRUE),"")</f>
        <v/>
      </c>
      <c r="F345" s="14" t="str">
        <f>IF(ROW()&lt;=Results!$C$1+1,IF(E345&lt;=0,"",LN(E345)),"")</f>
        <v/>
      </c>
      <c r="G345" s="53" t="str">
        <f>IF(ROW()&lt;=Results!$C$1+1,IF(ISERROR(C345-F345),"",C345-F345),"")</f>
        <v/>
      </c>
    </row>
    <row r="346" spans="1:7" x14ac:dyDescent="0.25">
      <c r="A346" s="1" t="str">
        <f ca="1">IF(ROW()&lt;=Results!$C$1+1,INDEX(Data!$A:$A,CEILING((COUNTA(Data!$A:$A)-1)*RAND()+1,1)),"")</f>
        <v/>
      </c>
      <c r="B346" s="1" t="str">
        <f>IF(ROW()&lt;=Results!$C$1+1,VLOOKUP($A346,Data!$A$2:$C$117,2,TRUE),"")</f>
        <v/>
      </c>
      <c r="C346" s="14" t="str">
        <f>IF(ROW()&lt;=Results!$C$1+1,IF(B346&lt;=0,"",LN(B346)),"")</f>
        <v/>
      </c>
      <c r="D346" s="58" t="str">
        <f ca="1">IF(Results!$S$5,A346,IF(ROW()&lt;=Results!$C$1+1,INDEX(Data!$A:$A,CEILING((COUNTA(Data!$A:$A)-1)*RAND()+1,1)),""))</f>
        <v/>
      </c>
      <c r="E346" s="1" t="str">
        <f>IF(ROW()&lt;=Results!$C$1+1,VLOOKUP($D346,Data!$A$2:$C$117,3,TRUE),"")</f>
        <v/>
      </c>
      <c r="F346" s="14" t="str">
        <f>IF(ROW()&lt;=Results!$C$1+1,IF(E346&lt;=0,"",LN(E346)),"")</f>
        <v/>
      </c>
      <c r="G346" s="53" t="str">
        <f>IF(ROW()&lt;=Results!$C$1+1,IF(ISERROR(C346-F346),"",C346-F346),"")</f>
        <v/>
      </c>
    </row>
    <row r="347" spans="1:7" x14ac:dyDescent="0.25">
      <c r="A347" s="1" t="str">
        <f ca="1">IF(ROW()&lt;=Results!$C$1+1,INDEX(Data!$A:$A,CEILING((COUNTA(Data!$A:$A)-1)*RAND()+1,1)),"")</f>
        <v/>
      </c>
      <c r="B347" s="1" t="str">
        <f>IF(ROW()&lt;=Results!$C$1+1,VLOOKUP($A347,Data!$A$2:$C$117,2,TRUE),"")</f>
        <v/>
      </c>
      <c r="C347" s="14" t="str">
        <f>IF(ROW()&lt;=Results!$C$1+1,IF(B347&lt;=0,"",LN(B347)),"")</f>
        <v/>
      </c>
      <c r="D347" s="58" t="str">
        <f ca="1">IF(Results!$S$5,A347,IF(ROW()&lt;=Results!$C$1+1,INDEX(Data!$A:$A,CEILING((COUNTA(Data!$A:$A)-1)*RAND()+1,1)),""))</f>
        <v/>
      </c>
      <c r="E347" s="1" t="str">
        <f>IF(ROW()&lt;=Results!$C$1+1,VLOOKUP($D347,Data!$A$2:$C$117,3,TRUE),"")</f>
        <v/>
      </c>
      <c r="F347" s="14" t="str">
        <f>IF(ROW()&lt;=Results!$C$1+1,IF(E347&lt;=0,"",LN(E347)),"")</f>
        <v/>
      </c>
      <c r="G347" s="53" t="str">
        <f>IF(ROW()&lt;=Results!$C$1+1,IF(ISERROR(C347-F347),"",C347-F347),"")</f>
        <v/>
      </c>
    </row>
    <row r="348" spans="1:7" x14ac:dyDescent="0.25">
      <c r="A348" s="1" t="str">
        <f ca="1">IF(ROW()&lt;=Results!$C$1+1,INDEX(Data!$A:$A,CEILING((COUNTA(Data!$A:$A)-1)*RAND()+1,1)),"")</f>
        <v/>
      </c>
      <c r="B348" s="1" t="str">
        <f>IF(ROW()&lt;=Results!$C$1+1,VLOOKUP($A348,Data!$A$2:$C$117,2,TRUE),"")</f>
        <v/>
      </c>
      <c r="C348" s="14" t="str">
        <f>IF(ROW()&lt;=Results!$C$1+1,IF(B348&lt;=0,"",LN(B348)),"")</f>
        <v/>
      </c>
      <c r="D348" s="58" t="str">
        <f ca="1">IF(Results!$S$5,A348,IF(ROW()&lt;=Results!$C$1+1,INDEX(Data!$A:$A,CEILING((COUNTA(Data!$A:$A)-1)*RAND()+1,1)),""))</f>
        <v/>
      </c>
      <c r="E348" s="1" t="str">
        <f>IF(ROW()&lt;=Results!$C$1+1,VLOOKUP($D348,Data!$A$2:$C$117,3,TRUE),"")</f>
        <v/>
      </c>
      <c r="F348" s="14" t="str">
        <f>IF(ROW()&lt;=Results!$C$1+1,IF(E348&lt;=0,"",LN(E348)),"")</f>
        <v/>
      </c>
      <c r="G348" s="53" t="str">
        <f>IF(ROW()&lt;=Results!$C$1+1,IF(ISERROR(C348-F348),"",C348-F348),"")</f>
        <v/>
      </c>
    </row>
    <row r="349" spans="1:7" x14ac:dyDescent="0.25">
      <c r="A349" s="1" t="str">
        <f ca="1">IF(ROW()&lt;=Results!$C$1+1,INDEX(Data!$A:$A,CEILING((COUNTA(Data!$A:$A)-1)*RAND()+1,1)),"")</f>
        <v/>
      </c>
      <c r="B349" s="1" t="str">
        <f>IF(ROW()&lt;=Results!$C$1+1,VLOOKUP($A349,Data!$A$2:$C$117,2,TRUE),"")</f>
        <v/>
      </c>
      <c r="C349" s="14" t="str">
        <f>IF(ROW()&lt;=Results!$C$1+1,IF(B349&lt;=0,"",LN(B349)),"")</f>
        <v/>
      </c>
      <c r="D349" s="58" t="str">
        <f ca="1">IF(Results!$S$5,A349,IF(ROW()&lt;=Results!$C$1+1,INDEX(Data!$A:$A,CEILING((COUNTA(Data!$A:$A)-1)*RAND()+1,1)),""))</f>
        <v/>
      </c>
      <c r="E349" s="1" t="str">
        <f>IF(ROW()&lt;=Results!$C$1+1,VLOOKUP($D349,Data!$A$2:$C$117,3,TRUE),"")</f>
        <v/>
      </c>
      <c r="F349" s="14" t="str">
        <f>IF(ROW()&lt;=Results!$C$1+1,IF(E349&lt;=0,"",LN(E349)),"")</f>
        <v/>
      </c>
      <c r="G349" s="53" t="str">
        <f>IF(ROW()&lt;=Results!$C$1+1,IF(ISERROR(C349-F349),"",C349-F349),"")</f>
        <v/>
      </c>
    </row>
    <row r="350" spans="1:7" x14ac:dyDescent="0.25">
      <c r="A350" s="1" t="str">
        <f ca="1">IF(ROW()&lt;=Results!$C$1+1,INDEX(Data!$A:$A,CEILING((COUNTA(Data!$A:$A)-1)*RAND()+1,1)),"")</f>
        <v/>
      </c>
      <c r="B350" s="1" t="str">
        <f>IF(ROW()&lt;=Results!$C$1+1,VLOOKUP($A350,Data!$A$2:$C$117,2,TRUE),"")</f>
        <v/>
      </c>
      <c r="C350" s="14" t="str">
        <f>IF(ROW()&lt;=Results!$C$1+1,IF(B350&lt;=0,"",LN(B350)),"")</f>
        <v/>
      </c>
      <c r="D350" s="58" t="str">
        <f ca="1">IF(Results!$S$5,A350,IF(ROW()&lt;=Results!$C$1+1,INDEX(Data!$A:$A,CEILING((COUNTA(Data!$A:$A)-1)*RAND()+1,1)),""))</f>
        <v/>
      </c>
      <c r="E350" s="1" t="str">
        <f>IF(ROW()&lt;=Results!$C$1+1,VLOOKUP($D350,Data!$A$2:$C$117,3,TRUE),"")</f>
        <v/>
      </c>
      <c r="F350" s="14" t="str">
        <f>IF(ROW()&lt;=Results!$C$1+1,IF(E350&lt;=0,"",LN(E350)),"")</f>
        <v/>
      </c>
      <c r="G350" s="53" t="str">
        <f>IF(ROW()&lt;=Results!$C$1+1,IF(ISERROR(C350-F350),"",C350-F350),"")</f>
        <v/>
      </c>
    </row>
    <row r="351" spans="1:7" x14ac:dyDescent="0.25">
      <c r="A351" s="1" t="str">
        <f ca="1">IF(ROW()&lt;=Results!$C$1+1,INDEX(Data!$A:$A,CEILING((COUNTA(Data!$A:$A)-1)*RAND()+1,1)),"")</f>
        <v/>
      </c>
      <c r="B351" s="1" t="str">
        <f>IF(ROW()&lt;=Results!$C$1+1,VLOOKUP($A351,Data!$A$2:$C$117,2,TRUE),"")</f>
        <v/>
      </c>
      <c r="C351" s="14" t="str">
        <f>IF(ROW()&lt;=Results!$C$1+1,IF(B351&lt;=0,"",LN(B351)),"")</f>
        <v/>
      </c>
      <c r="D351" s="58" t="str">
        <f ca="1">IF(Results!$S$5,A351,IF(ROW()&lt;=Results!$C$1+1,INDEX(Data!$A:$A,CEILING((COUNTA(Data!$A:$A)-1)*RAND()+1,1)),""))</f>
        <v/>
      </c>
      <c r="E351" s="1" t="str">
        <f>IF(ROW()&lt;=Results!$C$1+1,VLOOKUP($D351,Data!$A$2:$C$117,3,TRUE),"")</f>
        <v/>
      </c>
      <c r="F351" s="14" t="str">
        <f>IF(ROW()&lt;=Results!$C$1+1,IF(E351&lt;=0,"",LN(E351)),"")</f>
        <v/>
      </c>
      <c r="G351" s="53" t="str">
        <f>IF(ROW()&lt;=Results!$C$1+1,IF(ISERROR(C351-F351),"",C351-F351),"")</f>
        <v/>
      </c>
    </row>
    <row r="352" spans="1:7" x14ac:dyDescent="0.25">
      <c r="A352" s="1" t="str">
        <f ca="1">IF(ROW()&lt;=Results!$C$1+1,INDEX(Data!$A:$A,CEILING((COUNTA(Data!$A:$A)-1)*RAND()+1,1)),"")</f>
        <v/>
      </c>
      <c r="B352" s="1" t="str">
        <f>IF(ROW()&lt;=Results!$C$1+1,VLOOKUP($A352,Data!$A$2:$C$117,2,TRUE),"")</f>
        <v/>
      </c>
      <c r="C352" s="14" t="str">
        <f>IF(ROW()&lt;=Results!$C$1+1,IF(B352&lt;=0,"",LN(B352)),"")</f>
        <v/>
      </c>
      <c r="D352" s="58" t="str">
        <f ca="1">IF(Results!$S$5,A352,IF(ROW()&lt;=Results!$C$1+1,INDEX(Data!$A:$A,CEILING((COUNTA(Data!$A:$A)-1)*RAND()+1,1)),""))</f>
        <v/>
      </c>
      <c r="E352" s="1" t="str">
        <f>IF(ROW()&lt;=Results!$C$1+1,VLOOKUP($D352,Data!$A$2:$C$117,3,TRUE),"")</f>
        <v/>
      </c>
      <c r="F352" s="14" t="str">
        <f>IF(ROW()&lt;=Results!$C$1+1,IF(E352&lt;=0,"",LN(E352)),"")</f>
        <v/>
      </c>
      <c r="G352" s="53" t="str">
        <f>IF(ROW()&lt;=Results!$C$1+1,IF(ISERROR(C352-F352),"",C352-F352),"")</f>
        <v/>
      </c>
    </row>
    <row r="353" spans="1:7" x14ac:dyDescent="0.25">
      <c r="A353" s="1" t="str">
        <f ca="1">IF(ROW()&lt;=Results!$C$1+1,INDEX(Data!$A:$A,CEILING((COUNTA(Data!$A:$A)-1)*RAND()+1,1)),"")</f>
        <v/>
      </c>
      <c r="B353" s="1" t="str">
        <f>IF(ROW()&lt;=Results!$C$1+1,VLOOKUP($A353,Data!$A$2:$C$117,2,TRUE),"")</f>
        <v/>
      </c>
      <c r="C353" s="14" t="str">
        <f>IF(ROW()&lt;=Results!$C$1+1,IF(B353&lt;=0,"",LN(B353)),"")</f>
        <v/>
      </c>
      <c r="D353" s="58" t="str">
        <f ca="1">IF(Results!$S$5,A353,IF(ROW()&lt;=Results!$C$1+1,INDEX(Data!$A:$A,CEILING((COUNTA(Data!$A:$A)-1)*RAND()+1,1)),""))</f>
        <v/>
      </c>
      <c r="E353" s="1" t="str">
        <f>IF(ROW()&lt;=Results!$C$1+1,VLOOKUP($D353,Data!$A$2:$C$117,3,TRUE),"")</f>
        <v/>
      </c>
      <c r="F353" s="14" t="str">
        <f>IF(ROW()&lt;=Results!$C$1+1,IF(E353&lt;=0,"",LN(E353)),"")</f>
        <v/>
      </c>
      <c r="G353" s="53" t="str">
        <f>IF(ROW()&lt;=Results!$C$1+1,IF(ISERROR(C353-F353),"",C353-F353),"")</f>
        <v/>
      </c>
    </row>
    <row r="354" spans="1:7" x14ac:dyDescent="0.25">
      <c r="A354" s="1" t="str">
        <f ca="1">IF(ROW()&lt;=Results!$C$1+1,INDEX(Data!$A:$A,CEILING((COUNTA(Data!$A:$A)-1)*RAND()+1,1)),"")</f>
        <v/>
      </c>
      <c r="B354" s="1" t="str">
        <f>IF(ROW()&lt;=Results!$C$1+1,VLOOKUP($A354,Data!$A$2:$C$117,2,TRUE),"")</f>
        <v/>
      </c>
      <c r="C354" s="14" t="str">
        <f>IF(ROW()&lt;=Results!$C$1+1,IF(B354&lt;=0,"",LN(B354)),"")</f>
        <v/>
      </c>
      <c r="D354" s="58" t="str">
        <f ca="1">IF(Results!$S$5,A354,IF(ROW()&lt;=Results!$C$1+1,INDEX(Data!$A:$A,CEILING((COUNTA(Data!$A:$A)-1)*RAND()+1,1)),""))</f>
        <v/>
      </c>
      <c r="E354" s="1" t="str">
        <f>IF(ROW()&lt;=Results!$C$1+1,VLOOKUP($D354,Data!$A$2:$C$117,3,TRUE),"")</f>
        <v/>
      </c>
      <c r="F354" s="14" t="str">
        <f>IF(ROW()&lt;=Results!$C$1+1,IF(E354&lt;=0,"",LN(E354)),"")</f>
        <v/>
      </c>
      <c r="G354" s="53" t="str">
        <f>IF(ROW()&lt;=Results!$C$1+1,IF(ISERROR(C354-F354),"",C354-F354),"")</f>
        <v/>
      </c>
    </row>
    <row r="355" spans="1:7" x14ac:dyDescent="0.25">
      <c r="A355" s="1" t="str">
        <f ca="1">IF(ROW()&lt;=Results!$C$1+1,INDEX(Data!$A:$A,CEILING((COUNTA(Data!$A:$A)-1)*RAND()+1,1)),"")</f>
        <v/>
      </c>
      <c r="B355" s="1" t="str">
        <f>IF(ROW()&lt;=Results!$C$1+1,VLOOKUP($A355,Data!$A$2:$C$117,2,TRUE),"")</f>
        <v/>
      </c>
      <c r="C355" s="14" t="str">
        <f>IF(ROW()&lt;=Results!$C$1+1,IF(B355&lt;=0,"",LN(B355)),"")</f>
        <v/>
      </c>
      <c r="D355" s="58" t="str">
        <f ca="1">IF(Results!$S$5,A355,IF(ROW()&lt;=Results!$C$1+1,INDEX(Data!$A:$A,CEILING((COUNTA(Data!$A:$A)-1)*RAND()+1,1)),""))</f>
        <v/>
      </c>
      <c r="E355" s="1" t="str">
        <f>IF(ROW()&lt;=Results!$C$1+1,VLOOKUP($D355,Data!$A$2:$C$117,3,TRUE),"")</f>
        <v/>
      </c>
      <c r="F355" s="14" t="str">
        <f>IF(ROW()&lt;=Results!$C$1+1,IF(E355&lt;=0,"",LN(E355)),"")</f>
        <v/>
      </c>
      <c r="G355" s="53" t="str">
        <f>IF(ROW()&lt;=Results!$C$1+1,IF(ISERROR(C355-F355),"",C355-F355),"")</f>
        <v/>
      </c>
    </row>
    <row r="356" spans="1:7" x14ac:dyDescent="0.25">
      <c r="A356" s="1" t="str">
        <f ca="1">IF(ROW()&lt;=Results!$C$1+1,INDEX(Data!$A:$A,CEILING((COUNTA(Data!$A:$A)-1)*RAND()+1,1)),"")</f>
        <v/>
      </c>
      <c r="B356" s="1" t="str">
        <f>IF(ROW()&lt;=Results!$C$1+1,VLOOKUP($A356,Data!$A$2:$C$117,2,TRUE),"")</f>
        <v/>
      </c>
      <c r="C356" s="14" t="str">
        <f>IF(ROW()&lt;=Results!$C$1+1,IF(B356&lt;=0,"",LN(B356)),"")</f>
        <v/>
      </c>
      <c r="D356" s="58" t="str">
        <f ca="1">IF(Results!$S$5,A356,IF(ROW()&lt;=Results!$C$1+1,INDEX(Data!$A:$A,CEILING((COUNTA(Data!$A:$A)-1)*RAND()+1,1)),""))</f>
        <v/>
      </c>
      <c r="E356" s="1" t="str">
        <f>IF(ROW()&lt;=Results!$C$1+1,VLOOKUP($D356,Data!$A$2:$C$117,3,TRUE),"")</f>
        <v/>
      </c>
      <c r="F356" s="14" t="str">
        <f>IF(ROW()&lt;=Results!$C$1+1,IF(E356&lt;=0,"",LN(E356)),"")</f>
        <v/>
      </c>
      <c r="G356" s="53" t="str">
        <f>IF(ROW()&lt;=Results!$C$1+1,IF(ISERROR(C356-F356),"",C356-F356),"")</f>
        <v/>
      </c>
    </row>
    <row r="357" spans="1:7" x14ac:dyDescent="0.25">
      <c r="A357" s="1" t="str">
        <f ca="1">IF(ROW()&lt;=Results!$C$1+1,INDEX(Data!$A:$A,CEILING((COUNTA(Data!$A:$A)-1)*RAND()+1,1)),"")</f>
        <v/>
      </c>
      <c r="B357" s="1" t="str">
        <f>IF(ROW()&lt;=Results!$C$1+1,VLOOKUP($A357,Data!$A$2:$C$117,2,TRUE),"")</f>
        <v/>
      </c>
      <c r="C357" s="14" t="str">
        <f>IF(ROW()&lt;=Results!$C$1+1,IF(B357&lt;=0,"",LN(B357)),"")</f>
        <v/>
      </c>
      <c r="D357" s="58" t="str">
        <f ca="1">IF(Results!$S$5,A357,IF(ROW()&lt;=Results!$C$1+1,INDEX(Data!$A:$A,CEILING((COUNTA(Data!$A:$A)-1)*RAND()+1,1)),""))</f>
        <v/>
      </c>
      <c r="E357" s="1" t="str">
        <f>IF(ROW()&lt;=Results!$C$1+1,VLOOKUP($D357,Data!$A$2:$C$117,3,TRUE),"")</f>
        <v/>
      </c>
      <c r="F357" s="14" t="str">
        <f>IF(ROW()&lt;=Results!$C$1+1,IF(E357&lt;=0,"",LN(E357)),"")</f>
        <v/>
      </c>
      <c r="G357" s="53" t="str">
        <f>IF(ROW()&lt;=Results!$C$1+1,IF(ISERROR(C357-F357),"",C357-F357),"")</f>
        <v/>
      </c>
    </row>
    <row r="358" spans="1:7" x14ac:dyDescent="0.25">
      <c r="A358" s="1" t="str">
        <f ca="1">IF(ROW()&lt;=Results!$C$1+1,INDEX(Data!$A:$A,CEILING((COUNTA(Data!$A:$A)-1)*RAND()+1,1)),"")</f>
        <v/>
      </c>
      <c r="B358" s="1" t="str">
        <f>IF(ROW()&lt;=Results!$C$1+1,VLOOKUP($A358,Data!$A$2:$C$117,2,TRUE),"")</f>
        <v/>
      </c>
      <c r="C358" s="14" t="str">
        <f>IF(ROW()&lt;=Results!$C$1+1,IF(B358&lt;=0,"",LN(B358)),"")</f>
        <v/>
      </c>
      <c r="D358" s="58" t="str">
        <f ca="1">IF(Results!$S$5,A358,IF(ROW()&lt;=Results!$C$1+1,INDEX(Data!$A:$A,CEILING((COUNTA(Data!$A:$A)-1)*RAND()+1,1)),""))</f>
        <v/>
      </c>
      <c r="E358" s="1" t="str">
        <f>IF(ROW()&lt;=Results!$C$1+1,VLOOKUP($D358,Data!$A$2:$C$117,3,TRUE),"")</f>
        <v/>
      </c>
      <c r="F358" s="14" t="str">
        <f>IF(ROW()&lt;=Results!$C$1+1,IF(E358&lt;=0,"",LN(E358)),"")</f>
        <v/>
      </c>
      <c r="G358" s="53" t="str">
        <f>IF(ROW()&lt;=Results!$C$1+1,IF(ISERROR(C358-F358),"",C358-F358),"")</f>
        <v/>
      </c>
    </row>
    <row r="359" spans="1:7" x14ac:dyDescent="0.25">
      <c r="A359" s="1" t="str">
        <f ca="1">IF(ROW()&lt;=Results!$C$1+1,INDEX(Data!$A:$A,CEILING((COUNTA(Data!$A:$A)-1)*RAND()+1,1)),"")</f>
        <v/>
      </c>
      <c r="B359" s="1" t="str">
        <f>IF(ROW()&lt;=Results!$C$1+1,VLOOKUP($A359,Data!$A$2:$C$117,2,TRUE),"")</f>
        <v/>
      </c>
      <c r="C359" s="14" t="str">
        <f>IF(ROW()&lt;=Results!$C$1+1,IF(B359&lt;=0,"",LN(B359)),"")</f>
        <v/>
      </c>
      <c r="D359" s="58" t="str">
        <f ca="1">IF(Results!$S$5,A359,IF(ROW()&lt;=Results!$C$1+1,INDEX(Data!$A:$A,CEILING((COUNTA(Data!$A:$A)-1)*RAND()+1,1)),""))</f>
        <v/>
      </c>
      <c r="E359" s="1" t="str">
        <f>IF(ROW()&lt;=Results!$C$1+1,VLOOKUP($D359,Data!$A$2:$C$117,3,TRUE),"")</f>
        <v/>
      </c>
      <c r="F359" s="14" t="str">
        <f>IF(ROW()&lt;=Results!$C$1+1,IF(E359&lt;=0,"",LN(E359)),"")</f>
        <v/>
      </c>
      <c r="G359" s="53" t="str">
        <f>IF(ROW()&lt;=Results!$C$1+1,IF(ISERROR(C359-F359),"",C359-F359),"")</f>
        <v/>
      </c>
    </row>
    <row r="360" spans="1:7" x14ac:dyDescent="0.25">
      <c r="A360" s="1" t="str">
        <f ca="1">IF(ROW()&lt;=Results!$C$1+1,INDEX(Data!$A:$A,CEILING((COUNTA(Data!$A:$A)-1)*RAND()+1,1)),"")</f>
        <v/>
      </c>
      <c r="B360" s="1" t="str">
        <f>IF(ROW()&lt;=Results!$C$1+1,VLOOKUP($A360,Data!$A$2:$C$117,2,TRUE),"")</f>
        <v/>
      </c>
      <c r="C360" s="14" t="str">
        <f>IF(ROW()&lt;=Results!$C$1+1,IF(B360&lt;=0,"",LN(B360)),"")</f>
        <v/>
      </c>
      <c r="D360" s="58" t="str">
        <f ca="1">IF(Results!$S$5,A360,IF(ROW()&lt;=Results!$C$1+1,INDEX(Data!$A:$A,CEILING((COUNTA(Data!$A:$A)-1)*RAND()+1,1)),""))</f>
        <v/>
      </c>
      <c r="E360" s="1" t="str">
        <f>IF(ROW()&lt;=Results!$C$1+1,VLOOKUP($D360,Data!$A$2:$C$117,3,TRUE),"")</f>
        <v/>
      </c>
      <c r="F360" s="14" t="str">
        <f>IF(ROW()&lt;=Results!$C$1+1,IF(E360&lt;=0,"",LN(E360)),"")</f>
        <v/>
      </c>
      <c r="G360" s="53" t="str">
        <f>IF(ROW()&lt;=Results!$C$1+1,IF(ISERROR(C360-F360),"",C360-F360),"")</f>
        <v/>
      </c>
    </row>
    <row r="361" spans="1:7" x14ac:dyDescent="0.25">
      <c r="A361" s="1" t="str">
        <f ca="1">IF(ROW()&lt;=Results!$C$1+1,INDEX(Data!$A:$A,CEILING((COUNTA(Data!$A:$A)-1)*RAND()+1,1)),"")</f>
        <v/>
      </c>
      <c r="B361" s="1" t="str">
        <f>IF(ROW()&lt;=Results!$C$1+1,VLOOKUP($A361,Data!$A$2:$C$117,2,TRUE),"")</f>
        <v/>
      </c>
      <c r="C361" s="14" t="str">
        <f>IF(ROW()&lt;=Results!$C$1+1,IF(B361&lt;=0,"",LN(B361)),"")</f>
        <v/>
      </c>
      <c r="D361" s="58" t="str">
        <f ca="1">IF(Results!$S$5,A361,IF(ROW()&lt;=Results!$C$1+1,INDEX(Data!$A:$A,CEILING((COUNTA(Data!$A:$A)-1)*RAND()+1,1)),""))</f>
        <v/>
      </c>
      <c r="E361" s="1" t="str">
        <f>IF(ROW()&lt;=Results!$C$1+1,VLOOKUP($D361,Data!$A$2:$C$117,3,TRUE),"")</f>
        <v/>
      </c>
      <c r="F361" s="14" t="str">
        <f>IF(ROW()&lt;=Results!$C$1+1,IF(E361&lt;=0,"",LN(E361)),"")</f>
        <v/>
      </c>
      <c r="G361" s="53" t="str">
        <f>IF(ROW()&lt;=Results!$C$1+1,IF(ISERROR(C361-F361),"",C361-F361),"")</f>
        <v/>
      </c>
    </row>
    <row r="362" spans="1:7" x14ac:dyDescent="0.25">
      <c r="A362" s="1" t="str">
        <f ca="1">IF(ROW()&lt;=Results!$C$1+1,INDEX(Data!$A:$A,CEILING((COUNTA(Data!$A:$A)-1)*RAND()+1,1)),"")</f>
        <v/>
      </c>
      <c r="B362" s="1" t="str">
        <f>IF(ROW()&lt;=Results!$C$1+1,VLOOKUP($A362,Data!$A$2:$C$117,2,TRUE),"")</f>
        <v/>
      </c>
      <c r="C362" s="14" t="str">
        <f>IF(ROW()&lt;=Results!$C$1+1,IF(B362&lt;=0,"",LN(B362)),"")</f>
        <v/>
      </c>
      <c r="D362" s="58" t="str">
        <f ca="1">IF(Results!$S$5,A362,IF(ROW()&lt;=Results!$C$1+1,INDEX(Data!$A:$A,CEILING((COUNTA(Data!$A:$A)-1)*RAND()+1,1)),""))</f>
        <v/>
      </c>
      <c r="E362" s="1" t="str">
        <f>IF(ROW()&lt;=Results!$C$1+1,VLOOKUP($D362,Data!$A$2:$C$117,3,TRUE),"")</f>
        <v/>
      </c>
      <c r="F362" s="14" t="str">
        <f>IF(ROW()&lt;=Results!$C$1+1,IF(E362&lt;=0,"",LN(E362)),"")</f>
        <v/>
      </c>
      <c r="G362" s="53" t="str">
        <f>IF(ROW()&lt;=Results!$C$1+1,IF(ISERROR(C362-F362),"",C362-F362),"")</f>
        <v/>
      </c>
    </row>
    <row r="363" spans="1:7" x14ac:dyDescent="0.25">
      <c r="A363" s="1" t="str">
        <f ca="1">IF(ROW()&lt;=Results!$C$1+1,INDEX(Data!$A:$A,CEILING((COUNTA(Data!$A:$A)-1)*RAND()+1,1)),"")</f>
        <v/>
      </c>
      <c r="B363" s="1" t="str">
        <f>IF(ROW()&lt;=Results!$C$1+1,VLOOKUP($A363,Data!$A$2:$C$117,2,TRUE),"")</f>
        <v/>
      </c>
      <c r="C363" s="14" t="str">
        <f>IF(ROW()&lt;=Results!$C$1+1,IF(B363&lt;=0,"",LN(B363)),"")</f>
        <v/>
      </c>
      <c r="D363" s="58" t="str">
        <f ca="1">IF(Results!$S$5,A363,IF(ROW()&lt;=Results!$C$1+1,INDEX(Data!$A:$A,CEILING((COUNTA(Data!$A:$A)-1)*RAND()+1,1)),""))</f>
        <v/>
      </c>
      <c r="E363" s="1" t="str">
        <f>IF(ROW()&lt;=Results!$C$1+1,VLOOKUP($D363,Data!$A$2:$C$117,3,TRUE),"")</f>
        <v/>
      </c>
      <c r="F363" s="14" t="str">
        <f>IF(ROW()&lt;=Results!$C$1+1,IF(E363&lt;=0,"",LN(E363)),"")</f>
        <v/>
      </c>
      <c r="G363" s="53" t="str">
        <f>IF(ROW()&lt;=Results!$C$1+1,IF(ISERROR(C363-F363),"",C363-F363),"")</f>
        <v/>
      </c>
    </row>
    <row r="364" spans="1:7" x14ac:dyDescent="0.25">
      <c r="A364" s="1" t="str">
        <f ca="1">IF(ROW()&lt;=Results!$C$1+1,INDEX(Data!$A:$A,CEILING((COUNTA(Data!$A:$A)-1)*RAND()+1,1)),"")</f>
        <v/>
      </c>
      <c r="B364" s="1" t="str">
        <f>IF(ROW()&lt;=Results!$C$1+1,VLOOKUP($A364,Data!$A$2:$C$117,2,TRUE),"")</f>
        <v/>
      </c>
      <c r="C364" s="14" t="str">
        <f>IF(ROW()&lt;=Results!$C$1+1,IF(B364&lt;=0,"",LN(B364)),"")</f>
        <v/>
      </c>
      <c r="D364" s="58" t="str">
        <f ca="1">IF(Results!$S$5,A364,IF(ROW()&lt;=Results!$C$1+1,INDEX(Data!$A:$A,CEILING((COUNTA(Data!$A:$A)-1)*RAND()+1,1)),""))</f>
        <v/>
      </c>
      <c r="E364" s="1" t="str">
        <f>IF(ROW()&lt;=Results!$C$1+1,VLOOKUP($D364,Data!$A$2:$C$117,3,TRUE),"")</f>
        <v/>
      </c>
      <c r="F364" s="14" t="str">
        <f>IF(ROW()&lt;=Results!$C$1+1,IF(E364&lt;=0,"",LN(E364)),"")</f>
        <v/>
      </c>
      <c r="G364" s="53" t="str">
        <f>IF(ROW()&lt;=Results!$C$1+1,IF(ISERROR(C364-F364),"",C364-F364),"")</f>
        <v/>
      </c>
    </row>
    <row r="365" spans="1:7" x14ac:dyDescent="0.25">
      <c r="A365" s="1" t="str">
        <f ca="1">IF(ROW()&lt;=Results!$C$1+1,INDEX(Data!$A:$A,CEILING((COUNTA(Data!$A:$A)-1)*RAND()+1,1)),"")</f>
        <v/>
      </c>
      <c r="B365" s="1" t="str">
        <f>IF(ROW()&lt;=Results!$C$1+1,VLOOKUP($A365,Data!$A$2:$C$117,2,TRUE),"")</f>
        <v/>
      </c>
      <c r="C365" s="14" t="str">
        <f>IF(ROW()&lt;=Results!$C$1+1,IF(B365&lt;=0,"",LN(B365)),"")</f>
        <v/>
      </c>
      <c r="D365" s="58" t="str">
        <f ca="1">IF(Results!$S$5,A365,IF(ROW()&lt;=Results!$C$1+1,INDEX(Data!$A:$A,CEILING((COUNTA(Data!$A:$A)-1)*RAND()+1,1)),""))</f>
        <v/>
      </c>
      <c r="E365" s="1" t="str">
        <f>IF(ROW()&lt;=Results!$C$1+1,VLOOKUP($D365,Data!$A$2:$C$117,3,TRUE),"")</f>
        <v/>
      </c>
      <c r="F365" s="14" t="str">
        <f>IF(ROW()&lt;=Results!$C$1+1,IF(E365&lt;=0,"",LN(E365)),"")</f>
        <v/>
      </c>
      <c r="G365" s="53" t="str">
        <f>IF(ROW()&lt;=Results!$C$1+1,IF(ISERROR(C365-F365),"",C365-F365),"")</f>
        <v/>
      </c>
    </row>
    <row r="366" spans="1:7" x14ac:dyDescent="0.25">
      <c r="A366" s="1" t="str">
        <f ca="1">IF(ROW()&lt;=Results!$C$1+1,INDEX(Data!$A:$A,CEILING((COUNTA(Data!$A:$A)-1)*RAND()+1,1)),"")</f>
        <v/>
      </c>
      <c r="B366" s="1" t="str">
        <f>IF(ROW()&lt;=Results!$C$1+1,VLOOKUP($A366,Data!$A$2:$C$117,2,TRUE),"")</f>
        <v/>
      </c>
      <c r="C366" s="14" t="str">
        <f>IF(ROW()&lt;=Results!$C$1+1,IF(B366&lt;=0,"",LN(B366)),"")</f>
        <v/>
      </c>
      <c r="D366" s="58" t="str">
        <f ca="1">IF(Results!$S$5,A366,IF(ROW()&lt;=Results!$C$1+1,INDEX(Data!$A:$A,CEILING((COUNTA(Data!$A:$A)-1)*RAND()+1,1)),""))</f>
        <v/>
      </c>
      <c r="E366" s="1" t="str">
        <f>IF(ROW()&lt;=Results!$C$1+1,VLOOKUP($D366,Data!$A$2:$C$117,3,TRUE),"")</f>
        <v/>
      </c>
      <c r="F366" s="14" t="str">
        <f>IF(ROW()&lt;=Results!$C$1+1,IF(E366&lt;=0,"",LN(E366)),"")</f>
        <v/>
      </c>
      <c r="G366" s="53" t="str">
        <f>IF(ROW()&lt;=Results!$C$1+1,IF(ISERROR(C366-F366),"",C366-F366),"")</f>
        <v/>
      </c>
    </row>
    <row r="367" spans="1:7" x14ac:dyDescent="0.25">
      <c r="A367" s="1" t="str">
        <f ca="1">IF(ROW()&lt;=Results!$C$1+1,INDEX(Data!$A:$A,CEILING((COUNTA(Data!$A:$A)-1)*RAND()+1,1)),"")</f>
        <v/>
      </c>
      <c r="B367" s="1" t="str">
        <f>IF(ROW()&lt;=Results!$C$1+1,VLOOKUP($A367,Data!$A$2:$C$117,2,TRUE),"")</f>
        <v/>
      </c>
      <c r="C367" s="14" t="str">
        <f>IF(ROW()&lt;=Results!$C$1+1,IF(B367&lt;=0,"",LN(B367)),"")</f>
        <v/>
      </c>
      <c r="D367" s="58" t="str">
        <f ca="1">IF(Results!$S$5,A367,IF(ROW()&lt;=Results!$C$1+1,INDEX(Data!$A:$A,CEILING((COUNTA(Data!$A:$A)-1)*RAND()+1,1)),""))</f>
        <v/>
      </c>
      <c r="E367" s="1" t="str">
        <f>IF(ROW()&lt;=Results!$C$1+1,VLOOKUP($D367,Data!$A$2:$C$117,3,TRUE),"")</f>
        <v/>
      </c>
      <c r="F367" s="14" t="str">
        <f>IF(ROW()&lt;=Results!$C$1+1,IF(E367&lt;=0,"",LN(E367)),"")</f>
        <v/>
      </c>
      <c r="G367" s="53" t="str">
        <f>IF(ROW()&lt;=Results!$C$1+1,IF(ISERROR(C367-F367),"",C367-F367),"")</f>
        <v/>
      </c>
    </row>
    <row r="368" spans="1:7" x14ac:dyDescent="0.25">
      <c r="A368" s="1" t="str">
        <f ca="1">IF(ROW()&lt;=Results!$C$1+1,INDEX(Data!$A:$A,CEILING((COUNTA(Data!$A:$A)-1)*RAND()+1,1)),"")</f>
        <v/>
      </c>
      <c r="B368" s="1" t="str">
        <f>IF(ROW()&lt;=Results!$C$1+1,VLOOKUP($A368,Data!$A$2:$C$117,2,TRUE),"")</f>
        <v/>
      </c>
      <c r="C368" s="14" t="str">
        <f>IF(ROW()&lt;=Results!$C$1+1,IF(B368&lt;=0,"",LN(B368)),"")</f>
        <v/>
      </c>
      <c r="D368" s="58" t="str">
        <f ca="1">IF(Results!$S$5,A368,IF(ROW()&lt;=Results!$C$1+1,INDEX(Data!$A:$A,CEILING((COUNTA(Data!$A:$A)-1)*RAND()+1,1)),""))</f>
        <v/>
      </c>
      <c r="E368" s="1" t="str">
        <f>IF(ROW()&lt;=Results!$C$1+1,VLOOKUP($D368,Data!$A$2:$C$117,3,TRUE),"")</f>
        <v/>
      </c>
      <c r="F368" s="14" t="str">
        <f>IF(ROW()&lt;=Results!$C$1+1,IF(E368&lt;=0,"",LN(E368)),"")</f>
        <v/>
      </c>
      <c r="G368" s="53" t="str">
        <f>IF(ROW()&lt;=Results!$C$1+1,IF(ISERROR(C368-F368),"",C368-F368),"")</f>
        <v/>
      </c>
    </row>
    <row r="369" spans="1:7" x14ac:dyDescent="0.25">
      <c r="A369" s="1" t="str">
        <f ca="1">IF(ROW()&lt;=Results!$C$1+1,INDEX(Data!$A:$A,CEILING((COUNTA(Data!$A:$A)-1)*RAND()+1,1)),"")</f>
        <v/>
      </c>
      <c r="B369" s="1" t="str">
        <f>IF(ROW()&lt;=Results!$C$1+1,VLOOKUP($A369,Data!$A$2:$C$117,2,TRUE),"")</f>
        <v/>
      </c>
      <c r="C369" s="14" t="str">
        <f>IF(ROW()&lt;=Results!$C$1+1,IF(B369&lt;=0,"",LN(B369)),"")</f>
        <v/>
      </c>
      <c r="D369" s="58" t="str">
        <f ca="1">IF(Results!$S$5,A369,IF(ROW()&lt;=Results!$C$1+1,INDEX(Data!$A:$A,CEILING((COUNTA(Data!$A:$A)-1)*RAND()+1,1)),""))</f>
        <v/>
      </c>
      <c r="E369" s="1" t="str">
        <f>IF(ROW()&lt;=Results!$C$1+1,VLOOKUP($D369,Data!$A$2:$C$117,3,TRUE),"")</f>
        <v/>
      </c>
      <c r="F369" s="14" t="str">
        <f>IF(ROW()&lt;=Results!$C$1+1,IF(E369&lt;=0,"",LN(E369)),"")</f>
        <v/>
      </c>
      <c r="G369" s="53" t="str">
        <f>IF(ROW()&lt;=Results!$C$1+1,IF(ISERROR(C369-F369),"",C369-F369),"")</f>
        <v/>
      </c>
    </row>
    <row r="370" spans="1:7" x14ac:dyDescent="0.25">
      <c r="A370" s="1" t="str">
        <f ca="1">IF(ROW()&lt;=Results!$C$1+1,INDEX(Data!$A:$A,CEILING((COUNTA(Data!$A:$A)-1)*RAND()+1,1)),"")</f>
        <v/>
      </c>
      <c r="B370" s="1" t="str">
        <f>IF(ROW()&lt;=Results!$C$1+1,VLOOKUP($A370,Data!$A$2:$C$117,2,TRUE),"")</f>
        <v/>
      </c>
      <c r="C370" s="14" t="str">
        <f>IF(ROW()&lt;=Results!$C$1+1,IF(B370&lt;=0,"",LN(B370)),"")</f>
        <v/>
      </c>
      <c r="D370" s="58" t="str">
        <f ca="1">IF(Results!$S$5,A370,IF(ROW()&lt;=Results!$C$1+1,INDEX(Data!$A:$A,CEILING((COUNTA(Data!$A:$A)-1)*RAND()+1,1)),""))</f>
        <v/>
      </c>
      <c r="E370" s="1" t="str">
        <f>IF(ROW()&lt;=Results!$C$1+1,VLOOKUP($D370,Data!$A$2:$C$117,3,TRUE),"")</f>
        <v/>
      </c>
      <c r="F370" s="14" t="str">
        <f>IF(ROW()&lt;=Results!$C$1+1,IF(E370&lt;=0,"",LN(E370)),"")</f>
        <v/>
      </c>
      <c r="G370" s="53" t="str">
        <f>IF(ROW()&lt;=Results!$C$1+1,IF(ISERROR(C370-F370),"",C370-F370),"")</f>
        <v/>
      </c>
    </row>
    <row r="371" spans="1:7" x14ac:dyDescent="0.25">
      <c r="A371" s="1" t="str">
        <f ca="1">IF(ROW()&lt;=Results!$C$1+1,INDEX(Data!$A:$A,CEILING((COUNTA(Data!$A:$A)-1)*RAND()+1,1)),"")</f>
        <v/>
      </c>
      <c r="B371" s="1" t="str">
        <f>IF(ROW()&lt;=Results!$C$1+1,VLOOKUP($A371,Data!$A$2:$C$117,2,TRUE),"")</f>
        <v/>
      </c>
      <c r="C371" s="14" t="str">
        <f>IF(ROW()&lt;=Results!$C$1+1,IF(B371&lt;=0,"",LN(B371)),"")</f>
        <v/>
      </c>
      <c r="D371" s="58" t="str">
        <f ca="1">IF(Results!$S$5,A371,IF(ROW()&lt;=Results!$C$1+1,INDEX(Data!$A:$A,CEILING((COUNTA(Data!$A:$A)-1)*RAND()+1,1)),""))</f>
        <v/>
      </c>
      <c r="E371" s="1" t="str">
        <f>IF(ROW()&lt;=Results!$C$1+1,VLOOKUP($D371,Data!$A$2:$C$117,3,TRUE),"")</f>
        <v/>
      </c>
      <c r="F371" s="14" t="str">
        <f>IF(ROW()&lt;=Results!$C$1+1,IF(E371&lt;=0,"",LN(E371)),"")</f>
        <v/>
      </c>
      <c r="G371" s="53" t="str">
        <f>IF(ROW()&lt;=Results!$C$1+1,IF(ISERROR(C371-F371),"",C371-F371),"")</f>
        <v/>
      </c>
    </row>
    <row r="372" spans="1:7" x14ac:dyDescent="0.25">
      <c r="A372" s="1" t="str">
        <f ca="1">IF(ROW()&lt;=Results!$C$1+1,INDEX(Data!$A:$A,CEILING((COUNTA(Data!$A:$A)-1)*RAND()+1,1)),"")</f>
        <v/>
      </c>
      <c r="B372" s="1" t="str">
        <f>IF(ROW()&lt;=Results!$C$1+1,VLOOKUP($A372,Data!$A$2:$C$117,2,TRUE),"")</f>
        <v/>
      </c>
      <c r="C372" s="14" t="str">
        <f>IF(ROW()&lt;=Results!$C$1+1,IF(B372&lt;=0,"",LN(B372)),"")</f>
        <v/>
      </c>
      <c r="D372" s="58" t="str">
        <f ca="1">IF(Results!$S$5,A372,IF(ROW()&lt;=Results!$C$1+1,INDEX(Data!$A:$A,CEILING((COUNTA(Data!$A:$A)-1)*RAND()+1,1)),""))</f>
        <v/>
      </c>
      <c r="E372" s="1" t="str">
        <f>IF(ROW()&lt;=Results!$C$1+1,VLOOKUP($D372,Data!$A$2:$C$117,3,TRUE),"")</f>
        <v/>
      </c>
      <c r="F372" s="14" t="str">
        <f>IF(ROW()&lt;=Results!$C$1+1,IF(E372&lt;=0,"",LN(E372)),"")</f>
        <v/>
      </c>
      <c r="G372" s="53" t="str">
        <f>IF(ROW()&lt;=Results!$C$1+1,IF(ISERROR(C372-F372),"",C372-F372),"")</f>
        <v/>
      </c>
    </row>
    <row r="373" spans="1:7" x14ac:dyDescent="0.25">
      <c r="A373" s="1" t="str">
        <f ca="1">IF(ROW()&lt;=Results!$C$1+1,INDEX(Data!$A:$A,CEILING((COUNTA(Data!$A:$A)-1)*RAND()+1,1)),"")</f>
        <v/>
      </c>
      <c r="B373" s="1" t="str">
        <f>IF(ROW()&lt;=Results!$C$1+1,VLOOKUP($A373,Data!$A$2:$C$117,2,TRUE),"")</f>
        <v/>
      </c>
      <c r="C373" s="14" t="str">
        <f>IF(ROW()&lt;=Results!$C$1+1,IF(B373&lt;=0,"",LN(B373)),"")</f>
        <v/>
      </c>
      <c r="D373" s="58" t="str">
        <f ca="1">IF(Results!$S$5,A373,IF(ROW()&lt;=Results!$C$1+1,INDEX(Data!$A:$A,CEILING((COUNTA(Data!$A:$A)-1)*RAND()+1,1)),""))</f>
        <v/>
      </c>
      <c r="E373" s="1" t="str">
        <f>IF(ROW()&lt;=Results!$C$1+1,VLOOKUP($D373,Data!$A$2:$C$117,3,TRUE),"")</f>
        <v/>
      </c>
      <c r="F373" s="14" t="str">
        <f>IF(ROW()&lt;=Results!$C$1+1,IF(E373&lt;=0,"",LN(E373)),"")</f>
        <v/>
      </c>
      <c r="G373" s="53" t="str">
        <f>IF(ROW()&lt;=Results!$C$1+1,IF(ISERROR(C373-F373),"",C373-F373),"")</f>
        <v/>
      </c>
    </row>
    <row r="374" spans="1:7" x14ac:dyDescent="0.25">
      <c r="A374" s="1" t="str">
        <f ca="1">IF(ROW()&lt;=Results!$C$1+1,INDEX(Data!$A:$A,CEILING((COUNTA(Data!$A:$A)-1)*RAND()+1,1)),"")</f>
        <v/>
      </c>
      <c r="B374" s="1" t="str">
        <f>IF(ROW()&lt;=Results!$C$1+1,VLOOKUP($A374,Data!$A$2:$C$117,2,TRUE),"")</f>
        <v/>
      </c>
      <c r="C374" s="14" t="str">
        <f>IF(ROW()&lt;=Results!$C$1+1,IF(B374&lt;=0,"",LN(B374)),"")</f>
        <v/>
      </c>
      <c r="D374" s="58" t="str">
        <f ca="1">IF(Results!$S$5,A374,IF(ROW()&lt;=Results!$C$1+1,INDEX(Data!$A:$A,CEILING((COUNTA(Data!$A:$A)-1)*RAND()+1,1)),""))</f>
        <v/>
      </c>
      <c r="E374" s="1" t="str">
        <f>IF(ROW()&lt;=Results!$C$1+1,VLOOKUP($D374,Data!$A$2:$C$117,3,TRUE),"")</f>
        <v/>
      </c>
      <c r="F374" s="14" t="str">
        <f>IF(ROW()&lt;=Results!$C$1+1,IF(E374&lt;=0,"",LN(E374)),"")</f>
        <v/>
      </c>
      <c r="G374" s="53" t="str">
        <f>IF(ROW()&lt;=Results!$C$1+1,IF(ISERROR(C374-F374),"",C374-F374),"")</f>
        <v/>
      </c>
    </row>
    <row r="375" spans="1:7" x14ac:dyDescent="0.25">
      <c r="A375" s="1" t="str">
        <f ca="1">IF(ROW()&lt;=Results!$C$1+1,INDEX(Data!$A:$A,CEILING((COUNTA(Data!$A:$A)-1)*RAND()+1,1)),"")</f>
        <v/>
      </c>
      <c r="B375" s="1" t="str">
        <f>IF(ROW()&lt;=Results!$C$1+1,VLOOKUP($A375,Data!$A$2:$C$117,2,TRUE),"")</f>
        <v/>
      </c>
      <c r="C375" s="14" t="str">
        <f>IF(ROW()&lt;=Results!$C$1+1,IF(B375&lt;=0,"",LN(B375)),"")</f>
        <v/>
      </c>
      <c r="D375" s="58" t="str">
        <f ca="1">IF(Results!$S$5,A375,IF(ROW()&lt;=Results!$C$1+1,INDEX(Data!$A:$A,CEILING((COUNTA(Data!$A:$A)-1)*RAND()+1,1)),""))</f>
        <v/>
      </c>
      <c r="E375" s="1" t="str">
        <f>IF(ROW()&lt;=Results!$C$1+1,VLOOKUP($D375,Data!$A$2:$C$117,3,TRUE),"")</f>
        <v/>
      </c>
      <c r="F375" s="14" t="str">
        <f>IF(ROW()&lt;=Results!$C$1+1,IF(E375&lt;=0,"",LN(E375)),"")</f>
        <v/>
      </c>
      <c r="G375" s="53" t="str">
        <f>IF(ROW()&lt;=Results!$C$1+1,IF(ISERROR(C375-F375),"",C375-F375),"")</f>
        <v/>
      </c>
    </row>
    <row r="376" spans="1:7" x14ac:dyDescent="0.25">
      <c r="A376" s="1" t="str">
        <f ca="1">IF(ROW()&lt;=Results!$C$1+1,INDEX(Data!$A:$A,CEILING((COUNTA(Data!$A:$A)-1)*RAND()+1,1)),"")</f>
        <v/>
      </c>
      <c r="B376" s="1" t="str">
        <f>IF(ROW()&lt;=Results!$C$1+1,VLOOKUP($A376,Data!$A$2:$C$117,2,TRUE),"")</f>
        <v/>
      </c>
      <c r="C376" s="14" t="str">
        <f>IF(ROW()&lt;=Results!$C$1+1,IF(B376&lt;=0,"",LN(B376)),"")</f>
        <v/>
      </c>
      <c r="D376" s="58" t="str">
        <f ca="1">IF(Results!$S$5,A376,IF(ROW()&lt;=Results!$C$1+1,INDEX(Data!$A:$A,CEILING((COUNTA(Data!$A:$A)-1)*RAND()+1,1)),""))</f>
        <v/>
      </c>
      <c r="E376" s="1" t="str">
        <f>IF(ROW()&lt;=Results!$C$1+1,VLOOKUP($D376,Data!$A$2:$C$117,3,TRUE),"")</f>
        <v/>
      </c>
      <c r="F376" s="14" t="str">
        <f>IF(ROW()&lt;=Results!$C$1+1,IF(E376&lt;=0,"",LN(E376)),"")</f>
        <v/>
      </c>
      <c r="G376" s="53" t="str">
        <f>IF(ROW()&lt;=Results!$C$1+1,IF(ISERROR(C376-F376),"",C376-F376),"")</f>
        <v/>
      </c>
    </row>
    <row r="377" spans="1:7" x14ac:dyDescent="0.25">
      <c r="A377" s="1" t="str">
        <f ca="1">IF(ROW()&lt;=Results!$C$1+1,INDEX(Data!$A:$A,CEILING((COUNTA(Data!$A:$A)-1)*RAND()+1,1)),"")</f>
        <v/>
      </c>
      <c r="B377" s="1" t="str">
        <f>IF(ROW()&lt;=Results!$C$1+1,VLOOKUP($A377,Data!$A$2:$C$117,2,TRUE),"")</f>
        <v/>
      </c>
      <c r="C377" s="14" t="str">
        <f>IF(ROW()&lt;=Results!$C$1+1,IF(B377&lt;=0,"",LN(B377)),"")</f>
        <v/>
      </c>
      <c r="D377" s="58" t="str">
        <f ca="1">IF(Results!$S$5,A377,IF(ROW()&lt;=Results!$C$1+1,INDEX(Data!$A:$A,CEILING((COUNTA(Data!$A:$A)-1)*RAND()+1,1)),""))</f>
        <v/>
      </c>
      <c r="E377" s="1" t="str">
        <f>IF(ROW()&lt;=Results!$C$1+1,VLOOKUP($D377,Data!$A$2:$C$117,3,TRUE),"")</f>
        <v/>
      </c>
      <c r="F377" s="14" t="str">
        <f>IF(ROW()&lt;=Results!$C$1+1,IF(E377&lt;=0,"",LN(E377)),"")</f>
        <v/>
      </c>
      <c r="G377" s="53" t="str">
        <f>IF(ROW()&lt;=Results!$C$1+1,IF(ISERROR(C377-F377),"",C377-F377),"")</f>
        <v/>
      </c>
    </row>
    <row r="378" spans="1:7" x14ac:dyDescent="0.25">
      <c r="A378" s="1" t="str">
        <f ca="1">IF(ROW()&lt;=Results!$C$1+1,INDEX(Data!$A:$A,CEILING((COUNTA(Data!$A:$A)-1)*RAND()+1,1)),"")</f>
        <v/>
      </c>
      <c r="B378" s="1" t="str">
        <f>IF(ROW()&lt;=Results!$C$1+1,VLOOKUP($A378,Data!$A$2:$C$117,2,TRUE),"")</f>
        <v/>
      </c>
      <c r="C378" s="14" t="str">
        <f>IF(ROW()&lt;=Results!$C$1+1,IF(B378&lt;=0,"",LN(B378)),"")</f>
        <v/>
      </c>
      <c r="D378" s="58" t="str">
        <f ca="1">IF(Results!$S$5,A378,IF(ROW()&lt;=Results!$C$1+1,INDEX(Data!$A:$A,CEILING((COUNTA(Data!$A:$A)-1)*RAND()+1,1)),""))</f>
        <v/>
      </c>
      <c r="E378" s="1" t="str">
        <f>IF(ROW()&lt;=Results!$C$1+1,VLOOKUP($D378,Data!$A$2:$C$117,3,TRUE),"")</f>
        <v/>
      </c>
      <c r="F378" s="14" t="str">
        <f>IF(ROW()&lt;=Results!$C$1+1,IF(E378&lt;=0,"",LN(E378)),"")</f>
        <v/>
      </c>
      <c r="G378" s="53" t="str">
        <f>IF(ROW()&lt;=Results!$C$1+1,IF(ISERROR(C378-F378),"",C378-F378),"")</f>
        <v/>
      </c>
    </row>
    <row r="379" spans="1:7" x14ac:dyDescent="0.25">
      <c r="A379" s="1" t="str">
        <f ca="1">IF(ROW()&lt;=Results!$C$1+1,INDEX(Data!$A:$A,CEILING((COUNTA(Data!$A:$A)-1)*RAND()+1,1)),"")</f>
        <v/>
      </c>
      <c r="B379" s="1" t="str">
        <f>IF(ROW()&lt;=Results!$C$1+1,VLOOKUP($A379,Data!$A$2:$C$117,2,TRUE),"")</f>
        <v/>
      </c>
      <c r="C379" s="14" t="str">
        <f>IF(ROW()&lt;=Results!$C$1+1,IF(B379&lt;=0,"",LN(B379)),"")</f>
        <v/>
      </c>
      <c r="D379" s="58" t="str">
        <f ca="1">IF(Results!$S$5,A379,IF(ROW()&lt;=Results!$C$1+1,INDEX(Data!$A:$A,CEILING((COUNTA(Data!$A:$A)-1)*RAND()+1,1)),""))</f>
        <v/>
      </c>
      <c r="E379" s="1" t="str">
        <f>IF(ROW()&lt;=Results!$C$1+1,VLOOKUP($D379,Data!$A$2:$C$117,3,TRUE),"")</f>
        <v/>
      </c>
      <c r="F379" s="14" t="str">
        <f>IF(ROW()&lt;=Results!$C$1+1,IF(E379&lt;=0,"",LN(E379)),"")</f>
        <v/>
      </c>
      <c r="G379" s="53" t="str">
        <f>IF(ROW()&lt;=Results!$C$1+1,IF(ISERROR(C379-F379),"",C379-F379),"")</f>
        <v/>
      </c>
    </row>
    <row r="380" spans="1:7" x14ac:dyDescent="0.25">
      <c r="A380" s="1" t="str">
        <f ca="1">IF(ROW()&lt;=Results!$C$1+1,INDEX(Data!$A:$A,CEILING((COUNTA(Data!$A:$A)-1)*RAND()+1,1)),"")</f>
        <v/>
      </c>
      <c r="B380" s="1" t="str">
        <f>IF(ROW()&lt;=Results!$C$1+1,VLOOKUP($A380,Data!$A$2:$C$117,2,TRUE),"")</f>
        <v/>
      </c>
      <c r="C380" s="14" t="str">
        <f>IF(ROW()&lt;=Results!$C$1+1,IF(B380&lt;=0,"",LN(B380)),"")</f>
        <v/>
      </c>
      <c r="D380" s="58" t="str">
        <f ca="1">IF(Results!$S$5,A380,IF(ROW()&lt;=Results!$C$1+1,INDEX(Data!$A:$A,CEILING((COUNTA(Data!$A:$A)-1)*RAND()+1,1)),""))</f>
        <v/>
      </c>
      <c r="E380" s="1" t="str">
        <f>IF(ROW()&lt;=Results!$C$1+1,VLOOKUP($D380,Data!$A$2:$C$117,3,TRUE),"")</f>
        <v/>
      </c>
      <c r="F380" s="14" t="str">
        <f>IF(ROW()&lt;=Results!$C$1+1,IF(E380&lt;=0,"",LN(E380)),"")</f>
        <v/>
      </c>
      <c r="G380" s="53" t="str">
        <f>IF(ROW()&lt;=Results!$C$1+1,IF(ISERROR(C380-F380),"",C380-F380),"")</f>
        <v/>
      </c>
    </row>
    <row r="381" spans="1:7" x14ac:dyDescent="0.25">
      <c r="A381" s="1" t="str">
        <f ca="1">IF(ROW()&lt;=Results!$C$1+1,INDEX(Data!$A:$A,CEILING((COUNTA(Data!$A:$A)-1)*RAND()+1,1)),"")</f>
        <v/>
      </c>
      <c r="B381" s="1" t="str">
        <f>IF(ROW()&lt;=Results!$C$1+1,VLOOKUP($A381,Data!$A$2:$C$117,2,TRUE),"")</f>
        <v/>
      </c>
      <c r="C381" s="14" t="str">
        <f>IF(ROW()&lt;=Results!$C$1+1,IF(B381&lt;=0,"",LN(B381)),"")</f>
        <v/>
      </c>
      <c r="D381" s="58" t="str">
        <f ca="1">IF(Results!$S$5,A381,IF(ROW()&lt;=Results!$C$1+1,INDEX(Data!$A:$A,CEILING((COUNTA(Data!$A:$A)-1)*RAND()+1,1)),""))</f>
        <v/>
      </c>
      <c r="E381" s="1" t="str">
        <f>IF(ROW()&lt;=Results!$C$1+1,VLOOKUP($D381,Data!$A$2:$C$117,3,TRUE),"")</f>
        <v/>
      </c>
      <c r="F381" s="14" t="str">
        <f>IF(ROW()&lt;=Results!$C$1+1,IF(E381&lt;=0,"",LN(E381)),"")</f>
        <v/>
      </c>
      <c r="G381" s="53" t="str">
        <f>IF(ROW()&lt;=Results!$C$1+1,IF(ISERROR(C381-F381),"",C381-F381),"")</f>
        <v/>
      </c>
    </row>
    <row r="382" spans="1:7" x14ac:dyDescent="0.25">
      <c r="A382" s="1" t="str">
        <f ca="1">IF(ROW()&lt;=Results!$C$1+1,INDEX(Data!$A:$A,CEILING((COUNTA(Data!$A:$A)-1)*RAND()+1,1)),"")</f>
        <v/>
      </c>
      <c r="B382" s="1" t="str">
        <f>IF(ROW()&lt;=Results!$C$1+1,VLOOKUP($A382,Data!$A$2:$C$117,2,TRUE),"")</f>
        <v/>
      </c>
      <c r="C382" s="14" t="str">
        <f>IF(ROW()&lt;=Results!$C$1+1,IF(B382&lt;=0,"",LN(B382)),"")</f>
        <v/>
      </c>
      <c r="D382" s="58" t="str">
        <f ca="1">IF(Results!$S$5,A382,IF(ROW()&lt;=Results!$C$1+1,INDEX(Data!$A:$A,CEILING((COUNTA(Data!$A:$A)-1)*RAND()+1,1)),""))</f>
        <v/>
      </c>
      <c r="E382" s="1" t="str">
        <f>IF(ROW()&lt;=Results!$C$1+1,VLOOKUP($D382,Data!$A$2:$C$117,3,TRUE),"")</f>
        <v/>
      </c>
      <c r="F382" s="14" t="str">
        <f>IF(ROW()&lt;=Results!$C$1+1,IF(E382&lt;=0,"",LN(E382)),"")</f>
        <v/>
      </c>
      <c r="G382" s="53" t="str">
        <f>IF(ROW()&lt;=Results!$C$1+1,IF(ISERROR(C382-F382),"",C382-F382),"")</f>
        <v/>
      </c>
    </row>
    <row r="383" spans="1:7" x14ac:dyDescent="0.25">
      <c r="A383" s="1" t="str">
        <f ca="1">IF(ROW()&lt;=Results!$C$1+1,INDEX(Data!$A:$A,CEILING((COUNTA(Data!$A:$A)-1)*RAND()+1,1)),"")</f>
        <v/>
      </c>
      <c r="B383" s="1" t="str">
        <f>IF(ROW()&lt;=Results!$C$1+1,VLOOKUP($A383,Data!$A$2:$C$117,2,TRUE),"")</f>
        <v/>
      </c>
      <c r="C383" s="14" t="str">
        <f>IF(ROW()&lt;=Results!$C$1+1,IF(B383&lt;=0,"",LN(B383)),"")</f>
        <v/>
      </c>
      <c r="D383" s="58" t="str">
        <f ca="1">IF(Results!$S$5,A383,IF(ROW()&lt;=Results!$C$1+1,INDEX(Data!$A:$A,CEILING((COUNTA(Data!$A:$A)-1)*RAND()+1,1)),""))</f>
        <v/>
      </c>
      <c r="E383" s="1" t="str">
        <f>IF(ROW()&lt;=Results!$C$1+1,VLOOKUP($D383,Data!$A$2:$C$117,3,TRUE),"")</f>
        <v/>
      </c>
      <c r="F383" s="14" t="str">
        <f>IF(ROW()&lt;=Results!$C$1+1,IF(E383&lt;=0,"",LN(E383)),"")</f>
        <v/>
      </c>
      <c r="G383" s="53" t="str">
        <f>IF(ROW()&lt;=Results!$C$1+1,IF(ISERROR(C383-F383),"",C383-F383),"")</f>
        <v/>
      </c>
    </row>
    <row r="384" spans="1:7" x14ac:dyDescent="0.25">
      <c r="A384" s="1" t="str">
        <f ca="1">IF(ROW()&lt;=Results!$C$1+1,INDEX(Data!$A:$A,CEILING((COUNTA(Data!$A:$A)-1)*RAND()+1,1)),"")</f>
        <v/>
      </c>
      <c r="B384" s="1" t="str">
        <f>IF(ROW()&lt;=Results!$C$1+1,VLOOKUP($A384,Data!$A$2:$C$117,2,TRUE),"")</f>
        <v/>
      </c>
      <c r="C384" s="14" t="str">
        <f>IF(ROW()&lt;=Results!$C$1+1,IF(B384&lt;=0,"",LN(B384)),"")</f>
        <v/>
      </c>
      <c r="D384" s="58" t="str">
        <f ca="1">IF(Results!$S$5,A384,IF(ROW()&lt;=Results!$C$1+1,INDEX(Data!$A:$A,CEILING((COUNTA(Data!$A:$A)-1)*RAND()+1,1)),""))</f>
        <v/>
      </c>
      <c r="E384" s="1" t="str">
        <f>IF(ROW()&lt;=Results!$C$1+1,VLOOKUP($D384,Data!$A$2:$C$117,3,TRUE),"")</f>
        <v/>
      </c>
      <c r="F384" s="14" t="str">
        <f>IF(ROW()&lt;=Results!$C$1+1,IF(E384&lt;=0,"",LN(E384)),"")</f>
        <v/>
      </c>
      <c r="G384" s="53" t="str">
        <f>IF(ROW()&lt;=Results!$C$1+1,IF(ISERROR(C384-F384),"",C384-F384),"")</f>
        <v/>
      </c>
    </row>
    <row r="385" spans="1:7" x14ac:dyDescent="0.25">
      <c r="A385" s="1" t="str">
        <f ca="1">IF(ROW()&lt;=Results!$C$1+1,INDEX(Data!$A:$A,CEILING((COUNTA(Data!$A:$A)-1)*RAND()+1,1)),"")</f>
        <v/>
      </c>
      <c r="B385" s="1" t="str">
        <f>IF(ROW()&lt;=Results!$C$1+1,VLOOKUP($A385,Data!$A$2:$C$117,2,TRUE),"")</f>
        <v/>
      </c>
      <c r="C385" s="14" t="str">
        <f>IF(ROW()&lt;=Results!$C$1+1,IF(B385&lt;=0,"",LN(B385)),"")</f>
        <v/>
      </c>
      <c r="D385" s="58" t="str">
        <f ca="1">IF(Results!$S$5,A385,IF(ROW()&lt;=Results!$C$1+1,INDEX(Data!$A:$A,CEILING((COUNTA(Data!$A:$A)-1)*RAND()+1,1)),""))</f>
        <v/>
      </c>
      <c r="E385" s="1" t="str">
        <f>IF(ROW()&lt;=Results!$C$1+1,VLOOKUP($D385,Data!$A$2:$C$117,3,TRUE),"")</f>
        <v/>
      </c>
      <c r="F385" s="14" t="str">
        <f>IF(ROW()&lt;=Results!$C$1+1,IF(E385&lt;=0,"",LN(E385)),"")</f>
        <v/>
      </c>
      <c r="G385" s="53" t="str">
        <f>IF(ROW()&lt;=Results!$C$1+1,IF(ISERROR(C385-F385),"",C385-F385),"")</f>
        <v/>
      </c>
    </row>
    <row r="386" spans="1:7" x14ac:dyDescent="0.25">
      <c r="A386" s="1" t="str">
        <f ca="1">IF(ROW()&lt;=Results!$C$1+1,INDEX(Data!$A:$A,CEILING((COUNTA(Data!$A:$A)-1)*RAND()+1,1)),"")</f>
        <v/>
      </c>
      <c r="B386" s="1" t="str">
        <f>IF(ROW()&lt;=Results!$C$1+1,VLOOKUP($A386,Data!$A$2:$C$117,2,TRUE),"")</f>
        <v/>
      </c>
      <c r="C386" s="14" t="str">
        <f>IF(ROW()&lt;=Results!$C$1+1,IF(B386&lt;=0,"",LN(B386)),"")</f>
        <v/>
      </c>
      <c r="D386" s="58" t="str">
        <f ca="1">IF(Results!$S$5,A386,IF(ROW()&lt;=Results!$C$1+1,INDEX(Data!$A:$A,CEILING((COUNTA(Data!$A:$A)-1)*RAND()+1,1)),""))</f>
        <v/>
      </c>
      <c r="E386" s="1" t="str">
        <f>IF(ROW()&lt;=Results!$C$1+1,VLOOKUP($D386,Data!$A$2:$C$117,3,TRUE),"")</f>
        <v/>
      </c>
      <c r="F386" s="14" t="str">
        <f>IF(ROW()&lt;=Results!$C$1+1,IF(E386&lt;=0,"",LN(E386)),"")</f>
        <v/>
      </c>
      <c r="G386" s="53" t="str">
        <f>IF(ROW()&lt;=Results!$C$1+1,IF(ISERROR(C386-F386),"",C386-F386),"")</f>
        <v/>
      </c>
    </row>
    <row r="387" spans="1:7" x14ac:dyDescent="0.25">
      <c r="A387" s="1" t="str">
        <f ca="1">IF(ROW()&lt;=Results!$C$1+1,INDEX(Data!$A:$A,CEILING((COUNTA(Data!$A:$A)-1)*RAND()+1,1)),"")</f>
        <v/>
      </c>
      <c r="B387" s="1" t="str">
        <f>IF(ROW()&lt;=Results!$C$1+1,VLOOKUP($A387,Data!$A$2:$C$117,2,TRUE),"")</f>
        <v/>
      </c>
      <c r="C387" s="14" t="str">
        <f>IF(ROW()&lt;=Results!$C$1+1,IF(B387&lt;=0,"",LN(B387)),"")</f>
        <v/>
      </c>
      <c r="D387" s="58" t="str">
        <f ca="1">IF(Results!$S$5,A387,IF(ROW()&lt;=Results!$C$1+1,INDEX(Data!$A:$A,CEILING((COUNTA(Data!$A:$A)-1)*RAND()+1,1)),""))</f>
        <v/>
      </c>
      <c r="E387" s="1" t="str">
        <f>IF(ROW()&lt;=Results!$C$1+1,VLOOKUP($D387,Data!$A$2:$C$117,3,TRUE),"")</f>
        <v/>
      </c>
      <c r="F387" s="14" t="str">
        <f>IF(ROW()&lt;=Results!$C$1+1,IF(E387&lt;=0,"",LN(E387)),"")</f>
        <v/>
      </c>
      <c r="G387" s="53" t="str">
        <f>IF(ROW()&lt;=Results!$C$1+1,IF(ISERROR(C387-F387),"",C387-F387),"")</f>
        <v/>
      </c>
    </row>
    <row r="388" spans="1:7" x14ac:dyDescent="0.25">
      <c r="A388" s="1" t="str">
        <f ca="1">IF(ROW()&lt;=Results!$C$1+1,INDEX(Data!$A:$A,CEILING((COUNTA(Data!$A:$A)-1)*RAND()+1,1)),"")</f>
        <v/>
      </c>
      <c r="B388" s="1" t="str">
        <f>IF(ROW()&lt;=Results!$C$1+1,VLOOKUP($A388,Data!$A$2:$C$117,2,TRUE),"")</f>
        <v/>
      </c>
      <c r="C388" s="14" t="str">
        <f>IF(ROW()&lt;=Results!$C$1+1,IF(B388&lt;=0,"",LN(B388)),"")</f>
        <v/>
      </c>
      <c r="D388" s="58" t="str">
        <f ca="1">IF(Results!$S$5,A388,IF(ROW()&lt;=Results!$C$1+1,INDEX(Data!$A:$A,CEILING((COUNTA(Data!$A:$A)-1)*RAND()+1,1)),""))</f>
        <v/>
      </c>
      <c r="E388" s="1" t="str">
        <f>IF(ROW()&lt;=Results!$C$1+1,VLOOKUP($D388,Data!$A$2:$C$117,3,TRUE),"")</f>
        <v/>
      </c>
      <c r="F388" s="14" t="str">
        <f>IF(ROW()&lt;=Results!$C$1+1,IF(E388&lt;=0,"",LN(E388)),"")</f>
        <v/>
      </c>
      <c r="G388" s="53" t="str">
        <f>IF(ROW()&lt;=Results!$C$1+1,IF(ISERROR(C388-F388),"",C388-F388),"")</f>
        <v/>
      </c>
    </row>
    <row r="389" spans="1:7" x14ac:dyDescent="0.25">
      <c r="A389" s="1" t="str">
        <f ca="1">IF(ROW()&lt;=Results!$C$1+1,INDEX(Data!$A:$A,CEILING((COUNTA(Data!$A:$A)-1)*RAND()+1,1)),"")</f>
        <v/>
      </c>
      <c r="B389" s="1" t="str">
        <f>IF(ROW()&lt;=Results!$C$1+1,VLOOKUP($A389,Data!$A$2:$C$117,2,TRUE),"")</f>
        <v/>
      </c>
      <c r="C389" s="14" t="str">
        <f>IF(ROW()&lt;=Results!$C$1+1,IF(B389&lt;=0,"",LN(B389)),"")</f>
        <v/>
      </c>
      <c r="D389" s="58" t="str">
        <f ca="1">IF(Results!$S$5,A389,IF(ROW()&lt;=Results!$C$1+1,INDEX(Data!$A:$A,CEILING((COUNTA(Data!$A:$A)-1)*RAND()+1,1)),""))</f>
        <v/>
      </c>
      <c r="E389" s="1" t="str">
        <f>IF(ROW()&lt;=Results!$C$1+1,VLOOKUP($D389,Data!$A$2:$C$117,3,TRUE),"")</f>
        <v/>
      </c>
      <c r="F389" s="14" t="str">
        <f>IF(ROW()&lt;=Results!$C$1+1,IF(E389&lt;=0,"",LN(E389)),"")</f>
        <v/>
      </c>
      <c r="G389" s="53" t="str">
        <f>IF(ROW()&lt;=Results!$C$1+1,IF(ISERROR(C389-F389),"",C389-F389),"")</f>
        <v/>
      </c>
    </row>
    <row r="390" spans="1:7" x14ac:dyDescent="0.25">
      <c r="A390" s="1" t="str">
        <f ca="1">IF(ROW()&lt;=Results!$C$1+1,INDEX(Data!$A:$A,CEILING((COUNTA(Data!$A:$A)-1)*RAND()+1,1)),"")</f>
        <v/>
      </c>
      <c r="B390" s="1" t="str">
        <f>IF(ROW()&lt;=Results!$C$1+1,VLOOKUP($A390,Data!$A$2:$C$117,2,TRUE),"")</f>
        <v/>
      </c>
      <c r="C390" s="14" t="str">
        <f>IF(ROW()&lt;=Results!$C$1+1,IF(B390&lt;=0,"",LN(B390)),"")</f>
        <v/>
      </c>
      <c r="D390" s="58" t="str">
        <f ca="1">IF(Results!$S$5,A390,IF(ROW()&lt;=Results!$C$1+1,INDEX(Data!$A:$A,CEILING((COUNTA(Data!$A:$A)-1)*RAND()+1,1)),""))</f>
        <v/>
      </c>
      <c r="E390" s="1" t="str">
        <f>IF(ROW()&lt;=Results!$C$1+1,VLOOKUP($D390,Data!$A$2:$C$117,3,TRUE),"")</f>
        <v/>
      </c>
      <c r="F390" s="14" t="str">
        <f>IF(ROW()&lt;=Results!$C$1+1,IF(E390&lt;=0,"",LN(E390)),"")</f>
        <v/>
      </c>
      <c r="G390" s="53" t="str">
        <f>IF(ROW()&lt;=Results!$C$1+1,IF(ISERROR(C390-F390),"",C390-F390),"")</f>
        <v/>
      </c>
    </row>
    <row r="391" spans="1:7" x14ac:dyDescent="0.25">
      <c r="A391" s="1" t="str">
        <f ca="1">IF(ROW()&lt;=Results!$C$1+1,INDEX(Data!$A:$A,CEILING((COUNTA(Data!$A:$A)-1)*RAND()+1,1)),"")</f>
        <v/>
      </c>
      <c r="B391" s="1" t="str">
        <f>IF(ROW()&lt;=Results!$C$1+1,VLOOKUP($A391,Data!$A$2:$C$117,2,TRUE),"")</f>
        <v/>
      </c>
      <c r="C391" s="14" t="str">
        <f>IF(ROW()&lt;=Results!$C$1+1,IF(B391&lt;=0,"",LN(B391)),"")</f>
        <v/>
      </c>
      <c r="D391" s="58" t="str">
        <f ca="1">IF(Results!$S$5,A391,IF(ROW()&lt;=Results!$C$1+1,INDEX(Data!$A:$A,CEILING((COUNTA(Data!$A:$A)-1)*RAND()+1,1)),""))</f>
        <v/>
      </c>
      <c r="E391" s="1" t="str">
        <f>IF(ROW()&lt;=Results!$C$1+1,VLOOKUP($D391,Data!$A$2:$C$117,3,TRUE),"")</f>
        <v/>
      </c>
      <c r="F391" s="14" t="str">
        <f>IF(ROW()&lt;=Results!$C$1+1,IF(E391&lt;=0,"",LN(E391)),"")</f>
        <v/>
      </c>
      <c r="G391" s="53" t="str">
        <f>IF(ROW()&lt;=Results!$C$1+1,IF(ISERROR(C391-F391),"",C391-F391),"")</f>
        <v/>
      </c>
    </row>
    <row r="392" spans="1:7" x14ac:dyDescent="0.25">
      <c r="A392" s="1" t="str">
        <f ca="1">IF(ROW()&lt;=Results!$C$1+1,INDEX(Data!$A:$A,CEILING((COUNTA(Data!$A:$A)-1)*RAND()+1,1)),"")</f>
        <v/>
      </c>
      <c r="B392" s="1" t="str">
        <f>IF(ROW()&lt;=Results!$C$1+1,VLOOKUP($A392,Data!$A$2:$C$117,2,TRUE),"")</f>
        <v/>
      </c>
      <c r="C392" s="14" t="str">
        <f>IF(ROW()&lt;=Results!$C$1+1,IF(B392&lt;=0,"",LN(B392)),"")</f>
        <v/>
      </c>
      <c r="D392" s="58" t="str">
        <f ca="1">IF(Results!$S$5,A392,IF(ROW()&lt;=Results!$C$1+1,INDEX(Data!$A:$A,CEILING((COUNTA(Data!$A:$A)-1)*RAND()+1,1)),""))</f>
        <v/>
      </c>
      <c r="E392" s="1" t="str">
        <f>IF(ROW()&lt;=Results!$C$1+1,VLOOKUP($D392,Data!$A$2:$C$117,3,TRUE),"")</f>
        <v/>
      </c>
      <c r="F392" s="14" t="str">
        <f>IF(ROW()&lt;=Results!$C$1+1,IF(E392&lt;=0,"",LN(E392)),"")</f>
        <v/>
      </c>
      <c r="G392" s="53" t="str">
        <f>IF(ROW()&lt;=Results!$C$1+1,IF(ISERROR(C392-F392),"",C392-F392),"")</f>
        <v/>
      </c>
    </row>
    <row r="393" spans="1:7" x14ac:dyDescent="0.25">
      <c r="A393" s="1" t="str">
        <f ca="1">IF(ROW()&lt;=Results!$C$1+1,INDEX(Data!$A:$A,CEILING((COUNTA(Data!$A:$A)-1)*RAND()+1,1)),"")</f>
        <v/>
      </c>
      <c r="B393" s="1" t="str">
        <f>IF(ROW()&lt;=Results!$C$1+1,VLOOKUP($A393,Data!$A$2:$C$117,2,TRUE),"")</f>
        <v/>
      </c>
      <c r="C393" s="14" t="str">
        <f>IF(ROW()&lt;=Results!$C$1+1,IF(B393&lt;=0,"",LN(B393)),"")</f>
        <v/>
      </c>
      <c r="D393" s="58" t="str">
        <f ca="1">IF(Results!$S$5,A393,IF(ROW()&lt;=Results!$C$1+1,INDEX(Data!$A:$A,CEILING((COUNTA(Data!$A:$A)-1)*RAND()+1,1)),""))</f>
        <v/>
      </c>
      <c r="E393" s="1" t="str">
        <f>IF(ROW()&lt;=Results!$C$1+1,VLOOKUP($D393,Data!$A$2:$C$117,3,TRUE),"")</f>
        <v/>
      </c>
      <c r="F393" s="14" t="str">
        <f>IF(ROW()&lt;=Results!$C$1+1,IF(E393&lt;=0,"",LN(E393)),"")</f>
        <v/>
      </c>
      <c r="G393" s="53" t="str">
        <f>IF(ROW()&lt;=Results!$C$1+1,IF(ISERROR(C393-F393),"",C393-F393),"")</f>
        <v/>
      </c>
    </row>
    <row r="394" spans="1:7" x14ac:dyDescent="0.25">
      <c r="A394" s="1" t="str">
        <f ca="1">IF(ROW()&lt;=Results!$C$1+1,INDEX(Data!$A:$A,CEILING((COUNTA(Data!$A:$A)-1)*RAND()+1,1)),"")</f>
        <v/>
      </c>
      <c r="B394" s="1" t="str">
        <f>IF(ROW()&lt;=Results!$C$1+1,VLOOKUP($A394,Data!$A$2:$C$117,2,TRUE),"")</f>
        <v/>
      </c>
      <c r="C394" s="14" t="str">
        <f>IF(ROW()&lt;=Results!$C$1+1,IF(B394&lt;=0,"",LN(B394)),"")</f>
        <v/>
      </c>
      <c r="D394" s="58" t="str">
        <f ca="1">IF(Results!$S$5,A394,IF(ROW()&lt;=Results!$C$1+1,INDEX(Data!$A:$A,CEILING((COUNTA(Data!$A:$A)-1)*RAND()+1,1)),""))</f>
        <v/>
      </c>
      <c r="E394" s="1" t="str">
        <f>IF(ROW()&lt;=Results!$C$1+1,VLOOKUP($D394,Data!$A$2:$C$117,3,TRUE),"")</f>
        <v/>
      </c>
      <c r="F394" s="14" t="str">
        <f>IF(ROW()&lt;=Results!$C$1+1,IF(E394&lt;=0,"",LN(E394)),"")</f>
        <v/>
      </c>
      <c r="G394" s="53" t="str">
        <f>IF(ROW()&lt;=Results!$C$1+1,IF(ISERROR(C394-F394),"",C394-F394),"")</f>
        <v/>
      </c>
    </row>
    <row r="395" spans="1:7" x14ac:dyDescent="0.25">
      <c r="A395" s="1" t="str">
        <f ca="1">IF(ROW()&lt;=Results!$C$1+1,INDEX(Data!$A:$A,CEILING((COUNTA(Data!$A:$A)-1)*RAND()+1,1)),"")</f>
        <v/>
      </c>
      <c r="B395" s="1" t="str">
        <f>IF(ROW()&lt;=Results!$C$1+1,VLOOKUP($A395,Data!$A$2:$C$117,2,TRUE),"")</f>
        <v/>
      </c>
      <c r="C395" s="14" t="str">
        <f>IF(ROW()&lt;=Results!$C$1+1,IF(B395&lt;=0,"",LN(B395)),"")</f>
        <v/>
      </c>
      <c r="D395" s="58" t="str">
        <f ca="1">IF(Results!$S$5,A395,IF(ROW()&lt;=Results!$C$1+1,INDEX(Data!$A:$A,CEILING((COUNTA(Data!$A:$A)-1)*RAND()+1,1)),""))</f>
        <v/>
      </c>
      <c r="E395" s="1" t="str">
        <f>IF(ROW()&lt;=Results!$C$1+1,VLOOKUP($D395,Data!$A$2:$C$117,3,TRUE),"")</f>
        <v/>
      </c>
      <c r="F395" s="14" t="str">
        <f>IF(ROW()&lt;=Results!$C$1+1,IF(E395&lt;=0,"",LN(E395)),"")</f>
        <v/>
      </c>
      <c r="G395" s="53" t="str">
        <f>IF(ROW()&lt;=Results!$C$1+1,IF(ISERROR(C395-F395),"",C395-F395),"")</f>
        <v/>
      </c>
    </row>
    <row r="396" spans="1:7" x14ac:dyDescent="0.25">
      <c r="A396" s="1" t="str">
        <f ca="1">IF(ROW()&lt;=Results!$C$1+1,INDEX(Data!$A:$A,CEILING((COUNTA(Data!$A:$A)-1)*RAND()+1,1)),"")</f>
        <v/>
      </c>
      <c r="B396" s="1" t="str">
        <f>IF(ROW()&lt;=Results!$C$1+1,VLOOKUP($A396,Data!$A$2:$C$117,2,TRUE),"")</f>
        <v/>
      </c>
      <c r="C396" s="14" t="str">
        <f>IF(ROW()&lt;=Results!$C$1+1,IF(B396&lt;=0,"",LN(B396)),"")</f>
        <v/>
      </c>
      <c r="D396" s="58" t="str">
        <f ca="1">IF(Results!$S$5,A396,IF(ROW()&lt;=Results!$C$1+1,INDEX(Data!$A:$A,CEILING((COUNTA(Data!$A:$A)-1)*RAND()+1,1)),""))</f>
        <v/>
      </c>
      <c r="E396" s="1" t="str">
        <f>IF(ROW()&lt;=Results!$C$1+1,VLOOKUP($D396,Data!$A$2:$C$117,3,TRUE),"")</f>
        <v/>
      </c>
      <c r="F396" s="14" t="str">
        <f>IF(ROW()&lt;=Results!$C$1+1,IF(E396&lt;=0,"",LN(E396)),"")</f>
        <v/>
      </c>
      <c r="G396" s="53" t="str">
        <f>IF(ROW()&lt;=Results!$C$1+1,IF(ISERROR(C396-F396),"",C396-F396),"")</f>
        <v/>
      </c>
    </row>
    <row r="397" spans="1:7" x14ac:dyDescent="0.25">
      <c r="A397" s="1" t="str">
        <f ca="1">IF(ROW()&lt;=Results!$C$1+1,INDEX(Data!$A:$A,CEILING((COUNTA(Data!$A:$A)-1)*RAND()+1,1)),"")</f>
        <v/>
      </c>
      <c r="B397" s="1" t="str">
        <f>IF(ROW()&lt;=Results!$C$1+1,VLOOKUP($A397,Data!$A$2:$C$117,2,TRUE),"")</f>
        <v/>
      </c>
      <c r="C397" s="14" t="str">
        <f>IF(ROW()&lt;=Results!$C$1+1,IF(B397&lt;=0,"",LN(B397)),"")</f>
        <v/>
      </c>
      <c r="D397" s="58" t="str">
        <f ca="1">IF(Results!$S$5,A397,IF(ROW()&lt;=Results!$C$1+1,INDEX(Data!$A:$A,CEILING((COUNTA(Data!$A:$A)-1)*RAND()+1,1)),""))</f>
        <v/>
      </c>
      <c r="E397" s="1" t="str">
        <f>IF(ROW()&lt;=Results!$C$1+1,VLOOKUP($D397,Data!$A$2:$C$117,3,TRUE),"")</f>
        <v/>
      </c>
      <c r="F397" s="14" t="str">
        <f>IF(ROW()&lt;=Results!$C$1+1,IF(E397&lt;=0,"",LN(E397)),"")</f>
        <v/>
      </c>
      <c r="G397" s="53" t="str">
        <f>IF(ROW()&lt;=Results!$C$1+1,IF(ISERROR(C397-F397),"",C397-F397),"")</f>
        <v/>
      </c>
    </row>
    <row r="398" spans="1:7" x14ac:dyDescent="0.25">
      <c r="A398" s="1" t="str">
        <f ca="1">IF(ROW()&lt;=Results!$C$1+1,INDEX(Data!$A:$A,CEILING((COUNTA(Data!$A:$A)-1)*RAND()+1,1)),"")</f>
        <v/>
      </c>
      <c r="B398" s="1" t="str">
        <f>IF(ROW()&lt;=Results!$C$1+1,VLOOKUP($A398,Data!$A$2:$C$117,2,TRUE),"")</f>
        <v/>
      </c>
      <c r="C398" s="14" t="str">
        <f>IF(ROW()&lt;=Results!$C$1+1,IF(B398&lt;=0,"",LN(B398)),"")</f>
        <v/>
      </c>
      <c r="D398" s="58" t="str">
        <f ca="1">IF(Results!$S$5,A398,IF(ROW()&lt;=Results!$C$1+1,INDEX(Data!$A:$A,CEILING((COUNTA(Data!$A:$A)-1)*RAND()+1,1)),""))</f>
        <v/>
      </c>
      <c r="E398" s="1" t="str">
        <f>IF(ROW()&lt;=Results!$C$1+1,VLOOKUP($D398,Data!$A$2:$C$117,3,TRUE),"")</f>
        <v/>
      </c>
      <c r="F398" s="14" t="str">
        <f>IF(ROW()&lt;=Results!$C$1+1,IF(E398&lt;=0,"",LN(E398)),"")</f>
        <v/>
      </c>
      <c r="G398" s="53" t="str">
        <f>IF(ROW()&lt;=Results!$C$1+1,IF(ISERROR(C398-F398),"",C398-F398),"")</f>
        <v/>
      </c>
    </row>
    <row r="399" spans="1:7" x14ac:dyDescent="0.25">
      <c r="A399" s="1" t="str">
        <f ca="1">IF(ROW()&lt;=Results!$C$1+1,INDEX(Data!$A:$A,CEILING((COUNTA(Data!$A:$A)-1)*RAND()+1,1)),"")</f>
        <v/>
      </c>
      <c r="B399" s="1" t="str">
        <f>IF(ROW()&lt;=Results!$C$1+1,VLOOKUP($A399,Data!$A$2:$C$117,2,TRUE),"")</f>
        <v/>
      </c>
      <c r="C399" s="14" t="str">
        <f>IF(ROW()&lt;=Results!$C$1+1,IF(B399&lt;=0,"",LN(B399)),"")</f>
        <v/>
      </c>
      <c r="D399" s="58" t="str">
        <f ca="1">IF(Results!$S$5,A399,IF(ROW()&lt;=Results!$C$1+1,INDEX(Data!$A:$A,CEILING((COUNTA(Data!$A:$A)-1)*RAND()+1,1)),""))</f>
        <v/>
      </c>
      <c r="E399" s="1" t="str">
        <f>IF(ROW()&lt;=Results!$C$1+1,VLOOKUP($D399,Data!$A$2:$C$117,3,TRUE),"")</f>
        <v/>
      </c>
      <c r="F399" s="14" t="str">
        <f>IF(ROW()&lt;=Results!$C$1+1,IF(E399&lt;=0,"",LN(E399)),"")</f>
        <v/>
      </c>
      <c r="G399" s="53" t="str">
        <f>IF(ROW()&lt;=Results!$C$1+1,IF(ISERROR(C399-F399),"",C399-F399),"")</f>
        <v/>
      </c>
    </row>
    <row r="400" spans="1:7" x14ac:dyDescent="0.25">
      <c r="A400" s="1" t="str">
        <f ca="1">IF(ROW()&lt;=Results!$C$1+1,INDEX(Data!$A:$A,CEILING((COUNTA(Data!$A:$A)-1)*RAND()+1,1)),"")</f>
        <v/>
      </c>
      <c r="B400" s="1" t="str">
        <f>IF(ROW()&lt;=Results!$C$1+1,VLOOKUP($A400,Data!$A$2:$C$117,2,TRUE),"")</f>
        <v/>
      </c>
      <c r="C400" s="14" t="str">
        <f>IF(ROW()&lt;=Results!$C$1+1,IF(B400&lt;=0,"",LN(B400)),"")</f>
        <v/>
      </c>
      <c r="D400" s="58" t="str">
        <f ca="1">IF(Results!$S$5,A400,IF(ROW()&lt;=Results!$C$1+1,INDEX(Data!$A:$A,CEILING((COUNTA(Data!$A:$A)-1)*RAND()+1,1)),""))</f>
        <v/>
      </c>
      <c r="E400" s="1" t="str">
        <f>IF(ROW()&lt;=Results!$C$1+1,VLOOKUP($D400,Data!$A$2:$C$117,3,TRUE),"")</f>
        <v/>
      </c>
      <c r="F400" s="14" t="str">
        <f>IF(ROW()&lt;=Results!$C$1+1,IF(E400&lt;=0,"",LN(E400)),"")</f>
        <v/>
      </c>
      <c r="G400" s="53" t="str">
        <f>IF(ROW()&lt;=Results!$C$1+1,IF(ISERROR(C400-F400),"",C400-F400),"")</f>
        <v/>
      </c>
    </row>
    <row r="401" spans="1:7" x14ac:dyDescent="0.25">
      <c r="A401" s="1" t="str">
        <f ca="1">IF(ROW()&lt;=Results!$C$1+1,INDEX(Data!$A:$A,CEILING((COUNTA(Data!$A:$A)-1)*RAND()+1,1)),"")</f>
        <v/>
      </c>
      <c r="B401" s="1" t="str">
        <f>IF(ROW()&lt;=Results!$C$1+1,VLOOKUP($A401,Data!$A$2:$C$117,2,TRUE),"")</f>
        <v/>
      </c>
      <c r="C401" s="14" t="str">
        <f>IF(ROW()&lt;=Results!$C$1+1,IF(B401&lt;=0,"",LN(B401)),"")</f>
        <v/>
      </c>
      <c r="D401" s="58" t="str">
        <f ca="1">IF(Results!$S$5,A401,IF(ROW()&lt;=Results!$C$1+1,INDEX(Data!$A:$A,CEILING((COUNTA(Data!$A:$A)-1)*RAND()+1,1)),""))</f>
        <v/>
      </c>
      <c r="E401" s="1" t="str">
        <f>IF(ROW()&lt;=Results!$C$1+1,VLOOKUP($D401,Data!$A$2:$C$117,3,TRUE),"")</f>
        <v/>
      </c>
      <c r="F401" s="14" t="str">
        <f>IF(ROW()&lt;=Results!$C$1+1,IF(E401&lt;=0,"",LN(E401)),"")</f>
        <v/>
      </c>
      <c r="G401" s="53" t="str">
        <f>IF(ROW()&lt;=Results!$C$1+1,IF(ISERROR(C401-F401),"",C401-F401),"")</f>
        <v/>
      </c>
    </row>
    <row r="402" spans="1:7" x14ac:dyDescent="0.25">
      <c r="A402" s="1" t="str">
        <f ca="1">IF(ROW()&lt;=Results!$C$1+1,INDEX(Data!$A:$A,CEILING((COUNTA(Data!$A:$A)-1)*RAND()+1,1)),"")</f>
        <v/>
      </c>
      <c r="B402" s="1" t="str">
        <f>IF(ROW()&lt;=Results!$C$1+1,VLOOKUP($A402,Data!$A$2:$C$117,2,TRUE),"")</f>
        <v/>
      </c>
      <c r="C402" s="14" t="str">
        <f>IF(ROW()&lt;=Results!$C$1+1,IF(B402&lt;=0,"",LN(B402)),"")</f>
        <v/>
      </c>
      <c r="D402" s="58" t="str">
        <f ca="1">IF(Results!$S$5,A402,IF(ROW()&lt;=Results!$C$1+1,INDEX(Data!$A:$A,CEILING((COUNTA(Data!$A:$A)-1)*RAND()+1,1)),""))</f>
        <v/>
      </c>
      <c r="E402" s="1" t="str">
        <f>IF(ROW()&lt;=Results!$C$1+1,VLOOKUP($D402,Data!$A$2:$C$117,3,TRUE),"")</f>
        <v/>
      </c>
      <c r="F402" s="14" t="str">
        <f>IF(ROW()&lt;=Results!$C$1+1,IF(E402&lt;=0,"",LN(E402)),"")</f>
        <v/>
      </c>
      <c r="G402" s="53" t="str">
        <f>IF(ROW()&lt;=Results!$C$1+1,IF(ISERROR(C402-F402),"",C402-F402),"")</f>
        <v/>
      </c>
    </row>
    <row r="403" spans="1:7" x14ac:dyDescent="0.25">
      <c r="A403" s="1" t="str">
        <f ca="1">IF(ROW()&lt;=Results!$C$1+1,INDEX(Data!$A:$A,CEILING((COUNTA(Data!$A:$A)-1)*RAND()+1,1)),"")</f>
        <v/>
      </c>
      <c r="B403" s="1" t="str">
        <f>IF(ROW()&lt;=Results!$C$1+1,VLOOKUP($A403,Data!$A$2:$C$117,2,TRUE),"")</f>
        <v/>
      </c>
      <c r="C403" s="14" t="str">
        <f>IF(ROW()&lt;=Results!$C$1+1,IF(B403&lt;=0,"",LN(B403)),"")</f>
        <v/>
      </c>
      <c r="D403" s="58" t="str">
        <f ca="1">IF(Results!$S$5,A403,IF(ROW()&lt;=Results!$C$1+1,INDEX(Data!$A:$A,CEILING((COUNTA(Data!$A:$A)-1)*RAND()+1,1)),""))</f>
        <v/>
      </c>
      <c r="E403" s="1" t="str">
        <f>IF(ROW()&lt;=Results!$C$1+1,VLOOKUP($D403,Data!$A$2:$C$117,3,TRUE),"")</f>
        <v/>
      </c>
      <c r="F403" s="14" t="str">
        <f>IF(ROW()&lt;=Results!$C$1+1,IF(E403&lt;=0,"",LN(E403)),"")</f>
        <v/>
      </c>
      <c r="G403" s="53" t="str">
        <f>IF(ROW()&lt;=Results!$C$1+1,IF(ISERROR(C403-F403),"",C403-F403),"")</f>
        <v/>
      </c>
    </row>
    <row r="404" spans="1:7" x14ac:dyDescent="0.25">
      <c r="A404" s="1" t="str">
        <f ca="1">IF(ROW()&lt;=Results!$C$1+1,INDEX(Data!$A:$A,CEILING((COUNTA(Data!$A:$A)-1)*RAND()+1,1)),"")</f>
        <v/>
      </c>
      <c r="B404" s="1" t="str">
        <f>IF(ROW()&lt;=Results!$C$1+1,VLOOKUP($A404,Data!$A$2:$C$117,2,TRUE),"")</f>
        <v/>
      </c>
      <c r="C404" s="14" t="str">
        <f>IF(ROW()&lt;=Results!$C$1+1,IF(B404&lt;=0,"",LN(B404)),"")</f>
        <v/>
      </c>
      <c r="D404" s="58" t="str">
        <f ca="1">IF(Results!$S$5,A404,IF(ROW()&lt;=Results!$C$1+1,INDEX(Data!$A:$A,CEILING((COUNTA(Data!$A:$A)-1)*RAND()+1,1)),""))</f>
        <v/>
      </c>
      <c r="E404" s="1" t="str">
        <f>IF(ROW()&lt;=Results!$C$1+1,VLOOKUP($D404,Data!$A$2:$C$117,3,TRUE),"")</f>
        <v/>
      </c>
      <c r="F404" s="14" t="str">
        <f>IF(ROW()&lt;=Results!$C$1+1,IF(E404&lt;=0,"",LN(E404)),"")</f>
        <v/>
      </c>
      <c r="G404" s="53" t="str">
        <f>IF(ROW()&lt;=Results!$C$1+1,IF(ISERROR(C404-F404),"",C404-F404),"")</f>
        <v/>
      </c>
    </row>
    <row r="405" spans="1:7" x14ac:dyDescent="0.25">
      <c r="A405" s="1" t="str">
        <f ca="1">IF(ROW()&lt;=Results!$C$1+1,INDEX(Data!$A:$A,CEILING((COUNTA(Data!$A:$A)-1)*RAND()+1,1)),"")</f>
        <v/>
      </c>
      <c r="B405" s="1" t="str">
        <f>IF(ROW()&lt;=Results!$C$1+1,VLOOKUP($A405,Data!$A$2:$C$117,2,TRUE),"")</f>
        <v/>
      </c>
      <c r="C405" s="14" t="str">
        <f>IF(ROW()&lt;=Results!$C$1+1,IF(B405&lt;=0,"",LN(B405)),"")</f>
        <v/>
      </c>
      <c r="D405" s="58" t="str">
        <f ca="1">IF(Results!$S$5,A405,IF(ROW()&lt;=Results!$C$1+1,INDEX(Data!$A:$A,CEILING((COUNTA(Data!$A:$A)-1)*RAND()+1,1)),""))</f>
        <v/>
      </c>
      <c r="E405" s="1" t="str">
        <f>IF(ROW()&lt;=Results!$C$1+1,VLOOKUP($D405,Data!$A$2:$C$117,3,TRUE),"")</f>
        <v/>
      </c>
      <c r="F405" s="14" t="str">
        <f>IF(ROW()&lt;=Results!$C$1+1,IF(E405&lt;=0,"",LN(E405)),"")</f>
        <v/>
      </c>
      <c r="G405" s="53" t="str">
        <f>IF(ROW()&lt;=Results!$C$1+1,IF(ISERROR(C405-F405),"",C405-F405),"")</f>
        <v/>
      </c>
    </row>
    <row r="406" spans="1:7" x14ac:dyDescent="0.25">
      <c r="A406" s="1" t="str">
        <f ca="1">IF(ROW()&lt;=Results!$C$1+1,INDEX(Data!$A:$A,CEILING((COUNTA(Data!$A:$A)-1)*RAND()+1,1)),"")</f>
        <v/>
      </c>
      <c r="B406" s="1" t="str">
        <f>IF(ROW()&lt;=Results!$C$1+1,VLOOKUP($A406,Data!$A$2:$C$117,2,TRUE),"")</f>
        <v/>
      </c>
      <c r="C406" s="14" t="str">
        <f>IF(ROW()&lt;=Results!$C$1+1,IF(B406&lt;=0,"",LN(B406)),"")</f>
        <v/>
      </c>
      <c r="D406" s="58" t="str">
        <f ca="1">IF(Results!$S$5,A406,IF(ROW()&lt;=Results!$C$1+1,INDEX(Data!$A:$A,CEILING((COUNTA(Data!$A:$A)-1)*RAND()+1,1)),""))</f>
        <v/>
      </c>
      <c r="E406" s="1" t="str">
        <f>IF(ROW()&lt;=Results!$C$1+1,VLOOKUP($D406,Data!$A$2:$C$117,3,TRUE),"")</f>
        <v/>
      </c>
      <c r="F406" s="14" t="str">
        <f>IF(ROW()&lt;=Results!$C$1+1,IF(E406&lt;=0,"",LN(E406)),"")</f>
        <v/>
      </c>
      <c r="G406" s="53" t="str">
        <f>IF(ROW()&lt;=Results!$C$1+1,IF(ISERROR(C406-F406),"",C406-F406),"")</f>
        <v/>
      </c>
    </row>
    <row r="407" spans="1:7" x14ac:dyDescent="0.25">
      <c r="A407" s="1" t="str">
        <f ca="1">IF(ROW()&lt;=Results!$C$1+1,INDEX(Data!$A:$A,CEILING((COUNTA(Data!$A:$A)-1)*RAND()+1,1)),"")</f>
        <v/>
      </c>
      <c r="B407" s="1" t="str">
        <f>IF(ROW()&lt;=Results!$C$1+1,VLOOKUP($A407,Data!$A$2:$C$117,2,TRUE),"")</f>
        <v/>
      </c>
      <c r="C407" s="14" t="str">
        <f>IF(ROW()&lt;=Results!$C$1+1,IF(B407&lt;=0,"",LN(B407)),"")</f>
        <v/>
      </c>
      <c r="D407" s="58" t="str">
        <f ca="1">IF(Results!$S$5,A407,IF(ROW()&lt;=Results!$C$1+1,INDEX(Data!$A:$A,CEILING((COUNTA(Data!$A:$A)-1)*RAND()+1,1)),""))</f>
        <v/>
      </c>
      <c r="E407" s="1" t="str">
        <f>IF(ROW()&lt;=Results!$C$1+1,VLOOKUP($D407,Data!$A$2:$C$117,3,TRUE),"")</f>
        <v/>
      </c>
      <c r="F407" s="14" t="str">
        <f>IF(ROW()&lt;=Results!$C$1+1,IF(E407&lt;=0,"",LN(E407)),"")</f>
        <v/>
      </c>
      <c r="G407" s="53" t="str">
        <f>IF(ROW()&lt;=Results!$C$1+1,IF(ISERROR(C407-F407),"",C407-F407),"")</f>
        <v/>
      </c>
    </row>
    <row r="408" spans="1:7" x14ac:dyDescent="0.25">
      <c r="A408" s="1" t="str">
        <f ca="1">IF(ROW()&lt;=Results!$C$1+1,INDEX(Data!$A:$A,CEILING((COUNTA(Data!$A:$A)-1)*RAND()+1,1)),"")</f>
        <v/>
      </c>
      <c r="B408" s="1" t="str">
        <f>IF(ROW()&lt;=Results!$C$1+1,VLOOKUP($A408,Data!$A$2:$C$117,2,TRUE),"")</f>
        <v/>
      </c>
      <c r="C408" s="14" t="str">
        <f>IF(ROW()&lt;=Results!$C$1+1,IF(B408&lt;=0,"",LN(B408)),"")</f>
        <v/>
      </c>
      <c r="D408" s="58" t="str">
        <f ca="1">IF(Results!$S$5,A408,IF(ROW()&lt;=Results!$C$1+1,INDEX(Data!$A:$A,CEILING((COUNTA(Data!$A:$A)-1)*RAND()+1,1)),""))</f>
        <v/>
      </c>
      <c r="E408" s="1" t="str">
        <f>IF(ROW()&lt;=Results!$C$1+1,VLOOKUP($D408,Data!$A$2:$C$117,3,TRUE),"")</f>
        <v/>
      </c>
      <c r="F408" s="14" t="str">
        <f>IF(ROW()&lt;=Results!$C$1+1,IF(E408&lt;=0,"",LN(E408)),"")</f>
        <v/>
      </c>
      <c r="G408" s="53" t="str">
        <f>IF(ROW()&lt;=Results!$C$1+1,IF(ISERROR(C408-F408),"",C408-F408),"")</f>
        <v/>
      </c>
    </row>
    <row r="409" spans="1:7" x14ac:dyDescent="0.25">
      <c r="A409" s="1" t="str">
        <f ca="1">IF(ROW()&lt;=Results!$C$1+1,INDEX(Data!$A:$A,CEILING((COUNTA(Data!$A:$A)-1)*RAND()+1,1)),"")</f>
        <v/>
      </c>
      <c r="B409" s="1" t="str">
        <f>IF(ROW()&lt;=Results!$C$1+1,VLOOKUP($A409,Data!$A$2:$C$117,2,TRUE),"")</f>
        <v/>
      </c>
      <c r="C409" s="14" t="str">
        <f>IF(ROW()&lt;=Results!$C$1+1,IF(B409&lt;=0,"",LN(B409)),"")</f>
        <v/>
      </c>
      <c r="D409" s="58" t="str">
        <f ca="1">IF(Results!$S$5,A409,IF(ROW()&lt;=Results!$C$1+1,INDEX(Data!$A:$A,CEILING((COUNTA(Data!$A:$A)-1)*RAND()+1,1)),""))</f>
        <v/>
      </c>
      <c r="E409" s="1" t="str">
        <f>IF(ROW()&lt;=Results!$C$1+1,VLOOKUP($D409,Data!$A$2:$C$117,3,TRUE),"")</f>
        <v/>
      </c>
      <c r="F409" s="14" t="str">
        <f>IF(ROW()&lt;=Results!$C$1+1,IF(E409&lt;=0,"",LN(E409)),"")</f>
        <v/>
      </c>
      <c r="G409" s="53" t="str">
        <f>IF(ROW()&lt;=Results!$C$1+1,IF(ISERROR(C409-F409),"",C409-F409),"")</f>
        <v/>
      </c>
    </row>
    <row r="410" spans="1:7" x14ac:dyDescent="0.25">
      <c r="A410" s="1" t="str">
        <f ca="1">IF(ROW()&lt;=Results!$C$1+1,INDEX(Data!$A:$A,CEILING((COUNTA(Data!$A:$A)-1)*RAND()+1,1)),"")</f>
        <v/>
      </c>
      <c r="B410" s="1" t="str">
        <f>IF(ROW()&lt;=Results!$C$1+1,VLOOKUP($A410,Data!$A$2:$C$117,2,TRUE),"")</f>
        <v/>
      </c>
      <c r="C410" s="14" t="str">
        <f>IF(ROW()&lt;=Results!$C$1+1,IF(B410&lt;=0,"",LN(B410)),"")</f>
        <v/>
      </c>
      <c r="D410" s="58" t="str">
        <f ca="1">IF(Results!$S$5,A410,IF(ROW()&lt;=Results!$C$1+1,INDEX(Data!$A:$A,CEILING((COUNTA(Data!$A:$A)-1)*RAND()+1,1)),""))</f>
        <v/>
      </c>
      <c r="E410" s="1" t="str">
        <f>IF(ROW()&lt;=Results!$C$1+1,VLOOKUP($D410,Data!$A$2:$C$117,3,TRUE),"")</f>
        <v/>
      </c>
      <c r="F410" s="14" t="str">
        <f>IF(ROW()&lt;=Results!$C$1+1,IF(E410&lt;=0,"",LN(E410)),"")</f>
        <v/>
      </c>
      <c r="G410" s="53" t="str">
        <f>IF(ROW()&lt;=Results!$C$1+1,IF(ISERROR(C410-F410),"",C410-F410),"")</f>
        <v/>
      </c>
    </row>
    <row r="411" spans="1:7" x14ac:dyDescent="0.25">
      <c r="A411" s="1" t="str">
        <f ca="1">IF(ROW()&lt;=Results!$C$1+1,INDEX(Data!$A:$A,CEILING((COUNTA(Data!$A:$A)-1)*RAND()+1,1)),"")</f>
        <v/>
      </c>
      <c r="B411" s="1" t="str">
        <f>IF(ROW()&lt;=Results!$C$1+1,VLOOKUP($A411,Data!$A$2:$C$117,2,TRUE),"")</f>
        <v/>
      </c>
      <c r="C411" s="14" t="str">
        <f>IF(ROW()&lt;=Results!$C$1+1,IF(B411&lt;=0,"",LN(B411)),"")</f>
        <v/>
      </c>
      <c r="D411" s="58" t="str">
        <f ca="1">IF(Results!$S$5,A411,IF(ROW()&lt;=Results!$C$1+1,INDEX(Data!$A:$A,CEILING((COUNTA(Data!$A:$A)-1)*RAND()+1,1)),""))</f>
        <v/>
      </c>
      <c r="E411" s="1" t="str">
        <f>IF(ROW()&lt;=Results!$C$1+1,VLOOKUP($D411,Data!$A$2:$C$117,3,TRUE),"")</f>
        <v/>
      </c>
      <c r="F411" s="14" t="str">
        <f>IF(ROW()&lt;=Results!$C$1+1,IF(E411&lt;=0,"",LN(E411)),"")</f>
        <v/>
      </c>
      <c r="G411" s="53" t="str">
        <f>IF(ROW()&lt;=Results!$C$1+1,IF(ISERROR(C411-F411),"",C411-F411),"")</f>
        <v/>
      </c>
    </row>
    <row r="412" spans="1:7" x14ac:dyDescent="0.25">
      <c r="A412" s="1" t="str">
        <f ca="1">IF(ROW()&lt;=Results!$C$1+1,INDEX(Data!$A:$A,CEILING((COUNTA(Data!$A:$A)-1)*RAND()+1,1)),"")</f>
        <v/>
      </c>
      <c r="B412" s="1" t="str">
        <f>IF(ROW()&lt;=Results!$C$1+1,VLOOKUP($A412,Data!$A$2:$C$117,2,TRUE),"")</f>
        <v/>
      </c>
      <c r="C412" s="14" t="str">
        <f>IF(ROW()&lt;=Results!$C$1+1,IF(B412&lt;=0,"",LN(B412)),"")</f>
        <v/>
      </c>
      <c r="D412" s="58" t="str">
        <f ca="1">IF(Results!$S$5,A412,IF(ROW()&lt;=Results!$C$1+1,INDEX(Data!$A:$A,CEILING((COUNTA(Data!$A:$A)-1)*RAND()+1,1)),""))</f>
        <v/>
      </c>
      <c r="E412" s="1" t="str">
        <f>IF(ROW()&lt;=Results!$C$1+1,VLOOKUP($D412,Data!$A$2:$C$117,3,TRUE),"")</f>
        <v/>
      </c>
      <c r="F412" s="14" t="str">
        <f>IF(ROW()&lt;=Results!$C$1+1,IF(E412&lt;=0,"",LN(E412)),"")</f>
        <v/>
      </c>
      <c r="G412" s="53" t="str">
        <f>IF(ROW()&lt;=Results!$C$1+1,IF(ISERROR(C412-F412),"",C412-F412),"")</f>
        <v/>
      </c>
    </row>
    <row r="413" spans="1:7" x14ac:dyDescent="0.25">
      <c r="A413" s="1" t="str">
        <f ca="1">IF(ROW()&lt;=Results!$C$1+1,INDEX(Data!$A:$A,CEILING((COUNTA(Data!$A:$A)-1)*RAND()+1,1)),"")</f>
        <v/>
      </c>
      <c r="B413" s="1" t="str">
        <f>IF(ROW()&lt;=Results!$C$1+1,VLOOKUP($A413,Data!$A$2:$C$117,2,TRUE),"")</f>
        <v/>
      </c>
      <c r="C413" s="14" t="str">
        <f>IF(ROW()&lt;=Results!$C$1+1,IF(B413&lt;=0,"",LN(B413)),"")</f>
        <v/>
      </c>
      <c r="D413" s="58" t="str">
        <f ca="1">IF(Results!$S$5,A413,IF(ROW()&lt;=Results!$C$1+1,INDEX(Data!$A:$A,CEILING((COUNTA(Data!$A:$A)-1)*RAND()+1,1)),""))</f>
        <v/>
      </c>
      <c r="E413" s="1" t="str">
        <f>IF(ROW()&lt;=Results!$C$1+1,VLOOKUP($D413,Data!$A$2:$C$117,3,TRUE),"")</f>
        <v/>
      </c>
      <c r="F413" s="14" t="str">
        <f>IF(ROW()&lt;=Results!$C$1+1,IF(E413&lt;=0,"",LN(E413)),"")</f>
        <v/>
      </c>
      <c r="G413" s="53" t="str">
        <f>IF(ROW()&lt;=Results!$C$1+1,IF(ISERROR(C413-F413),"",C413-F413),"")</f>
        <v/>
      </c>
    </row>
    <row r="414" spans="1:7" x14ac:dyDescent="0.25">
      <c r="A414" s="1" t="str">
        <f ca="1">IF(ROW()&lt;=Results!$C$1+1,INDEX(Data!$A:$A,CEILING((COUNTA(Data!$A:$A)-1)*RAND()+1,1)),"")</f>
        <v/>
      </c>
      <c r="B414" s="1" t="str">
        <f>IF(ROW()&lt;=Results!$C$1+1,VLOOKUP($A414,Data!$A$2:$C$117,2,TRUE),"")</f>
        <v/>
      </c>
      <c r="C414" s="14" t="str">
        <f>IF(ROW()&lt;=Results!$C$1+1,IF(B414&lt;=0,"",LN(B414)),"")</f>
        <v/>
      </c>
      <c r="D414" s="58" t="str">
        <f ca="1">IF(Results!$S$5,A414,IF(ROW()&lt;=Results!$C$1+1,INDEX(Data!$A:$A,CEILING((COUNTA(Data!$A:$A)-1)*RAND()+1,1)),""))</f>
        <v/>
      </c>
      <c r="E414" s="1" t="str">
        <f>IF(ROW()&lt;=Results!$C$1+1,VLOOKUP($D414,Data!$A$2:$C$117,3,TRUE),"")</f>
        <v/>
      </c>
      <c r="F414" s="14" t="str">
        <f>IF(ROW()&lt;=Results!$C$1+1,IF(E414&lt;=0,"",LN(E414)),"")</f>
        <v/>
      </c>
      <c r="G414" s="53" t="str">
        <f>IF(ROW()&lt;=Results!$C$1+1,IF(ISERROR(C414-F414),"",C414-F414),"")</f>
        <v/>
      </c>
    </row>
    <row r="415" spans="1:7" x14ac:dyDescent="0.25">
      <c r="A415" s="1" t="str">
        <f ca="1">IF(ROW()&lt;=Results!$C$1+1,INDEX(Data!$A:$A,CEILING((COUNTA(Data!$A:$A)-1)*RAND()+1,1)),"")</f>
        <v/>
      </c>
      <c r="B415" s="1" t="str">
        <f>IF(ROW()&lt;=Results!$C$1+1,VLOOKUP($A415,Data!$A$2:$C$117,2,TRUE),"")</f>
        <v/>
      </c>
      <c r="C415" s="14" t="str">
        <f>IF(ROW()&lt;=Results!$C$1+1,IF(B415&lt;=0,"",LN(B415)),"")</f>
        <v/>
      </c>
      <c r="D415" s="58" t="str">
        <f ca="1">IF(Results!$S$5,A415,IF(ROW()&lt;=Results!$C$1+1,INDEX(Data!$A:$A,CEILING((COUNTA(Data!$A:$A)-1)*RAND()+1,1)),""))</f>
        <v/>
      </c>
      <c r="E415" s="1" t="str">
        <f>IF(ROW()&lt;=Results!$C$1+1,VLOOKUP($D415,Data!$A$2:$C$117,3,TRUE),"")</f>
        <v/>
      </c>
      <c r="F415" s="14" t="str">
        <f>IF(ROW()&lt;=Results!$C$1+1,IF(E415&lt;=0,"",LN(E415)),"")</f>
        <v/>
      </c>
      <c r="G415" s="53" t="str">
        <f>IF(ROW()&lt;=Results!$C$1+1,IF(ISERROR(C415-F415),"",C415-F415),"")</f>
        <v/>
      </c>
    </row>
    <row r="416" spans="1:7" x14ac:dyDescent="0.25">
      <c r="A416" s="1" t="str">
        <f ca="1">IF(ROW()&lt;=Results!$C$1+1,INDEX(Data!$A:$A,CEILING((COUNTA(Data!$A:$A)-1)*RAND()+1,1)),"")</f>
        <v/>
      </c>
      <c r="B416" s="1" t="str">
        <f>IF(ROW()&lt;=Results!$C$1+1,VLOOKUP($A416,Data!$A$2:$C$117,2,TRUE),"")</f>
        <v/>
      </c>
      <c r="C416" s="14" t="str">
        <f>IF(ROW()&lt;=Results!$C$1+1,IF(B416&lt;=0,"",LN(B416)),"")</f>
        <v/>
      </c>
      <c r="D416" s="58" t="str">
        <f ca="1">IF(Results!$S$5,A416,IF(ROW()&lt;=Results!$C$1+1,INDEX(Data!$A:$A,CEILING((COUNTA(Data!$A:$A)-1)*RAND()+1,1)),""))</f>
        <v/>
      </c>
      <c r="E416" s="1" t="str">
        <f>IF(ROW()&lt;=Results!$C$1+1,VLOOKUP($D416,Data!$A$2:$C$117,3,TRUE),"")</f>
        <v/>
      </c>
      <c r="F416" s="14" t="str">
        <f>IF(ROW()&lt;=Results!$C$1+1,IF(E416&lt;=0,"",LN(E416)),"")</f>
        <v/>
      </c>
      <c r="G416" s="53" t="str">
        <f>IF(ROW()&lt;=Results!$C$1+1,IF(ISERROR(C416-F416),"",C416-F416),"")</f>
        <v/>
      </c>
    </row>
    <row r="417" spans="1:7" x14ac:dyDescent="0.25">
      <c r="A417" s="1" t="str">
        <f ca="1">IF(ROW()&lt;=Results!$C$1+1,INDEX(Data!$A:$A,CEILING((COUNTA(Data!$A:$A)-1)*RAND()+1,1)),"")</f>
        <v/>
      </c>
      <c r="B417" s="1" t="str">
        <f>IF(ROW()&lt;=Results!$C$1+1,VLOOKUP($A417,Data!$A$2:$C$117,2,TRUE),"")</f>
        <v/>
      </c>
      <c r="C417" s="14" t="str">
        <f>IF(ROW()&lt;=Results!$C$1+1,IF(B417&lt;=0,"",LN(B417)),"")</f>
        <v/>
      </c>
      <c r="D417" s="58" t="str">
        <f ca="1">IF(Results!$S$5,A417,IF(ROW()&lt;=Results!$C$1+1,INDEX(Data!$A:$A,CEILING((COUNTA(Data!$A:$A)-1)*RAND()+1,1)),""))</f>
        <v/>
      </c>
      <c r="E417" s="1" t="str">
        <f>IF(ROW()&lt;=Results!$C$1+1,VLOOKUP($D417,Data!$A$2:$C$117,3,TRUE),"")</f>
        <v/>
      </c>
      <c r="F417" s="14" t="str">
        <f>IF(ROW()&lt;=Results!$C$1+1,IF(E417&lt;=0,"",LN(E417)),"")</f>
        <v/>
      </c>
      <c r="G417" s="53" t="str">
        <f>IF(ROW()&lt;=Results!$C$1+1,IF(ISERROR(C417-F417),"",C417-F417),"")</f>
        <v/>
      </c>
    </row>
    <row r="418" spans="1:7" x14ac:dyDescent="0.25">
      <c r="A418" s="1" t="str">
        <f ca="1">IF(ROW()&lt;=Results!$C$1+1,INDEX(Data!$A:$A,CEILING((COUNTA(Data!$A:$A)-1)*RAND()+1,1)),"")</f>
        <v/>
      </c>
      <c r="B418" s="1" t="str">
        <f>IF(ROW()&lt;=Results!$C$1+1,VLOOKUP($A418,Data!$A$2:$C$117,2,TRUE),"")</f>
        <v/>
      </c>
      <c r="C418" s="14" t="str">
        <f>IF(ROW()&lt;=Results!$C$1+1,IF(B418&lt;=0,"",LN(B418)),"")</f>
        <v/>
      </c>
      <c r="D418" s="58" t="str">
        <f ca="1">IF(Results!$S$5,A418,IF(ROW()&lt;=Results!$C$1+1,INDEX(Data!$A:$A,CEILING((COUNTA(Data!$A:$A)-1)*RAND()+1,1)),""))</f>
        <v/>
      </c>
      <c r="E418" s="1" t="str">
        <f>IF(ROW()&lt;=Results!$C$1+1,VLOOKUP($D418,Data!$A$2:$C$117,3,TRUE),"")</f>
        <v/>
      </c>
      <c r="F418" s="14" t="str">
        <f>IF(ROW()&lt;=Results!$C$1+1,IF(E418&lt;=0,"",LN(E418)),"")</f>
        <v/>
      </c>
      <c r="G418" s="53" t="str">
        <f>IF(ROW()&lt;=Results!$C$1+1,IF(ISERROR(C418-F418),"",C418-F418),"")</f>
        <v/>
      </c>
    </row>
    <row r="419" spans="1:7" x14ac:dyDescent="0.25">
      <c r="A419" s="1" t="str">
        <f ca="1">IF(ROW()&lt;=Results!$C$1+1,INDEX(Data!$A:$A,CEILING((COUNTA(Data!$A:$A)-1)*RAND()+1,1)),"")</f>
        <v/>
      </c>
      <c r="B419" s="1" t="str">
        <f>IF(ROW()&lt;=Results!$C$1+1,VLOOKUP($A419,Data!$A$2:$C$117,2,TRUE),"")</f>
        <v/>
      </c>
      <c r="C419" s="14" t="str">
        <f>IF(ROW()&lt;=Results!$C$1+1,IF(B419&lt;=0,"",LN(B419)),"")</f>
        <v/>
      </c>
      <c r="D419" s="58" t="str">
        <f ca="1">IF(Results!$S$5,A419,IF(ROW()&lt;=Results!$C$1+1,INDEX(Data!$A:$A,CEILING((COUNTA(Data!$A:$A)-1)*RAND()+1,1)),""))</f>
        <v/>
      </c>
      <c r="E419" s="1" t="str">
        <f>IF(ROW()&lt;=Results!$C$1+1,VLOOKUP($D419,Data!$A$2:$C$117,3,TRUE),"")</f>
        <v/>
      </c>
      <c r="F419" s="14" t="str">
        <f>IF(ROW()&lt;=Results!$C$1+1,IF(E419&lt;=0,"",LN(E419)),"")</f>
        <v/>
      </c>
      <c r="G419" s="53" t="str">
        <f>IF(ROW()&lt;=Results!$C$1+1,IF(ISERROR(C419-F419),"",C419-F419),"")</f>
        <v/>
      </c>
    </row>
    <row r="420" spans="1:7" x14ac:dyDescent="0.25">
      <c r="A420" s="1" t="str">
        <f ca="1">IF(ROW()&lt;=Results!$C$1+1,INDEX(Data!$A:$A,CEILING((COUNTA(Data!$A:$A)-1)*RAND()+1,1)),"")</f>
        <v/>
      </c>
      <c r="B420" s="1" t="str">
        <f>IF(ROW()&lt;=Results!$C$1+1,VLOOKUP($A420,Data!$A$2:$C$117,2,TRUE),"")</f>
        <v/>
      </c>
      <c r="C420" s="14" t="str">
        <f>IF(ROW()&lt;=Results!$C$1+1,IF(B420&lt;=0,"",LN(B420)),"")</f>
        <v/>
      </c>
      <c r="D420" s="58" t="str">
        <f ca="1">IF(Results!$S$5,A420,IF(ROW()&lt;=Results!$C$1+1,INDEX(Data!$A:$A,CEILING((COUNTA(Data!$A:$A)-1)*RAND()+1,1)),""))</f>
        <v/>
      </c>
      <c r="E420" s="1" t="str">
        <f>IF(ROW()&lt;=Results!$C$1+1,VLOOKUP($D420,Data!$A$2:$C$117,3,TRUE),"")</f>
        <v/>
      </c>
      <c r="F420" s="14" t="str">
        <f>IF(ROW()&lt;=Results!$C$1+1,IF(E420&lt;=0,"",LN(E420)),"")</f>
        <v/>
      </c>
      <c r="G420" s="53" t="str">
        <f>IF(ROW()&lt;=Results!$C$1+1,IF(ISERROR(C420-F420),"",C420-F420),"")</f>
        <v/>
      </c>
    </row>
    <row r="421" spans="1:7" x14ac:dyDescent="0.25">
      <c r="A421" s="1" t="str">
        <f ca="1">IF(ROW()&lt;=Results!$C$1+1,INDEX(Data!$A:$A,CEILING((COUNTA(Data!$A:$A)-1)*RAND()+1,1)),"")</f>
        <v/>
      </c>
      <c r="B421" s="1" t="str">
        <f>IF(ROW()&lt;=Results!$C$1+1,VLOOKUP($A421,Data!$A$2:$C$117,2,TRUE),"")</f>
        <v/>
      </c>
      <c r="C421" s="14" t="str">
        <f>IF(ROW()&lt;=Results!$C$1+1,IF(B421&lt;=0,"",LN(B421)),"")</f>
        <v/>
      </c>
      <c r="D421" s="58" t="str">
        <f ca="1">IF(Results!$S$5,A421,IF(ROW()&lt;=Results!$C$1+1,INDEX(Data!$A:$A,CEILING((COUNTA(Data!$A:$A)-1)*RAND()+1,1)),""))</f>
        <v/>
      </c>
      <c r="E421" s="1" t="str">
        <f>IF(ROW()&lt;=Results!$C$1+1,VLOOKUP($D421,Data!$A$2:$C$117,3,TRUE),"")</f>
        <v/>
      </c>
      <c r="F421" s="14" t="str">
        <f>IF(ROW()&lt;=Results!$C$1+1,IF(E421&lt;=0,"",LN(E421)),"")</f>
        <v/>
      </c>
      <c r="G421" s="53" t="str">
        <f>IF(ROW()&lt;=Results!$C$1+1,IF(ISERROR(C421-F421),"",C421-F421),"")</f>
        <v/>
      </c>
    </row>
    <row r="422" spans="1:7" x14ac:dyDescent="0.25">
      <c r="A422" s="1" t="str">
        <f ca="1">IF(ROW()&lt;=Results!$C$1+1,INDEX(Data!$A:$A,CEILING((COUNTA(Data!$A:$A)-1)*RAND()+1,1)),"")</f>
        <v/>
      </c>
      <c r="B422" s="1" t="str">
        <f>IF(ROW()&lt;=Results!$C$1+1,VLOOKUP($A422,Data!$A$2:$C$117,2,TRUE),"")</f>
        <v/>
      </c>
      <c r="C422" s="14" t="str">
        <f>IF(ROW()&lt;=Results!$C$1+1,IF(B422&lt;=0,"",LN(B422)),"")</f>
        <v/>
      </c>
      <c r="D422" s="58" t="str">
        <f ca="1">IF(Results!$S$5,A422,IF(ROW()&lt;=Results!$C$1+1,INDEX(Data!$A:$A,CEILING((COUNTA(Data!$A:$A)-1)*RAND()+1,1)),""))</f>
        <v/>
      </c>
      <c r="E422" s="1" t="str">
        <f>IF(ROW()&lt;=Results!$C$1+1,VLOOKUP($D422,Data!$A$2:$C$117,3,TRUE),"")</f>
        <v/>
      </c>
      <c r="F422" s="14" t="str">
        <f>IF(ROW()&lt;=Results!$C$1+1,IF(E422&lt;=0,"",LN(E422)),"")</f>
        <v/>
      </c>
      <c r="G422" s="53" t="str">
        <f>IF(ROW()&lt;=Results!$C$1+1,IF(ISERROR(C422-F422),"",C422-F422),"")</f>
        <v/>
      </c>
    </row>
    <row r="423" spans="1:7" x14ac:dyDescent="0.25">
      <c r="A423" s="1" t="str">
        <f ca="1">IF(ROW()&lt;=Results!$C$1+1,INDEX(Data!$A:$A,CEILING((COUNTA(Data!$A:$A)-1)*RAND()+1,1)),"")</f>
        <v/>
      </c>
      <c r="B423" s="1" t="str">
        <f>IF(ROW()&lt;=Results!$C$1+1,VLOOKUP($A423,Data!$A$2:$C$117,2,TRUE),"")</f>
        <v/>
      </c>
      <c r="C423" s="14" t="str">
        <f>IF(ROW()&lt;=Results!$C$1+1,IF(B423&lt;=0,"",LN(B423)),"")</f>
        <v/>
      </c>
      <c r="D423" s="58" t="str">
        <f ca="1">IF(Results!$S$5,A423,IF(ROW()&lt;=Results!$C$1+1,INDEX(Data!$A:$A,CEILING((COUNTA(Data!$A:$A)-1)*RAND()+1,1)),""))</f>
        <v/>
      </c>
      <c r="E423" s="1" t="str">
        <f>IF(ROW()&lt;=Results!$C$1+1,VLOOKUP($D423,Data!$A$2:$C$117,3,TRUE),"")</f>
        <v/>
      </c>
      <c r="F423" s="14" t="str">
        <f>IF(ROW()&lt;=Results!$C$1+1,IF(E423&lt;=0,"",LN(E423)),"")</f>
        <v/>
      </c>
      <c r="G423" s="53" t="str">
        <f>IF(ROW()&lt;=Results!$C$1+1,IF(ISERROR(C423-F423),"",C423-F423),"")</f>
        <v/>
      </c>
    </row>
    <row r="424" spans="1:7" x14ac:dyDescent="0.25">
      <c r="A424" s="1" t="str">
        <f ca="1">IF(ROW()&lt;=Results!$C$1+1,INDEX(Data!$A:$A,CEILING((COUNTA(Data!$A:$A)-1)*RAND()+1,1)),"")</f>
        <v/>
      </c>
      <c r="B424" s="1" t="str">
        <f>IF(ROW()&lt;=Results!$C$1+1,VLOOKUP($A424,Data!$A$2:$C$117,2,TRUE),"")</f>
        <v/>
      </c>
      <c r="C424" s="14" t="str">
        <f>IF(ROW()&lt;=Results!$C$1+1,IF(B424&lt;=0,"",LN(B424)),"")</f>
        <v/>
      </c>
      <c r="D424" s="58" t="str">
        <f ca="1">IF(Results!$S$5,A424,IF(ROW()&lt;=Results!$C$1+1,INDEX(Data!$A:$A,CEILING((COUNTA(Data!$A:$A)-1)*RAND()+1,1)),""))</f>
        <v/>
      </c>
      <c r="E424" s="1" t="str">
        <f>IF(ROW()&lt;=Results!$C$1+1,VLOOKUP($D424,Data!$A$2:$C$117,3,TRUE),"")</f>
        <v/>
      </c>
      <c r="F424" s="14" t="str">
        <f>IF(ROW()&lt;=Results!$C$1+1,IF(E424&lt;=0,"",LN(E424)),"")</f>
        <v/>
      </c>
      <c r="G424" s="53" t="str">
        <f>IF(ROW()&lt;=Results!$C$1+1,IF(ISERROR(C424-F424),"",C424-F424),"")</f>
        <v/>
      </c>
    </row>
    <row r="425" spans="1:7" x14ac:dyDescent="0.25">
      <c r="A425" s="1" t="str">
        <f ca="1">IF(ROW()&lt;=Results!$C$1+1,INDEX(Data!$A:$A,CEILING((COUNTA(Data!$A:$A)-1)*RAND()+1,1)),"")</f>
        <v/>
      </c>
      <c r="B425" s="1" t="str">
        <f>IF(ROW()&lt;=Results!$C$1+1,VLOOKUP($A425,Data!$A$2:$C$117,2,TRUE),"")</f>
        <v/>
      </c>
      <c r="C425" s="14" t="str">
        <f>IF(ROW()&lt;=Results!$C$1+1,IF(B425&lt;=0,"",LN(B425)),"")</f>
        <v/>
      </c>
      <c r="D425" s="58" t="str">
        <f ca="1">IF(Results!$S$5,A425,IF(ROW()&lt;=Results!$C$1+1,INDEX(Data!$A:$A,CEILING((COUNTA(Data!$A:$A)-1)*RAND()+1,1)),""))</f>
        <v/>
      </c>
      <c r="E425" s="1" t="str">
        <f>IF(ROW()&lt;=Results!$C$1+1,VLOOKUP($D425,Data!$A$2:$C$117,3,TRUE),"")</f>
        <v/>
      </c>
      <c r="F425" s="14" t="str">
        <f>IF(ROW()&lt;=Results!$C$1+1,IF(E425&lt;=0,"",LN(E425)),"")</f>
        <v/>
      </c>
      <c r="G425" s="53" t="str">
        <f>IF(ROW()&lt;=Results!$C$1+1,IF(ISERROR(C425-F425),"",C425-F425),"")</f>
        <v/>
      </c>
    </row>
    <row r="426" spans="1:7" x14ac:dyDescent="0.25">
      <c r="A426" s="1" t="str">
        <f ca="1">IF(ROW()&lt;=Results!$C$1+1,INDEX(Data!$A:$A,CEILING((COUNTA(Data!$A:$A)-1)*RAND()+1,1)),"")</f>
        <v/>
      </c>
      <c r="B426" s="1" t="str">
        <f>IF(ROW()&lt;=Results!$C$1+1,VLOOKUP($A426,Data!$A$2:$C$117,2,TRUE),"")</f>
        <v/>
      </c>
      <c r="C426" s="14" t="str">
        <f>IF(ROW()&lt;=Results!$C$1+1,IF(B426&lt;=0,"",LN(B426)),"")</f>
        <v/>
      </c>
      <c r="D426" s="58" t="str">
        <f ca="1">IF(Results!$S$5,A426,IF(ROW()&lt;=Results!$C$1+1,INDEX(Data!$A:$A,CEILING((COUNTA(Data!$A:$A)-1)*RAND()+1,1)),""))</f>
        <v/>
      </c>
      <c r="E426" s="1" t="str">
        <f>IF(ROW()&lt;=Results!$C$1+1,VLOOKUP($D426,Data!$A$2:$C$117,3,TRUE),"")</f>
        <v/>
      </c>
      <c r="F426" s="14" t="str">
        <f>IF(ROW()&lt;=Results!$C$1+1,IF(E426&lt;=0,"",LN(E426)),"")</f>
        <v/>
      </c>
      <c r="G426" s="53" t="str">
        <f>IF(ROW()&lt;=Results!$C$1+1,IF(ISERROR(C426-F426),"",C426-F426),"")</f>
        <v/>
      </c>
    </row>
    <row r="427" spans="1:7" x14ac:dyDescent="0.25">
      <c r="A427" s="1" t="str">
        <f ca="1">IF(ROW()&lt;=Results!$C$1+1,INDEX(Data!$A:$A,CEILING((COUNTA(Data!$A:$A)-1)*RAND()+1,1)),"")</f>
        <v/>
      </c>
      <c r="B427" s="1" t="str">
        <f>IF(ROW()&lt;=Results!$C$1+1,VLOOKUP($A427,Data!$A$2:$C$117,2,TRUE),"")</f>
        <v/>
      </c>
      <c r="C427" s="14" t="str">
        <f>IF(ROW()&lt;=Results!$C$1+1,IF(B427&lt;=0,"",LN(B427)),"")</f>
        <v/>
      </c>
      <c r="D427" s="58" t="str">
        <f ca="1">IF(Results!$S$5,A427,IF(ROW()&lt;=Results!$C$1+1,INDEX(Data!$A:$A,CEILING((COUNTA(Data!$A:$A)-1)*RAND()+1,1)),""))</f>
        <v/>
      </c>
      <c r="E427" s="1" t="str">
        <f>IF(ROW()&lt;=Results!$C$1+1,VLOOKUP($D427,Data!$A$2:$C$117,3,TRUE),"")</f>
        <v/>
      </c>
      <c r="F427" s="14" t="str">
        <f>IF(ROW()&lt;=Results!$C$1+1,IF(E427&lt;=0,"",LN(E427)),"")</f>
        <v/>
      </c>
      <c r="G427" s="53" t="str">
        <f>IF(ROW()&lt;=Results!$C$1+1,IF(ISERROR(C427-F427),"",C427-F427),"")</f>
        <v/>
      </c>
    </row>
    <row r="428" spans="1:7" x14ac:dyDescent="0.25">
      <c r="A428" s="1" t="str">
        <f ca="1">IF(ROW()&lt;=Results!$C$1+1,INDEX(Data!$A:$A,CEILING((COUNTA(Data!$A:$A)-1)*RAND()+1,1)),"")</f>
        <v/>
      </c>
      <c r="B428" s="1" t="str">
        <f>IF(ROW()&lt;=Results!$C$1+1,VLOOKUP($A428,Data!$A$2:$C$117,2,TRUE),"")</f>
        <v/>
      </c>
      <c r="C428" s="14" t="str">
        <f>IF(ROW()&lt;=Results!$C$1+1,IF(B428&lt;=0,"",LN(B428)),"")</f>
        <v/>
      </c>
      <c r="D428" s="58" t="str">
        <f ca="1">IF(Results!$S$5,A428,IF(ROW()&lt;=Results!$C$1+1,INDEX(Data!$A:$A,CEILING((COUNTA(Data!$A:$A)-1)*RAND()+1,1)),""))</f>
        <v/>
      </c>
      <c r="E428" s="1" t="str">
        <f>IF(ROW()&lt;=Results!$C$1+1,VLOOKUP($D428,Data!$A$2:$C$117,3,TRUE),"")</f>
        <v/>
      </c>
      <c r="F428" s="14" t="str">
        <f>IF(ROW()&lt;=Results!$C$1+1,IF(E428&lt;=0,"",LN(E428)),"")</f>
        <v/>
      </c>
      <c r="G428" s="53" t="str">
        <f>IF(ROW()&lt;=Results!$C$1+1,IF(ISERROR(C428-F428),"",C428-F428),"")</f>
        <v/>
      </c>
    </row>
    <row r="429" spans="1:7" x14ac:dyDescent="0.25">
      <c r="A429" s="1" t="str">
        <f ca="1">IF(ROW()&lt;=Results!$C$1+1,INDEX(Data!$A:$A,CEILING((COUNTA(Data!$A:$A)-1)*RAND()+1,1)),"")</f>
        <v/>
      </c>
      <c r="B429" s="1" t="str">
        <f>IF(ROW()&lt;=Results!$C$1+1,VLOOKUP($A429,Data!$A$2:$C$117,2,TRUE),"")</f>
        <v/>
      </c>
      <c r="C429" s="14" t="str">
        <f>IF(ROW()&lt;=Results!$C$1+1,IF(B429&lt;=0,"",LN(B429)),"")</f>
        <v/>
      </c>
      <c r="D429" s="58" t="str">
        <f ca="1">IF(Results!$S$5,A429,IF(ROW()&lt;=Results!$C$1+1,INDEX(Data!$A:$A,CEILING((COUNTA(Data!$A:$A)-1)*RAND()+1,1)),""))</f>
        <v/>
      </c>
      <c r="E429" s="1" t="str">
        <f>IF(ROW()&lt;=Results!$C$1+1,VLOOKUP($D429,Data!$A$2:$C$117,3,TRUE),"")</f>
        <v/>
      </c>
      <c r="F429" s="14" t="str">
        <f>IF(ROW()&lt;=Results!$C$1+1,IF(E429&lt;=0,"",LN(E429)),"")</f>
        <v/>
      </c>
      <c r="G429" s="53" t="str">
        <f>IF(ROW()&lt;=Results!$C$1+1,IF(ISERROR(C429-F429),"",C429-F429),"")</f>
        <v/>
      </c>
    </row>
    <row r="430" spans="1:7" x14ac:dyDescent="0.25">
      <c r="A430" s="1" t="str">
        <f ca="1">IF(ROW()&lt;=Results!$C$1+1,INDEX(Data!$A:$A,CEILING((COUNTA(Data!$A:$A)-1)*RAND()+1,1)),"")</f>
        <v/>
      </c>
      <c r="B430" s="1" t="str">
        <f>IF(ROW()&lt;=Results!$C$1+1,VLOOKUP($A430,Data!$A$2:$C$117,2,TRUE),"")</f>
        <v/>
      </c>
      <c r="C430" s="14" t="str">
        <f>IF(ROW()&lt;=Results!$C$1+1,IF(B430&lt;=0,"",LN(B430)),"")</f>
        <v/>
      </c>
      <c r="D430" s="58" t="str">
        <f ca="1">IF(Results!$S$5,A430,IF(ROW()&lt;=Results!$C$1+1,INDEX(Data!$A:$A,CEILING((COUNTA(Data!$A:$A)-1)*RAND()+1,1)),""))</f>
        <v/>
      </c>
      <c r="E430" s="1" t="str">
        <f>IF(ROW()&lt;=Results!$C$1+1,VLOOKUP($D430,Data!$A$2:$C$117,3,TRUE),"")</f>
        <v/>
      </c>
      <c r="F430" s="14" t="str">
        <f>IF(ROW()&lt;=Results!$C$1+1,IF(E430&lt;=0,"",LN(E430)),"")</f>
        <v/>
      </c>
      <c r="G430" s="53" t="str">
        <f>IF(ROW()&lt;=Results!$C$1+1,IF(ISERROR(C430-F430),"",C430-F430),"")</f>
        <v/>
      </c>
    </row>
    <row r="431" spans="1:7" x14ac:dyDescent="0.25">
      <c r="A431" s="1" t="str">
        <f ca="1">IF(ROW()&lt;=Results!$C$1+1,INDEX(Data!$A:$A,CEILING((COUNTA(Data!$A:$A)-1)*RAND()+1,1)),"")</f>
        <v/>
      </c>
      <c r="B431" s="1" t="str">
        <f>IF(ROW()&lt;=Results!$C$1+1,VLOOKUP($A431,Data!$A$2:$C$117,2,TRUE),"")</f>
        <v/>
      </c>
      <c r="C431" s="14" t="str">
        <f>IF(ROW()&lt;=Results!$C$1+1,IF(B431&lt;=0,"",LN(B431)),"")</f>
        <v/>
      </c>
      <c r="D431" s="58" t="str">
        <f ca="1">IF(Results!$S$5,A431,IF(ROW()&lt;=Results!$C$1+1,INDEX(Data!$A:$A,CEILING((COUNTA(Data!$A:$A)-1)*RAND()+1,1)),""))</f>
        <v/>
      </c>
      <c r="E431" s="1" t="str">
        <f>IF(ROW()&lt;=Results!$C$1+1,VLOOKUP($D431,Data!$A$2:$C$117,3,TRUE),"")</f>
        <v/>
      </c>
      <c r="F431" s="14" t="str">
        <f>IF(ROW()&lt;=Results!$C$1+1,IF(E431&lt;=0,"",LN(E431)),"")</f>
        <v/>
      </c>
      <c r="G431" s="53" t="str">
        <f>IF(ROW()&lt;=Results!$C$1+1,IF(ISERROR(C431-F431),"",C431-F431),"")</f>
        <v/>
      </c>
    </row>
    <row r="432" spans="1:7" x14ac:dyDescent="0.25">
      <c r="A432" s="1" t="str">
        <f ca="1">IF(ROW()&lt;=Results!$C$1+1,INDEX(Data!$A:$A,CEILING((COUNTA(Data!$A:$A)-1)*RAND()+1,1)),"")</f>
        <v/>
      </c>
      <c r="B432" s="1" t="str">
        <f>IF(ROW()&lt;=Results!$C$1+1,VLOOKUP($A432,Data!$A$2:$C$117,2,TRUE),"")</f>
        <v/>
      </c>
      <c r="C432" s="14" t="str">
        <f>IF(ROW()&lt;=Results!$C$1+1,IF(B432&lt;=0,"",LN(B432)),"")</f>
        <v/>
      </c>
      <c r="D432" s="58" t="str">
        <f ca="1">IF(Results!$S$5,A432,IF(ROW()&lt;=Results!$C$1+1,INDEX(Data!$A:$A,CEILING((COUNTA(Data!$A:$A)-1)*RAND()+1,1)),""))</f>
        <v/>
      </c>
      <c r="E432" s="1" t="str">
        <f>IF(ROW()&lt;=Results!$C$1+1,VLOOKUP($D432,Data!$A$2:$C$117,3,TRUE),"")</f>
        <v/>
      </c>
      <c r="F432" s="14" t="str">
        <f>IF(ROW()&lt;=Results!$C$1+1,IF(E432&lt;=0,"",LN(E432)),"")</f>
        <v/>
      </c>
      <c r="G432" s="53" t="str">
        <f>IF(ROW()&lt;=Results!$C$1+1,IF(ISERROR(C432-F432),"",C432-F432),"")</f>
        <v/>
      </c>
    </row>
    <row r="433" spans="1:7" x14ac:dyDescent="0.25">
      <c r="A433" s="1" t="str">
        <f ca="1">IF(ROW()&lt;=Results!$C$1+1,INDEX(Data!$A:$A,CEILING((COUNTA(Data!$A:$A)-1)*RAND()+1,1)),"")</f>
        <v/>
      </c>
      <c r="B433" s="1" t="str">
        <f>IF(ROW()&lt;=Results!$C$1+1,VLOOKUP($A433,Data!$A$2:$C$117,2,TRUE),"")</f>
        <v/>
      </c>
      <c r="C433" s="14" t="str">
        <f>IF(ROW()&lt;=Results!$C$1+1,IF(B433&lt;=0,"",LN(B433)),"")</f>
        <v/>
      </c>
      <c r="D433" s="58" t="str">
        <f ca="1">IF(Results!$S$5,A433,IF(ROW()&lt;=Results!$C$1+1,INDEX(Data!$A:$A,CEILING((COUNTA(Data!$A:$A)-1)*RAND()+1,1)),""))</f>
        <v/>
      </c>
      <c r="E433" s="1" t="str">
        <f>IF(ROW()&lt;=Results!$C$1+1,VLOOKUP($D433,Data!$A$2:$C$117,3,TRUE),"")</f>
        <v/>
      </c>
      <c r="F433" s="14" t="str">
        <f>IF(ROW()&lt;=Results!$C$1+1,IF(E433&lt;=0,"",LN(E433)),"")</f>
        <v/>
      </c>
      <c r="G433" s="53" t="str">
        <f>IF(ROW()&lt;=Results!$C$1+1,IF(ISERROR(C433-F433),"",C433-F433),"")</f>
        <v/>
      </c>
    </row>
    <row r="434" spans="1:7" x14ac:dyDescent="0.25">
      <c r="A434" s="1" t="str">
        <f ca="1">IF(ROW()&lt;=Results!$C$1+1,INDEX(Data!$A:$A,CEILING((COUNTA(Data!$A:$A)-1)*RAND()+1,1)),"")</f>
        <v/>
      </c>
      <c r="B434" s="1" t="str">
        <f>IF(ROW()&lt;=Results!$C$1+1,VLOOKUP($A434,Data!$A$2:$C$117,2,TRUE),"")</f>
        <v/>
      </c>
      <c r="C434" s="14" t="str">
        <f>IF(ROW()&lt;=Results!$C$1+1,IF(B434&lt;=0,"",LN(B434)),"")</f>
        <v/>
      </c>
      <c r="D434" s="58" t="str">
        <f ca="1">IF(Results!$S$5,A434,IF(ROW()&lt;=Results!$C$1+1,INDEX(Data!$A:$A,CEILING((COUNTA(Data!$A:$A)-1)*RAND()+1,1)),""))</f>
        <v/>
      </c>
      <c r="E434" s="1" t="str">
        <f>IF(ROW()&lt;=Results!$C$1+1,VLOOKUP($D434,Data!$A$2:$C$117,3,TRUE),"")</f>
        <v/>
      </c>
      <c r="F434" s="14" t="str">
        <f>IF(ROW()&lt;=Results!$C$1+1,IF(E434&lt;=0,"",LN(E434)),"")</f>
        <v/>
      </c>
      <c r="G434" s="53" t="str">
        <f>IF(ROW()&lt;=Results!$C$1+1,IF(ISERROR(C434-F434),"",C434-F434),"")</f>
        <v/>
      </c>
    </row>
    <row r="435" spans="1:7" x14ac:dyDescent="0.25">
      <c r="A435" s="1" t="str">
        <f ca="1">IF(ROW()&lt;=Results!$C$1+1,INDEX(Data!$A:$A,CEILING((COUNTA(Data!$A:$A)-1)*RAND()+1,1)),"")</f>
        <v/>
      </c>
      <c r="B435" s="1" t="str">
        <f>IF(ROW()&lt;=Results!$C$1+1,VLOOKUP($A435,Data!$A$2:$C$117,2,TRUE),"")</f>
        <v/>
      </c>
      <c r="C435" s="14" t="str">
        <f>IF(ROW()&lt;=Results!$C$1+1,IF(B435&lt;=0,"",LN(B435)),"")</f>
        <v/>
      </c>
      <c r="D435" s="58" t="str">
        <f ca="1">IF(Results!$S$5,A435,IF(ROW()&lt;=Results!$C$1+1,INDEX(Data!$A:$A,CEILING((COUNTA(Data!$A:$A)-1)*RAND()+1,1)),""))</f>
        <v/>
      </c>
      <c r="E435" s="1" t="str">
        <f>IF(ROW()&lt;=Results!$C$1+1,VLOOKUP($D435,Data!$A$2:$C$117,3,TRUE),"")</f>
        <v/>
      </c>
      <c r="F435" s="14" t="str">
        <f>IF(ROW()&lt;=Results!$C$1+1,IF(E435&lt;=0,"",LN(E435)),"")</f>
        <v/>
      </c>
      <c r="G435" s="53" t="str">
        <f>IF(ROW()&lt;=Results!$C$1+1,IF(ISERROR(C435-F435),"",C435-F435),"")</f>
        <v/>
      </c>
    </row>
    <row r="436" spans="1:7" x14ac:dyDescent="0.25">
      <c r="A436" s="1" t="str">
        <f ca="1">IF(ROW()&lt;=Results!$C$1+1,INDEX(Data!$A:$A,CEILING((COUNTA(Data!$A:$A)-1)*RAND()+1,1)),"")</f>
        <v/>
      </c>
      <c r="B436" s="1" t="str">
        <f>IF(ROW()&lt;=Results!$C$1+1,VLOOKUP($A436,Data!$A$2:$C$117,2,TRUE),"")</f>
        <v/>
      </c>
      <c r="C436" s="14" t="str">
        <f>IF(ROW()&lt;=Results!$C$1+1,IF(B436&lt;=0,"",LN(B436)),"")</f>
        <v/>
      </c>
      <c r="D436" s="58" t="str">
        <f ca="1">IF(Results!$S$5,A436,IF(ROW()&lt;=Results!$C$1+1,INDEX(Data!$A:$A,CEILING((COUNTA(Data!$A:$A)-1)*RAND()+1,1)),""))</f>
        <v/>
      </c>
      <c r="E436" s="1" t="str">
        <f>IF(ROW()&lt;=Results!$C$1+1,VLOOKUP($D436,Data!$A$2:$C$117,3,TRUE),"")</f>
        <v/>
      </c>
      <c r="F436" s="14" t="str">
        <f>IF(ROW()&lt;=Results!$C$1+1,IF(E436&lt;=0,"",LN(E436)),"")</f>
        <v/>
      </c>
      <c r="G436" s="53" t="str">
        <f>IF(ROW()&lt;=Results!$C$1+1,IF(ISERROR(C436-F436),"",C436-F436),"")</f>
        <v/>
      </c>
    </row>
    <row r="437" spans="1:7" x14ac:dyDescent="0.25">
      <c r="A437" s="1" t="str">
        <f ca="1">IF(ROW()&lt;=Results!$C$1+1,INDEX(Data!$A:$A,CEILING((COUNTA(Data!$A:$A)-1)*RAND()+1,1)),"")</f>
        <v/>
      </c>
      <c r="B437" s="1" t="str">
        <f>IF(ROW()&lt;=Results!$C$1+1,VLOOKUP($A437,Data!$A$2:$C$117,2,TRUE),"")</f>
        <v/>
      </c>
      <c r="C437" s="14" t="str">
        <f>IF(ROW()&lt;=Results!$C$1+1,IF(B437&lt;=0,"",LN(B437)),"")</f>
        <v/>
      </c>
      <c r="D437" s="58" t="str">
        <f ca="1">IF(Results!$S$5,A437,IF(ROW()&lt;=Results!$C$1+1,INDEX(Data!$A:$A,CEILING((COUNTA(Data!$A:$A)-1)*RAND()+1,1)),""))</f>
        <v/>
      </c>
      <c r="E437" s="1" t="str">
        <f>IF(ROW()&lt;=Results!$C$1+1,VLOOKUP($D437,Data!$A$2:$C$117,3,TRUE),"")</f>
        <v/>
      </c>
      <c r="F437" s="14" t="str">
        <f>IF(ROW()&lt;=Results!$C$1+1,IF(E437&lt;=0,"",LN(E437)),"")</f>
        <v/>
      </c>
      <c r="G437" s="53" t="str">
        <f>IF(ROW()&lt;=Results!$C$1+1,IF(ISERROR(C437-F437),"",C437-F437),"")</f>
        <v/>
      </c>
    </row>
    <row r="438" spans="1:7" x14ac:dyDescent="0.25">
      <c r="A438" s="1" t="str">
        <f ca="1">IF(ROW()&lt;=Results!$C$1+1,INDEX(Data!$A:$A,CEILING((COUNTA(Data!$A:$A)-1)*RAND()+1,1)),"")</f>
        <v/>
      </c>
      <c r="B438" s="1" t="str">
        <f>IF(ROW()&lt;=Results!$C$1+1,VLOOKUP($A438,Data!$A$2:$C$117,2,TRUE),"")</f>
        <v/>
      </c>
      <c r="C438" s="14" t="str">
        <f>IF(ROW()&lt;=Results!$C$1+1,IF(B438&lt;=0,"",LN(B438)),"")</f>
        <v/>
      </c>
      <c r="D438" s="58" t="str">
        <f ca="1">IF(Results!$S$5,A438,IF(ROW()&lt;=Results!$C$1+1,INDEX(Data!$A:$A,CEILING((COUNTA(Data!$A:$A)-1)*RAND()+1,1)),""))</f>
        <v/>
      </c>
      <c r="E438" s="1" t="str">
        <f>IF(ROW()&lt;=Results!$C$1+1,VLOOKUP($D438,Data!$A$2:$C$117,3,TRUE),"")</f>
        <v/>
      </c>
      <c r="F438" s="14" t="str">
        <f>IF(ROW()&lt;=Results!$C$1+1,IF(E438&lt;=0,"",LN(E438)),"")</f>
        <v/>
      </c>
      <c r="G438" s="53" t="str">
        <f>IF(ROW()&lt;=Results!$C$1+1,IF(ISERROR(C438-F438),"",C438-F438),"")</f>
        <v/>
      </c>
    </row>
    <row r="439" spans="1:7" x14ac:dyDescent="0.25">
      <c r="A439" s="1" t="str">
        <f ca="1">IF(ROW()&lt;=Results!$C$1+1,INDEX(Data!$A:$A,CEILING((COUNTA(Data!$A:$A)-1)*RAND()+1,1)),"")</f>
        <v/>
      </c>
      <c r="B439" s="1" t="str">
        <f>IF(ROW()&lt;=Results!$C$1+1,VLOOKUP($A439,Data!$A$2:$C$117,2,TRUE),"")</f>
        <v/>
      </c>
      <c r="C439" s="14" t="str">
        <f>IF(ROW()&lt;=Results!$C$1+1,IF(B439&lt;=0,"",LN(B439)),"")</f>
        <v/>
      </c>
      <c r="D439" s="58" t="str">
        <f ca="1">IF(Results!$S$5,A439,IF(ROW()&lt;=Results!$C$1+1,INDEX(Data!$A:$A,CEILING((COUNTA(Data!$A:$A)-1)*RAND()+1,1)),""))</f>
        <v/>
      </c>
      <c r="E439" s="1" t="str">
        <f>IF(ROW()&lt;=Results!$C$1+1,VLOOKUP($D439,Data!$A$2:$C$117,3,TRUE),"")</f>
        <v/>
      </c>
      <c r="F439" s="14" t="str">
        <f>IF(ROW()&lt;=Results!$C$1+1,IF(E439&lt;=0,"",LN(E439)),"")</f>
        <v/>
      </c>
      <c r="G439" s="53" t="str">
        <f>IF(ROW()&lt;=Results!$C$1+1,IF(ISERROR(C439-F439),"",C439-F439),"")</f>
        <v/>
      </c>
    </row>
    <row r="440" spans="1:7" x14ac:dyDescent="0.25">
      <c r="A440" s="1" t="str">
        <f ca="1">IF(ROW()&lt;=Results!$C$1+1,INDEX(Data!$A:$A,CEILING((COUNTA(Data!$A:$A)-1)*RAND()+1,1)),"")</f>
        <v/>
      </c>
      <c r="B440" s="1" t="str">
        <f>IF(ROW()&lt;=Results!$C$1+1,VLOOKUP($A440,Data!$A$2:$C$117,2,TRUE),"")</f>
        <v/>
      </c>
      <c r="C440" s="14" t="str">
        <f>IF(ROW()&lt;=Results!$C$1+1,IF(B440&lt;=0,"",LN(B440)),"")</f>
        <v/>
      </c>
      <c r="D440" s="58" t="str">
        <f ca="1">IF(Results!$S$5,A440,IF(ROW()&lt;=Results!$C$1+1,INDEX(Data!$A:$A,CEILING((COUNTA(Data!$A:$A)-1)*RAND()+1,1)),""))</f>
        <v/>
      </c>
      <c r="E440" s="1" t="str">
        <f>IF(ROW()&lt;=Results!$C$1+1,VLOOKUP($D440,Data!$A$2:$C$117,3,TRUE),"")</f>
        <v/>
      </c>
      <c r="F440" s="14" t="str">
        <f>IF(ROW()&lt;=Results!$C$1+1,IF(E440&lt;=0,"",LN(E440)),"")</f>
        <v/>
      </c>
      <c r="G440" s="53" t="str">
        <f>IF(ROW()&lt;=Results!$C$1+1,IF(ISERROR(C440-F440),"",C440-F440),"")</f>
        <v/>
      </c>
    </row>
    <row r="441" spans="1:7" x14ac:dyDescent="0.25">
      <c r="A441" s="1" t="str">
        <f ca="1">IF(ROW()&lt;=Results!$C$1+1,INDEX(Data!$A:$A,CEILING((COUNTA(Data!$A:$A)-1)*RAND()+1,1)),"")</f>
        <v/>
      </c>
      <c r="B441" s="1" t="str">
        <f>IF(ROW()&lt;=Results!$C$1+1,VLOOKUP($A441,Data!$A$2:$C$117,2,TRUE),"")</f>
        <v/>
      </c>
      <c r="C441" s="14" t="str">
        <f>IF(ROW()&lt;=Results!$C$1+1,IF(B441&lt;=0,"",LN(B441)),"")</f>
        <v/>
      </c>
      <c r="D441" s="58" t="str">
        <f ca="1">IF(Results!$S$5,A441,IF(ROW()&lt;=Results!$C$1+1,INDEX(Data!$A:$A,CEILING((COUNTA(Data!$A:$A)-1)*RAND()+1,1)),""))</f>
        <v/>
      </c>
      <c r="E441" s="1" t="str">
        <f>IF(ROW()&lt;=Results!$C$1+1,VLOOKUP($D441,Data!$A$2:$C$117,3,TRUE),"")</f>
        <v/>
      </c>
      <c r="F441" s="14" t="str">
        <f>IF(ROW()&lt;=Results!$C$1+1,IF(E441&lt;=0,"",LN(E441)),"")</f>
        <v/>
      </c>
      <c r="G441" s="53" t="str">
        <f>IF(ROW()&lt;=Results!$C$1+1,IF(ISERROR(C441-F441),"",C441-F441),"")</f>
        <v/>
      </c>
    </row>
    <row r="442" spans="1:7" x14ac:dyDescent="0.25">
      <c r="A442" s="1" t="str">
        <f ca="1">IF(ROW()&lt;=Results!$C$1+1,INDEX(Data!$A:$A,CEILING((COUNTA(Data!$A:$A)-1)*RAND()+1,1)),"")</f>
        <v/>
      </c>
      <c r="B442" s="1" t="str">
        <f>IF(ROW()&lt;=Results!$C$1+1,VLOOKUP($A442,Data!$A$2:$C$117,2,TRUE),"")</f>
        <v/>
      </c>
      <c r="C442" s="14" t="str">
        <f>IF(ROW()&lt;=Results!$C$1+1,IF(B442&lt;=0,"",LN(B442)),"")</f>
        <v/>
      </c>
      <c r="D442" s="58" t="str">
        <f ca="1">IF(Results!$S$5,A442,IF(ROW()&lt;=Results!$C$1+1,INDEX(Data!$A:$A,CEILING((COUNTA(Data!$A:$A)-1)*RAND()+1,1)),""))</f>
        <v/>
      </c>
      <c r="E442" s="1" t="str">
        <f>IF(ROW()&lt;=Results!$C$1+1,VLOOKUP($D442,Data!$A$2:$C$117,3,TRUE),"")</f>
        <v/>
      </c>
      <c r="F442" s="14" t="str">
        <f>IF(ROW()&lt;=Results!$C$1+1,IF(E442&lt;=0,"",LN(E442)),"")</f>
        <v/>
      </c>
      <c r="G442" s="53" t="str">
        <f>IF(ROW()&lt;=Results!$C$1+1,IF(ISERROR(C442-F442),"",C442-F442),"")</f>
        <v/>
      </c>
    </row>
    <row r="443" spans="1:7" x14ac:dyDescent="0.25">
      <c r="A443" s="1" t="str">
        <f ca="1">IF(ROW()&lt;=Results!$C$1+1,INDEX(Data!$A:$A,CEILING((COUNTA(Data!$A:$A)-1)*RAND()+1,1)),"")</f>
        <v/>
      </c>
      <c r="B443" s="1" t="str">
        <f>IF(ROW()&lt;=Results!$C$1+1,VLOOKUP($A443,Data!$A$2:$C$117,2,TRUE),"")</f>
        <v/>
      </c>
      <c r="C443" s="14" t="str">
        <f>IF(ROW()&lt;=Results!$C$1+1,IF(B443&lt;=0,"",LN(B443)),"")</f>
        <v/>
      </c>
      <c r="D443" s="58" t="str">
        <f ca="1">IF(Results!$S$5,A443,IF(ROW()&lt;=Results!$C$1+1,INDEX(Data!$A:$A,CEILING((COUNTA(Data!$A:$A)-1)*RAND()+1,1)),""))</f>
        <v/>
      </c>
      <c r="E443" s="1" t="str">
        <f>IF(ROW()&lt;=Results!$C$1+1,VLOOKUP($D443,Data!$A$2:$C$117,3,TRUE),"")</f>
        <v/>
      </c>
      <c r="F443" s="14" t="str">
        <f>IF(ROW()&lt;=Results!$C$1+1,IF(E443&lt;=0,"",LN(E443)),"")</f>
        <v/>
      </c>
      <c r="G443" s="53" t="str">
        <f>IF(ROW()&lt;=Results!$C$1+1,IF(ISERROR(C443-F443),"",C443-F443),"")</f>
        <v/>
      </c>
    </row>
    <row r="444" spans="1:7" x14ac:dyDescent="0.25">
      <c r="A444" s="1" t="str">
        <f ca="1">IF(ROW()&lt;=Results!$C$1+1,INDEX(Data!$A:$A,CEILING((COUNTA(Data!$A:$A)-1)*RAND()+1,1)),"")</f>
        <v/>
      </c>
      <c r="B444" s="1" t="str">
        <f>IF(ROW()&lt;=Results!$C$1+1,VLOOKUP($A444,Data!$A$2:$C$117,2,TRUE),"")</f>
        <v/>
      </c>
      <c r="C444" s="14" t="str">
        <f>IF(ROW()&lt;=Results!$C$1+1,IF(B444&lt;=0,"",LN(B444)),"")</f>
        <v/>
      </c>
      <c r="D444" s="58" t="str">
        <f ca="1">IF(Results!$S$5,A444,IF(ROW()&lt;=Results!$C$1+1,INDEX(Data!$A:$A,CEILING((COUNTA(Data!$A:$A)-1)*RAND()+1,1)),""))</f>
        <v/>
      </c>
      <c r="E444" s="1" t="str">
        <f>IF(ROW()&lt;=Results!$C$1+1,VLOOKUP($D444,Data!$A$2:$C$117,3,TRUE),"")</f>
        <v/>
      </c>
      <c r="F444" s="14" t="str">
        <f>IF(ROW()&lt;=Results!$C$1+1,IF(E444&lt;=0,"",LN(E444)),"")</f>
        <v/>
      </c>
      <c r="G444" s="53" t="str">
        <f>IF(ROW()&lt;=Results!$C$1+1,IF(ISERROR(C444-F444),"",C444-F444),"")</f>
        <v/>
      </c>
    </row>
    <row r="445" spans="1:7" x14ac:dyDescent="0.25">
      <c r="A445" s="1" t="str">
        <f ca="1">IF(ROW()&lt;=Results!$C$1+1,INDEX(Data!$A:$A,CEILING((COUNTA(Data!$A:$A)-1)*RAND()+1,1)),"")</f>
        <v/>
      </c>
      <c r="B445" s="1" t="str">
        <f>IF(ROW()&lt;=Results!$C$1+1,VLOOKUP($A445,Data!$A$2:$C$117,2,TRUE),"")</f>
        <v/>
      </c>
      <c r="C445" s="14" t="str">
        <f>IF(ROW()&lt;=Results!$C$1+1,IF(B445&lt;=0,"",LN(B445)),"")</f>
        <v/>
      </c>
      <c r="D445" s="58" t="str">
        <f ca="1">IF(Results!$S$5,A445,IF(ROW()&lt;=Results!$C$1+1,INDEX(Data!$A:$A,CEILING((COUNTA(Data!$A:$A)-1)*RAND()+1,1)),""))</f>
        <v/>
      </c>
      <c r="E445" s="1" t="str">
        <f>IF(ROW()&lt;=Results!$C$1+1,VLOOKUP($D445,Data!$A$2:$C$117,3,TRUE),"")</f>
        <v/>
      </c>
      <c r="F445" s="14" t="str">
        <f>IF(ROW()&lt;=Results!$C$1+1,IF(E445&lt;=0,"",LN(E445)),"")</f>
        <v/>
      </c>
      <c r="G445" s="53" t="str">
        <f>IF(ROW()&lt;=Results!$C$1+1,IF(ISERROR(C445-F445),"",C445-F445),"")</f>
        <v/>
      </c>
    </row>
    <row r="446" spans="1:7" x14ac:dyDescent="0.25">
      <c r="A446" s="1" t="str">
        <f ca="1">IF(ROW()&lt;=Results!$C$1+1,INDEX(Data!$A:$A,CEILING((COUNTA(Data!$A:$A)-1)*RAND()+1,1)),"")</f>
        <v/>
      </c>
      <c r="B446" s="1" t="str">
        <f>IF(ROW()&lt;=Results!$C$1+1,VLOOKUP($A446,Data!$A$2:$C$117,2,TRUE),"")</f>
        <v/>
      </c>
      <c r="C446" s="14" t="str">
        <f>IF(ROW()&lt;=Results!$C$1+1,IF(B446&lt;=0,"",LN(B446)),"")</f>
        <v/>
      </c>
      <c r="D446" s="58" t="str">
        <f ca="1">IF(Results!$S$5,A446,IF(ROW()&lt;=Results!$C$1+1,INDEX(Data!$A:$A,CEILING((COUNTA(Data!$A:$A)-1)*RAND()+1,1)),""))</f>
        <v/>
      </c>
      <c r="E446" s="1" t="str">
        <f>IF(ROW()&lt;=Results!$C$1+1,VLOOKUP($D446,Data!$A$2:$C$117,3,TRUE),"")</f>
        <v/>
      </c>
      <c r="F446" s="14" t="str">
        <f>IF(ROW()&lt;=Results!$C$1+1,IF(E446&lt;=0,"",LN(E446)),"")</f>
        <v/>
      </c>
      <c r="G446" s="53" t="str">
        <f>IF(ROW()&lt;=Results!$C$1+1,IF(ISERROR(C446-F446),"",C446-F446),"")</f>
        <v/>
      </c>
    </row>
    <row r="447" spans="1:7" x14ac:dyDescent="0.25">
      <c r="A447" s="1" t="str">
        <f ca="1">IF(ROW()&lt;=Results!$C$1+1,INDEX(Data!$A:$A,CEILING((COUNTA(Data!$A:$A)-1)*RAND()+1,1)),"")</f>
        <v/>
      </c>
      <c r="B447" s="1" t="str">
        <f>IF(ROW()&lt;=Results!$C$1+1,VLOOKUP($A447,Data!$A$2:$C$117,2,TRUE),"")</f>
        <v/>
      </c>
      <c r="C447" s="14" t="str">
        <f>IF(ROW()&lt;=Results!$C$1+1,IF(B447&lt;=0,"",LN(B447)),"")</f>
        <v/>
      </c>
      <c r="D447" s="58" t="str">
        <f ca="1">IF(Results!$S$5,A447,IF(ROW()&lt;=Results!$C$1+1,INDEX(Data!$A:$A,CEILING((COUNTA(Data!$A:$A)-1)*RAND()+1,1)),""))</f>
        <v/>
      </c>
      <c r="E447" s="1" t="str">
        <f>IF(ROW()&lt;=Results!$C$1+1,VLOOKUP($D447,Data!$A$2:$C$117,3,TRUE),"")</f>
        <v/>
      </c>
      <c r="F447" s="14" t="str">
        <f>IF(ROW()&lt;=Results!$C$1+1,IF(E447&lt;=0,"",LN(E447)),"")</f>
        <v/>
      </c>
      <c r="G447" s="53" t="str">
        <f>IF(ROW()&lt;=Results!$C$1+1,IF(ISERROR(C447-F447),"",C447-F447),"")</f>
        <v/>
      </c>
    </row>
    <row r="448" spans="1:7" x14ac:dyDescent="0.25">
      <c r="A448" s="1" t="str">
        <f ca="1">IF(ROW()&lt;=Results!$C$1+1,INDEX(Data!$A:$A,CEILING((COUNTA(Data!$A:$A)-1)*RAND()+1,1)),"")</f>
        <v/>
      </c>
      <c r="B448" s="1" t="str">
        <f>IF(ROW()&lt;=Results!$C$1+1,VLOOKUP($A448,Data!$A$2:$C$117,2,TRUE),"")</f>
        <v/>
      </c>
      <c r="C448" s="14" t="str">
        <f>IF(ROW()&lt;=Results!$C$1+1,IF(B448&lt;=0,"",LN(B448)),"")</f>
        <v/>
      </c>
      <c r="D448" s="58" t="str">
        <f ca="1">IF(Results!$S$5,A448,IF(ROW()&lt;=Results!$C$1+1,INDEX(Data!$A:$A,CEILING((COUNTA(Data!$A:$A)-1)*RAND()+1,1)),""))</f>
        <v/>
      </c>
      <c r="E448" s="1" t="str">
        <f>IF(ROW()&lt;=Results!$C$1+1,VLOOKUP($D448,Data!$A$2:$C$117,3,TRUE),"")</f>
        <v/>
      </c>
      <c r="F448" s="14" t="str">
        <f>IF(ROW()&lt;=Results!$C$1+1,IF(E448&lt;=0,"",LN(E448)),"")</f>
        <v/>
      </c>
      <c r="G448" s="53" t="str">
        <f>IF(ROW()&lt;=Results!$C$1+1,IF(ISERROR(C448-F448),"",C448-F448),"")</f>
        <v/>
      </c>
    </row>
    <row r="449" spans="1:7" x14ac:dyDescent="0.25">
      <c r="A449" s="1" t="str">
        <f ca="1">IF(ROW()&lt;=Results!$C$1+1,INDEX(Data!$A:$A,CEILING((COUNTA(Data!$A:$A)-1)*RAND()+1,1)),"")</f>
        <v/>
      </c>
      <c r="B449" s="1" t="str">
        <f>IF(ROW()&lt;=Results!$C$1+1,VLOOKUP($A449,Data!$A$2:$C$117,2,TRUE),"")</f>
        <v/>
      </c>
      <c r="C449" s="14" t="str">
        <f>IF(ROW()&lt;=Results!$C$1+1,IF(B449&lt;=0,"",LN(B449)),"")</f>
        <v/>
      </c>
      <c r="D449" s="58" t="str">
        <f ca="1">IF(Results!$S$5,A449,IF(ROW()&lt;=Results!$C$1+1,INDEX(Data!$A:$A,CEILING((COUNTA(Data!$A:$A)-1)*RAND()+1,1)),""))</f>
        <v/>
      </c>
      <c r="E449" s="1" t="str">
        <f>IF(ROW()&lt;=Results!$C$1+1,VLOOKUP($D449,Data!$A$2:$C$117,3,TRUE),"")</f>
        <v/>
      </c>
      <c r="F449" s="14" t="str">
        <f>IF(ROW()&lt;=Results!$C$1+1,IF(E449&lt;=0,"",LN(E449)),"")</f>
        <v/>
      </c>
      <c r="G449" s="53" t="str">
        <f>IF(ROW()&lt;=Results!$C$1+1,IF(ISERROR(C449-F449),"",C449-F449),"")</f>
        <v/>
      </c>
    </row>
    <row r="450" spans="1:7" x14ac:dyDescent="0.25">
      <c r="A450" s="1" t="str">
        <f ca="1">IF(ROW()&lt;=Results!$C$1+1,INDEX(Data!$A:$A,CEILING((COUNTA(Data!$A:$A)-1)*RAND()+1,1)),"")</f>
        <v/>
      </c>
      <c r="B450" s="1" t="str">
        <f>IF(ROW()&lt;=Results!$C$1+1,VLOOKUP($A450,Data!$A$2:$C$117,2,TRUE),"")</f>
        <v/>
      </c>
      <c r="C450" s="14" t="str">
        <f>IF(ROW()&lt;=Results!$C$1+1,IF(B450&lt;=0,"",LN(B450)),"")</f>
        <v/>
      </c>
      <c r="D450" s="58" t="str">
        <f ca="1">IF(Results!$S$5,A450,IF(ROW()&lt;=Results!$C$1+1,INDEX(Data!$A:$A,CEILING((COUNTA(Data!$A:$A)-1)*RAND()+1,1)),""))</f>
        <v/>
      </c>
      <c r="E450" s="1" t="str">
        <f>IF(ROW()&lt;=Results!$C$1+1,VLOOKUP($D450,Data!$A$2:$C$117,3,TRUE),"")</f>
        <v/>
      </c>
      <c r="F450" s="14" t="str">
        <f>IF(ROW()&lt;=Results!$C$1+1,IF(E450&lt;=0,"",LN(E450)),"")</f>
        <v/>
      </c>
      <c r="G450" s="53" t="str">
        <f>IF(ROW()&lt;=Results!$C$1+1,IF(ISERROR(C450-F450),"",C450-F450),"")</f>
        <v/>
      </c>
    </row>
    <row r="451" spans="1:7" x14ac:dyDescent="0.25">
      <c r="A451" s="1" t="str">
        <f ca="1">IF(ROW()&lt;=Results!$C$1+1,INDEX(Data!$A:$A,CEILING((COUNTA(Data!$A:$A)-1)*RAND()+1,1)),"")</f>
        <v/>
      </c>
      <c r="B451" s="1" t="str">
        <f>IF(ROW()&lt;=Results!$C$1+1,VLOOKUP($A451,Data!$A$2:$C$117,2,TRUE),"")</f>
        <v/>
      </c>
      <c r="C451" s="14" t="str">
        <f>IF(ROW()&lt;=Results!$C$1+1,IF(B451&lt;=0,"",LN(B451)),"")</f>
        <v/>
      </c>
      <c r="D451" s="58" t="str">
        <f ca="1">IF(Results!$S$5,A451,IF(ROW()&lt;=Results!$C$1+1,INDEX(Data!$A:$A,CEILING((COUNTA(Data!$A:$A)-1)*RAND()+1,1)),""))</f>
        <v/>
      </c>
      <c r="E451" s="1" t="str">
        <f>IF(ROW()&lt;=Results!$C$1+1,VLOOKUP($D451,Data!$A$2:$C$117,3,TRUE),"")</f>
        <v/>
      </c>
      <c r="F451" s="14" t="str">
        <f>IF(ROW()&lt;=Results!$C$1+1,IF(E451&lt;=0,"",LN(E451)),"")</f>
        <v/>
      </c>
      <c r="G451" s="53" t="str">
        <f>IF(ROW()&lt;=Results!$C$1+1,IF(ISERROR(C451-F451),"",C451-F451),"")</f>
        <v/>
      </c>
    </row>
    <row r="452" spans="1:7" x14ac:dyDescent="0.25">
      <c r="A452" s="1" t="str">
        <f ca="1">IF(ROW()&lt;=Results!$C$1+1,INDEX(Data!$A:$A,CEILING((COUNTA(Data!$A:$A)-1)*RAND()+1,1)),"")</f>
        <v/>
      </c>
      <c r="B452" s="1" t="str">
        <f>IF(ROW()&lt;=Results!$C$1+1,VLOOKUP($A452,Data!$A$2:$C$117,2,TRUE),"")</f>
        <v/>
      </c>
      <c r="C452" s="14" t="str">
        <f>IF(ROW()&lt;=Results!$C$1+1,IF(B452&lt;=0,"",LN(B452)),"")</f>
        <v/>
      </c>
      <c r="D452" s="58" t="str">
        <f ca="1">IF(Results!$S$5,A452,IF(ROW()&lt;=Results!$C$1+1,INDEX(Data!$A:$A,CEILING((COUNTA(Data!$A:$A)-1)*RAND()+1,1)),""))</f>
        <v/>
      </c>
      <c r="E452" s="1" t="str">
        <f>IF(ROW()&lt;=Results!$C$1+1,VLOOKUP($D452,Data!$A$2:$C$117,3,TRUE),"")</f>
        <v/>
      </c>
      <c r="F452" s="14" t="str">
        <f>IF(ROW()&lt;=Results!$C$1+1,IF(E452&lt;=0,"",LN(E452)),"")</f>
        <v/>
      </c>
      <c r="G452" s="53" t="str">
        <f>IF(ROW()&lt;=Results!$C$1+1,IF(ISERROR(C452-F452),"",C452-F452),"")</f>
        <v/>
      </c>
    </row>
    <row r="453" spans="1:7" x14ac:dyDescent="0.25">
      <c r="A453" s="1" t="str">
        <f ca="1">IF(ROW()&lt;=Results!$C$1+1,INDEX(Data!$A:$A,CEILING((COUNTA(Data!$A:$A)-1)*RAND()+1,1)),"")</f>
        <v/>
      </c>
      <c r="B453" s="1" t="str">
        <f>IF(ROW()&lt;=Results!$C$1+1,VLOOKUP($A453,Data!$A$2:$C$117,2,TRUE),"")</f>
        <v/>
      </c>
      <c r="C453" s="14" t="str">
        <f>IF(ROW()&lt;=Results!$C$1+1,IF(B453&lt;=0,"",LN(B453)),"")</f>
        <v/>
      </c>
      <c r="D453" s="58" t="str">
        <f ca="1">IF(Results!$S$5,A453,IF(ROW()&lt;=Results!$C$1+1,INDEX(Data!$A:$A,CEILING((COUNTA(Data!$A:$A)-1)*RAND()+1,1)),""))</f>
        <v/>
      </c>
      <c r="E453" s="1" t="str">
        <f>IF(ROW()&lt;=Results!$C$1+1,VLOOKUP($D453,Data!$A$2:$C$117,3,TRUE),"")</f>
        <v/>
      </c>
      <c r="F453" s="14" t="str">
        <f>IF(ROW()&lt;=Results!$C$1+1,IF(E453&lt;=0,"",LN(E453)),"")</f>
        <v/>
      </c>
      <c r="G453" s="53" t="str">
        <f>IF(ROW()&lt;=Results!$C$1+1,IF(ISERROR(C453-F453),"",C453-F453),"")</f>
        <v/>
      </c>
    </row>
    <row r="454" spans="1:7" x14ac:dyDescent="0.25">
      <c r="A454" s="1" t="str">
        <f ca="1">IF(ROW()&lt;=Results!$C$1+1,INDEX(Data!$A:$A,CEILING((COUNTA(Data!$A:$A)-1)*RAND()+1,1)),"")</f>
        <v/>
      </c>
      <c r="B454" s="1" t="str">
        <f>IF(ROW()&lt;=Results!$C$1+1,VLOOKUP($A454,Data!$A$2:$C$117,2,TRUE),"")</f>
        <v/>
      </c>
      <c r="C454" s="14" t="str">
        <f>IF(ROW()&lt;=Results!$C$1+1,IF(B454&lt;=0,"",LN(B454)),"")</f>
        <v/>
      </c>
      <c r="D454" s="58" t="str">
        <f ca="1">IF(Results!$S$5,A454,IF(ROW()&lt;=Results!$C$1+1,INDEX(Data!$A:$A,CEILING((COUNTA(Data!$A:$A)-1)*RAND()+1,1)),""))</f>
        <v/>
      </c>
      <c r="E454" s="1" t="str">
        <f>IF(ROW()&lt;=Results!$C$1+1,VLOOKUP($D454,Data!$A$2:$C$117,3,TRUE),"")</f>
        <v/>
      </c>
      <c r="F454" s="14" t="str">
        <f>IF(ROW()&lt;=Results!$C$1+1,IF(E454&lt;=0,"",LN(E454)),"")</f>
        <v/>
      </c>
      <c r="G454" s="53" t="str">
        <f>IF(ROW()&lt;=Results!$C$1+1,IF(ISERROR(C454-F454),"",C454-F454),"")</f>
        <v/>
      </c>
    </row>
    <row r="455" spans="1:7" x14ac:dyDescent="0.25">
      <c r="A455" s="1" t="str">
        <f ca="1">IF(ROW()&lt;=Results!$C$1+1,INDEX(Data!$A:$A,CEILING((COUNTA(Data!$A:$A)-1)*RAND()+1,1)),"")</f>
        <v/>
      </c>
      <c r="B455" s="1" t="str">
        <f>IF(ROW()&lt;=Results!$C$1+1,VLOOKUP($A455,Data!$A$2:$C$117,2,TRUE),"")</f>
        <v/>
      </c>
      <c r="C455" s="14" t="str">
        <f>IF(ROW()&lt;=Results!$C$1+1,IF(B455&lt;=0,"",LN(B455)),"")</f>
        <v/>
      </c>
      <c r="D455" s="58" t="str">
        <f ca="1">IF(Results!$S$5,A455,IF(ROW()&lt;=Results!$C$1+1,INDEX(Data!$A:$A,CEILING((COUNTA(Data!$A:$A)-1)*RAND()+1,1)),""))</f>
        <v/>
      </c>
      <c r="E455" s="1" t="str">
        <f>IF(ROW()&lt;=Results!$C$1+1,VLOOKUP($D455,Data!$A$2:$C$117,3,TRUE),"")</f>
        <v/>
      </c>
      <c r="F455" s="14" t="str">
        <f>IF(ROW()&lt;=Results!$C$1+1,IF(E455&lt;=0,"",LN(E455)),"")</f>
        <v/>
      </c>
      <c r="G455" s="53" t="str">
        <f>IF(ROW()&lt;=Results!$C$1+1,IF(ISERROR(C455-F455),"",C455-F455),"")</f>
        <v/>
      </c>
    </row>
    <row r="456" spans="1:7" x14ac:dyDescent="0.25">
      <c r="A456" s="1" t="str">
        <f ca="1">IF(ROW()&lt;=Results!$C$1+1,INDEX(Data!$A:$A,CEILING((COUNTA(Data!$A:$A)-1)*RAND()+1,1)),"")</f>
        <v/>
      </c>
      <c r="B456" s="1" t="str">
        <f>IF(ROW()&lt;=Results!$C$1+1,VLOOKUP($A456,Data!$A$2:$C$117,2,TRUE),"")</f>
        <v/>
      </c>
      <c r="C456" s="14" t="str">
        <f>IF(ROW()&lt;=Results!$C$1+1,IF(B456&lt;=0,"",LN(B456)),"")</f>
        <v/>
      </c>
      <c r="D456" s="58" t="str">
        <f ca="1">IF(Results!$S$5,A456,IF(ROW()&lt;=Results!$C$1+1,INDEX(Data!$A:$A,CEILING((COUNTA(Data!$A:$A)-1)*RAND()+1,1)),""))</f>
        <v/>
      </c>
      <c r="E456" s="1" t="str">
        <f>IF(ROW()&lt;=Results!$C$1+1,VLOOKUP($D456,Data!$A$2:$C$117,3,TRUE),"")</f>
        <v/>
      </c>
      <c r="F456" s="14" t="str">
        <f>IF(ROW()&lt;=Results!$C$1+1,IF(E456&lt;=0,"",LN(E456)),"")</f>
        <v/>
      </c>
      <c r="G456" s="53" t="str">
        <f>IF(ROW()&lt;=Results!$C$1+1,IF(ISERROR(C456-F456),"",C456-F456),"")</f>
        <v/>
      </c>
    </row>
    <row r="457" spans="1:7" x14ac:dyDescent="0.25">
      <c r="A457" s="1" t="str">
        <f ca="1">IF(ROW()&lt;=Results!$C$1+1,INDEX(Data!$A:$A,CEILING((COUNTA(Data!$A:$A)-1)*RAND()+1,1)),"")</f>
        <v/>
      </c>
      <c r="B457" s="1" t="str">
        <f>IF(ROW()&lt;=Results!$C$1+1,VLOOKUP($A457,Data!$A$2:$C$117,2,TRUE),"")</f>
        <v/>
      </c>
      <c r="C457" s="14" t="str">
        <f>IF(ROW()&lt;=Results!$C$1+1,IF(B457&lt;=0,"",LN(B457)),"")</f>
        <v/>
      </c>
      <c r="D457" s="58" t="str">
        <f ca="1">IF(Results!$S$5,A457,IF(ROW()&lt;=Results!$C$1+1,INDEX(Data!$A:$A,CEILING((COUNTA(Data!$A:$A)-1)*RAND()+1,1)),""))</f>
        <v/>
      </c>
      <c r="E457" s="1" t="str">
        <f>IF(ROW()&lt;=Results!$C$1+1,VLOOKUP($D457,Data!$A$2:$C$117,3,TRUE),"")</f>
        <v/>
      </c>
      <c r="F457" s="14" t="str">
        <f>IF(ROW()&lt;=Results!$C$1+1,IF(E457&lt;=0,"",LN(E457)),"")</f>
        <v/>
      </c>
      <c r="G457" s="53" t="str">
        <f>IF(ROW()&lt;=Results!$C$1+1,IF(ISERROR(C457-F457),"",C457-F457),"")</f>
        <v/>
      </c>
    </row>
    <row r="458" spans="1:7" x14ac:dyDescent="0.25">
      <c r="A458" s="1" t="str">
        <f ca="1">IF(ROW()&lt;=Results!$C$1+1,INDEX(Data!$A:$A,CEILING((COUNTA(Data!$A:$A)-1)*RAND()+1,1)),"")</f>
        <v/>
      </c>
      <c r="B458" s="1" t="str">
        <f>IF(ROW()&lt;=Results!$C$1+1,VLOOKUP($A458,Data!$A$2:$C$117,2,TRUE),"")</f>
        <v/>
      </c>
      <c r="C458" s="14" t="str">
        <f>IF(ROW()&lt;=Results!$C$1+1,IF(B458&lt;=0,"",LN(B458)),"")</f>
        <v/>
      </c>
      <c r="D458" s="58" t="str">
        <f ca="1">IF(Results!$S$5,A458,IF(ROW()&lt;=Results!$C$1+1,INDEX(Data!$A:$A,CEILING((COUNTA(Data!$A:$A)-1)*RAND()+1,1)),""))</f>
        <v/>
      </c>
      <c r="E458" s="1" t="str">
        <f>IF(ROW()&lt;=Results!$C$1+1,VLOOKUP($D458,Data!$A$2:$C$117,3,TRUE),"")</f>
        <v/>
      </c>
      <c r="F458" s="14" t="str">
        <f>IF(ROW()&lt;=Results!$C$1+1,IF(E458&lt;=0,"",LN(E458)),"")</f>
        <v/>
      </c>
      <c r="G458" s="53" t="str">
        <f>IF(ROW()&lt;=Results!$C$1+1,IF(ISERROR(C458-F458),"",C458-F458),"")</f>
        <v/>
      </c>
    </row>
    <row r="459" spans="1:7" x14ac:dyDescent="0.25">
      <c r="A459" s="1" t="str">
        <f ca="1">IF(ROW()&lt;=Results!$C$1+1,INDEX(Data!$A:$A,CEILING((COUNTA(Data!$A:$A)-1)*RAND()+1,1)),"")</f>
        <v/>
      </c>
      <c r="B459" s="1" t="str">
        <f>IF(ROW()&lt;=Results!$C$1+1,VLOOKUP($A459,Data!$A$2:$C$117,2,TRUE),"")</f>
        <v/>
      </c>
      <c r="C459" s="14" t="str">
        <f>IF(ROW()&lt;=Results!$C$1+1,IF(B459&lt;=0,"",LN(B459)),"")</f>
        <v/>
      </c>
      <c r="D459" s="58" t="str">
        <f ca="1">IF(Results!$S$5,A459,IF(ROW()&lt;=Results!$C$1+1,INDEX(Data!$A:$A,CEILING((COUNTA(Data!$A:$A)-1)*RAND()+1,1)),""))</f>
        <v/>
      </c>
      <c r="E459" s="1" t="str">
        <f>IF(ROW()&lt;=Results!$C$1+1,VLOOKUP($D459,Data!$A$2:$C$117,3,TRUE),"")</f>
        <v/>
      </c>
      <c r="F459" s="14" t="str">
        <f>IF(ROW()&lt;=Results!$C$1+1,IF(E459&lt;=0,"",LN(E459)),"")</f>
        <v/>
      </c>
      <c r="G459" s="53" t="str">
        <f>IF(ROW()&lt;=Results!$C$1+1,IF(ISERROR(C459-F459),"",C459-F459),"")</f>
        <v/>
      </c>
    </row>
    <row r="460" spans="1:7" x14ac:dyDescent="0.25">
      <c r="A460" s="1" t="str">
        <f ca="1">IF(ROW()&lt;=Results!$C$1+1,INDEX(Data!$A:$A,CEILING((COUNTA(Data!$A:$A)-1)*RAND()+1,1)),"")</f>
        <v/>
      </c>
      <c r="B460" s="1" t="str">
        <f>IF(ROW()&lt;=Results!$C$1+1,VLOOKUP($A460,Data!$A$2:$C$117,2,TRUE),"")</f>
        <v/>
      </c>
      <c r="C460" s="14" t="str">
        <f>IF(ROW()&lt;=Results!$C$1+1,IF(B460&lt;=0,"",LN(B460)),"")</f>
        <v/>
      </c>
      <c r="D460" s="58" t="str">
        <f ca="1">IF(Results!$S$5,A460,IF(ROW()&lt;=Results!$C$1+1,INDEX(Data!$A:$A,CEILING((COUNTA(Data!$A:$A)-1)*RAND()+1,1)),""))</f>
        <v/>
      </c>
      <c r="E460" s="1" t="str">
        <f>IF(ROW()&lt;=Results!$C$1+1,VLOOKUP($D460,Data!$A$2:$C$117,3,TRUE),"")</f>
        <v/>
      </c>
      <c r="F460" s="14" t="str">
        <f>IF(ROW()&lt;=Results!$C$1+1,IF(E460&lt;=0,"",LN(E460)),"")</f>
        <v/>
      </c>
      <c r="G460" s="53" t="str">
        <f>IF(ROW()&lt;=Results!$C$1+1,IF(ISERROR(C460-F460),"",C460-F460),"")</f>
        <v/>
      </c>
    </row>
    <row r="461" spans="1:7" x14ac:dyDescent="0.25">
      <c r="A461" s="1" t="str">
        <f ca="1">IF(ROW()&lt;=Results!$C$1+1,INDEX(Data!$A:$A,CEILING((COUNTA(Data!$A:$A)-1)*RAND()+1,1)),"")</f>
        <v/>
      </c>
      <c r="B461" s="1" t="str">
        <f>IF(ROW()&lt;=Results!$C$1+1,VLOOKUP($A461,Data!$A$2:$C$117,2,TRUE),"")</f>
        <v/>
      </c>
      <c r="C461" s="14" t="str">
        <f>IF(ROW()&lt;=Results!$C$1+1,IF(B461&lt;=0,"",LN(B461)),"")</f>
        <v/>
      </c>
      <c r="D461" s="58" t="str">
        <f ca="1">IF(Results!$S$5,A461,IF(ROW()&lt;=Results!$C$1+1,INDEX(Data!$A:$A,CEILING((COUNTA(Data!$A:$A)-1)*RAND()+1,1)),""))</f>
        <v/>
      </c>
      <c r="E461" s="1" t="str">
        <f>IF(ROW()&lt;=Results!$C$1+1,VLOOKUP($D461,Data!$A$2:$C$117,3,TRUE),"")</f>
        <v/>
      </c>
      <c r="F461" s="14" t="str">
        <f>IF(ROW()&lt;=Results!$C$1+1,IF(E461&lt;=0,"",LN(E461)),"")</f>
        <v/>
      </c>
      <c r="G461" s="53" t="str">
        <f>IF(ROW()&lt;=Results!$C$1+1,IF(ISERROR(C461-F461),"",C461-F461),"")</f>
        <v/>
      </c>
    </row>
    <row r="462" spans="1:7" x14ac:dyDescent="0.25">
      <c r="A462" s="1" t="str">
        <f ca="1">IF(ROW()&lt;=Results!$C$1+1,INDEX(Data!$A:$A,CEILING((COUNTA(Data!$A:$A)-1)*RAND()+1,1)),"")</f>
        <v/>
      </c>
      <c r="B462" s="1" t="str">
        <f>IF(ROW()&lt;=Results!$C$1+1,VLOOKUP($A462,Data!$A$2:$C$117,2,TRUE),"")</f>
        <v/>
      </c>
      <c r="C462" s="14" t="str">
        <f>IF(ROW()&lt;=Results!$C$1+1,IF(B462&lt;=0,"",LN(B462)),"")</f>
        <v/>
      </c>
      <c r="D462" s="58" t="str">
        <f ca="1">IF(Results!$S$5,A462,IF(ROW()&lt;=Results!$C$1+1,INDEX(Data!$A:$A,CEILING((COUNTA(Data!$A:$A)-1)*RAND()+1,1)),""))</f>
        <v/>
      </c>
      <c r="E462" s="1" t="str">
        <f>IF(ROW()&lt;=Results!$C$1+1,VLOOKUP($D462,Data!$A$2:$C$117,3,TRUE),"")</f>
        <v/>
      </c>
      <c r="F462" s="14" t="str">
        <f>IF(ROW()&lt;=Results!$C$1+1,IF(E462&lt;=0,"",LN(E462)),"")</f>
        <v/>
      </c>
      <c r="G462" s="53" t="str">
        <f>IF(ROW()&lt;=Results!$C$1+1,IF(ISERROR(C462-F462),"",C462-F462),"")</f>
        <v/>
      </c>
    </row>
    <row r="463" spans="1:7" x14ac:dyDescent="0.25">
      <c r="A463" s="1" t="str">
        <f ca="1">IF(ROW()&lt;=Results!$C$1+1,INDEX(Data!$A:$A,CEILING((COUNTA(Data!$A:$A)-1)*RAND()+1,1)),"")</f>
        <v/>
      </c>
      <c r="B463" s="1" t="str">
        <f>IF(ROW()&lt;=Results!$C$1+1,VLOOKUP($A463,Data!$A$2:$C$117,2,TRUE),"")</f>
        <v/>
      </c>
      <c r="C463" s="14" t="str">
        <f>IF(ROW()&lt;=Results!$C$1+1,IF(B463&lt;=0,"",LN(B463)),"")</f>
        <v/>
      </c>
      <c r="D463" s="58" t="str">
        <f ca="1">IF(Results!$S$5,A463,IF(ROW()&lt;=Results!$C$1+1,INDEX(Data!$A:$A,CEILING((COUNTA(Data!$A:$A)-1)*RAND()+1,1)),""))</f>
        <v/>
      </c>
      <c r="E463" s="1" t="str">
        <f>IF(ROW()&lt;=Results!$C$1+1,VLOOKUP($D463,Data!$A$2:$C$117,3,TRUE),"")</f>
        <v/>
      </c>
      <c r="F463" s="14" t="str">
        <f>IF(ROW()&lt;=Results!$C$1+1,IF(E463&lt;=0,"",LN(E463)),"")</f>
        <v/>
      </c>
      <c r="G463" s="53" t="str">
        <f>IF(ROW()&lt;=Results!$C$1+1,IF(ISERROR(C463-F463),"",C463-F463),"")</f>
        <v/>
      </c>
    </row>
    <row r="464" spans="1:7" x14ac:dyDescent="0.25">
      <c r="A464" s="1" t="str">
        <f ca="1">IF(ROW()&lt;=Results!$C$1+1,INDEX(Data!$A:$A,CEILING((COUNTA(Data!$A:$A)-1)*RAND()+1,1)),"")</f>
        <v/>
      </c>
      <c r="B464" s="1" t="str">
        <f>IF(ROW()&lt;=Results!$C$1+1,VLOOKUP($A464,Data!$A$2:$C$117,2,TRUE),"")</f>
        <v/>
      </c>
      <c r="C464" s="14" t="str">
        <f>IF(ROW()&lt;=Results!$C$1+1,IF(B464&lt;=0,"",LN(B464)),"")</f>
        <v/>
      </c>
      <c r="D464" s="58" t="str">
        <f ca="1">IF(Results!$S$5,A464,IF(ROW()&lt;=Results!$C$1+1,INDEX(Data!$A:$A,CEILING((COUNTA(Data!$A:$A)-1)*RAND()+1,1)),""))</f>
        <v/>
      </c>
      <c r="E464" s="1" t="str">
        <f>IF(ROW()&lt;=Results!$C$1+1,VLOOKUP($D464,Data!$A$2:$C$117,3,TRUE),"")</f>
        <v/>
      </c>
      <c r="F464" s="14" t="str">
        <f>IF(ROW()&lt;=Results!$C$1+1,IF(E464&lt;=0,"",LN(E464)),"")</f>
        <v/>
      </c>
      <c r="G464" s="53" t="str">
        <f>IF(ROW()&lt;=Results!$C$1+1,IF(ISERROR(C464-F464),"",C464-F464),"")</f>
        <v/>
      </c>
    </row>
    <row r="465" spans="1:7" x14ac:dyDescent="0.25">
      <c r="A465" s="1" t="str">
        <f ca="1">IF(ROW()&lt;=Results!$C$1+1,INDEX(Data!$A:$A,CEILING((COUNTA(Data!$A:$A)-1)*RAND()+1,1)),"")</f>
        <v/>
      </c>
      <c r="B465" s="1" t="str">
        <f>IF(ROW()&lt;=Results!$C$1+1,VLOOKUP($A465,Data!$A$2:$C$117,2,TRUE),"")</f>
        <v/>
      </c>
      <c r="C465" s="14" t="str">
        <f>IF(ROW()&lt;=Results!$C$1+1,IF(B465&lt;=0,"",LN(B465)),"")</f>
        <v/>
      </c>
      <c r="D465" s="58" t="str">
        <f ca="1">IF(Results!$S$5,A465,IF(ROW()&lt;=Results!$C$1+1,INDEX(Data!$A:$A,CEILING((COUNTA(Data!$A:$A)-1)*RAND()+1,1)),""))</f>
        <v/>
      </c>
      <c r="E465" s="1" t="str">
        <f>IF(ROW()&lt;=Results!$C$1+1,VLOOKUP($D465,Data!$A$2:$C$117,3,TRUE),"")</f>
        <v/>
      </c>
      <c r="F465" s="14" t="str">
        <f>IF(ROW()&lt;=Results!$C$1+1,IF(E465&lt;=0,"",LN(E465)),"")</f>
        <v/>
      </c>
      <c r="G465" s="53" t="str">
        <f>IF(ROW()&lt;=Results!$C$1+1,IF(ISERROR(C465-F465),"",C465-F465),"")</f>
        <v/>
      </c>
    </row>
    <row r="466" spans="1:7" x14ac:dyDescent="0.25">
      <c r="A466" s="1" t="str">
        <f ca="1">IF(ROW()&lt;=Results!$C$1+1,INDEX(Data!$A:$A,CEILING((COUNTA(Data!$A:$A)-1)*RAND()+1,1)),"")</f>
        <v/>
      </c>
      <c r="B466" s="1" t="str">
        <f>IF(ROW()&lt;=Results!$C$1+1,VLOOKUP($A466,Data!$A$2:$C$117,2,TRUE),"")</f>
        <v/>
      </c>
      <c r="C466" s="14" t="str">
        <f>IF(ROW()&lt;=Results!$C$1+1,IF(B466&lt;=0,"",LN(B466)),"")</f>
        <v/>
      </c>
      <c r="D466" s="58" t="str">
        <f ca="1">IF(Results!$S$5,A466,IF(ROW()&lt;=Results!$C$1+1,INDEX(Data!$A:$A,CEILING((COUNTA(Data!$A:$A)-1)*RAND()+1,1)),""))</f>
        <v/>
      </c>
      <c r="E466" s="1" t="str">
        <f>IF(ROW()&lt;=Results!$C$1+1,VLOOKUP($D466,Data!$A$2:$C$117,3,TRUE),"")</f>
        <v/>
      </c>
      <c r="F466" s="14" t="str">
        <f>IF(ROW()&lt;=Results!$C$1+1,IF(E466&lt;=0,"",LN(E466)),"")</f>
        <v/>
      </c>
      <c r="G466" s="53" t="str">
        <f>IF(ROW()&lt;=Results!$C$1+1,IF(ISERROR(C466-F466),"",C466-F466),"")</f>
        <v/>
      </c>
    </row>
    <row r="467" spans="1:7" x14ac:dyDescent="0.25">
      <c r="A467" s="1" t="str">
        <f ca="1">IF(ROW()&lt;=Results!$C$1+1,INDEX(Data!$A:$A,CEILING((COUNTA(Data!$A:$A)-1)*RAND()+1,1)),"")</f>
        <v/>
      </c>
      <c r="B467" s="1" t="str">
        <f>IF(ROW()&lt;=Results!$C$1+1,VLOOKUP($A467,Data!$A$2:$C$117,2,TRUE),"")</f>
        <v/>
      </c>
      <c r="C467" s="14" t="str">
        <f>IF(ROW()&lt;=Results!$C$1+1,IF(B467&lt;=0,"",LN(B467)),"")</f>
        <v/>
      </c>
      <c r="D467" s="58" t="str">
        <f ca="1">IF(Results!$S$5,A467,IF(ROW()&lt;=Results!$C$1+1,INDEX(Data!$A:$A,CEILING((COUNTA(Data!$A:$A)-1)*RAND()+1,1)),""))</f>
        <v/>
      </c>
      <c r="E467" s="1" t="str">
        <f>IF(ROW()&lt;=Results!$C$1+1,VLOOKUP($D467,Data!$A$2:$C$117,3,TRUE),"")</f>
        <v/>
      </c>
      <c r="F467" s="14" t="str">
        <f>IF(ROW()&lt;=Results!$C$1+1,IF(E467&lt;=0,"",LN(E467)),"")</f>
        <v/>
      </c>
      <c r="G467" s="53" t="str">
        <f>IF(ROW()&lt;=Results!$C$1+1,IF(ISERROR(C467-F467),"",C467-F467),"")</f>
        <v/>
      </c>
    </row>
    <row r="468" spans="1:7" x14ac:dyDescent="0.25">
      <c r="A468" s="1" t="str">
        <f ca="1">IF(ROW()&lt;=Results!$C$1+1,INDEX(Data!$A:$A,CEILING((COUNTA(Data!$A:$A)-1)*RAND()+1,1)),"")</f>
        <v/>
      </c>
      <c r="B468" s="1" t="str">
        <f>IF(ROW()&lt;=Results!$C$1+1,VLOOKUP($A468,Data!$A$2:$C$117,2,TRUE),"")</f>
        <v/>
      </c>
      <c r="C468" s="14" t="str">
        <f>IF(ROW()&lt;=Results!$C$1+1,IF(B468&lt;=0,"",LN(B468)),"")</f>
        <v/>
      </c>
      <c r="D468" s="58" t="str">
        <f ca="1">IF(Results!$S$5,A468,IF(ROW()&lt;=Results!$C$1+1,INDEX(Data!$A:$A,CEILING((COUNTA(Data!$A:$A)-1)*RAND()+1,1)),""))</f>
        <v/>
      </c>
      <c r="E468" s="1" t="str">
        <f>IF(ROW()&lt;=Results!$C$1+1,VLOOKUP($D468,Data!$A$2:$C$117,3,TRUE),"")</f>
        <v/>
      </c>
      <c r="F468" s="14" t="str">
        <f>IF(ROW()&lt;=Results!$C$1+1,IF(E468&lt;=0,"",LN(E468)),"")</f>
        <v/>
      </c>
      <c r="G468" s="53" t="str">
        <f>IF(ROW()&lt;=Results!$C$1+1,IF(ISERROR(C468-F468),"",C468-F468),"")</f>
        <v/>
      </c>
    </row>
    <row r="469" spans="1:7" x14ac:dyDescent="0.25">
      <c r="A469" s="1" t="str">
        <f ca="1">IF(ROW()&lt;=Results!$C$1+1,INDEX(Data!$A:$A,CEILING((COUNTA(Data!$A:$A)-1)*RAND()+1,1)),"")</f>
        <v/>
      </c>
      <c r="B469" s="1" t="str">
        <f>IF(ROW()&lt;=Results!$C$1+1,VLOOKUP($A469,Data!$A$2:$C$117,2,TRUE),"")</f>
        <v/>
      </c>
      <c r="C469" s="14" t="str">
        <f>IF(ROW()&lt;=Results!$C$1+1,IF(B469&lt;=0,"",LN(B469)),"")</f>
        <v/>
      </c>
      <c r="D469" s="58" t="str">
        <f ca="1">IF(Results!$S$5,A469,IF(ROW()&lt;=Results!$C$1+1,INDEX(Data!$A:$A,CEILING((COUNTA(Data!$A:$A)-1)*RAND()+1,1)),""))</f>
        <v/>
      </c>
      <c r="E469" s="1" t="str">
        <f>IF(ROW()&lt;=Results!$C$1+1,VLOOKUP($D469,Data!$A$2:$C$117,3,TRUE),"")</f>
        <v/>
      </c>
      <c r="F469" s="14" t="str">
        <f>IF(ROW()&lt;=Results!$C$1+1,IF(E469&lt;=0,"",LN(E469)),"")</f>
        <v/>
      </c>
      <c r="G469" s="53" t="str">
        <f>IF(ROW()&lt;=Results!$C$1+1,IF(ISERROR(C469-F469),"",C469-F469),"")</f>
        <v/>
      </c>
    </row>
    <row r="470" spans="1:7" x14ac:dyDescent="0.25">
      <c r="A470" s="1" t="str">
        <f ca="1">IF(ROW()&lt;=Results!$C$1+1,INDEX(Data!$A:$A,CEILING((COUNTA(Data!$A:$A)-1)*RAND()+1,1)),"")</f>
        <v/>
      </c>
      <c r="B470" s="1" t="str">
        <f>IF(ROW()&lt;=Results!$C$1+1,VLOOKUP($A470,Data!$A$2:$C$117,2,TRUE),"")</f>
        <v/>
      </c>
      <c r="C470" s="14" t="str">
        <f>IF(ROW()&lt;=Results!$C$1+1,IF(B470&lt;=0,"",LN(B470)),"")</f>
        <v/>
      </c>
      <c r="D470" s="58" t="str">
        <f ca="1">IF(Results!$S$5,A470,IF(ROW()&lt;=Results!$C$1+1,INDEX(Data!$A:$A,CEILING((COUNTA(Data!$A:$A)-1)*RAND()+1,1)),""))</f>
        <v/>
      </c>
      <c r="E470" s="1" t="str">
        <f>IF(ROW()&lt;=Results!$C$1+1,VLOOKUP($D470,Data!$A$2:$C$117,3,TRUE),"")</f>
        <v/>
      </c>
      <c r="F470" s="14" t="str">
        <f>IF(ROW()&lt;=Results!$C$1+1,IF(E470&lt;=0,"",LN(E470)),"")</f>
        <v/>
      </c>
      <c r="G470" s="53" t="str">
        <f>IF(ROW()&lt;=Results!$C$1+1,IF(ISERROR(C470-F470),"",C470-F470),"")</f>
        <v/>
      </c>
    </row>
    <row r="471" spans="1:7" x14ac:dyDescent="0.25">
      <c r="A471" s="1" t="str">
        <f ca="1">IF(ROW()&lt;=Results!$C$1+1,INDEX(Data!$A:$A,CEILING((COUNTA(Data!$A:$A)-1)*RAND()+1,1)),"")</f>
        <v/>
      </c>
      <c r="B471" s="1" t="str">
        <f>IF(ROW()&lt;=Results!$C$1+1,VLOOKUP($A471,Data!$A$2:$C$117,2,TRUE),"")</f>
        <v/>
      </c>
      <c r="C471" s="14" t="str">
        <f>IF(ROW()&lt;=Results!$C$1+1,IF(B471&lt;=0,"",LN(B471)),"")</f>
        <v/>
      </c>
      <c r="D471" s="58" t="str">
        <f ca="1">IF(Results!$S$5,A471,IF(ROW()&lt;=Results!$C$1+1,INDEX(Data!$A:$A,CEILING((COUNTA(Data!$A:$A)-1)*RAND()+1,1)),""))</f>
        <v/>
      </c>
      <c r="E471" s="1" t="str">
        <f>IF(ROW()&lt;=Results!$C$1+1,VLOOKUP($D471,Data!$A$2:$C$117,3,TRUE),"")</f>
        <v/>
      </c>
      <c r="F471" s="14" t="str">
        <f>IF(ROW()&lt;=Results!$C$1+1,IF(E471&lt;=0,"",LN(E471)),"")</f>
        <v/>
      </c>
      <c r="G471" s="53" t="str">
        <f>IF(ROW()&lt;=Results!$C$1+1,IF(ISERROR(C471-F471),"",C471-F471),"")</f>
        <v/>
      </c>
    </row>
    <row r="472" spans="1:7" x14ac:dyDescent="0.25">
      <c r="A472" s="1" t="str">
        <f ca="1">IF(ROW()&lt;=Results!$C$1+1,INDEX(Data!$A:$A,CEILING((COUNTA(Data!$A:$A)-1)*RAND()+1,1)),"")</f>
        <v/>
      </c>
      <c r="B472" s="1" t="str">
        <f>IF(ROW()&lt;=Results!$C$1+1,VLOOKUP($A472,Data!$A$2:$C$117,2,TRUE),"")</f>
        <v/>
      </c>
      <c r="C472" s="14" t="str">
        <f>IF(ROW()&lt;=Results!$C$1+1,IF(B472&lt;=0,"",LN(B472)),"")</f>
        <v/>
      </c>
      <c r="D472" s="58" t="str">
        <f ca="1">IF(Results!$S$5,A472,IF(ROW()&lt;=Results!$C$1+1,INDEX(Data!$A:$A,CEILING((COUNTA(Data!$A:$A)-1)*RAND()+1,1)),""))</f>
        <v/>
      </c>
      <c r="E472" s="1" t="str">
        <f>IF(ROW()&lt;=Results!$C$1+1,VLOOKUP($D472,Data!$A$2:$C$117,3,TRUE),"")</f>
        <v/>
      </c>
      <c r="F472" s="14" t="str">
        <f>IF(ROW()&lt;=Results!$C$1+1,IF(E472&lt;=0,"",LN(E472)),"")</f>
        <v/>
      </c>
      <c r="G472" s="53" t="str">
        <f>IF(ROW()&lt;=Results!$C$1+1,IF(ISERROR(C472-F472),"",C472-F472),"")</f>
        <v/>
      </c>
    </row>
    <row r="473" spans="1:7" x14ac:dyDescent="0.25">
      <c r="A473" s="1" t="str">
        <f ca="1">IF(ROW()&lt;=Results!$C$1+1,INDEX(Data!$A:$A,CEILING((COUNTA(Data!$A:$A)-1)*RAND()+1,1)),"")</f>
        <v/>
      </c>
      <c r="B473" s="1" t="str">
        <f>IF(ROW()&lt;=Results!$C$1+1,VLOOKUP($A473,Data!$A$2:$C$117,2,TRUE),"")</f>
        <v/>
      </c>
      <c r="C473" s="14" t="str">
        <f>IF(ROW()&lt;=Results!$C$1+1,IF(B473&lt;=0,"",LN(B473)),"")</f>
        <v/>
      </c>
      <c r="D473" s="58" t="str">
        <f ca="1">IF(Results!$S$5,A473,IF(ROW()&lt;=Results!$C$1+1,INDEX(Data!$A:$A,CEILING((COUNTA(Data!$A:$A)-1)*RAND()+1,1)),""))</f>
        <v/>
      </c>
      <c r="E473" s="1" t="str">
        <f>IF(ROW()&lt;=Results!$C$1+1,VLOOKUP($D473,Data!$A$2:$C$117,3,TRUE),"")</f>
        <v/>
      </c>
      <c r="F473" s="14" t="str">
        <f>IF(ROW()&lt;=Results!$C$1+1,IF(E473&lt;=0,"",LN(E473)),"")</f>
        <v/>
      </c>
      <c r="G473" s="53" t="str">
        <f>IF(ROW()&lt;=Results!$C$1+1,IF(ISERROR(C473-F473),"",C473-F473),"")</f>
        <v/>
      </c>
    </row>
    <row r="474" spans="1:7" x14ac:dyDescent="0.25">
      <c r="A474" s="1" t="str">
        <f ca="1">IF(ROW()&lt;=Results!$C$1+1,INDEX(Data!$A:$A,CEILING((COUNTA(Data!$A:$A)-1)*RAND()+1,1)),"")</f>
        <v/>
      </c>
      <c r="B474" s="1" t="str">
        <f>IF(ROW()&lt;=Results!$C$1+1,VLOOKUP($A474,Data!$A$2:$C$117,2,TRUE),"")</f>
        <v/>
      </c>
      <c r="C474" s="14" t="str">
        <f>IF(ROW()&lt;=Results!$C$1+1,IF(B474&lt;=0,"",LN(B474)),"")</f>
        <v/>
      </c>
      <c r="D474" s="58" t="str">
        <f ca="1">IF(Results!$S$5,A474,IF(ROW()&lt;=Results!$C$1+1,INDEX(Data!$A:$A,CEILING((COUNTA(Data!$A:$A)-1)*RAND()+1,1)),""))</f>
        <v/>
      </c>
      <c r="E474" s="1" t="str">
        <f>IF(ROW()&lt;=Results!$C$1+1,VLOOKUP($D474,Data!$A$2:$C$117,3,TRUE),"")</f>
        <v/>
      </c>
      <c r="F474" s="14" t="str">
        <f>IF(ROW()&lt;=Results!$C$1+1,IF(E474&lt;=0,"",LN(E474)),"")</f>
        <v/>
      </c>
      <c r="G474" s="53" t="str">
        <f>IF(ROW()&lt;=Results!$C$1+1,IF(ISERROR(C474-F474),"",C474-F474),"")</f>
        <v/>
      </c>
    </row>
    <row r="475" spans="1:7" x14ac:dyDescent="0.25">
      <c r="A475" s="1" t="str">
        <f ca="1">IF(ROW()&lt;=Results!$C$1+1,INDEX(Data!$A:$A,CEILING((COUNTA(Data!$A:$A)-1)*RAND()+1,1)),"")</f>
        <v/>
      </c>
      <c r="B475" s="1" t="str">
        <f>IF(ROW()&lt;=Results!$C$1+1,VLOOKUP($A475,Data!$A$2:$C$117,2,TRUE),"")</f>
        <v/>
      </c>
      <c r="C475" s="14" t="str">
        <f>IF(ROW()&lt;=Results!$C$1+1,IF(B475&lt;=0,"",LN(B475)),"")</f>
        <v/>
      </c>
      <c r="D475" s="58" t="str">
        <f ca="1">IF(Results!$S$5,A475,IF(ROW()&lt;=Results!$C$1+1,INDEX(Data!$A:$A,CEILING((COUNTA(Data!$A:$A)-1)*RAND()+1,1)),""))</f>
        <v/>
      </c>
      <c r="E475" s="1" t="str">
        <f>IF(ROW()&lt;=Results!$C$1+1,VLOOKUP($D475,Data!$A$2:$C$117,3,TRUE),"")</f>
        <v/>
      </c>
      <c r="F475" s="14" t="str">
        <f>IF(ROW()&lt;=Results!$C$1+1,IF(E475&lt;=0,"",LN(E475)),"")</f>
        <v/>
      </c>
      <c r="G475" s="53" t="str">
        <f>IF(ROW()&lt;=Results!$C$1+1,IF(ISERROR(C475-F475),"",C475-F475),"")</f>
        <v/>
      </c>
    </row>
    <row r="476" spans="1:7" x14ac:dyDescent="0.25">
      <c r="A476" s="1" t="str">
        <f ca="1">IF(ROW()&lt;=Results!$C$1+1,INDEX(Data!$A:$A,CEILING((COUNTA(Data!$A:$A)-1)*RAND()+1,1)),"")</f>
        <v/>
      </c>
      <c r="B476" s="1" t="str">
        <f>IF(ROW()&lt;=Results!$C$1+1,VLOOKUP($A476,Data!$A$2:$C$117,2,TRUE),"")</f>
        <v/>
      </c>
      <c r="C476" s="14" t="str">
        <f>IF(ROW()&lt;=Results!$C$1+1,IF(B476&lt;=0,"",LN(B476)),"")</f>
        <v/>
      </c>
      <c r="D476" s="58" t="str">
        <f ca="1">IF(Results!$S$5,A476,IF(ROW()&lt;=Results!$C$1+1,INDEX(Data!$A:$A,CEILING((COUNTA(Data!$A:$A)-1)*RAND()+1,1)),""))</f>
        <v/>
      </c>
      <c r="E476" s="1" t="str">
        <f>IF(ROW()&lt;=Results!$C$1+1,VLOOKUP($D476,Data!$A$2:$C$117,3,TRUE),"")</f>
        <v/>
      </c>
      <c r="F476" s="14" t="str">
        <f>IF(ROW()&lt;=Results!$C$1+1,IF(E476&lt;=0,"",LN(E476)),"")</f>
        <v/>
      </c>
      <c r="G476" s="53" t="str">
        <f>IF(ROW()&lt;=Results!$C$1+1,IF(ISERROR(C476-F476),"",C476-F476),"")</f>
        <v/>
      </c>
    </row>
    <row r="477" spans="1:7" x14ac:dyDescent="0.25">
      <c r="A477" s="1" t="str">
        <f ca="1">IF(ROW()&lt;=Results!$C$1+1,INDEX(Data!$A:$A,CEILING((COUNTA(Data!$A:$A)-1)*RAND()+1,1)),"")</f>
        <v/>
      </c>
      <c r="B477" s="1" t="str">
        <f>IF(ROW()&lt;=Results!$C$1+1,VLOOKUP($A477,Data!$A$2:$C$117,2,TRUE),"")</f>
        <v/>
      </c>
      <c r="C477" s="14" t="str">
        <f>IF(ROW()&lt;=Results!$C$1+1,IF(B477&lt;=0,"",LN(B477)),"")</f>
        <v/>
      </c>
      <c r="D477" s="58" t="str">
        <f ca="1">IF(Results!$S$5,A477,IF(ROW()&lt;=Results!$C$1+1,INDEX(Data!$A:$A,CEILING((COUNTA(Data!$A:$A)-1)*RAND()+1,1)),""))</f>
        <v/>
      </c>
      <c r="E477" s="1" t="str">
        <f>IF(ROW()&lt;=Results!$C$1+1,VLOOKUP($D477,Data!$A$2:$C$117,3,TRUE),"")</f>
        <v/>
      </c>
      <c r="F477" s="14" t="str">
        <f>IF(ROW()&lt;=Results!$C$1+1,IF(E477&lt;=0,"",LN(E477)),"")</f>
        <v/>
      </c>
      <c r="G477" s="53" t="str">
        <f>IF(ROW()&lt;=Results!$C$1+1,IF(ISERROR(C477-F477),"",C477-F477),"")</f>
        <v/>
      </c>
    </row>
    <row r="478" spans="1:7" x14ac:dyDescent="0.25">
      <c r="A478" s="1" t="str">
        <f ca="1">IF(ROW()&lt;=Results!$C$1+1,INDEX(Data!$A:$A,CEILING((COUNTA(Data!$A:$A)-1)*RAND()+1,1)),"")</f>
        <v/>
      </c>
      <c r="B478" s="1" t="str">
        <f>IF(ROW()&lt;=Results!$C$1+1,VLOOKUP($A478,Data!$A$2:$C$117,2,TRUE),"")</f>
        <v/>
      </c>
      <c r="C478" s="14" t="str">
        <f>IF(ROW()&lt;=Results!$C$1+1,IF(B478&lt;=0,"",LN(B478)),"")</f>
        <v/>
      </c>
      <c r="D478" s="58" t="str">
        <f ca="1">IF(Results!$S$5,A478,IF(ROW()&lt;=Results!$C$1+1,INDEX(Data!$A:$A,CEILING((COUNTA(Data!$A:$A)-1)*RAND()+1,1)),""))</f>
        <v/>
      </c>
      <c r="E478" s="1" t="str">
        <f>IF(ROW()&lt;=Results!$C$1+1,VLOOKUP($D478,Data!$A$2:$C$117,3,TRUE),"")</f>
        <v/>
      </c>
      <c r="F478" s="14" t="str">
        <f>IF(ROW()&lt;=Results!$C$1+1,IF(E478&lt;=0,"",LN(E478)),"")</f>
        <v/>
      </c>
      <c r="G478" s="53" t="str">
        <f>IF(ROW()&lt;=Results!$C$1+1,IF(ISERROR(C478-F478),"",C478-F478),"")</f>
        <v/>
      </c>
    </row>
    <row r="479" spans="1:7" x14ac:dyDescent="0.25">
      <c r="A479" s="1" t="str">
        <f ca="1">IF(ROW()&lt;=Results!$C$1+1,INDEX(Data!$A:$A,CEILING((COUNTA(Data!$A:$A)-1)*RAND()+1,1)),"")</f>
        <v/>
      </c>
      <c r="B479" s="1" t="str">
        <f>IF(ROW()&lt;=Results!$C$1+1,VLOOKUP($A479,Data!$A$2:$C$117,2,TRUE),"")</f>
        <v/>
      </c>
      <c r="C479" s="14" t="str">
        <f>IF(ROW()&lt;=Results!$C$1+1,IF(B479&lt;=0,"",LN(B479)),"")</f>
        <v/>
      </c>
      <c r="D479" s="58" t="str">
        <f ca="1">IF(Results!$S$5,A479,IF(ROW()&lt;=Results!$C$1+1,INDEX(Data!$A:$A,CEILING((COUNTA(Data!$A:$A)-1)*RAND()+1,1)),""))</f>
        <v/>
      </c>
      <c r="E479" s="1" t="str">
        <f>IF(ROW()&lt;=Results!$C$1+1,VLOOKUP($D479,Data!$A$2:$C$117,3,TRUE),"")</f>
        <v/>
      </c>
      <c r="F479" s="14" t="str">
        <f>IF(ROW()&lt;=Results!$C$1+1,IF(E479&lt;=0,"",LN(E479)),"")</f>
        <v/>
      </c>
      <c r="G479" s="53" t="str">
        <f>IF(ROW()&lt;=Results!$C$1+1,IF(ISERROR(C479-F479),"",C479-F479),"")</f>
        <v/>
      </c>
    </row>
    <row r="480" spans="1:7" x14ac:dyDescent="0.25">
      <c r="A480" s="1" t="str">
        <f ca="1">IF(ROW()&lt;=Results!$C$1+1,INDEX(Data!$A:$A,CEILING((COUNTA(Data!$A:$A)-1)*RAND()+1,1)),"")</f>
        <v/>
      </c>
      <c r="B480" s="1" t="str">
        <f>IF(ROW()&lt;=Results!$C$1+1,VLOOKUP($A480,Data!$A$2:$C$117,2,TRUE),"")</f>
        <v/>
      </c>
      <c r="C480" s="14" t="str">
        <f>IF(ROW()&lt;=Results!$C$1+1,IF(B480&lt;=0,"",LN(B480)),"")</f>
        <v/>
      </c>
      <c r="D480" s="58" t="str">
        <f ca="1">IF(Results!$S$5,A480,IF(ROW()&lt;=Results!$C$1+1,INDEX(Data!$A:$A,CEILING((COUNTA(Data!$A:$A)-1)*RAND()+1,1)),""))</f>
        <v/>
      </c>
      <c r="E480" s="1" t="str">
        <f>IF(ROW()&lt;=Results!$C$1+1,VLOOKUP($D480,Data!$A$2:$C$117,3,TRUE),"")</f>
        <v/>
      </c>
      <c r="F480" s="14" t="str">
        <f>IF(ROW()&lt;=Results!$C$1+1,IF(E480&lt;=0,"",LN(E480)),"")</f>
        <v/>
      </c>
      <c r="G480" s="53" t="str">
        <f>IF(ROW()&lt;=Results!$C$1+1,IF(ISERROR(C480-F480),"",C480-F480),"")</f>
        <v/>
      </c>
    </row>
    <row r="481" spans="1:7" x14ac:dyDescent="0.25">
      <c r="A481" s="1" t="str">
        <f ca="1">IF(ROW()&lt;=Results!$C$1+1,INDEX(Data!$A:$A,CEILING((COUNTA(Data!$A:$A)-1)*RAND()+1,1)),"")</f>
        <v/>
      </c>
      <c r="B481" s="1" t="str">
        <f>IF(ROW()&lt;=Results!$C$1+1,VLOOKUP($A481,Data!$A$2:$C$117,2,TRUE),"")</f>
        <v/>
      </c>
      <c r="C481" s="14" t="str">
        <f>IF(ROW()&lt;=Results!$C$1+1,IF(B481&lt;=0,"",LN(B481)),"")</f>
        <v/>
      </c>
      <c r="D481" s="58" t="str">
        <f ca="1">IF(Results!$S$5,A481,IF(ROW()&lt;=Results!$C$1+1,INDEX(Data!$A:$A,CEILING((COUNTA(Data!$A:$A)-1)*RAND()+1,1)),""))</f>
        <v/>
      </c>
      <c r="E481" s="1" t="str">
        <f>IF(ROW()&lt;=Results!$C$1+1,VLOOKUP($D481,Data!$A$2:$C$117,3,TRUE),"")</f>
        <v/>
      </c>
      <c r="F481" s="14" t="str">
        <f>IF(ROW()&lt;=Results!$C$1+1,IF(E481&lt;=0,"",LN(E481)),"")</f>
        <v/>
      </c>
      <c r="G481" s="53" t="str">
        <f>IF(ROW()&lt;=Results!$C$1+1,IF(ISERROR(C481-F481),"",C481-F481),"")</f>
        <v/>
      </c>
    </row>
    <row r="482" spans="1:7" x14ac:dyDescent="0.25">
      <c r="A482" s="1" t="str">
        <f ca="1">IF(ROW()&lt;=Results!$C$1+1,INDEX(Data!$A:$A,CEILING((COUNTA(Data!$A:$A)-1)*RAND()+1,1)),"")</f>
        <v/>
      </c>
      <c r="B482" s="1" t="str">
        <f>IF(ROW()&lt;=Results!$C$1+1,VLOOKUP($A482,Data!$A$2:$C$117,2,TRUE),"")</f>
        <v/>
      </c>
      <c r="C482" s="14" t="str">
        <f>IF(ROW()&lt;=Results!$C$1+1,IF(B482&lt;=0,"",LN(B482)),"")</f>
        <v/>
      </c>
      <c r="D482" s="58" t="str">
        <f ca="1">IF(Results!$S$5,A482,IF(ROW()&lt;=Results!$C$1+1,INDEX(Data!$A:$A,CEILING((COUNTA(Data!$A:$A)-1)*RAND()+1,1)),""))</f>
        <v/>
      </c>
      <c r="E482" s="1" t="str">
        <f>IF(ROW()&lt;=Results!$C$1+1,VLOOKUP($D482,Data!$A$2:$C$117,3,TRUE),"")</f>
        <v/>
      </c>
      <c r="F482" s="14" t="str">
        <f>IF(ROW()&lt;=Results!$C$1+1,IF(E482&lt;=0,"",LN(E482)),"")</f>
        <v/>
      </c>
      <c r="G482" s="53" t="str">
        <f>IF(ROW()&lt;=Results!$C$1+1,IF(ISERROR(C482-F482),"",C482-F482),"")</f>
        <v/>
      </c>
    </row>
    <row r="483" spans="1:7" x14ac:dyDescent="0.25">
      <c r="A483" s="1" t="str">
        <f ca="1">IF(ROW()&lt;=Results!$C$1+1,INDEX(Data!$A:$A,CEILING((COUNTA(Data!$A:$A)-1)*RAND()+1,1)),"")</f>
        <v/>
      </c>
      <c r="B483" s="1" t="str">
        <f>IF(ROW()&lt;=Results!$C$1+1,VLOOKUP($A483,Data!$A$2:$C$117,2,TRUE),"")</f>
        <v/>
      </c>
      <c r="C483" s="14" t="str">
        <f>IF(ROW()&lt;=Results!$C$1+1,IF(B483&lt;=0,"",LN(B483)),"")</f>
        <v/>
      </c>
      <c r="D483" s="58" t="str">
        <f ca="1">IF(Results!$S$5,A483,IF(ROW()&lt;=Results!$C$1+1,INDEX(Data!$A:$A,CEILING((COUNTA(Data!$A:$A)-1)*RAND()+1,1)),""))</f>
        <v/>
      </c>
      <c r="E483" s="1" t="str">
        <f>IF(ROW()&lt;=Results!$C$1+1,VLOOKUP($D483,Data!$A$2:$C$117,3,TRUE),"")</f>
        <v/>
      </c>
      <c r="F483" s="14" t="str">
        <f>IF(ROW()&lt;=Results!$C$1+1,IF(E483&lt;=0,"",LN(E483)),"")</f>
        <v/>
      </c>
      <c r="G483" s="53" t="str">
        <f>IF(ROW()&lt;=Results!$C$1+1,IF(ISERROR(C483-F483),"",C483-F483),"")</f>
        <v/>
      </c>
    </row>
    <row r="484" spans="1:7" x14ac:dyDescent="0.25">
      <c r="A484" s="1" t="str">
        <f ca="1">IF(ROW()&lt;=Results!$C$1+1,INDEX(Data!$A:$A,CEILING((COUNTA(Data!$A:$A)-1)*RAND()+1,1)),"")</f>
        <v/>
      </c>
      <c r="B484" s="1" t="str">
        <f>IF(ROW()&lt;=Results!$C$1+1,VLOOKUP($A484,Data!$A$2:$C$117,2,TRUE),"")</f>
        <v/>
      </c>
      <c r="C484" s="14" t="str">
        <f>IF(ROW()&lt;=Results!$C$1+1,IF(B484&lt;=0,"",LN(B484)),"")</f>
        <v/>
      </c>
      <c r="D484" s="58" t="str">
        <f ca="1">IF(Results!$S$5,A484,IF(ROW()&lt;=Results!$C$1+1,INDEX(Data!$A:$A,CEILING((COUNTA(Data!$A:$A)-1)*RAND()+1,1)),""))</f>
        <v/>
      </c>
      <c r="E484" s="1" t="str">
        <f>IF(ROW()&lt;=Results!$C$1+1,VLOOKUP($D484,Data!$A$2:$C$117,3,TRUE),"")</f>
        <v/>
      </c>
      <c r="F484" s="14" t="str">
        <f>IF(ROW()&lt;=Results!$C$1+1,IF(E484&lt;=0,"",LN(E484)),"")</f>
        <v/>
      </c>
      <c r="G484" s="53" t="str">
        <f>IF(ROW()&lt;=Results!$C$1+1,IF(ISERROR(C484-F484),"",C484-F484),"")</f>
        <v/>
      </c>
    </row>
    <row r="485" spans="1:7" x14ac:dyDescent="0.25">
      <c r="A485" s="1" t="str">
        <f ca="1">IF(ROW()&lt;=Results!$C$1+1,INDEX(Data!$A:$A,CEILING((COUNTA(Data!$A:$A)-1)*RAND()+1,1)),"")</f>
        <v/>
      </c>
      <c r="B485" s="1" t="str">
        <f>IF(ROW()&lt;=Results!$C$1+1,VLOOKUP($A485,Data!$A$2:$C$117,2,TRUE),"")</f>
        <v/>
      </c>
      <c r="C485" s="14" t="str">
        <f>IF(ROW()&lt;=Results!$C$1+1,IF(B485&lt;=0,"",LN(B485)),"")</f>
        <v/>
      </c>
      <c r="D485" s="58" t="str">
        <f ca="1">IF(Results!$S$5,A485,IF(ROW()&lt;=Results!$C$1+1,INDEX(Data!$A:$A,CEILING((COUNTA(Data!$A:$A)-1)*RAND()+1,1)),""))</f>
        <v/>
      </c>
      <c r="E485" s="1" t="str">
        <f>IF(ROW()&lt;=Results!$C$1+1,VLOOKUP($D485,Data!$A$2:$C$117,3,TRUE),"")</f>
        <v/>
      </c>
      <c r="F485" s="14" t="str">
        <f>IF(ROW()&lt;=Results!$C$1+1,IF(E485&lt;=0,"",LN(E485)),"")</f>
        <v/>
      </c>
      <c r="G485" s="53" t="str">
        <f>IF(ROW()&lt;=Results!$C$1+1,IF(ISERROR(C485-F485),"",C485-F485),"")</f>
        <v/>
      </c>
    </row>
    <row r="486" spans="1:7" x14ac:dyDescent="0.25">
      <c r="A486" s="1" t="str">
        <f ca="1">IF(ROW()&lt;=Results!$C$1+1,INDEX(Data!$A:$A,CEILING((COUNTA(Data!$A:$A)-1)*RAND()+1,1)),"")</f>
        <v/>
      </c>
      <c r="B486" s="1" t="str">
        <f>IF(ROW()&lt;=Results!$C$1+1,VLOOKUP($A486,Data!$A$2:$C$117,2,TRUE),"")</f>
        <v/>
      </c>
      <c r="C486" s="14" t="str">
        <f>IF(ROW()&lt;=Results!$C$1+1,IF(B486&lt;=0,"",LN(B486)),"")</f>
        <v/>
      </c>
      <c r="D486" s="58" t="str">
        <f ca="1">IF(Results!$S$5,A486,IF(ROW()&lt;=Results!$C$1+1,INDEX(Data!$A:$A,CEILING((COUNTA(Data!$A:$A)-1)*RAND()+1,1)),""))</f>
        <v/>
      </c>
      <c r="E486" s="1" t="str">
        <f>IF(ROW()&lt;=Results!$C$1+1,VLOOKUP($D486,Data!$A$2:$C$117,3,TRUE),"")</f>
        <v/>
      </c>
      <c r="F486" s="14" t="str">
        <f>IF(ROW()&lt;=Results!$C$1+1,IF(E486&lt;=0,"",LN(E486)),"")</f>
        <v/>
      </c>
      <c r="G486" s="53" t="str">
        <f>IF(ROW()&lt;=Results!$C$1+1,IF(ISERROR(C486-F486),"",C486-F486),"")</f>
        <v/>
      </c>
    </row>
    <row r="487" spans="1:7" x14ac:dyDescent="0.25">
      <c r="A487" s="1" t="str">
        <f ca="1">IF(ROW()&lt;=Results!$C$1+1,INDEX(Data!$A:$A,CEILING((COUNTA(Data!$A:$A)-1)*RAND()+1,1)),"")</f>
        <v/>
      </c>
      <c r="B487" s="1" t="str">
        <f>IF(ROW()&lt;=Results!$C$1+1,VLOOKUP($A487,Data!$A$2:$C$117,2,TRUE),"")</f>
        <v/>
      </c>
      <c r="C487" s="14" t="str">
        <f>IF(ROW()&lt;=Results!$C$1+1,IF(B487&lt;=0,"",LN(B487)),"")</f>
        <v/>
      </c>
      <c r="D487" s="58" t="str">
        <f ca="1">IF(Results!$S$5,A487,IF(ROW()&lt;=Results!$C$1+1,INDEX(Data!$A:$A,CEILING((COUNTA(Data!$A:$A)-1)*RAND()+1,1)),""))</f>
        <v/>
      </c>
      <c r="E487" s="1" t="str">
        <f>IF(ROW()&lt;=Results!$C$1+1,VLOOKUP($D487,Data!$A$2:$C$117,3,TRUE),"")</f>
        <v/>
      </c>
      <c r="F487" s="14" t="str">
        <f>IF(ROW()&lt;=Results!$C$1+1,IF(E487&lt;=0,"",LN(E487)),"")</f>
        <v/>
      </c>
      <c r="G487" s="53" t="str">
        <f>IF(ROW()&lt;=Results!$C$1+1,IF(ISERROR(C487-F487),"",C487-F487),"")</f>
        <v/>
      </c>
    </row>
    <row r="488" spans="1:7" x14ac:dyDescent="0.25">
      <c r="A488" s="1" t="str">
        <f ca="1">IF(ROW()&lt;=Results!$C$1+1,INDEX(Data!$A:$A,CEILING((COUNTA(Data!$A:$A)-1)*RAND()+1,1)),"")</f>
        <v/>
      </c>
      <c r="B488" s="1" t="str">
        <f>IF(ROW()&lt;=Results!$C$1+1,VLOOKUP($A488,Data!$A$2:$C$117,2,TRUE),"")</f>
        <v/>
      </c>
      <c r="C488" s="14" t="str">
        <f>IF(ROW()&lt;=Results!$C$1+1,IF(B488&lt;=0,"",LN(B488)),"")</f>
        <v/>
      </c>
      <c r="D488" s="58" t="str">
        <f ca="1">IF(Results!$S$5,A488,IF(ROW()&lt;=Results!$C$1+1,INDEX(Data!$A:$A,CEILING((COUNTA(Data!$A:$A)-1)*RAND()+1,1)),""))</f>
        <v/>
      </c>
      <c r="E488" s="1" t="str">
        <f>IF(ROW()&lt;=Results!$C$1+1,VLOOKUP($D488,Data!$A$2:$C$117,3,TRUE),"")</f>
        <v/>
      </c>
      <c r="F488" s="14" t="str">
        <f>IF(ROW()&lt;=Results!$C$1+1,IF(E488&lt;=0,"",LN(E488)),"")</f>
        <v/>
      </c>
      <c r="G488" s="53" t="str">
        <f>IF(ROW()&lt;=Results!$C$1+1,IF(ISERROR(C488-F488),"",C488-F488),"")</f>
        <v/>
      </c>
    </row>
    <row r="489" spans="1:7" x14ac:dyDescent="0.25">
      <c r="A489" s="1" t="str">
        <f ca="1">IF(ROW()&lt;=Results!$C$1+1,INDEX(Data!$A:$A,CEILING((COUNTA(Data!$A:$A)-1)*RAND()+1,1)),"")</f>
        <v/>
      </c>
      <c r="B489" s="1" t="str">
        <f>IF(ROW()&lt;=Results!$C$1+1,VLOOKUP($A489,Data!$A$2:$C$117,2,TRUE),"")</f>
        <v/>
      </c>
      <c r="C489" s="14" t="str">
        <f>IF(ROW()&lt;=Results!$C$1+1,IF(B489&lt;=0,"",LN(B489)),"")</f>
        <v/>
      </c>
      <c r="D489" s="58" t="str">
        <f ca="1">IF(Results!$S$5,A489,IF(ROW()&lt;=Results!$C$1+1,INDEX(Data!$A:$A,CEILING((COUNTA(Data!$A:$A)-1)*RAND()+1,1)),""))</f>
        <v/>
      </c>
      <c r="E489" s="1" t="str">
        <f>IF(ROW()&lt;=Results!$C$1+1,VLOOKUP($D489,Data!$A$2:$C$117,3,TRUE),"")</f>
        <v/>
      </c>
      <c r="F489" s="14" t="str">
        <f>IF(ROW()&lt;=Results!$C$1+1,IF(E489&lt;=0,"",LN(E489)),"")</f>
        <v/>
      </c>
      <c r="G489" s="53" t="str">
        <f>IF(ROW()&lt;=Results!$C$1+1,IF(ISERROR(C489-F489),"",C489-F489),"")</f>
        <v/>
      </c>
    </row>
    <row r="490" spans="1:7" x14ac:dyDescent="0.25">
      <c r="A490" s="1" t="str">
        <f ca="1">IF(ROW()&lt;=Results!$C$1+1,INDEX(Data!$A:$A,CEILING((COUNTA(Data!$A:$A)-1)*RAND()+1,1)),"")</f>
        <v/>
      </c>
      <c r="B490" s="1" t="str">
        <f>IF(ROW()&lt;=Results!$C$1+1,VLOOKUP($A490,Data!$A$2:$C$117,2,TRUE),"")</f>
        <v/>
      </c>
      <c r="C490" s="14" t="str">
        <f>IF(ROW()&lt;=Results!$C$1+1,IF(B490&lt;=0,"",LN(B490)),"")</f>
        <v/>
      </c>
      <c r="D490" s="58" t="str">
        <f ca="1">IF(Results!$S$5,A490,IF(ROW()&lt;=Results!$C$1+1,INDEX(Data!$A:$A,CEILING((COUNTA(Data!$A:$A)-1)*RAND()+1,1)),""))</f>
        <v/>
      </c>
      <c r="E490" s="1" t="str">
        <f>IF(ROW()&lt;=Results!$C$1+1,VLOOKUP($D490,Data!$A$2:$C$117,3,TRUE),"")</f>
        <v/>
      </c>
      <c r="F490" s="14" t="str">
        <f>IF(ROW()&lt;=Results!$C$1+1,IF(E490&lt;=0,"",LN(E490)),"")</f>
        <v/>
      </c>
      <c r="G490" s="53" t="str">
        <f>IF(ROW()&lt;=Results!$C$1+1,IF(ISERROR(C490-F490),"",C490-F490),"")</f>
        <v/>
      </c>
    </row>
    <row r="491" spans="1:7" x14ac:dyDescent="0.25">
      <c r="A491" s="1" t="str">
        <f ca="1">IF(ROW()&lt;=Results!$C$1+1,INDEX(Data!$A:$A,CEILING((COUNTA(Data!$A:$A)-1)*RAND()+1,1)),"")</f>
        <v/>
      </c>
      <c r="B491" s="1" t="str">
        <f>IF(ROW()&lt;=Results!$C$1+1,VLOOKUP($A491,Data!$A$2:$C$117,2,TRUE),"")</f>
        <v/>
      </c>
      <c r="C491" s="14" t="str">
        <f>IF(ROW()&lt;=Results!$C$1+1,IF(B491&lt;=0,"",LN(B491)),"")</f>
        <v/>
      </c>
      <c r="D491" s="58" t="str">
        <f ca="1">IF(Results!$S$5,A491,IF(ROW()&lt;=Results!$C$1+1,INDEX(Data!$A:$A,CEILING((COUNTA(Data!$A:$A)-1)*RAND()+1,1)),""))</f>
        <v/>
      </c>
      <c r="E491" s="1" t="str">
        <f>IF(ROW()&lt;=Results!$C$1+1,VLOOKUP($D491,Data!$A$2:$C$117,3,TRUE),"")</f>
        <v/>
      </c>
      <c r="F491" s="14" t="str">
        <f>IF(ROW()&lt;=Results!$C$1+1,IF(E491&lt;=0,"",LN(E491)),"")</f>
        <v/>
      </c>
      <c r="G491" s="53" t="str">
        <f>IF(ROW()&lt;=Results!$C$1+1,IF(ISERROR(C491-F491),"",C491-F491),"")</f>
        <v/>
      </c>
    </row>
    <row r="492" spans="1:7" x14ac:dyDescent="0.25">
      <c r="A492" s="1" t="str">
        <f ca="1">IF(ROW()&lt;=Results!$C$1+1,INDEX(Data!$A:$A,CEILING((COUNTA(Data!$A:$A)-1)*RAND()+1,1)),"")</f>
        <v/>
      </c>
      <c r="B492" s="1" t="str">
        <f>IF(ROW()&lt;=Results!$C$1+1,VLOOKUP($A492,Data!$A$2:$C$117,2,TRUE),"")</f>
        <v/>
      </c>
      <c r="C492" s="14" t="str">
        <f>IF(ROW()&lt;=Results!$C$1+1,IF(B492&lt;=0,"",LN(B492)),"")</f>
        <v/>
      </c>
      <c r="D492" s="58" t="str">
        <f ca="1">IF(Results!$S$5,A492,IF(ROW()&lt;=Results!$C$1+1,INDEX(Data!$A:$A,CEILING((COUNTA(Data!$A:$A)-1)*RAND()+1,1)),""))</f>
        <v/>
      </c>
      <c r="E492" s="1" t="str">
        <f>IF(ROW()&lt;=Results!$C$1+1,VLOOKUP($D492,Data!$A$2:$C$117,3,TRUE),"")</f>
        <v/>
      </c>
      <c r="F492" s="14" t="str">
        <f>IF(ROW()&lt;=Results!$C$1+1,IF(E492&lt;=0,"",LN(E492)),"")</f>
        <v/>
      </c>
      <c r="G492" s="53" t="str">
        <f>IF(ROW()&lt;=Results!$C$1+1,IF(ISERROR(C492-F492),"",C492-F492),"")</f>
        <v/>
      </c>
    </row>
    <row r="493" spans="1:7" x14ac:dyDescent="0.25">
      <c r="A493" s="1" t="str">
        <f ca="1">IF(ROW()&lt;=Results!$C$1+1,INDEX(Data!$A:$A,CEILING((COUNTA(Data!$A:$A)-1)*RAND()+1,1)),"")</f>
        <v/>
      </c>
      <c r="B493" s="1" t="str">
        <f>IF(ROW()&lt;=Results!$C$1+1,VLOOKUP($A493,Data!$A$2:$C$117,2,TRUE),"")</f>
        <v/>
      </c>
      <c r="C493" s="14" t="str">
        <f>IF(ROW()&lt;=Results!$C$1+1,IF(B493&lt;=0,"",LN(B493)),"")</f>
        <v/>
      </c>
      <c r="D493" s="58" t="str">
        <f ca="1">IF(Results!$S$5,A493,IF(ROW()&lt;=Results!$C$1+1,INDEX(Data!$A:$A,CEILING((COUNTA(Data!$A:$A)-1)*RAND()+1,1)),""))</f>
        <v/>
      </c>
      <c r="E493" s="1" t="str">
        <f>IF(ROW()&lt;=Results!$C$1+1,VLOOKUP($D493,Data!$A$2:$C$117,3,TRUE),"")</f>
        <v/>
      </c>
      <c r="F493" s="14" t="str">
        <f>IF(ROW()&lt;=Results!$C$1+1,IF(E493&lt;=0,"",LN(E493)),"")</f>
        <v/>
      </c>
      <c r="G493" s="53" t="str">
        <f>IF(ROW()&lt;=Results!$C$1+1,IF(ISERROR(C493-F493),"",C493-F493),"")</f>
        <v/>
      </c>
    </row>
    <row r="494" spans="1:7" x14ac:dyDescent="0.25">
      <c r="A494" s="1" t="str">
        <f ca="1">IF(ROW()&lt;=Results!$C$1+1,INDEX(Data!$A:$A,CEILING((COUNTA(Data!$A:$A)-1)*RAND()+1,1)),"")</f>
        <v/>
      </c>
      <c r="B494" s="1" t="str">
        <f>IF(ROW()&lt;=Results!$C$1+1,VLOOKUP($A494,Data!$A$2:$C$117,2,TRUE),"")</f>
        <v/>
      </c>
      <c r="C494" s="14" t="str">
        <f>IF(ROW()&lt;=Results!$C$1+1,IF(B494&lt;=0,"",LN(B494)),"")</f>
        <v/>
      </c>
      <c r="D494" s="58" t="str">
        <f ca="1">IF(Results!$S$5,A494,IF(ROW()&lt;=Results!$C$1+1,INDEX(Data!$A:$A,CEILING((COUNTA(Data!$A:$A)-1)*RAND()+1,1)),""))</f>
        <v/>
      </c>
      <c r="E494" s="1" t="str">
        <f>IF(ROW()&lt;=Results!$C$1+1,VLOOKUP($D494,Data!$A$2:$C$117,3,TRUE),"")</f>
        <v/>
      </c>
      <c r="F494" s="14" t="str">
        <f>IF(ROW()&lt;=Results!$C$1+1,IF(E494&lt;=0,"",LN(E494)),"")</f>
        <v/>
      </c>
      <c r="G494" s="53" t="str">
        <f>IF(ROW()&lt;=Results!$C$1+1,IF(ISERROR(C494-F494),"",C494-F494),"")</f>
        <v/>
      </c>
    </row>
    <row r="495" spans="1:7" x14ac:dyDescent="0.25">
      <c r="A495" s="1" t="str">
        <f ca="1">IF(ROW()&lt;=Results!$C$1+1,INDEX(Data!$A:$A,CEILING((COUNTA(Data!$A:$A)-1)*RAND()+1,1)),"")</f>
        <v/>
      </c>
      <c r="B495" s="1" t="str">
        <f>IF(ROW()&lt;=Results!$C$1+1,VLOOKUP($A495,Data!$A$2:$C$117,2,TRUE),"")</f>
        <v/>
      </c>
      <c r="C495" s="14" t="str">
        <f>IF(ROW()&lt;=Results!$C$1+1,IF(B495&lt;=0,"",LN(B495)),"")</f>
        <v/>
      </c>
      <c r="D495" s="58" t="str">
        <f ca="1">IF(Results!$S$5,A495,IF(ROW()&lt;=Results!$C$1+1,INDEX(Data!$A:$A,CEILING((COUNTA(Data!$A:$A)-1)*RAND()+1,1)),""))</f>
        <v/>
      </c>
      <c r="E495" s="1" t="str">
        <f>IF(ROW()&lt;=Results!$C$1+1,VLOOKUP($D495,Data!$A$2:$C$117,3,TRUE),"")</f>
        <v/>
      </c>
      <c r="F495" s="14" t="str">
        <f>IF(ROW()&lt;=Results!$C$1+1,IF(E495&lt;=0,"",LN(E495)),"")</f>
        <v/>
      </c>
      <c r="G495" s="53" t="str">
        <f>IF(ROW()&lt;=Results!$C$1+1,IF(ISERROR(C495-F495),"",C495-F495),"")</f>
        <v/>
      </c>
    </row>
    <row r="496" spans="1:7" x14ac:dyDescent="0.25">
      <c r="A496" s="1" t="str">
        <f ca="1">IF(ROW()&lt;=Results!$C$1+1,INDEX(Data!$A:$A,CEILING((COUNTA(Data!$A:$A)-1)*RAND()+1,1)),"")</f>
        <v/>
      </c>
      <c r="B496" s="1" t="str">
        <f>IF(ROW()&lt;=Results!$C$1+1,VLOOKUP($A496,Data!$A$2:$C$117,2,TRUE),"")</f>
        <v/>
      </c>
      <c r="C496" s="14" t="str">
        <f>IF(ROW()&lt;=Results!$C$1+1,IF(B496&lt;=0,"",LN(B496)),"")</f>
        <v/>
      </c>
      <c r="D496" s="58" t="str">
        <f ca="1">IF(Results!$S$5,A496,IF(ROW()&lt;=Results!$C$1+1,INDEX(Data!$A:$A,CEILING((COUNTA(Data!$A:$A)-1)*RAND()+1,1)),""))</f>
        <v/>
      </c>
      <c r="E496" s="1" t="str">
        <f>IF(ROW()&lt;=Results!$C$1+1,VLOOKUP($D496,Data!$A$2:$C$117,3,TRUE),"")</f>
        <v/>
      </c>
      <c r="F496" s="14" t="str">
        <f>IF(ROW()&lt;=Results!$C$1+1,IF(E496&lt;=0,"",LN(E496)),"")</f>
        <v/>
      </c>
      <c r="G496" s="53" t="str">
        <f>IF(ROW()&lt;=Results!$C$1+1,IF(ISERROR(C496-F496),"",C496-F496),"")</f>
        <v/>
      </c>
    </row>
    <row r="497" spans="1:7" x14ac:dyDescent="0.25">
      <c r="A497" s="1" t="str">
        <f ca="1">IF(ROW()&lt;=Results!$C$1+1,INDEX(Data!$A:$A,CEILING((COUNTA(Data!$A:$A)-1)*RAND()+1,1)),"")</f>
        <v/>
      </c>
      <c r="B497" s="1" t="str">
        <f>IF(ROW()&lt;=Results!$C$1+1,VLOOKUP($A497,Data!$A$2:$C$117,2,TRUE),"")</f>
        <v/>
      </c>
      <c r="C497" s="14" t="str">
        <f>IF(ROW()&lt;=Results!$C$1+1,IF(B497&lt;=0,"",LN(B497)),"")</f>
        <v/>
      </c>
      <c r="D497" s="58" t="str">
        <f ca="1">IF(Results!$S$5,A497,IF(ROW()&lt;=Results!$C$1+1,INDEX(Data!$A:$A,CEILING((COUNTA(Data!$A:$A)-1)*RAND()+1,1)),""))</f>
        <v/>
      </c>
      <c r="E497" s="1" t="str">
        <f>IF(ROW()&lt;=Results!$C$1+1,VLOOKUP($D497,Data!$A$2:$C$117,3,TRUE),"")</f>
        <v/>
      </c>
      <c r="F497" s="14" t="str">
        <f>IF(ROW()&lt;=Results!$C$1+1,IF(E497&lt;=0,"",LN(E497)),"")</f>
        <v/>
      </c>
      <c r="G497" s="53" t="str">
        <f>IF(ROW()&lt;=Results!$C$1+1,IF(ISERROR(C497-F497),"",C497-F497),"")</f>
        <v/>
      </c>
    </row>
    <row r="498" spans="1:7" x14ac:dyDescent="0.25">
      <c r="A498" s="1" t="str">
        <f ca="1">IF(ROW()&lt;=Results!$C$1+1,INDEX(Data!$A:$A,CEILING((COUNTA(Data!$A:$A)-1)*RAND()+1,1)),"")</f>
        <v/>
      </c>
      <c r="B498" s="1" t="str">
        <f>IF(ROW()&lt;=Results!$C$1+1,VLOOKUP($A498,Data!$A$2:$C$117,2,TRUE),"")</f>
        <v/>
      </c>
      <c r="C498" s="14" t="str">
        <f>IF(ROW()&lt;=Results!$C$1+1,IF(B498&lt;=0,"",LN(B498)),"")</f>
        <v/>
      </c>
      <c r="D498" s="58" t="str">
        <f ca="1">IF(Results!$S$5,A498,IF(ROW()&lt;=Results!$C$1+1,INDEX(Data!$A:$A,CEILING((COUNTA(Data!$A:$A)-1)*RAND()+1,1)),""))</f>
        <v/>
      </c>
      <c r="E498" s="1" t="str">
        <f>IF(ROW()&lt;=Results!$C$1+1,VLOOKUP($D498,Data!$A$2:$C$117,3,TRUE),"")</f>
        <v/>
      </c>
      <c r="F498" s="14" t="str">
        <f>IF(ROW()&lt;=Results!$C$1+1,IF(E498&lt;=0,"",LN(E498)),"")</f>
        <v/>
      </c>
      <c r="G498" s="53" t="str">
        <f>IF(ROW()&lt;=Results!$C$1+1,IF(ISERROR(C498-F498),"",C498-F498),"")</f>
        <v/>
      </c>
    </row>
    <row r="499" spans="1:7" x14ac:dyDescent="0.25">
      <c r="A499" s="1" t="str">
        <f ca="1">IF(ROW()&lt;=Results!$C$1+1,INDEX(Data!$A:$A,CEILING((COUNTA(Data!$A:$A)-1)*RAND()+1,1)),"")</f>
        <v/>
      </c>
      <c r="B499" s="1" t="str">
        <f>IF(ROW()&lt;=Results!$C$1+1,VLOOKUP($A499,Data!$A$2:$C$117,2,TRUE),"")</f>
        <v/>
      </c>
      <c r="C499" s="14" t="str">
        <f>IF(ROW()&lt;=Results!$C$1+1,IF(B499&lt;=0,"",LN(B499)),"")</f>
        <v/>
      </c>
      <c r="D499" s="58" t="str">
        <f ca="1">IF(Results!$S$5,A499,IF(ROW()&lt;=Results!$C$1+1,INDEX(Data!$A:$A,CEILING((COUNTA(Data!$A:$A)-1)*RAND()+1,1)),""))</f>
        <v/>
      </c>
      <c r="E499" s="1" t="str">
        <f>IF(ROW()&lt;=Results!$C$1+1,VLOOKUP($D499,Data!$A$2:$C$117,3,TRUE),"")</f>
        <v/>
      </c>
      <c r="F499" s="14" t="str">
        <f>IF(ROW()&lt;=Results!$C$1+1,IF(E499&lt;=0,"",LN(E499)),"")</f>
        <v/>
      </c>
      <c r="G499" s="53" t="str">
        <f>IF(ROW()&lt;=Results!$C$1+1,IF(ISERROR(C499-F499),"",C499-F499),"")</f>
        <v/>
      </c>
    </row>
    <row r="500" spans="1:7" x14ac:dyDescent="0.25">
      <c r="A500" s="1" t="str">
        <f ca="1">IF(ROW()&lt;=Results!$C$1+1,INDEX(Data!$A:$A,CEILING((COUNTA(Data!$A:$A)-1)*RAND()+1,1)),"")</f>
        <v/>
      </c>
      <c r="B500" s="1" t="str">
        <f>IF(ROW()&lt;=Results!$C$1+1,VLOOKUP($A500,Data!$A$2:$C$117,2,TRUE),"")</f>
        <v/>
      </c>
      <c r="C500" s="14" t="str">
        <f>IF(ROW()&lt;=Results!$C$1+1,IF(B500&lt;=0,"",LN(B500)),"")</f>
        <v/>
      </c>
      <c r="D500" s="58" t="str">
        <f ca="1">IF(Results!$S$5,A500,IF(ROW()&lt;=Results!$C$1+1,INDEX(Data!$A:$A,CEILING((COUNTA(Data!$A:$A)-1)*RAND()+1,1)),""))</f>
        <v/>
      </c>
      <c r="E500" s="1" t="str">
        <f>IF(ROW()&lt;=Results!$C$1+1,VLOOKUP($D500,Data!$A$2:$C$117,3,TRUE),"")</f>
        <v/>
      </c>
      <c r="F500" s="14" t="str">
        <f>IF(ROW()&lt;=Results!$C$1+1,IF(E500&lt;=0,"",LN(E500)),"")</f>
        <v/>
      </c>
      <c r="G500" s="53" t="str">
        <f>IF(ROW()&lt;=Results!$C$1+1,IF(ISERROR(C500-F500),"",C500-F500),"")</f>
        <v/>
      </c>
    </row>
    <row r="501" spans="1:7" x14ac:dyDescent="0.25">
      <c r="A501" s="1" t="str">
        <f ca="1">IF(ROW()&lt;=Results!$C$1+1,INDEX(Data!$A:$A,CEILING((COUNTA(Data!$A:$A)-1)*RAND()+1,1)),"")</f>
        <v/>
      </c>
      <c r="B501" s="1" t="str">
        <f>IF(ROW()&lt;=Results!$C$1+1,VLOOKUP($A501,Data!$A$2:$C$117,2,TRUE),"")</f>
        <v/>
      </c>
      <c r="C501" s="14" t="str">
        <f>IF(ROW()&lt;=Results!$C$1+1,IF(B501&lt;=0,"",LN(B501)),"")</f>
        <v/>
      </c>
      <c r="D501" s="58" t="str">
        <f ca="1">IF(Results!$S$5,A501,IF(ROW()&lt;=Results!$C$1+1,INDEX(Data!$A:$A,CEILING((COUNTA(Data!$A:$A)-1)*RAND()+1,1)),""))</f>
        <v/>
      </c>
      <c r="E501" s="1" t="str">
        <f>IF(ROW()&lt;=Results!$C$1+1,VLOOKUP($D501,Data!$A$2:$C$117,3,TRUE),"")</f>
        <v/>
      </c>
      <c r="F501" s="14" t="str">
        <f>IF(ROW()&lt;=Results!$C$1+1,IF(E501&lt;=0,"",LN(E501)),"")</f>
        <v/>
      </c>
      <c r="G501" s="53" t="str">
        <f>IF(ROW()&lt;=Results!$C$1+1,IF(ISERROR(C501-F501),"",C501-F501),"")</f>
        <v/>
      </c>
    </row>
    <row r="502" spans="1:7" x14ac:dyDescent="0.25">
      <c r="A502" s="1" t="str">
        <f ca="1">IF(ROW()&lt;=Results!$C$1+1,INDEX(Data!$A:$A,CEILING((COUNTA(Data!$A:$A)-1)*RAND()+1,1)),"")</f>
        <v/>
      </c>
      <c r="B502" s="1" t="str">
        <f>IF(ROW()&lt;=Results!$C$1+1,VLOOKUP($A502,Data!$A$2:$C$117,2,TRUE),"")</f>
        <v/>
      </c>
      <c r="C502" s="14" t="str">
        <f>IF(ROW()&lt;=Results!$C$1+1,IF(B502&lt;=0,"",LN(B502)),"")</f>
        <v/>
      </c>
      <c r="D502" s="58" t="str">
        <f ca="1">IF(Results!$S$5,A502,IF(ROW()&lt;=Results!$C$1+1,INDEX(Data!$A:$A,CEILING((COUNTA(Data!$A:$A)-1)*RAND()+1,1)),""))</f>
        <v/>
      </c>
      <c r="E502" s="1" t="str">
        <f>IF(ROW()&lt;=Results!$C$1+1,VLOOKUP($D502,Data!$A$2:$C$117,3,TRUE),"")</f>
        <v/>
      </c>
      <c r="F502" s="14" t="str">
        <f>IF(ROW()&lt;=Results!$C$1+1,IF(E502&lt;=0,"",LN(E502)),"")</f>
        <v/>
      </c>
      <c r="G502" s="53" t="str">
        <f>IF(ROW()&lt;=Results!$C$1+1,IF(ISERROR(C502-F502),"",C502-F502),"")</f>
        <v/>
      </c>
    </row>
    <row r="503" spans="1:7" x14ac:dyDescent="0.25">
      <c r="A503" s="1" t="str">
        <f ca="1">IF(ROW()&lt;=Results!$C$1+1,INDEX(Data!$A:$A,CEILING((COUNTA(Data!$A:$A)-1)*RAND()+1,1)),"")</f>
        <v/>
      </c>
      <c r="B503" s="1" t="str">
        <f>IF(ROW()&lt;=Results!$C$1+1,VLOOKUP($A503,Data!$A$2:$C$117,2,TRUE),"")</f>
        <v/>
      </c>
      <c r="C503" s="14" t="str">
        <f>IF(ROW()&lt;=Results!$C$1+1,IF(B503&lt;=0,"",LN(B503)),"")</f>
        <v/>
      </c>
      <c r="D503" s="58" t="str">
        <f ca="1">IF(Results!$S$5,A503,IF(ROW()&lt;=Results!$C$1+1,INDEX(Data!$A:$A,CEILING((COUNTA(Data!$A:$A)-1)*RAND()+1,1)),""))</f>
        <v/>
      </c>
      <c r="E503" s="1" t="str">
        <f>IF(ROW()&lt;=Results!$C$1+1,VLOOKUP($D503,Data!$A$2:$C$117,3,TRUE),"")</f>
        <v/>
      </c>
      <c r="F503" s="14" t="str">
        <f>IF(ROW()&lt;=Results!$C$1+1,IF(E503&lt;=0,"",LN(E503)),"")</f>
        <v/>
      </c>
      <c r="G503" s="53" t="str">
        <f>IF(ROW()&lt;=Results!$C$1+1,IF(ISERROR(C503-F503),"",C503-F503),"")</f>
        <v/>
      </c>
    </row>
    <row r="504" spans="1:7" x14ac:dyDescent="0.25">
      <c r="A504" s="1" t="str">
        <f ca="1">IF(ROW()&lt;=Results!$C$1+1,INDEX(Data!$A:$A,CEILING((COUNTA(Data!$A:$A)-1)*RAND()+1,1)),"")</f>
        <v/>
      </c>
      <c r="B504" s="1" t="str">
        <f>IF(ROW()&lt;=Results!$C$1+1,VLOOKUP($A504,Data!$A$2:$C$117,2,TRUE),"")</f>
        <v/>
      </c>
      <c r="C504" s="14" t="str">
        <f>IF(ROW()&lt;=Results!$C$1+1,IF(B504&lt;=0,"",LN(B504)),"")</f>
        <v/>
      </c>
      <c r="D504" s="58" t="str">
        <f ca="1">IF(Results!$S$5,A504,IF(ROW()&lt;=Results!$C$1+1,INDEX(Data!$A:$A,CEILING((COUNTA(Data!$A:$A)-1)*RAND()+1,1)),""))</f>
        <v/>
      </c>
      <c r="E504" s="1" t="str">
        <f>IF(ROW()&lt;=Results!$C$1+1,VLOOKUP($D504,Data!$A$2:$C$117,3,TRUE),"")</f>
        <v/>
      </c>
      <c r="F504" s="14" t="str">
        <f>IF(ROW()&lt;=Results!$C$1+1,IF(E504&lt;=0,"",LN(E504)),"")</f>
        <v/>
      </c>
      <c r="G504" s="53" t="str">
        <f>IF(ROW()&lt;=Results!$C$1+1,IF(ISERROR(C504-F504),"",C504-F504),"")</f>
        <v/>
      </c>
    </row>
    <row r="505" spans="1:7" x14ac:dyDescent="0.25">
      <c r="A505" s="1" t="str">
        <f ca="1">IF(ROW()&lt;=Results!$C$1+1,INDEX(Data!$A:$A,CEILING((COUNTA(Data!$A:$A)-1)*RAND()+1,1)),"")</f>
        <v/>
      </c>
      <c r="B505" s="1" t="str">
        <f>IF(ROW()&lt;=Results!$C$1+1,VLOOKUP($A505,Data!$A$2:$C$117,2,TRUE),"")</f>
        <v/>
      </c>
      <c r="C505" s="14" t="str">
        <f>IF(ROW()&lt;=Results!$C$1+1,IF(B505&lt;=0,"",LN(B505)),"")</f>
        <v/>
      </c>
      <c r="D505" s="58" t="str">
        <f ca="1">IF(Results!$S$5,A505,IF(ROW()&lt;=Results!$C$1+1,INDEX(Data!$A:$A,CEILING((COUNTA(Data!$A:$A)-1)*RAND()+1,1)),""))</f>
        <v/>
      </c>
      <c r="E505" s="1" t="str">
        <f>IF(ROW()&lt;=Results!$C$1+1,VLOOKUP($D505,Data!$A$2:$C$117,3,TRUE),"")</f>
        <v/>
      </c>
      <c r="F505" s="14" t="str">
        <f>IF(ROW()&lt;=Results!$C$1+1,IF(E505&lt;=0,"",LN(E505)),"")</f>
        <v/>
      </c>
      <c r="G505" s="53" t="str">
        <f>IF(ROW()&lt;=Results!$C$1+1,IF(ISERROR(C505-F505),"",C505-F505),"")</f>
        <v/>
      </c>
    </row>
    <row r="506" spans="1:7" x14ac:dyDescent="0.25">
      <c r="A506" s="1" t="str">
        <f ca="1">IF(ROW()&lt;=Results!$C$1+1,INDEX(Data!$A:$A,CEILING((COUNTA(Data!$A:$A)-1)*RAND()+1,1)),"")</f>
        <v/>
      </c>
      <c r="B506" s="1" t="str">
        <f>IF(ROW()&lt;=Results!$C$1+1,VLOOKUP($A506,Data!$A$2:$C$117,2,TRUE),"")</f>
        <v/>
      </c>
      <c r="C506" s="14" t="str">
        <f>IF(ROW()&lt;=Results!$C$1+1,IF(B506&lt;=0,"",LN(B506)),"")</f>
        <v/>
      </c>
      <c r="D506" s="58" t="str">
        <f ca="1">IF(Results!$S$5,A506,IF(ROW()&lt;=Results!$C$1+1,INDEX(Data!$A:$A,CEILING((COUNTA(Data!$A:$A)-1)*RAND()+1,1)),""))</f>
        <v/>
      </c>
      <c r="E506" s="1" t="str">
        <f>IF(ROW()&lt;=Results!$C$1+1,VLOOKUP($D506,Data!$A$2:$C$117,3,TRUE),"")</f>
        <v/>
      </c>
      <c r="F506" s="14" t="str">
        <f>IF(ROW()&lt;=Results!$C$1+1,IF(E506&lt;=0,"",LN(E506)),"")</f>
        <v/>
      </c>
      <c r="G506" s="53" t="str">
        <f>IF(ROW()&lt;=Results!$C$1+1,IF(ISERROR(C506-F506),"",C506-F506),"")</f>
        <v/>
      </c>
    </row>
    <row r="507" spans="1:7" x14ac:dyDescent="0.25">
      <c r="A507" s="1" t="str">
        <f ca="1">IF(ROW()&lt;=Results!$C$1+1,INDEX(Data!$A:$A,CEILING((COUNTA(Data!$A:$A)-1)*RAND()+1,1)),"")</f>
        <v/>
      </c>
      <c r="B507" s="1" t="str">
        <f>IF(ROW()&lt;=Results!$C$1+1,VLOOKUP($A507,Data!$A$2:$C$117,2,TRUE),"")</f>
        <v/>
      </c>
      <c r="C507" s="14" t="str">
        <f>IF(ROW()&lt;=Results!$C$1+1,IF(B507&lt;=0,"",LN(B507)),"")</f>
        <v/>
      </c>
      <c r="D507" s="58" t="str">
        <f ca="1">IF(Results!$S$5,A507,IF(ROW()&lt;=Results!$C$1+1,INDEX(Data!$A:$A,CEILING((COUNTA(Data!$A:$A)-1)*RAND()+1,1)),""))</f>
        <v/>
      </c>
      <c r="E507" s="1" t="str">
        <f>IF(ROW()&lt;=Results!$C$1+1,VLOOKUP($D507,Data!$A$2:$C$117,3,TRUE),"")</f>
        <v/>
      </c>
      <c r="F507" s="14" t="str">
        <f>IF(ROW()&lt;=Results!$C$1+1,IF(E507&lt;=0,"",LN(E507)),"")</f>
        <v/>
      </c>
      <c r="G507" s="53" t="str">
        <f>IF(ROW()&lt;=Results!$C$1+1,IF(ISERROR(C507-F507),"",C507-F507),"")</f>
        <v/>
      </c>
    </row>
    <row r="508" spans="1:7" x14ac:dyDescent="0.25">
      <c r="A508" s="1" t="str">
        <f ca="1">IF(ROW()&lt;=Results!$C$1+1,INDEX(Data!$A:$A,CEILING((COUNTA(Data!$A:$A)-1)*RAND()+1,1)),"")</f>
        <v/>
      </c>
      <c r="B508" s="1" t="str">
        <f>IF(ROW()&lt;=Results!$C$1+1,VLOOKUP($A508,Data!$A$2:$C$117,2,TRUE),"")</f>
        <v/>
      </c>
      <c r="C508" s="14" t="str">
        <f>IF(ROW()&lt;=Results!$C$1+1,IF(B508&lt;=0,"",LN(B508)),"")</f>
        <v/>
      </c>
      <c r="D508" s="58" t="str">
        <f ca="1">IF(Results!$S$5,A508,IF(ROW()&lt;=Results!$C$1+1,INDEX(Data!$A:$A,CEILING((COUNTA(Data!$A:$A)-1)*RAND()+1,1)),""))</f>
        <v/>
      </c>
      <c r="E508" s="1" t="str">
        <f>IF(ROW()&lt;=Results!$C$1+1,VLOOKUP($D508,Data!$A$2:$C$117,3,TRUE),"")</f>
        <v/>
      </c>
      <c r="F508" s="14" t="str">
        <f>IF(ROW()&lt;=Results!$C$1+1,IF(E508&lt;=0,"",LN(E508)),"")</f>
        <v/>
      </c>
      <c r="G508" s="53" t="str">
        <f>IF(ROW()&lt;=Results!$C$1+1,IF(ISERROR(C508-F508),"",C508-F508),"")</f>
        <v/>
      </c>
    </row>
    <row r="509" spans="1:7" x14ac:dyDescent="0.25">
      <c r="A509" s="1" t="str">
        <f ca="1">IF(ROW()&lt;=Results!$C$1+1,INDEX(Data!$A:$A,CEILING((COUNTA(Data!$A:$A)-1)*RAND()+1,1)),"")</f>
        <v/>
      </c>
      <c r="B509" s="1" t="str">
        <f>IF(ROW()&lt;=Results!$C$1+1,VLOOKUP($A509,Data!$A$2:$C$117,2,TRUE),"")</f>
        <v/>
      </c>
      <c r="C509" s="14" t="str">
        <f>IF(ROW()&lt;=Results!$C$1+1,IF(B509&lt;=0,"",LN(B509)),"")</f>
        <v/>
      </c>
      <c r="D509" s="58" t="str">
        <f ca="1">IF(Results!$S$5,A509,IF(ROW()&lt;=Results!$C$1+1,INDEX(Data!$A:$A,CEILING((COUNTA(Data!$A:$A)-1)*RAND()+1,1)),""))</f>
        <v/>
      </c>
      <c r="E509" s="1" t="str">
        <f>IF(ROW()&lt;=Results!$C$1+1,VLOOKUP($D509,Data!$A$2:$C$117,3,TRUE),"")</f>
        <v/>
      </c>
      <c r="F509" s="14" t="str">
        <f>IF(ROW()&lt;=Results!$C$1+1,IF(E509&lt;=0,"",LN(E509)),"")</f>
        <v/>
      </c>
      <c r="G509" s="53" t="str">
        <f>IF(ROW()&lt;=Results!$C$1+1,IF(ISERROR(C509-F509),"",C509-F509),"")</f>
        <v/>
      </c>
    </row>
    <row r="510" spans="1:7" x14ac:dyDescent="0.25">
      <c r="A510" s="1" t="str">
        <f ca="1">IF(ROW()&lt;=Results!$C$1+1,INDEX(Data!$A:$A,CEILING((COUNTA(Data!$A:$A)-1)*RAND()+1,1)),"")</f>
        <v/>
      </c>
      <c r="B510" s="1" t="str">
        <f>IF(ROW()&lt;=Results!$C$1+1,VLOOKUP($A510,Data!$A$2:$C$117,2,TRUE),"")</f>
        <v/>
      </c>
      <c r="C510" s="14" t="str">
        <f>IF(ROW()&lt;=Results!$C$1+1,IF(B510&lt;=0,"",LN(B510)),"")</f>
        <v/>
      </c>
      <c r="D510" s="58" t="str">
        <f ca="1">IF(Results!$S$5,A510,IF(ROW()&lt;=Results!$C$1+1,INDEX(Data!$A:$A,CEILING((COUNTA(Data!$A:$A)-1)*RAND()+1,1)),""))</f>
        <v/>
      </c>
      <c r="E510" s="1" t="str">
        <f>IF(ROW()&lt;=Results!$C$1+1,VLOOKUP($D510,Data!$A$2:$C$117,3,TRUE),"")</f>
        <v/>
      </c>
      <c r="F510" s="14" t="str">
        <f>IF(ROW()&lt;=Results!$C$1+1,IF(E510&lt;=0,"",LN(E510)),"")</f>
        <v/>
      </c>
      <c r="G510" s="53" t="str">
        <f>IF(ROW()&lt;=Results!$C$1+1,IF(ISERROR(C510-F510),"",C510-F510),"")</f>
        <v/>
      </c>
    </row>
    <row r="511" spans="1:7" x14ac:dyDescent="0.25">
      <c r="A511" s="1" t="str">
        <f ca="1">IF(ROW()&lt;=Results!$C$1+1,INDEX(Data!$A:$A,CEILING((COUNTA(Data!$A:$A)-1)*RAND()+1,1)),"")</f>
        <v/>
      </c>
      <c r="B511" s="1" t="str">
        <f>IF(ROW()&lt;=Results!$C$1+1,VLOOKUP($A511,Data!$A$2:$C$117,2,TRUE),"")</f>
        <v/>
      </c>
      <c r="C511" s="14" t="str">
        <f>IF(ROW()&lt;=Results!$C$1+1,IF(B511&lt;=0,"",LN(B511)),"")</f>
        <v/>
      </c>
      <c r="D511" s="58" t="str">
        <f ca="1">IF(Results!$S$5,A511,IF(ROW()&lt;=Results!$C$1+1,INDEX(Data!$A:$A,CEILING((COUNTA(Data!$A:$A)-1)*RAND()+1,1)),""))</f>
        <v/>
      </c>
      <c r="E511" s="1" t="str">
        <f>IF(ROW()&lt;=Results!$C$1+1,VLOOKUP($D511,Data!$A$2:$C$117,3,TRUE),"")</f>
        <v/>
      </c>
      <c r="F511" s="14" t="str">
        <f>IF(ROW()&lt;=Results!$C$1+1,IF(E511&lt;=0,"",LN(E511)),"")</f>
        <v/>
      </c>
      <c r="G511" s="53" t="str">
        <f>IF(ROW()&lt;=Results!$C$1+1,IF(ISERROR(C511-F511),"",C511-F511),"")</f>
        <v/>
      </c>
    </row>
    <row r="512" spans="1:7" x14ac:dyDescent="0.25">
      <c r="A512" s="1" t="str">
        <f ca="1">IF(ROW()&lt;=Results!$C$1+1,INDEX(Data!$A:$A,CEILING((COUNTA(Data!$A:$A)-1)*RAND()+1,1)),"")</f>
        <v/>
      </c>
      <c r="B512" s="1" t="str">
        <f>IF(ROW()&lt;=Results!$C$1+1,VLOOKUP($A512,Data!$A$2:$C$117,2,TRUE),"")</f>
        <v/>
      </c>
      <c r="C512" s="14" t="str">
        <f>IF(ROW()&lt;=Results!$C$1+1,IF(B512&lt;=0,"",LN(B512)),"")</f>
        <v/>
      </c>
      <c r="D512" s="58" t="str">
        <f ca="1">IF(Results!$S$5,A512,IF(ROW()&lt;=Results!$C$1+1,INDEX(Data!$A:$A,CEILING((COUNTA(Data!$A:$A)-1)*RAND()+1,1)),""))</f>
        <v/>
      </c>
      <c r="E512" s="1" t="str">
        <f>IF(ROW()&lt;=Results!$C$1+1,VLOOKUP($D512,Data!$A$2:$C$117,3,TRUE),"")</f>
        <v/>
      </c>
      <c r="F512" s="14" t="str">
        <f>IF(ROW()&lt;=Results!$C$1+1,IF(E512&lt;=0,"",LN(E512)),"")</f>
        <v/>
      </c>
      <c r="G512" s="53" t="str">
        <f>IF(ROW()&lt;=Results!$C$1+1,IF(ISERROR(C512-F512),"",C512-F512),"")</f>
        <v/>
      </c>
    </row>
    <row r="513" spans="1:7" x14ac:dyDescent="0.25">
      <c r="A513" s="1" t="str">
        <f ca="1">IF(ROW()&lt;=Results!$C$1+1,INDEX(Data!$A:$A,CEILING((COUNTA(Data!$A:$A)-1)*RAND()+1,1)),"")</f>
        <v/>
      </c>
      <c r="B513" s="1" t="str">
        <f>IF(ROW()&lt;=Results!$C$1+1,VLOOKUP($A513,Data!$A$2:$C$117,2,TRUE),"")</f>
        <v/>
      </c>
      <c r="C513" s="14" t="str">
        <f>IF(ROW()&lt;=Results!$C$1+1,IF(B513&lt;=0,"",LN(B513)),"")</f>
        <v/>
      </c>
      <c r="D513" s="58" t="str">
        <f ca="1">IF(Results!$S$5,A513,IF(ROW()&lt;=Results!$C$1+1,INDEX(Data!$A:$A,CEILING((COUNTA(Data!$A:$A)-1)*RAND()+1,1)),""))</f>
        <v/>
      </c>
      <c r="E513" s="1" t="str">
        <f>IF(ROW()&lt;=Results!$C$1+1,VLOOKUP($D513,Data!$A$2:$C$117,3,TRUE),"")</f>
        <v/>
      </c>
      <c r="F513" s="14" t="str">
        <f>IF(ROW()&lt;=Results!$C$1+1,IF(E513&lt;=0,"",LN(E513)),"")</f>
        <v/>
      </c>
      <c r="G513" s="53" t="str">
        <f>IF(ROW()&lt;=Results!$C$1+1,IF(ISERROR(C513-F513),"",C513-F513),"")</f>
        <v/>
      </c>
    </row>
    <row r="514" spans="1:7" x14ac:dyDescent="0.25">
      <c r="A514" s="1" t="str">
        <f ca="1">IF(ROW()&lt;=Results!$C$1+1,INDEX(Data!$A:$A,CEILING((COUNTA(Data!$A:$A)-1)*RAND()+1,1)),"")</f>
        <v/>
      </c>
      <c r="B514" s="1" t="str">
        <f>IF(ROW()&lt;=Results!$C$1+1,VLOOKUP($A514,Data!$A$2:$C$117,2,TRUE),"")</f>
        <v/>
      </c>
      <c r="C514" s="14" t="str">
        <f>IF(ROW()&lt;=Results!$C$1+1,IF(B514&lt;=0,"",LN(B514)),"")</f>
        <v/>
      </c>
      <c r="D514" s="58" t="str">
        <f ca="1">IF(Results!$S$5,A514,IF(ROW()&lt;=Results!$C$1+1,INDEX(Data!$A:$A,CEILING((COUNTA(Data!$A:$A)-1)*RAND()+1,1)),""))</f>
        <v/>
      </c>
      <c r="E514" s="1" t="str">
        <f>IF(ROW()&lt;=Results!$C$1+1,VLOOKUP($D514,Data!$A$2:$C$117,3,TRUE),"")</f>
        <v/>
      </c>
      <c r="F514" s="14" t="str">
        <f>IF(ROW()&lt;=Results!$C$1+1,IF(E514&lt;=0,"",LN(E514)),"")</f>
        <v/>
      </c>
      <c r="G514" s="53" t="str">
        <f>IF(ROW()&lt;=Results!$C$1+1,IF(ISERROR(C514-F514),"",C514-F514),"")</f>
        <v/>
      </c>
    </row>
    <row r="515" spans="1:7" x14ac:dyDescent="0.25">
      <c r="A515" s="1" t="str">
        <f ca="1">IF(ROW()&lt;=Results!$C$1+1,INDEX(Data!$A:$A,CEILING((COUNTA(Data!$A:$A)-1)*RAND()+1,1)),"")</f>
        <v/>
      </c>
      <c r="B515" s="1" t="str">
        <f>IF(ROW()&lt;=Results!$C$1+1,VLOOKUP($A515,Data!$A$2:$C$117,2,TRUE),"")</f>
        <v/>
      </c>
      <c r="C515" s="14" t="str">
        <f>IF(ROW()&lt;=Results!$C$1+1,IF(B515&lt;=0,"",LN(B515)),"")</f>
        <v/>
      </c>
      <c r="D515" s="58" t="str">
        <f ca="1">IF(Results!$S$5,A515,IF(ROW()&lt;=Results!$C$1+1,INDEX(Data!$A:$A,CEILING((COUNTA(Data!$A:$A)-1)*RAND()+1,1)),""))</f>
        <v/>
      </c>
      <c r="E515" s="1" t="str">
        <f>IF(ROW()&lt;=Results!$C$1+1,VLOOKUP($D515,Data!$A$2:$C$117,3,TRUE),"")</f>
        <v/>
      </c>
      <c r="F515" s="14" t="str">
        <f>IF(ROW()&lt;=Results!$C$1+1,IF(E515&lt;=0,"",LN(E515)),"")</f>
        <v/>
      </c>
      <c r="G515" s="53" t="str">
        <f>IF(ROW()&lt;=Results!$C$1+1,IF(ISERROR(C515-F515),"",C515-F515),"")</f>
        <v/>
      </c>
    </row>
    <row r="516" spans="1:7" x14ac:dyDescent="0.25">
      <c r="A516" s="1" t="str">
        <f ca="1">IF(ROW()&lt;=Results!$C$1+1,INDEX(Data!$A:$A,CEILING((COUNTA(Data!$A:$A)-1)*RAND()+1,1)),"")</f>
        <v/>
      </c>
      <c r="B516" s="1" t="str">
        <f>IF(ROW()&lt;=Results!$C$1+1,VLOOKUP($A516,Data!$A$2:$C$117,2,TRUE),"")</f>
        <v/>
      </c>
      <c r="C516" s="14" t="str">
        <f>IF(ROW()&lt;=Results!$C$1+1,IF(B516&lt;=0,"",LN(B516)),"")</f>
        <v/>
      </c>
      <c r="D516" s="58" t="str">
        <f ca="1">IF(Results!$S$5,A516,IF(ROW()&lt;=Results!$C$1+1,INDEX(Data!$A:$A,CEILING((COUNTA(Data!$A:$A)-1)*RAND()+1,1)),""))</f>
        <v/>
      </c>
      <c r="E516" s="1" t="str">
        <f>IF(ROW()&lt;=Results!$C$1+1,VLOOKUP($D516,Data!$A$2:$C$117,3,TRUE),"")</f>
        <v/>
      </c>
      <c r="F516" s="14" t="str">
        <f>IF(ROW()&lt;=Results!$C$1+1,IF(E516&lt;=0,"",LN(E516)),"")</f>
        <v/>
      </c>
      <c r="G516" s="53" t="str">
        <f>IF(ROW()&lt;=Results!$C$1+1,IF(ISERROR(C516-F516),"",C516-F516),"")</f>
        <v/>
      </c>
    </row>
    <row r="517" spans="1:7" x14ac:dyDescent="0.25">
      <c r="A517" s="1" t="str">
        <f ca="1">IF(ROW()&lt;=Results!$C$1+1,INDEX(Data!$A:$A,CEILING((COUNTA(Data!$A:$A)-1)*RAND()+1,1)),"")</f>
        <v/>
      </c>
      <c r="B517" s="1" t="str">
        <f>IF(ROW()&lt;=Results!$C$1+1,VLOOKUP($A517,Data!$A$2:$C$117,2,TRUE),"")</f>
        <v/>
      </c>
      <c r="C517" s="14" t="str">
        <f>IF(ROW()&lt;=Results!$C$1+1,IF(B517&lt;=0,"",LN(B517)),"")</f>
        <v/>
      </c>
      <c r="D517" s="58" t="str">
        <f ca="1">IF(Results!$S$5,A517,IF(ROW()&lt;=Results!$C$1+1,INDEX(Data!$A:$A,CEILING((COUNTA(Data!$A:$A)-1)*RAND()+1,1)),""))</f>
        <v/>
      </c>
      <c r="E517" s="1" t="str">
        <f>IF(ROW()&lt;=Results!$C$1+1,VLOOKUP($D517,Data!$A$2:$C$117,3,TRUE),"")</f>
        <v/>
      </c>
      <c r="F517" s="14" t="str">
        <f>IF(ROW()&lt;=Results!$C$1+1,IF(E517&lt;=0,"",LN(E517)),"")</f>
        <v/>
      </c>
      <c r="G517" s="53" t="str">
        <f>IF(ROW()&lt;=Results!$C$1+1,IF(ISERROR(C517-F517),"",C517-F517),"")</f>
        <v/>
      </c>
    </row>
    <row r="518" spans="1:7" x14ac:dyDescent="0.25">
      <c r="A518" s="1" t="str">
        <f ca="1">IF(ROW()&lt;=Results!$C$1+1,INDEX(Data!$A:$A,CEILING((COUNTA(Data!$A:$A)-1)*RAND()+1,1)),"")</f>
        <v/>
      </c>
      <c r="B518" s="1" t="str">
        <f>IF(ROW()&lt;=Results!$C$1+1,VLOOKUP($A518,Data!$A$2:$C$117,2,TRUE),"")</f>
        <v/>
      </c>
      <c r="C518" s="14" t="str">
        <f>IF(ROW()&lt;=Results!$C$1+1,IF(B518&lt;=0,"",LN(B518)),"")</f>
        <v/>
      </c>
      <c r="D518" s="58" t="str">
        <f ca="1">IF(Results!$S$5,A518,IF(ROW()&lt;=Results!$C$1+1,INDEX(Data!$A:$A,CEILING((COUNTA(Data!$A:$A)-1)*RAND()+1,1)),""))</f>
        <v/>
      </c>
      <c r="E518" s="1" t="str">
        <f>IF(ROW()&lt;=Results!$C$1+1,VLOOKUP($D518,Data!$A$2:$C$117,3,TRUE),"")</f>
        <v/>
      </c>
      <c r="F518" s="14" t="str">
        <f>IF(ROW()&lt;=Results!$C$1+1,IF(E518&lt;=0,"",LN(E518)),"")</f>
        <v/>
      </c>
      <c r="G518" s="53" t="str">
        <f>IF(ROW()&lt;=Results!$C$1+1,IF(ISERROR(C518-F518),"",C518-F518),"")</f>
        <v/>
      </c>
    </row>
    <row r="519" spans="1:7" x14ac:dyDescent="0.25">
      <c r="A519" s="1" t="str">
        <f ca="1">IF(ROW()&lt;=Results!$C$1+1,INDEX(Data!$A:$A,CEILING((COUNTA(Data!$A:$A)-1)*RAND()+1,1)),"")</f>
        <v/>
      </c>
      <c r="B519" s="1" t="str">
        <f>IF(ROW()&lt;=Results!$C$1+1,VLOOKUP($A519,Data!$A$2:$C$117,2,TRUE),"")</f>
        <v/>
      </c>
      <c r="C519" s="14" t="str">
        <f>IF(ROW()&lt;=Results!$C$1+1,IF(B519&lt;=0,"",LN(B519)),"")</f>
        <v/>
      </c>
      <c r="D519" s="58" t="str">
        <f ca="1">IF(Results!$S$5,A519,IF(ROW()&lt;=Results!$C$1+1,INDEX(Data!$A:$A,CEILING((COUNTA(Data!$A:$A)-1)*RAND()+1,1)),""))</f>
        <v/>
      </c>
      <c r="E519" s="1" t="str">
        <f>IF(ROW()&lt;=Results!$C$1+1,VLOOKUP($D519,Data!$A$2:$C$117,3,TRUE),"")</f>
        <v/>
      </c>
      <c r="F519" s="14" t="str">
        <f>IF(ROW()&lt;=Results!$C$1+1,IF(E519&lt;=0,"",LN(E519)),"")</f>
        <v/>
      </c>
      <c r="G519" s="53" t="str">
        <f>IF(ROW()&lt;=Results!$C$1+1,IF(ISERROR(C519-F519),"",C519-F519),"")</f>
        <v/>
      </c>
    </row>
    <row r="520" spans="1:7" x14ac:dyDescent="0.25">
      <c r="A520" s="1" t="str">
        <f ca="1">IF(ROW()&lt;=Results!$C$1+1,INDEX(Data!$A:$A,CEILING((COUNTA(Data!$A:$A)-1)*RAND()+1,1)),"")</f>
        <v/>
      </c>
      <c r="B520" s="1" t="str">
        <f>IF(ROW()&lt;=Results!$C$1+1,VLOOKUP($A520,Data!$A$2:$C$117,2,TRUE),"")</f>
        <v/>
      </c>
      <c r="C520" s="14" t="str">
        <f>IF(ROW()&lt;=Results!$C$1+1,IF(B520&lt;=0,"",LN(B520)),"")</f>
        <v/>
      </c>
      <c r="D520" s="58" t="str">
        <f ca="1">IF(Results!$S$5,A520,IF(ROW()&lt;=Results!$C$1+1,INDEX(Data!$A:$A,CEILING((COUNTA(Data!$A:$A)-1)*RAND()+1,1)),""))</f>
        <v/>
      </c>
      <c r="E520" s="1" t="str">
        <f>IF(ROW()&lt;=Results!$C$1+1,VLOOKUP($D520,Data!$A$2:$C$117,3,TRUE),"")</f>
        <v/>
      </c>
      <c r="F520" s="14" t="str">
        <f>IF(ROW()&lt;=Results!$C$1+1,IF(E520&lt;=0,"",LN(E520)),"")</f>
        <v/>
      </c>
      <c r="G520" s="53" t="str">
        <f>IF(ROW()&lt;=Results!$C$1+1,IF(ISERROR(C520-F520),"",C520-F520),"")</f>
        <v/>
      </c>
    </row>
    <row r="521" spans="1:7" x14ac:dyDescent="0.25">
      <c r="A521" s="1" t="str">
        <f ca="1">IF(ROW()&lt;=Results!$C$1+1,INDEX(Data!$A:$A,CEILING((COUNTA(Data!$A:$A)-1)*RAND()+1,1)),"")</f>
        <v/>
      </c>
      <c r="B521" s="1" t="str">
        <f>IF(ROW()&lt;=Results!$C$1+1,VLOOKUP($A521,Data!$A$2:$C$117,2,TRUE),"")</f>
        <v/>
      </c>
      <c r="C521" s="14" t="str">
        <f>IF(ROW()&lt;=Results!$C$1+1,IF(B521&lt;=0,"",LN(B521)),"")</f>
        <v/>
      </c>
      <c r="D521" s="58" t="str">
        <f ca="1">IF(Results!$S$5,A521,IF(ROW()&lt;=Results!$C$1+1,INDEX(Data!$A:$A,CEILING((COUNTA(Data!$A:$A)-1)*RAND()+1,1)),""))</f>
        <v/>
      </c>
      <c r="E521" s="1" t="str">
        <f>IF(ROW()&lt;=Results!$C$1+1,VLOOKUP($D521,Data!$A$2:$C$117,3,TRUE),"")</f>
        <v/>
      </c>
      <c r="F521" s="14" t="str">
        <f>IF(ROW()&lt;=Results!$C$1+1,IF(E521&lt;=0,"",LN(E521)),"")</f>
        <v/>
      </c>
      <c r="G521" s="53" t="str">
        <f>IF(ROW()&lt;=Results!$C$1+1,IF(ISERROR(C521-F521),"",C521-F521),"")</f>
        <v/>
      </c>
    </row>
    <row r="522" spans="1:7" x14ac:dyDescent="0.25">
      <c r="A522" s="1" t="str">
        <f ca="1">IF(ROW()&lt;=Results!$C$1+1,INDEX(Data!$A:$A,CEILING((COUNTA(Data!$A:$A)-1)*RAND()+1,1)),"")</f>
        <v/>
      </c>
      <c r="B522" s="1" t="str">
        <f>IF(ROW()&lt;=Results!$C$1+1,VLOOKUP($A522,Data!$A$2:$C$117,2,TRUE),"")</f>
        <v/>
      </c>
      <c r="C522" s="14" t="str">
        <f>IF(ROW()&lt;=Results!$C$1+1,IF(B522&lt;=0,"",LN(B522)),"")</f>
        <v/>
      </c>
      <c r="D522" s="58" t="str">
        <f ca="1">IF(Results!$S$5,A522,IF(ROW()&lt;=Results!$C$1+1,INDEX(Data!$A:$A,CEILING((COUNTA(Data!$A:$A)-1)*RAND()+1,1)),""))</f>
        <v/>
      </c>
      <c r="E522" s="1" t="str">
        <f>IF(ROW()&lt;=Results!$C$1+1,VLOOKUP($D522,Data!$A$2:$C$117,3,TRUE),"")</f>
        <v/>
      </c>
      <c r="F522" s="14" t="str">
        <f>IF(ROW()&lt;=Results!$C$1+1,IF(E522&lt;=0,"",LN(E522)),"")</f>
        <v/>
      </c>
      <c r="G522" s="53" t="str">
        <f>IF(ROW()&lt;=Results!$C$1+1,IF(ISERROR(C522-F522),"",C522-F522),"")</f>
        <v/>
      </c>
    </row>
    <row r="523" spans="1:7" x14ac:dyDescent="0.25">
      <c r="A523" s="1" t="str">
        <f ca="1">IF(ROW()&lt;=Results!$C$1+1,INDEX(Data!$A:$A,CEILING((COUNTA(Data!$A:$A)-1)*RAND()+1,1)),"")</f>
        <v/>
      </c>
      <c r="B523" s="1" t="str">
        <f>IF(ROW()&lt;=Results!$C$1+1,VLOOKUP($A523,Data!$A$2:$C$117,2,TRUE),"")</f>
        <v/>
      </c>
      <c r="C523" s="14" t="str">
        <f>IF(ROW()&lt;=Results!$C$1+1,IF(B523&lt;=0,"",LN(B523)),"")</f>
        <v/>
      </c>
      <c r="D523" s="58" t="str">
        <f ca="1">IF(Results!$S$5,A523,IF(ROW()&lt;=Results!$C$1+1,INDEX(Data!$A:$A,CEILING((COUNTA(Data!$A:$A)-1)*RAND()+1,1)),""))</f>
        <v/>
      </c>
      <c r="E523" s="1" t="str">
        <f>IF(ROW()&lt;=Results!$C$1+1,VLOOKUP($D523,Data!$A$2:$C$117,3,TRUE),"")</f>
        <v/>
      </c>
      <c r="F523" s="14" t="str">
        <f>IF(ROW()&lt;=Results!$C$1+1,IF(E523&lt;=0,"",LN(E523)),"")</f>
        <v/>
      </c>
      <c r="G523" s="53" t="str">
        <f>IF(ROW()&lt;=Results!$C$1+1,IF(ISERROR(C523-F523),"",C523-F523),"")</f>
        <v/>
      </c>
    </row>
    <row r="524" spans="1:7" x14ac:dyDescent="0.25">
      <c r="A524" s="1" t="str">
        <f ca="1">IF(ROW()&lt;=Results!$C$1+1,INDEX(Data!$A:$A,CEILING((COUNTA(Data!$A:$A)-1)*RAND()+1,1)),"")</f>
        <v/>
      </c>
      <c r="B524" s="1" t="str">
        <f>IF(ROW()&lt;=Results!$C$1+1,VLOOKUP($A524,Data!$A$2:$C$117,2,TRUE),"")</f>
        <v/>
      </c>
      <c r="C524" s="14" t="str">
        <f>IF(ROW()&lt;=Results!$C$1+1,IF(B524&lt;=0,"",LN(B524)),"")</f>
        <v/>
      </c>
      <c r="D524" s="58" t="str">
        <f ca="1">IF(Results!$S$5,A524,IF(ROW()&lt;=Results!$C$1+1,INDEX(Data!$A:$A,CEILING((COUNTA(Data!$A:$A)-1)*RAND()+1,1)),""))</f>
        <v/>
      </c>
      <c r="E524" s="1" t="str">
        <f>IF(ROW()&lt;=Results!$C$1+1,VLOOKUP($D524,Data!$A$2:$C$117,3,TRUE),"")</f>
        <v/>
      </c>
      <c r="F524" s="14" t="str">
        <f>IF(ROW()&lt;=Results!$C$1+1,IF(E524&lt;=0,"",LN(E524)),"")</f>
        <v/>
      </c>
      <c r="G524" s="53" t="str">
        <f>IF(ROW()&lt;=Results!$C$1+1,IF(ISERROR(C524-F524),"",C524-F524),"")</f>
        <v/>
      </c>
    </row>
    <row r="525" spans="1:7" x14ac:dyDescent="0.25">
      <c r="A525" s="1" t="str">
        <f ca="1">IF(ROW()&lt;=Results!$C$1+1,INDEX(Data!$A:$A,CEILING((COUNTA(Data!$A:$A)-1)*RAND()+1,1)),"")</f>
        <v/>
      </c>
      <c r="B525" s="1" t="str">
        <f>IF(ROW()&lt;=Results!$C$1+1,VLOOKUP($A525,Data!$A$2:$C$117,2,TRUE),"")</f>
        <v/>
      </c>
      <c r="C525" s="14" t="str">
        <f>IF(ROW()&lt;=Results!$C$1+1,IF(B525&lt;=0,"",LN(B525)),"")</f>
        <v/>
      </c>
      <c r="D525" s="58" t="str">
        <f ca="1">IF(Results!$S$5,A525,IF(ROW()&lt;=Results!$C$1+1,INDEX(Data!$A:$A,CEILING((COUNTA(Data!$A:$A)-1)*RAND()+1,1)),""))</f>
        <v/>
      </c>
      <c r="E525" s="1" t="str">
        <f>IF(ROW()&lt;=Results!$C$1+1,VLOOKUP($D525,Data!$A$2:$C$117,3,TRUE),"")</f>
        <v/>
      </c>
      <c r="F525" s="14" t="str">
        <f>IF(ROW()&lt;=Results!$C$1+1,IF(E525&lt;=0,"",LN(E525)),"")</f>
        <v/>
      </c>
      <c r="G525" s="53" t="str">
        <f>IF(ROW()&lt;=Results!$C$1+1,IF(ISERROR(C525-F525),"",C525-F525),"")</f>
        <v/>
      </c>
    </row>
    <row r="526" spans="1:7" x14ac:dyDescent="0.25">
      <c r="A526" s="1" t="str">
        <f ca="1">IF(ROW()&lt;=Results!$C$1+1,INDEX(Data!$A:$A,CEILING((COUNTA(Data!$A:$A)-1)*RAND()+1,1)),"")</f>
        <v/>
      </c>
      <c r="B526" s="1" t="str">
        <f>IF(ROW()&lt;=Results!$C$1+1,VLOOKUP($A526,Data!$A$2:$C$117,2,TRUE),"")</f>
        <v/>
      </c>
      <c r="C526" s="14" t="str">
        <f>IF(ROW()&lt;=Results!$C$1+1,IF(B526&lt;=0,"",LN(B526)),"")</f>
        <v/>
      </c>
      <c r="D526" s="58" t="str">
        <f ca="1">IF(Results!$S$5,A526,IF(ROW()&lt;=Results!$C$1+1,INDEX(Data!$A:$A,CEILING((COUNTA(Data!$A:$A)-1)*RAND()+1,1)),""))</f>
        <v/>
      </c>
      <c r="E526" s="1" t="str">
        <f>IF(ROW()&lt;=Results!$C$1+1,VLOOKUP($D526,Data!$A$2:$C$117,3,TRUE),"")</f>
        <v/>
      </c>
      <c r="F526" s="14" t="str">
        <f>IF(ROW()&lt;=Results!$C$1+1,IF(E526&lt;=0,"",LN(E526)),"")</f>
        <v/>
      </c>
      <c r="G526" s="53" t="str">
        <f>IF(ROW()&lt;=Results!$C$1+1,IF(ISERROR(C526-F526),"",C526-F526),"")</f>
        <v/>
      </c>
    </row>
    <row r="527" spans="1:7" x14ac:dyDescent="0.25">
      <c r="A527" s="1" t="str">
        <f ca="1">IF(ROW()&lt;=Results!$C$1+1,INDEX(Data!$A:$A,CEILING((COUNTA(Data!$A:$A)-1)*RAND()+1,1)),"")</f>
        <v/>
      </c>
      <c r="B527" s="1" t="str">
        <f>IF(ROW()&lt;=Results!$C$1+1,VLOOKUP($A527,Data!$A$2:$C$117,2,TRUE),"")</f>
        <v/>
      </c>
      <c r="C527" s="14" t="str">
        <f>IF(ROW()&lt;=Results!$C$1+1,IF(B527&lt;=0,"",LN(B527)),"")</f>
        <v/>
      </c>
      <c r="D527" s="58" t="str">
        <f ca="1">IF(Results!$S$5,A527,IF(ROW()&lt;=Results!$C$1+1,INDEX(Data!$A:$A,CEILING((COUNTA(Data!$A:$A)-1)*RAND()+1,1)),""))</f>
        <v/>
      </c>
      <c r="E527" s="1" t="str">
        <f>IF(ROW()&lt;=Results!$C$1+1,VLOOKUP($D527,Data!$A$2:$C$117,3,TRUE),"")</f>
        <v/>
      </c>
      <c r="F527" s="14" t="str">
        <f>IF(ROW()&lt;=Results!$C$1+1,IF(E527&lt;=0,"",LN(E527)),"")</f>
        <v/>
      </c>
      <c r="G527" s="53" t="str">
        <f>IF(ROW()&lt;=Results!$C$1+1,IF(ISERROR(C527-F527),"",C527-F527),"")</f>
        <v/>
      </c>
    </row>
    <row r="528" spans="1:7" x14ac:dyDescent="0.25">
      <c r="A528" s="1" t="str">
        <f ca="1">IF(ROW()&lt;=Results!$C$1+1,INDEX(Data!$A:$A,CEILING((COUNTA(Data!$A:$A)-1)*RAND()+1,1)),"")</f>
        <v/>
      </c>
      <c r="B528" s="1" t="str">
        <f>IF(ROW()&lt;=Results!$C$1+1,VLOOKUP($A528,Data!$A$2:$C$117,2,TRUE),"")</f>
        <v/>
      </c>
      <c r="C528" s="14" t="str">
        <f>IF(ROW()&lt;=Results!$C$1+1,IF(B528&lt;=0,"",LN(B528)),"")</f>
        <v/>
      </c>
      <c r="D528" s="58" t="str">
        <f ca="1">IF(Results!$S$5,A528,IF(ROW()&lt;=Results!$C$1+1,INDEX(Data!$A:$A,CEILING((COUNTA(Data!$A:$A)-1)*RAND()+1,1)),""))</f>
        <v/>
      </c>
      <c r="E528" s="1" t="str">
        <f>IF(ROW()&lt;=Results!$C$1+1,VLOOKUP($D528,Data!$A$2:$C$117,3,TRUE),"")</f>
        <v/>
      </c>
      <c r="F528" s="14" t="str">
        <f>IF(ROW()&lt;=Results!$C$1+1,IF(E528&lt;=0,"",LN(E528)),"")</f>
        <v/>
      </c>
      <c r="G528" s="53" t="str">
        <f>IF(ROW()&lt;=Results!$C$1+1,IF(ISERROR(C528-F528),"",C528-F528),"")</f>
        <v/>
      </c>
    </row>
    <row r="529" spans="1:7" x14ac:dyDescent="0.25">
      <c r="A529" s="1" t="str">
        <f ca="1">IF(ROW()&lt;=Results!$C$1+1,INDEX(Data!$A:$A,CEILING((COUNTA(Data!$A:$A)-1)*RAND()+1,1)),"")</f>
        <v/>
      </c>
      <c r="B529" s="1" t="str">
        <f>IF(ROW()&lt;=Results!$C$1+1,VLOOKUP($A529,Data!$A$2:$C$117,2,TRUE),"")</f>
        <v/>
      </c>
      <c r="C529" s="14" t="str">
        <f>IF(ROW()&lt;=Results!$C$1+1,IF(B529&lt;=0,"",LN(B529)),"")</f>
        <v/>
      </c>
      <c r="D529" s="58" t="str">
        <f ca="1">IF(Results!$S$5,A529,IF(ROW()&lt;=Results!$C$1+1,INDEX(Data!$A:$A,CEILING((COUNTA(Data!$A:$A)-1)*RAND()+1,1)),""))</f>
        <v/>
      </c>
      <c r="E529" s="1" t="str">
        <f>IF(ROW()&lt;=Results!$C$1+1,VLOOKUP($D529,Data!$A$2:$C$117,3,TRUE),"")</f>
        <v/>
      </c>
      <c r="F529" s="14" t="str">
        <f>IF(ROW()&lt;=Results!$C$1+1,IF(E529&lt;=0,"",LN(E529)),"")</f>
        <v/>
      </c>
      <c r="G529" s="53" t="str">
        <f>IF(ROW()&lt;=Results!$C$1+1,IF(ISERROR(C529-F529),"",C529-F529),"")</f>
        <v/>
      </c>
    </row>
    <row r="530" spans="1:7" x14ac:dyDescent="0.25">
      <c r="A530" s="1" t="str">
        <f ca="1">IF(ROW()&lt;=Results!$C$1+1,INDEX(Data!$A:$A,CEILING((COUNTA(Data!$A:$A)-1)*RAND()+1,1)),"")</f>
        <v/>
      </c>
      <c r="B530" s="1" t="str">
        <f>IF(ROW()&lt;=Results!$C$1+1,VLOOKUP($A530,Data!$A$2:$C$117,2,TRUE),"")</f>
        <v/>
      </c>
      <c r="C530" s="14" t="str">
        <f>IF(ROW()&lt;=Results!$C$1+1,IF(B530&lt;=0,"",LN(B530)),"")</f>
        <v/>
      </c>
      <c r="D530" s="58" t="str">
        <f ca="1">IF(Results!$S$5,A530,IF(ROW()&lt;=Results!$C$1+1,INDEX(Data!$A:$A,CEILING((COUNTA(Data!$A:$A)-1)*RAND()+1,1)),""))</f>
        <v/>
      </c>
      <c r="E530" s="1" t="str">
        <f>IF(ROW()&lt;=Results!$C$1+1,VLOOKUP($D530,Data!$A$2:$C$117,3,TRUE),"")</f>
        <v/>
      </c>
      <c r="F530" s="14" t="str">
        <f>IF(ROW()&lt;=Results!$C$1+1,IF(E530&lt;=0,"",LN(E530)),"")</f>
        <v/>
      </c>
      <c r="G530" s="53" t="str">
        <f>IF(ROW()&lt;=Results!$C$1+1,IF(ISERROR(C530-F530),"",C530-F530),"")</f>
        <v/>
      </c>
    </row>
    <row r="531" spans="1:7" x14ac:dyDescent="0.25">
      <c r="A531" s="1" t="str">
        <f ca="1">IF(ROW()&lt;=Results!$C$1+1,INDEX(Data!$A:$A,CEILING((COUNTA(Data!$A:$A)-1)*RAND()+1,1)),"")</f>
        <v/>
      </c>
      <c r="B531" s="1" t="str">
        <f>IF(ROW()&lt;=Results!$C$1+1,VLOOKUP($A531,Data!$A$2:$C$117,2,TRUE),"")</f>
        <v/>
      </c>
      <c r="C531" s="14" t="str">
        <f>IF(ROW()&lt;=Results!$C$1+1,IF(B531&lt;=0,"",LN(B531)),"")</f>
        <v/>
      </c>
      <c r="D531" s="58" t="str">
        <f ca="1">IF(Results!$S$5,A531,IF(ROW()&lt;=Results!$C$1+1,INDEX(Data!$A:$A,CEILING((COUNTA(Data!$A:$A)-1)*RAND()+1,1)),""))</f>
        <v/>
      </c>
      <c r="E531" s="1" t="str">
        <f>IF(ROW()&lt;=Results!$C$1+1,VLOOKUP($D531,Data!$A$2:$C$117,3,TRUE),"")</f>
        <v/>
      </c>
      <c r="F531" s="14" t="str">
        <f>IF(ROW()&lt;=Results!$C$1+1,IF(E531&lt;=0,"",LN(E531)),"")</f>
        <v/>
      </c>
      <c r="G531" s="53" t="str">
        <f>IF(ROW()&lt;=Results!$C$1+1,IF(ISERROR(C531-F531),"",C531-F531),"")</f>
        <v/>
      </c>
    </row>
    <row r="532" spans="1:7" x14ac:dyDescent="0.25">
      <c r="A532" s="1" t="str">
        <f ca="1">IF(ROW()&lt;=Results!$C$1+1,INDEX(Data!$A:$A,CEILING((COUNTA(Data!$A:$A)-1)*RAND()+1,1)),"")</f>
        <v/>
      </c>
      <c r="B532" s="1" t="str">
        <f>IF(ROW()&lt;=Results!$C$1+1,VLOOKUP($A532,Data!$A$2:$C$117,2,TRUE),"")</f>
        <v/>
      </c>
      <c r="C532" s="14" t="str">
        <f>IF(ROW()&lt;=Results!$C$1+1,IF(B532&lt;=0,"",LN(B532)),"")</f>
        <v/>
      </c>
      <c r="D532" s="58" t="str">
        <f ca="1">IF(Results!$S$5,A532,IF(ROW()&lt;=Results!$C$1+1,INDEX(Data!$A:$A,CEILING((COUNTA(Data!$A:$A)-1)*RAND()+1,1)),""))</f>
        <v/>
      </c>
      <c r="E532" s="1" t="str">
        <f>IF(ROW()&lt;=Results!$C$1+1,VLOOKUP($D532,Data!$A$2:$C$117,3,TRUE),"")</f>
        <v/>
      </c>
      <c r="F532" s="14" t="str">
        <f>IF(ROW()&lt;=Results!$C$1+1,IF(E532&lt;=0,"",LN(E532)),"")</f>
        <v/>
      </c>
      <c r="G532" s="53" t="str">
        <f>IF(ROW()&lt;=Results!$C$1+1,IF(ISERROR(C532-F532),"",C532-F532),"")</f>
        <v/>
      </c>
    </row>
    <row r="533" spans="1:7" x14ac:dyDescent="0.25">
      <c r="A533" s="1" t="str">
        <f ca="1">IF(ROW()&lt;=Results!$C$1+1,INDEX(Data!$A:$A,CEILING((COUNTA(Data!$A:$A)-1)*RAND()+1,1)),"")</f>
        <v/>
      </c>
      <c r="B533" s="1" t="str">
        <f>IF(ROW()&lt;=Results!$C$1+1,VLOOKUP($A533,Data!$A$2:$C$117,2,TRUE),"")</f>
        <v/>
      </c>
      <c r="C533" s="14" t="str">
        <f>IF(ROW()&lt;=Results!$C$1+1,IF(B533&lt;=0,"",LN(B533)),"")</f>
        <v/>
      </c>
      <c r="D533" s="58" t="str">
        <f ca="1">IF(Results!$S$5,A533,IF(ROW()&lt;=Results!$C$1+1,INDEX(Data!$A:$A,CEILING((COUNTA(Data!$A:$A)-1)*RAND()+1,1)),""))</f>
        <v/>
      </c>
      <c r="E533" s="1" t="str">
        <f>IF(ROW()&lt;=Results!$C$1+1,VLOOKUP($D533,Data!$A$2:$C$117,3,TRUE),"")</f>
        <v/>
      </c>
      <c r="F533" s="14" t="str">
        <f>IF(ROW()&lt;=Results!$C$1+1,IF(E533&lt;=0,"",LN(E533)),"")</f>
        <v/>
      </c>
      <c r="G533" s="53" t="str">
        <f>IF(ROW()&lt;=Results!$C$1+1,IF(ISERROR(C533-F533),"",C533-F533),"")</f>
        <v/>
      </c>
    </row>
    <row r="534" spans="1:7" x14ac:dyDescent="0.25">
      <c r="A534" s="1" t="str">
        <f ca="1">IF(ROW()&lt;=Results!$C$1+1,INDEX(Data!$A:$A,CEILING((COUNTA(Data!$A:$A)-1)*RAND()+1,1)),"")</f>
        <v/>
      </c>
      <c r="B534" s="1" t="str">
        <f>IF(ROW()&lt;=Results!$C$1+1,VLOOKUP($A534,Data!$A$2:$C$117,2,TRUE),"")</f>
        <v/>
      </c>
      <c r="C534" s="14" t="str">
        <f>IF(ROW()&lt;=Results!$C$1+1,IF(B534&lt;=0,"",LN(B534)),"")</f>
        <v/>
      </c>
      <c r="D534" s="58" t="str">
        <f ca="1">IF(Results!$S$5,A534,IF(ROW()&lt;=Results!$C$1+1,INDEX(Data!$A:$A,CEILING((COUNTA(Data!$A:$A)-1)*RAND()+1,1)),""))</f>
        <v/>
      </c>
      <c r="E534" s="1" t="str">
        <f>IF(ROW()&lt;=Results!$C$1+1,VLOOKUP($D534,Data!$A$2:$C$117,3,TRUE),"")</f>
        <v/>
      </c>
      <c r="F534" s="14" t="str">
        <f>IF(ROW()&lt;=Results!$C$1+1,IF(E534&lt;=0,"",LN(E534)),"")</f>
        <v/>
      </c>
      <c r="G534" s="53" t="str">
        <f>IF(ROW()&lt;=Results!$C$1+1,IF(ISERROR(C534-F534),"",C534-F534),"")</f>
        <v/>
      </c>
    </row>
    <row r="535" spans="1:7" x14ac:dyDescent="0.25">
      <c r="A535" s="1" t="str">
        <f ca="1">IF(ROW()&lt;=Results!$C$1+1,INDEX(Data!$A:$A,CEILING((COUNTA(Data!$A:$A)-1)*RAND()+1,1)),"")</f>
        <v/>
      </c>
      <c r="B535" s="1" t="str">
        <f>IF(ROW()&lt;=Results!$C$1+1,VLOOKUP($A535,Data!$A$2:$C$117,2,TRUE),"")</f>
        <v/>
      </c>
      <c r="C535" s="14" t="str">
        <f>IF(ROW()&lt;=Results!$C$1+1,IF(B535&lt;=0,"",LN(B535)),"")</f>
        <v/>
      </c>
      <c r="D535" s="58" t="str">
        <f ca="1">IF(Results!$S$5,A535,IF(ROW()&lt;=Results!$C$1+1,INDEX(Data!$A:$A,CEILING((COUNTA(Data!$A:$A)-1)*RAND()+1,1)),""))</f>
        <v/>
      </c>
      <c r="E535" s="1" t="str">
        <f>IF(ROW()&lt;=Results!$C$1+1,VLOOKUP($D535,Data!$A$2:$C$117,3,TRUE),"")</f>
        <v/>
      </c>
      <c r="F535" s="14" t="str">
        <f>IF(ROW()&lt;=Results!$C$1+1,IF(E535&lt;=0,"",LN(E535)),"")</f>
        <v/>
      </c>
      <c r="G535" s="53" t="str">
        <f>IF(ROW()&lt;=Results!$C$1+1,IF(ISERROR(C535-F535),"",C535-F535),"")</f>
        <v/>
      </c>
    </row>
    <row r="536" spans="1:7" x14ac:dyDescent="0.25">
      <c r="A536" s="1" t="str">
        <f ca="1">IF(ROW()&lt;=Results!$C$1+1,INDEX(Data!$A:$A,CEILING((COUNTA(Data!$A:$A)-1)*RAND()+1,1)),"")</f>
        <v/>
      </c>
      <c r="B536" s="1" t="str">
        <f>IF(ROW()&lt;=Results!$C$1+1,VLOOKUP($A536,Data!$A$2:$C$117,2,TRUE),"")</f>
        <v/>
      </c>
      <c r="C536" s="14" t="str">
        <f>IF(ROW()&lt;=Results!$C$1+1,IF(B536&lt;=0,"",LN(B536)),"")</f>
        <v/>
      </c>
      <c r="D536" s="58" t="str">
        <f ca="1">IF(Results!$S$5,A536,IF(ROW()&lt;=Results!$C$1+1,INDEX(Data!$A:$A,CEILING((COUNTA(Data!$A:$A)-1)*RAND()+1,1)),""))</f>
        <v/>
      </c>
      <c r="E536" s="1" t="str">
        <f>IF(ROW()&lt;=Results!$C$1+1,VLOOKUP($D536,Data!$A$2:$C$117,3,TRUE),"")</f>
        <v/>
      </c>
      <c r="F536" s="14" t="str">
        <f>IF(ROW()&lt;=Results!$C$1+1,IF(E536&lt;=0,"",LN(E536)),"")</f>
        <v/>
      </c>
      <c r="G536" s="53" t="str">
        <f>IF(ROW()&lt;=Results!$C$1+1,IF(ISERROR(C536-F536),"",C536-F536),"")</f>
        <v/>
      </c>
    </row>
    <row r="537" spans="1:7" x14ac:dyDescent="0.25">
      <c r="A537" s="1" t="str">
        <f ca="1">IF(ROW()&lt;=Results!$C$1+1,INDEX(Data!$A:$A,CEILING((COUNTA(Data!$A:$A)-1)*RAND()+1,1)),"")</f>
        <v/>
      </c>
      <c r="B537" s="1" t="str">
        <f>IF(ROW()&lt;=Results!$C$1+1,VLOOKUP($A537,Data!$A$2:$C$117,2,TRUE),"")</f>
        <v/>
      </c>
      <c r="C537" s="14" t="str">
        <f>IF(ROW()&lt;=Results!$C$1+1,IF(B537&lt;=0,"",LN(B537)),"")</f>
        <v/>
      </c>
      <c r="D537" s="58" t="str">
        <f ca="1">IF(Results!$S$5,A537,IF(ROW()&lt;=Results!$C$1+1,INDEX(Data!$A:$A,CEILING((COUNTA(Data!$A:$A)-1)*RAND()+1,1)),""))</f>
        <v/>
      </c>
      <c r="E537" s="1" t="str">
        <f>IF(ROW()&lt;=Results!$C$1+1,VLOOKUP($D537,Data!$A$2:$C$117,3,TRUE),"")</f>
        <v/>
      </c>
      <c r="F537" s="14" t="str">
        <f>IF(ROW()&lt;=Results!$C$1+1,IF(E537&lt;=0,"",LN(E537)),"")</f>
        <v/>
      </c>
      <c r="G537" s="53" t="str">
        <f>IF(ROW()&lt;=Results!$C$1+1,IF(ISERROR(C537-F537),"",C537-F537),"")</f>
        <v/>
      </c>
    </row>
    <row r="538" spans="1:7" x14ac:dyDescent="0.25">
      <c r="A538" s="1" t="str">
        <f ca="1">IF(ROW()&lt;=Results!$C$1+1,INDEX(Data!$A:$A,CEILING((COUNTA(Data!$A:$A)-1)*RAND()+1,1)),"")</f>
        <v/>
      </c>
      <c r="B538" s="1" t="str">
        <f>IF(ROW()&lt;=Results!$C$1+1,VLOOKUP($A538,Data!$A$2:$C$117,2,TRUE),"")</f>
        <v/>
      </c>
      <c r="C538" s="14" t="str">
        <f>IF(ROW()&lt;=Results!$C$1+1,IF(B538&lt;=0,"",LN(B538)),"")</f>
        <v/>
      </c>
      <c r="D538" s="58" t="str">
        <f ca="1">IF(Results!$S$5,A538,IF(ROW()&lt;=Results!$C$1+1,INDEX(Data!$A:$A,CEILING((COUNTA(Data!$A:$A)-1)*RAND()+1,1)),""))</f>
        <v/>
      </c>
      <c r="E538" s="1" t="str">
        <f>IF(ROW()&lt;=Results!$C$1+1,VLOOKUP($D538,Data!$A$2:$C$117,3,TRUE),"")</f>
        <v/>
      </c>
      <c r="F538" s="14" t="str">
        <f>IF(ROW()&lt;=Results!$C$1+1,IF(E538&lt;=0,"",LN(E538)),"")</f>
        <v/>
      </c>
      <c r="G538" s="53" t="str">
        <f>IF(ROW()&lt;=Results!$C$1+1,IF(ISERROR(C538-F538),"",C538-F538),"")</f>
        <v/>
      </c>
    </row>
    <row r="539" spans="1:7" x14ac:dyDescent="0.25">
      <c r="A539" s="1" t="str">
        <f ca="1">IF(ROW()&lt;=Results!$C$1+1,INDEX(Data!$A:$A,CEILING((COUNTA(Data!$A:$A)-1)*RAND()+1,1)),"")</f>
        <v/>
      </c>
      <c r="B539" s="1" t="str">
        <f>IF(ROW()&lt;=Results!$C$1+1,VLOOKUP($A539,Data!$A$2:$C$117,2,TRUE),"")</f>
        <v/>
      </c>
      <c r="C539" s="14" t="str">
        <f>IF(ROW()&lt;=Results!$C$1+1,IF(B539&lt;=0,"",LN(B539)),"")</f>
        <v/>
      </c>
      <c r="D539" s="58" t="str">
        <f ca="1">IF(Results!$S$5,A539,IF(ROW()&lt;=Results!$C$1+1,INDEX(Data!$A:$A,CEILING((COUNTA(Data!$A:$A)-1)*RAND()+1,1)),""))</f>
        <v/>
      </c>
      <c r="E539" s="1" t="str">
        <f>IF(ROW()&lt;=Results!$C$1+1,VLOOKUP($D539,Data!$A$2:$C$117,3,TRUE),"")</f>
        <v/>
      </c>
      <c r="F539" s="14" t="str">
        <f>IF(ROW()&lt;=Results!$C$1+1,IF(E539&lt;=0,"",LN(E539)),"")</f>
        <v/>
      </c>
      <c r="G539" s="53" t="str">
        <f>IF(ROW()&lt;=Results!$C$1+1,IF(ISERROR(C539-F539),"",C539-F539),"")</f>
        <v/>
      </c>
    </row>
    <row r="540" spans="1:7" x14ac:dyDescent="0.25">
      <c r="A540" s="1" t="str">
        <f ca="1">IF(ROW()&lt;=Results!$C$1+1,INDEX(Data!$A:$A,CEILING((COUNTA(Data!$A:$A)-1)*RAND()+1,1)),"")</f>
        <v/>
      </c>
      <c r="B540" s="1" t="str">
        <f>IF(ROW()&lt;=Results!$C$1+1,VLOOKUP($A540,Data!$A$2:$C$117,2,TRUE),"")</f>
        <v/>
      </c>
      <c r="C540" s="14" t="str">
        <f>IF(ROW()&lt;=Results!$C$1+1,IF(B540&lt;=0,"",LN(B540)),"")</f>
        <v/>
      </c>
      <c r="D540" s="58" t="str">
        <f ca="1">IF(Results!$S$5,A540,IF(ROW()&lt;=Results!$C$1+1,INDEX(Data!$A:$A,CEILING((COUNTA(Data!$A:$A)-1)*RAND()+1,1)),""))</f>
        <v/>
      </c>
      <c r="E540" s="1" t="str">
        <f>IF(ROW()&lt;=Results!$C$1+1,VLOOKUP($D540,Data!$A$2:$C$117,3,TRUE),"")</f>
        <v/>
      </c>
      <c r="F540" s="14" t="str">
        <f>IF(ROW()&lt;=Results!$C$1+1,IF(E540&lt;=0,"",LN(E540)),"")</f>
        <v/>
      </c>
      <c r="G540" s="53" t="str">
        <f>IF(ROW()&lt;=Results!$C$1+1,IF(ISERROR(C540-F540),"",C540-F540),"")</f>
        <v/>
      </c>
    </row>
    <row r="541" spans="1:7" x14ac:dyDescent="0.25">
      <c r="A541" s="1" t="str">
        <f ca="1">IF(ROW()&lt;=Results!$C$1+1,INDEX(Data!$A:$A,CEILING((COUNTA(Data!$A:$A)-1)*RAND()+1,1)),"")</f>
        <v/>
      </c>
      <c r="B541" s="1" t="str">
        <f>IF(ROW()&lt;=Results!$C$1+1,VLOOKUP($A541,Data!$A$2:$C$117,2,TRUE),"")</f>
        <v/>
      </c>
      <c r="C541" s="14" t="str">
        <f>IF(ROW()&lt;=Results!$C$1+1,IF(B541&lt;=0,"",LN(B541)),"")</f>
        <v/>
      </c>
      <c r="D541" s="58" t="str">
        <f ca="1">IF(Results!$S$5,A541,IF(ROW()&lt;=Results!$C$1+1,INDEX(Data!$A:$A,CEILING((COUNTA(Data!$A:$A)-1)*RAND()+1,1)),""))</f>
        <v/>
      </c>
      <c r="E541" s="1" t="str">
        <f>IF(ROW()&lt;=Results!$C$1+1,VLOOKUP($D541,Data!$A$2:$C$117,3,TRUE),"")</f>
        <v/>
      </c>
      <c r="F541" s="14" t="str">
        <f>IF(ROW()&lt;=Results!$C$1+1,IF(E541&lt;=0,"",LN(E541)),"")</f>
        <v/>
      </c>
      <c r="G541" s="53" t="str">
        <f>IF(ROW()&lt;=Results!$C$1+1,IF(ISERROR(C541-F541),"",C541-F541),"")</f>
        <v/>
      </c>
    </row>
    <row r="542" spans="1:7" x14ac:dyDescent="0.25">
      <c r="A542" s="1" t="str">
        <f ca="1">IF(ROW()&lt;=Results!$C$1+1,INDEX(Data!$A:$A,CEILING((COUNTA(Data!$A:$A)-1)*RAND()+1,1)),"")</f>
        <v/>
      </c>
      <c r="B542" s="1" t="str">
        <f>IF(ROW()&lt;=Results!$C$1+1,VLOOKUP($A542,Data!$A$2:$C$117,2,TRUE),"")</f>
        <v/>
      </c>
      <c r="C542" s="14" t="str">
        <f>IF(ROW()&lt;=Results!$C$1+1,IF(B542&lt;=0,"",LN(B542)),"")</f>
        <v/>
      </c>
      <c r="D542" s="58" t="str">
        <f ca="1">IF(Results!$S$5,A542,IF(ROW()&lt;=Results!$C$1+1,INDEX(Data!$A:$A,CEILING((COUNTA(Data!$A:$A)-1)*RAND()+1,1)),""))</f>
        <v/>
      </c>
      <c r="E542" s="1" t="str">
        <f>IF(ROW()&lt;=Results!$C$1+1,VLOOKUP($D542,Data!$A$2:$C$117,3,TRUE),"")</f>
        <v/>
      </c>
      <c r="F542" s="14" t="str">
        <f>IF(ROW()&lt;=Results!$C$1+1,IF(E542&lt;=0,"",LN(E542)),"")</f>
        <v/>
      </c>
      <c r="G542" s="53" t="str">
        <f>IF(ROW()&lt;=Results!$C$1+1,IF(ISERROR(C542-F542),"",C542-F542),"")</f>
        <v/>
      </c>
    </row>
    <row r="543" spans="1:7" x14ac:dyDescent="0.25">
      <c r="A543" s="1" t="str">
        <f ca="1">IF(ROW()&lt;=Results!$C$1+1,INDEX(Data!$A:$A,CEILING((COUNTA(Data!$A:$A)-1)*RAND()+1,1)),"")</f>
        <v/>
      </c>
      <c r="B543" s="1" t="str">
        <f>IF(ROW()&lt;=Results!$C$1+1,VLOOKUP($A543,Data!$A$2:$C$117,2,TRUE),"")</f>
        <v/>
      </c>
      <c r="C543" s="14" t="str">
        <f>IF(ROW()&lt;=Results!$C$1+1,IF(B543&lt;=0,"",LN(B543)),"")</f>
        <v/>
      </c>
      <c r="D543" s="58" t="str">
        <f ca="1">IF(Results!$S$5,A543,IF(ROW()&lt;=Results!$C$1+1,INDEX(Data!$A:$A,CEILING((COUNTA(Data!$A:$A)-1)*RAND()+1,1)),""))</f>
        <v/>
      </c>
      <c r="E543" s="1" t="str">
        <f>IF(ROW()&lt;=Results!$C$1+1,VLOOKUP($D543,Data!$A$2:$C$117,3,TRUE),"")</f>
        <v/>
      </c>
      <c r="F543" s="14" t="str">
        <f>IF(ROW()&lt;=Results!$C$1+1,IF(E543&lt;=0,"",LN(E543)),"")</f>
        <v/>
      </c>
      <c r="G543" s="53" t="str">
        <f>IF(ROW()&lt;=Results!$C$1+1,IF(ISERROR(C543-F543),"",C543-F543),"")</f>
        <v/>
      </c>
    </row>
    <row r="544" spans="1:7" x14ac:dyDescent="0.25">
      <c r="A544" s="1" t="str">
        <f ca="1">IF(ROW()&lt;=Results!$C$1+1,INDEX(Data!$A:$A,CEILING((COUNTA(Data!$A:$A)-1)*RAND()+1,1)),"")</f>
        <v/>
      </c>
      <c r="B544" s="1" t="str">
        <f>IF(ROW()&lt;=Results!$C$1+1,VLOOKUP($A544,Data!$A$2:$C$117,2,TRUE),"")</f>
        <v/>
      </c>
      <c r="C544" s="14" t="str">
        <f>IF(ROW()&lt;=Results!$C$1+1,IF(B544&lt;=0,"",LN(B544)),"")</f>
        <v/>
      </c>
      <c r="D544" s="58" t="str">
        <f ca="1">IF(Results!$S$5,A544,IF(ROW()&lt;=Results!$C$1+1,INDEX(Data!$A:$A,CEILING((COUNTA(Data!$A:$A)-1)*RAND()+1,1)),""))</f>
        <v/>
      </c>
      <c r="E544" s="1" t="str">
        <f>IF(ROW()&lt;=Results!$C$1+1,VLOOKUP($D544,Data!$A$2:$C$117,3,TRUE),"")</f>
        <v/>
      </c>
      <c r="F544" s="14" t="str">
        <f>IF(ROW()&lt;=Results!$C$1+1,IF(E544&lt;=0,"",LN(E544)),"")</f>
        <v/>
      </c>
      <c r="G544" s="53" t="str">
        <f>IF(ROW()&lt;=Results!$C$1+1,IF(ISERROR(C544-F544),"",C544-F544),"")</f>
        <v/>
      </c>
    </row>
    <row r="545" spans="1:7" x14ac:dyDescent="0.25">
      <c r="A545" s="1" t="str">
        <f ca="1">IF(ROW()&lt;=Results!$C$1+1,INDEX(Data!$A:$A,CEILING((COUNTA(Data!$A:$A)-1)*RAND()+1,1)),"")</f>
        <v/>
      </c>
      <c r="B545" s="1" t="str">
        <f>IF(ROW()&lt;=Results!$C$1+1,VLOOKUP($A545,Data!$A$2:$C$117,2,TRUE),"")</f>
        <v/>
      </c>
      <c r="C545" s="14" t="str">
        <f>IF(ROW()&lt;=Results!$C$1+1,IF(B545&lt;=0,"",LN(B545)),"")</f>
        <v/>
      </c>
      <c r="D545" s="58" t="str">
        <f ca="1">IF(Results!$S$5,A545,IF(ROW()&lt;=Results!$C$1+1,INDEX(Data!$A:$A,CEILING((COUNTA(Data!$A:$A)-1)*RAND()+1,1)),""))</f>
        <v/>
      </c>
      <c r="E545" s="1" t="str">
        <f>IF(ROW()&lt;=Results!$C$1+1,VLOOKUP($D545,Data!$A$2:$C$117,3,TRUE),"")</f>
        <v/>
      </c>
      <c r="F545" s="14" t="str">
        <f>IF(ROW()&lt;=Results!$C$1+1,IF(E545&lt;=0,"",LN(E545)),"")</f>
        <v/>
      </c>
      <c r="G545" s="53" t="str">
        <f>IF(ROW()&lt;=Results!$C$1+1,IF(ISERROR(C545-F545),"",C545-F545),"")</f>
        <v/>
      </c>
    </row>
    <row r="546" spans="1:7" x14ac:dyDescent="0.25">
      <c r="A546" s="1" t="str">
        <f ca="1">IF(ROW()&lt;=Results!$C$1+1,INDEX(Data!$A:$A,CEILING((COUNTA(Data!$A:$A)-1)*RAND()+1,1)),"")</f>
        <v/>
      </c>
      <c r="B546" s="1" t="str">
        <f>IF(ROW()&lt;=Results!$C$1+1,VLOOKUP($A546,Data!$A$2:$C$117,2,TRUE),"")</f>
        <v/>
      </c>
      <c r="C546" s="14" t="str">
        <f>IF(ROW()&lt;=Results!$C$1+1,IF(B546&lt;=0,"",LN(B546)),"")</f>
        <v/>
      </c>
      <c r="D546" s="58" t="str">
        <f ca="1">IF(Results!$S$5,A546,IF(ROW()&lt;=Results!$C$1+1,INDEX(Data!$A:$A,CEILING((COUNTA(Data!$A:$A)-1)*RAND()+1,1)),""))</f>
        <v/>
      </c>
      <c r="E546" s="1" t="str">
        <f>IF(ROW()&lt;=Results!$C$1+1,VLOOKUP($D546,Data!$A$2:$C$117,3,TRUE),"")</f>
        <v/>
      </c>
      <c r="F546" s="14" t="str">
        <f>IF(ROW()&lt;=Results!$C$1+1,IF(E546&lt;=0,"",LN(E546)),"")</f>
        <v/>
      </c>
      <c r="G546" s="53" t="str">
        <f>IF(ROW()&lt;=Results!$C$1+1,IF(ISERROR(C546-F546),"",C546-F546),"")</f>
        <v/>
      </c>
    </row>
    <row r="547" spans="1:7" x14ac:dyDescent="0.25">
      <c r="A547" s="1" t="str">
        <f ca="1">IF(ROW()&lt;=Results!$C$1+1,INDEX(Data!$A:$A,CEILING((COUNTA(Data!$A:$A)-1)*RAND()+1,1)),"")</f>
        <v/>
      </c>
      <c r="B547" s="1" t="str">
        <f>IF(ROW()&lt;=Results!$C$1+1,VLOOKUP($A547,Data!$A$2:$C$117,2,TRUE),"")</f>
        <v/>
      </c>
      <c r="C547" s="14" t="str">
        <f>IF(ROW()&lt;=Results!$C$1+1,IF(B547&lt;=0,"",LN(B547)),"")</f>
        <v/>
      </c>
      <c r="D547" s="58" t="str">
        <f ca="1">IF(Results!$S$5,A547,IF(ROW()&lt;=Results!$C$1+1,INDEX(Data!$A:$A,CEILING((COUNTA(Data!$A:$A)-1)*RAND()+1,1)),""))</f>
        <v/>
      </c>
      <c r="E547" s="1" t="str">
        <f>IF(ROW()&lt;=Results!$C$1+1,VLOOKUP($D547,Data!$A$2:$C$117,3,TRUE),"")</f>
        <v/>
      </c>
      <c r="F547" s="14" t="str">
        <f>IF(ROW()&lt;=Results!$C$1+1,IF(E547&lt;=0,"",LN(E547)),"")</f>
        <v/>
      </c>
      <c r="G547" s="53" t="str">
        <f>IF(ROW()&lt;=Results!$C$1+1,IF(ISERROR(C547-F547),"",C547-F547),"")</f>
        <v/>
      </c>
    </row>
    <row r="548" spans="1:7" x14ac:dyDescent="0.25">
      <c r="A548" s="1" t="str">
        <f ca="1">IF(ROW()&lt;=Results!$C$1+1,INDEX(Data!$A:$A,CEILING((COUNTA(Data!$A:$A)-1)*RAND()+1,1)),"")</f>
        <v/>
      </c>
      <c r="B548" s="1" t="str">
        <f>IF(ROW()&lt;=Results!$C$1+1,VLOOKUP($A548,Data!$A$2:$C$117,2,TRUE),"")</f>
        <v/>
      </c>
      <c r="C548" s="14" t="str">
        <f>IF(ROW()&lt;=Results!$C$1+1,IF(B548&lt;=0,"",LN(B548)),"")</f>
        <v/>
      </c>
      <c r="D548" s="58" t="str">
        <f ca="1">IF(Results!$S$5,A548,IF(ROW()&lt;=Results!$C$1+1,INDEX(Data!$A:$A,CEILING((COUNTA(Data!$A:$A)-1)*RAND()+1,1)),""))</f>
        <v/>
      </c>
      <c r="E548" s="1" t="str">
        <f>IF(ROW()&lt;=Results!$C$1+1,VLOOKUP($D548,Data!$A$2:$C$117,3,TRUE),"")</f>
        <v/>
      </c>
      <c r="F548" s="14" t="str">
        <f>IF(ROW()&lt;=Results!$C$1+1,IF(E548&lt;=0,"",LN(E548)),"")</f>
        <v/>
      </c>
      <c r="G548" s="53" t="str">
        <f>IF(ROW()&lt;=Results!$C$1+1,IF(ISERROR(C548-F548),"",C548-F548),"")</f>
        <v/>
      </c>
    </row>
    <row r="549" spans="1:7" x14ac:dyDescent="0.25">
      <c r="A549" s="1" t="str">
        <f ca="1">IF(ROW()&lt;=Results!$C$1+1,INDEX(Data!$A:$A,CEILING((COUNTA(Data!$A:$A)-1)*RAND()+1,1)),"")</f>
        <v/>
      </c>
      <c r="B549" s="1" t="str">
        <f>IF(ROW()&lt;=Results!$C$1+1,VLOOKUP($A549,Data!$A$2:$C$117,2,TRUE),"")</f>
        <v/>
      </c>
      <c r="C549" s="14" t="str">
        <f>IF(ROW()&lt;=Results!$C$1+1,IF(B549&lt;=0,"",LN(B549)),"")</f>
        <v/>
      </c>
      <c r="D549" s="58" t="str">
        <f ca="1">IF(Results!$S$5,A549,IF(ROW()&lt;=Results!$C$1+1,INDEX(Data!$A:$A,CEILING((COUNTA(Data!$A:$A)-1)*RAND()+1,1)),""))</f>
        <v/>
      </c>
      <c r="E549" s="1" t="str">
        <f>IF(ROW()&lt;=Results!$C$1+1,VLOOKUP($D549,Data!$A$2:$C$117,3,TRUE),"")</f>
        <v/>
      </c>
      <c r="F549" s="14" t="str">
        <f>IF(ROW()&lt;=Results!$C$1+1,IF(E549&lt;=0,"",LN(E549)),"")</f>
        <v/>
      </c>
      <c r="G549" s="53" t="str">
        <f>IF(ROW()&lt;=Results!$C$1+1,IF(ISERROR(C549-F549),"",C549-F549),"")</f>
        <v/>
      </c>
    </row>
    <row r="550" spans="1:7" x14ac:dyDescent="0.25">
      <c r="A550" s="1" t="str">
        <f ca="1">IF(ROW()&lt;=Results!$C$1+1,INDEX(Data!$A:$A,CEILING((COUNTA(Data!$A:$A)-1)*RAND()+1,1)),"")</f>
        <v/>
      </c>
      <c r="B550" s="1" t="str">
        <f>IF(ROW()&lt;=Results!$C$1+1,VLOOKUP($A550,Data!$A$2:$C$117,2,TRUE),"")</f>
        <v/>
      </c>
      <c r="C550" s="14" t="str">
        <f>IF(ROW()&lt;=Results!$C$1+1,IF(B550&lt;=0,"",LN(B550)),"")</f>
        <v/>
      </c>
      <c r="D550" s="58" t="str">
        <f ca="1">IF(Results!$S$5,A550,IF(ROW()&lt;=Results!$C$1+1,INDEX(Data!$A:$A,CEILING((COUNTA(Data!$A:$A)-1)*RAND()+1,1)),""))</f>
        <v/>
      </c>
      <c r="E550" s="1" t="str">
        <f>IF(ROW()&lt;=Results!$C$1+1,VLOOKUP($D550,Data!$A$2:$C$117,3,TRUE),"")</f>
        <v/>
      </c>
      <c r="F550" s="14" t="str">
        <f>IF(ROW()&lt;=Results!$C$1+1,IF(E550&lt;=0,"",LN(E550)),"")</f>
        <v/>
      </c>
      <c r="G550" s="53" t="str">
        <f>IF(ROW()&lt;=Results!$C$1+1,IF(ISERROR(C550-F550),"",C550-F550),"")</f>
        <v/>
      </c>
    </row>
    <row r="551" spans="1:7" x14ac:dyDescent="0.25">
      <c r="A551" s="1" t="str">
        <f ca="1">IF(ROW()&lt;=Results!$C$1+1,INDEX(Data!$A:$A,CEILING((COUNTA(Data!$A:$A)-1)*RAND()+1,1)),"")</f>
        <v/>
      </c>
      <c r="B551" s="1" t="str">
        <f>IF(ROW()&lt;=Results!$C$1+1,VLOOKUP($A551,Data!$A$2:$C$117,2,TRUE),"")</f>
        <v/>
      </c>
      <c r="C551" s="14" t="str">
        <f>IF(ROW()&lt;=Results!$C$1+1,IF(B551&lt;=0,"",LN(B551)),"")</f>
        <v/>
      </c>
      <c r="D551" s="58" t="str">
        <f ca="1">IF(Results!$S$5,A551,IF(ROW()&lt;=Results!$C$1+1,INDEX(Data!$A:$A,CEILING((COUNTA(Data!$A:$A)-1)*RAND()+1,1)),""))</f>
        <v/>
      </c>
      <c r="E551" s="1" t="str">
        <f>IF(ROW()&lt;=Results!$C$1+1,VLOOKUP($D551,Data!$A$2:$C$117,3,TRUE),"")</f>
        <v/>
      </c>
      <c r="F551" s="14" t="str">
        <f>IF(ROW()&lt;=Results!$C$1+1,IF(E551&lt;=0,"",LN(E551)),"")</f>
        <v/>
      </c>
      <c r="G551" s="53" t="str">
        <f>IF(ROW()&lt;=Results!$C$1+1,IF(ISERROR(C551-F551),"",C551-F551),"")</f>
        <v/>
      </c>
    </row>
    <row r="552" spans="1:7" x14ac:dyDescent="0.25">
      <c r="A552" s="1" t="str">
        <f ca="1">IF(ROW()&lt;=Results!$C$1+1,INDEX(Data!$A:$A,CEILING((COUNTA(Data!$A:$A)-1)*RAND()+1,1)),"")</f>
        <v/>
      </c>
      <c r="B552" s="1" t="str">
        <f>IF(ROW()&lt;=Results!$C$1+1,VLOOKUP($A552,Data!$A$2:$C$117,2,TRUE),"")</f>
        <v/>
      </c>
      <c r="C552" s="14" t="str">
        <f>IF(ROW()&lt;=Results!$C$1+1,IF(B552&lt;=0,"",LN(B552)),"")</f>
        <v/>
      </c>
      <c r="D552" s="58" t="str">
        <f ca="1">IF(Results!$S$5,A552,IF(ROW()&lt;=Results!$C$1+1,INDEX(Data!$A:$A,CEILING((COUNTA(Data!$A:$A)-1)*RAND()+1,1)),""))</f>
        <v/>
      </c>
      <c r="E552" s="1" t="str">
        <f>IF(ROW()&lt;=Results!$C$1+1,VLOOKUP($D552,Data!$A$2:$C$117,3,TRUE),"")</f>
        <v/>
      </c>
      <c r="F552" s="14" t="str">
        <f>IF(ROW()&lt;=Results!$C$1+1,IF(E552&lt;=0,"",LN(E552)),"")</f>
        <v/>
      </c>
      <c r="G552" s="53" t="str">
        <f>IF(ROW()&lt;=Results!$C$1+1,IF(ISERROR(C552-F552),"",C552-F552),"")</f>
        <v/>
      </c>
    </row>
    <row r="553" spans="1:7" x14ac:dyDescent="0.25">
      <c r="A553" s="1" t="str">
        <f ca="1">IF(ROW()&lt;=Results!$C$1+1,INDEX(Data!$A:$A,CEILING((COUNTA(Data!$A:$A)-1)*RAND()+1,1)),"")</f>
        <v/>
      </c>
      <c r="B553" s="1" t="str">
        <f>IF(ROW()&lt;=Results!$C$1+1,VLOOKUP($A553,Data!$A$2:$C$117,2,TRUE),"")</f>
        <v/>
      </c>
      <c r="C553" s="14" t="str">
        <f>IF(ROW()&lt;=Results!$C$1+1,IF(B553&lt;=0,"",LN(B553)),"")</f>
        <v/>
      </c>
      <c r="D553" s="58" t="str">
        <f ca="1">IF(Results!$S$5,A553,IF(ROW()&lt;=Results!$C$1+1,INDEX(Data!$A:$A,CEILING((COUNTA(Data!$A:$A)-1)*RAND()+1,1)),""))</f>
        <v/>
      </c>
      <c r="E553" s="1" t="str">
        <f>IF(ROW()&lt;=Results!$C$1+1,VLOOKUP($D553,Data!$A$2:$C$117,3,TRUE),"")</f>
        <v/>
      </c>
      <c r="F553" s="14" t="str">
        <f>IF(ROW()&lt;=Results!$C$1+1,IF(E553&lt;=0,"",LN(E553)),"")</f>
        <v/>
      </c>
      <c r="G553" s="53" t="str">
        <f>IF(ROW()&lt;=Results!$C$1+1,IF(ISERROR(C553-F553),"",C553-F553),"")</f>
        <v/>
      </c>
    </row>
    <row r="554" spans="1:7" x14ac:dyDescent="0.25">
      <c r="A554" s="1" t="str">
        <f ca="1">IF(ROW()&lt;=Results!$C$1+1,INDEX(Data!$A:$A,CEILING((COUNTA(Data!$A:$A)-1)*RAND()+1,1)),"")</f>
        <v/>
      </c>
      <c r="B554" s="1" t="str">
        <f>IF(ROW()&lt;=Results!$C$1+1,VLOOKUP($A554,Data!$A$2:$C$117,2,TRUE),"")</f>
        <v/>
      </c>
      <c r="C554" s="14" t="str">
        <f>IF(ROW()&lt;=Results!$C$1+1,IF(B554&lt;=0,"",LN(B554)),"")</f>
        <v/>
      </c>
      <c r="D554" s="58" t="str">
        <f ca="1">IF(Results!$S$5,A554,IF(ROW()&lt;=Results!$C$1+1,INDEX(Data!$A:$A,CEILING((COUNTA(Data!$A:$A)-1)*RAND()+1,1)),""))</f>
        <v/>
      </c>
      <c r="E554" s="1" t="str">
        <f>IF(ROW()&lt;=Results!$C$1+1,VLOOKUP($D554,Data!$A$2:$C$117,3,TRUE),"")</f>
        <v/>
      </c>
      <c r="F554" s="14" t="str">
        <f>IF(ROW()&lt;=Results!$C$1+1,IF(E554&lt;=0,"",LN(E554)),"")</f>
        <v/>
      </c>
      <c r="G554" s="53" t="str">
        <f>IF(ROW()&lt;=Results!$C$1+1,IF(ISERROR(C554-F554),"",C554-F554),"")</f>
        <v/>
      </c>
    </row>
    <row r="555" spans="1:7" x14ac:dyDescent="0.25">
      <c r="A555" s="1" t="str">
        <f ca="1">IF(ROW()&lt;=Results!$C$1+1,INDEX(Data!$A:$A,CEILING((COUNTA(Data!$A:$A)-1)*RAND()+1,1)),"")</f>
        <v/>
      </c>
      <c r="B555" s="1" t="str">
        <f>IF(ROW()&lt;=Results!$C$1+1,VLOOKUP($A555,Data!$A$2:$C$117,2,TRUE),"")</f>
        <v/>
      </c>
      <c r="C555" s="14" t="str">
        <f>IF(ROW()&lt;=Results!$C$1+1,IF(B555&lt;=0,"",LN(B555)),"")</f>
        <v/>
      </c>
      <c r="D555" s="58" t="str">
        <f ca="1">IF(Results!$S$5,A555,IF(ROW()&lt;=Results!$C$1+1,INDEX(Data!$A:$A,CEILING((COUNTA(Data!$A:$A)-1)*RAND()+1,1)),""))</f>
        <v/>
      </c>
      <c r="E555" s="1" t="str">
        <f>IF(ROW()&lt;=Results!$C$1+1,VLOOKUP($D555,Data!$A$2:$C$117,3,TRUE),"")</f>
        <v/>
      </c>
      <c r="F555" s="14" t="str">
        <f>IF(ROW()&lt;=Results!$C$1+1,IF(E555&lt;=0,"",LN(E555)),"")</f>
        <v/>
      </c>
      <c r="G555" s="53" t="str">
        <f>IF(ROW()&lt;=Results!$C$1+1,IF(ISERROR(C555-F555),"",C555-F555),"")</f>
        <v/>
      </c>
    </row>
    <row r="556" spans="1:7" x14ac:dyDescent="0.25">
      <c r="A556" s="1" t="str">
        <f ca="1">IF(ROW()&lt;=Results!$C$1+1,INDEX(Data!$A:$A,CEILING((COUNTA(Data!$A:$A)-1)*RAND()+1,1)),"")</f>
        <v/>
      </c>
      <c r="B556" s="1" t="str">
        <f>IF(ROW()&lt;=Results!$C$1+1,VLOOKUP($A556,Data!$A$2:$C$117,2,TRUE),"")</f>
        <v/>
      </c>
      <c r="C556" s="14" t="str">
        <f>IF(ROW()&lt;=Results!$C$1+1,IF(B556&lt;=0,"",LN(B556)),"")</f>
        <v/>
      </c>
      <c r="D556" s="58" t="str">
        <f ca="1">IF(Results!$S$5,A556,IF(ROW()&lt;=Results!$C$1+1,INDEX(Data!$A:$A,CEILING((COUNTA(Data!$A:$A)-1)*RAND()+1,1)),""))</f>
        <v/>
      </c>
      <c r="E556" s="1" t="str">
        <f>IF(ROW()&lt;=Results!$C$1+1,VLOOKUP($D556,Data!$A$2:$C$117,3,TRUE),"")</f>
        <v/>
      </c>
      <c r="F556" s="14" t="str">
        <f>IF(ROW()&lt;=Results!$C$1+1,IF(E556&lt;=0,"",LN(E556)),"")</f>
        <v/>
      </c>
      <c r="G556" s="53" t="str">
        <f>IF(ROW()&lt;=Results!$C$1+1,IF(ISERROR(C556-F556),"",C556-F556),"")</f>
        <v/>
      </c>
    </row>
    <row r="557" spans="1:7" x14ac:dyDescent="0.25">
      <c r="A557" s="1" t="str">
        <f ca="1">IF(ROW()&lt;=Results!$C$1+1,INDEX(Data!$A:$A,CEILING((COUNTA(Data!$A:$A)-1)*RAND()+1,1)),"")</f>
        <v/>
      </c>
      <c r="B557" s="1" t="str">
        <f>IF(ROW()&lt;=Results!$C$1+1,VLOOKUP($A557,Data!$A$2:$C$117,2,TRUE),"")</f>
        <v/>
      </c>
      <c r="C557" s="14" t="str">
        <f>IF(ROW()&lt;=Results!$C$1+1,IF(B557&lt;=0,"",LN(B557)),"")</f>
        <v/>
      </c>
      <c r="D557" s="58" t="str">
        <f ca="1">IF(Results!$S$5,A557,IF(ROW()&lt;=Results!$C$1+1,INDEX(Data!$A:$A,CEILING((COUNTA(Data!$A:$A)-1)*RAND()+1,1)),""))</f>
        <v/>
      </c>
      <c r="E557" s="1" t="str">
        <f>IF(ROW()&lt;=Results!$C$1+1,VLOOKUP($D557,Data!$A$2:$C$117,3,TRUE),"")</f>
        <v/>
      </c>
      <c r="F557" s="14" t="str">
        <f>IF(ROW()&lt;=Results!$C$1+1,IF(E557&lt;=0,"",LN(E557)),"")</f>
        <v/>
      </c>
      <c r="G557" s="53" t="str">
        <f>IF(ROW()&lt;=Results!$C$1+1,IF(ISERROR(C557-F557),"",C557-F557),"")</f>
        <v/>
      </c>
    </row>
    <row r="558" spans="1:7" x14ac:dyDescent="0.25">
      <c r="A558" s="1" t="str">
        <f ca="1">IF(ROW()&lt;=Results!$C$1+1,INDEX(Data!$A:$A,CEILING((COUNTA(Data!$A:$A)-1)*RAND()+1,1)),"")</f>
        <v/>
      </c>
      <c r="B558" s="1" t="str">
        <f>IF(ROW()&lt;=Results!$C$1+1,VLOOKUP($A558,Data!$A$2:$C$117,2,TRUE),"")</f>
        <v/>
      </c>
      <c r="C558" s="14" t="str">
        <f>IF(ROW()&lt;=Results!$C$1+1,IF(B558&lt;=0,"",LN(B558)),"")</f>
        <v/>
      </c>
      <c r="D558" s="58" t="str">
        <f ca="1">IF(Results!$S$5,A558,IF(ROW()&lt;=Results!$C$1+1,INDEX(Data!$A:$A,CEILING((COUNTA(Data!$A:$A)-1)*RAND()+1,1)),""))</f>
        <v/>
      </c>
      <c r="E558" s="1" t="str">
        <f>IF(ROW()&lt;=Results!$C$1+1,VLOOKUP($D558,Data!$A$2:$C$117,3,TRUE),"")</f>
        <v/>
      </c>
      <c r="F558" s="14" t="str">
        <f>IF(ROW()&lt;=Results!$C$1+1,IF(E558&lt;=0,"",LN(E558)),"")</f>
        <v/>
      </c>
      <c r="G558" s="53" t="str">
        <f>IF(ROW()&lt;=Results!$C$1+1,IF(ISERROR(C558-F558),"",C558-F558),"")</f>
        <v/>
      </c>
    </row>
    <row r="559" spans="1:7" x14ac:dyDescent="0.25">
      <c r="A559" s="1" t="str">
        <f ca="1">IF(ROW()&lt;=Results!$C$1+1,INDEX(Data!$A:$A,CEILING((COUNTA(Data!$A:$A)-1)*RAND()+1,1)),"")</f>
        <v/>
      </c>
      <c r="B559" s="1" t="str">
        <f>IF(ROW()&lt;=Results!$C$1+1,VLOOKUP($A559,Data!$A$2:$C$117,2,TRUE),"")</f>
        <v/>
      </c>
      <c r="C559" s="14" t="str">
        <f>IF(ROW()&lt;=Results!$C$1+1,IF(B559&lt;=0,"",LN(B559)),"")</f>
        <v/>
      </c>
      <c r="D559" s="58" t="str">
        <f ca="1">IF(Results!$S$5,A559,IF(ROW()&lt;=Results!$C$1+1,INDEX(Data!$A:$A,CEILING((COUNTA(Data!$A:$A)-1)*RAND()+1,1)),""))</f>
        <v/>
      </c>
      <c r="E559" s="1" t="str">
        <f>IF(ROW()&lt;=Results!$C$1+1,VLOOKUP($D559,Data!$A$2:$C$117,3,TRUE),"")</f>
        <v/>
      </c>
      <c r="F559" s="14" t="str">
        <f>IF(ROW()&lt;=Results!$C$1+1,IF(E559&lt;=0,"",LN(E559)),"")</f>
        <v/>
      </c>
      <c r="G559" s="53" t="str">
        <f>IF(ROW()&lt;=Results!$C$1+1,IF(ISERROR(C559-F559),"",C559-F559),"")</f>
        <v/>
      </c>
    </row>
    <row r="560" spans="1:7" x14ac:dyDescent="0.25">
      <c r="A560" s="1" t="str">
        <f ca="1">IF(ROW()&lt;=Results!$C$1+1,INDEX(Data!$A:$A,CEILING((COUNTA(Data!$A:$A)-1)*RAND()+1,1)),"")</f>
        <v/>
      </c>
      <c r="B560" s="1" t="str">
        <f>IF(ROW()&lt;=Results!$C$1+1,VLOOKUP($A560,Data!$A$2:$C$117,2,TRUE),"")</f>
        <v/>
      </c>
      <c r="C560" s="14" t="str">
        <f>IF(ROW()&lt;=Results!$C$1+1,IF(B560&lt;=0,"",LN(B560)),"")</f>
        <v/>
      </c>
      <c r="D560" s="58" t="str">
        <f ca="1">IF(Results!$S$5,A560,IF(ROW()&lt;=Results!$C$1+1,INDEX(Data!$A:$A,CEILING((COUNTA(Data!$A:$A)-1)*RAND()+1,1)),""))</f>
        <v/>
      </c>
      <c r="E560" s="1" t="str">
        <f>IF(ROW()&lt;=Results!$C$1+1,VLOOKUP($D560,Data!$A$2:$C$117,3,TRUE),"")</f>
        <v/>
      </c>
      <c r="F560" s="14" t="str">
        <f>IF(ROW()&lt;=Results!$C$1+1,IF(E560&lt;=0,"",LN(E560)),"")</f>
        <v/>
      </c>
      <c r="G560" s="53" t="str">
        <f>IF(ROW()&lt;=Results!$C$1+1,IF(ISERROR(C560-F560),"",C560-F560),"")</f>
        <v/>
      </c>
    </row>
    <row r="561" spans="1:7" x14ac:dyDescent="0.25">
      <c r="A561" s="1" t="str">
        <f ca="1">IF(ROW()&lt;=Results!$C$1+1,INDEX(Data!$A:$A,CEILING((COUNTA(Data!$A:$A)-1)*RAND()+1,1)),"")</f>
        <v/>
      </c>
      <c r="B561" s="1" t="str">
        <f>IF(ROW()&lt;=Results!$C$1+1,VLOOKUP($A561,Data!$A$2:$C$117,2,TRUE),"")</f>
        <v/>
      </c>
      <c r="C561" s="14" t="str">
        <f>IF(ROW()&lt;=Results!$C$1+1,IF(B561&lt;=0,"",LN(B561)),"")</f>
        <v/>
      </c>
      <c r="D561" s="58" t="str">
        <f ca="1">IF(Results!$S$5,A561,IF(ROW()&lt;=Results!$C$1+1,INDEX(Data!$A:$A,CEILING((COUNTA(Data!$A:$A)-1)*RAND()+1,1)),""))</f>
        <v/>
      </c>
      <c r="E561" s="1" t="str">
        <f>IF(ROW()&lt;=Results!$C$1+1,VLOOKUP($D561,Data!$A$2:$C$117,3,TRUE),"")</f>
        <v/>
      </c>
      <c r="F561" s="14" t="str">
        <f>IF(ROW()&lt;=Results!$C$1+1,IF(E561&lt;=0,"",LN(E561)),"")</f>
        <v/>
      </c>
      <c r="G561" s="53" t="str">
        <f>IF(ROW()&lt;=Results!$C$1+1,IF(ISERROR(C561-F561),"",C561-F561),"")</f>
        <v/>
      </c>
    </row>
    <row r="562" spans="1:7" x14ac:dyDescent="0.25">
      <c r="A562" s="1" t="str">
        <f ca="1">IF(ROW()&lt;=Results!$C$1+1,INDEX(Data!$A:$A,CEILING((COUNTA(Data!$A:$A)-1)*RAND()+1,1)),"")</f>
        <v/>
      </c>
      <c r="B562" s="1" t="str">
        <f>IF(ROW()&lt;=Results!$C$1+1,VLOOKUP($A562,Data!$A$2:$C$117,2,TRUE),"")</f>
        <v/>
      </c>
      <c r="C562" s="14" t="str">
        <f>IF(ROW()&lt;=Results!$C$1+1,IF(B562&lt;=0,"",LN(B562)),"")</f>
        <v/>
      </c>
      <c r="D562" s="58" t="str">
        <f ca="1">IF(Results!$S$5,A562,IF(ROW()&lt;=Results!$C$1+1,INDEX(Data!$A:$A,CEILING((COUNTA(Data!$A:$A)-1)*RAND()+1,1)),""))</f>
        <v/>
      </c>
      <c r="E562" s="1" t="str">
        <f>IF(ROW()&lt;=Results!$C$1+1,VLOOKUP($D562,Data!$A$2:$C$117,3,TRUE),"")</f>
        <v/>
      </c>
      <c r="F562" s="14" t="str">
        <f>IF(ROW()&lt;=Results!$C$1+1,IF(E562&lt;=0,"",LN(E562)),"")</f>
        <v/>
      </c>
      <c r="G562" s="53" t="str">
        <f>IF(ROW()&lt;=Results!$C$1+1,IF(ISERROR(C562-F562),"",C562-F562),"")</f>
        <v/>
      </c>
    </row>
    <row r="563" spans="1:7" x14ac:dyDescent="0.25">
      <c r="A563" s="1" t="str">
        <f ca="1">IF(ROW()&lt;=Results!$C$1+1,INDEX(Data!$A:$A,CEILING((COUNTA(Data!$A:$A)-1)*RAND()+1,1)),"")</f>
        <v/>
      </c>
      <c r="B563" s="1" t="str">
        <f>IF(ROW()&lt;=Results!$C$1+1,VLOOKUP($A563,Data!$A$2:$C$117,2,TRUE),"")</f>
        <v/>
      </c>
      <c r="C563" s="14" t="str">
        <f>IF(ROW()&lt;=Results!$C$1+1,IF(B563&lt;=0,"",LN(B563)),"")</f>
        <v/>
      </c>
      <c r="D563" s="58" t="str">
        <f ca="1">IF(Results!$S$5,A563,IF(ROW()&lt;=Results!$C$1+1,INDEX(Data!$A:$A,CEILING((COUNTA(Data!$A:$A)-1)*RAND()+1,1)),""))</f>
        <v/>
      </c>
      <c r="E563" s="1" t="str">
        <f>IF(ROW()&lt;=Results!$C$1+1,VLOOKUP($D563,Data!$A$2:$C$117,3,TRUE),"")</f>
        <v/>
      </c>
      <c r="F563" s="14" t="str">
        <f>IF(ROW()&lt;=Results!$C$1+1,IF(E563&lt;=0,"",LN(E563)),"")</f>
        <v/>
      </c>
      <c r="G563" s="53" t="str">
        <f>IF(ROW()&lt;=Results!$C$1+1,IF(ISERROR(C563-F563),"",C563-F563),"")</f>
        <v/>
      </c>
    </row>
    <row r="564" spans="1:7" x14ac:dyDescent="0.25">
      <c r="A564" s="1" t="str">
        <f ca="1">IF(ROW()&lt;=Results!$C$1+1,INDEX(Data!$A:$A,CEILING((COUNTA(Data!$A:$A)-1)*RAND()+1,1)),"")</f>
        <v/>
      </c>
      <c r="B564" s="1" t="str">
        <f>IF(ROW()&lt;=Results!$C$1+1,VLOOKUP($A564,Data!$A$2:$C$117,2,TRUE),"")</f>
        <v/>
      </c>
      <c r="C564" s="14" t="str">
        <f>IF(ROW()&lt;=Results!$C$1+1,IF(B564&lt;=0,"",LN(B564)),"")</f>
        <v/>
      </c>
      <c r="D564" s="58" t="str">
        <f ca="1">IF(Results!$S$5,A564,IF(ROW()&lt;=Results!$C$1+1,INDEX(Data!$A:$A,CEILING((COUNTA(Data!$A:$A)-1)*RAND()+1,1)),""))</f>
        <v/>
      </c>
      <c r="E564" s="1" t="str">
        <f>IF(ROW()&lt;=Results!$C$1+1,VLOOKUP($D564,Data!$A$2:$C$117,3,TRUE),"")</f>
        <v/>
      </c>
      <c r="F564" s="14" t="str">
        <f>IF(ROW()&lt;=Results!$C$1+1,IF(E564&lt;=0,"",LN(E564)),"")</f>
        <v/>
      </c>
      <c r="G564" s="53" t="str">
        <f>IF(ROW()&lt;=Results!$C$1+1,IF(ISERROR(C564-F564),"",C564-F564),"")</f>
        <v/>
      </c>
    </row>
    <row r="565" spans="1:7" x14ac:dyDescent="0.25">
      <c r="A565" s="1" t="str">
        <f ca="1">IF(ROW()&lt;=Results!$C$1+1,INDEX(Data!$A:$A,CEILING((COUNTA(Data!$A:$A)-1)*RAND()+1,1)),"")</f>
        <v/>
      </c>
      <c r="B565" s="1" t="str">
        <f>IF(ROW()&lt;=Results!$C$1+1,VLOOKUP($A565,Data!$A$2:$C$117,2,TRUE),"")</f>
        <v/>
      </c>
      <c r="C565" s="14" t="str">
        <f>IF(ROW()&lt;=Results!$C$1+1,IF(B565&lt;=0,"",LN(B565)),"")</f>
        <v/>
      </c>
      <c r="D565" s="58" t="str">
        <f ca="1">IF(Results!$S$5,A565,IF(ROW()&lt;=Results!$C$1+1,INDEX(Data!$A:$A,CEILING((COUNTA(Data!$A:$A)-1)*RAND()+1,1)),""))</f>
        <v/>
      </c>
      <c r="E565" s="1" t="str">
        <f>IF(ROW()&lt;=Results!$C$1+1,VLOOKUP($D565,Data!$A$2:$C$117,3,TRUE),"")</f>
        <v/>
      </c>
      <c r="F565" s="14" t="str">
        <f>IF(ROW()&lt;=Results!$C$1+1,IF(E565&lt;=0,"",LN(E565)),"")</f>
        <v/>
      </c>
      <c r="G565" s="53" t="str">
        <f>IF(ROW()&lt;=Results!$C$1+1,IF(ISERROR(C565-F565),"",C565-F565),"")</f>
        <v/>
      </c>
    </row>
    <row r="566" spans="1:7" x14ac:dyDescent="0.25">
      <c r="A566" s="1" t="str">
        <f ca="1">IF(ROW()&lt;=Results!$C$1+1,INDEX(Data!$A:$A,CEILING((COUNTA(Data!$A:$A)-1)*RAND()+1,1)),"")</f>
        <v/>
      </c>
      <c r="B566" s="1" t="str">
        <f>IF(ROW()&lt;=Results!$C$1+1,VLOOKUP($A566,Data!$A$2:$C$117,2,TRUE),"")</f>
        <v/>
      </c>
      <c r="C566" s="14" t="str">
        <f>IF(ROW()&lt;=Results!$C$1+1,IF(B566&lt;=0,"",LN(B566)),"")</f>
        <v/>
      </c>
      <c r="D566" s="58" t="str">
        <f ca="1">IF(Results!$S$5,A566,IF(ROW()&lt;=Results!$C$1+1,INDEX(Data!$A:$A,CEILING((COUNTA(Data!$A:$A)-1)*RAND()+1,1)),""))</f>
        <v/>
      </c>
      <c r="E566" s="1" t="str">
        <f>IF(ROW()&lt;=Results!$C$1+1,VLOOKUP($D566,Data!$A$2:$C$117,3,TRUE),"")</f>
        <v/>
      </c>
      <c r="F566" s="14" t="str">
        <f>IF(ROW()&lt;=Results!$C$1+1,IF(E566&lt;=0,"",LN(E566)),"")</f>
        <v/>
      </c>
      <c r="G566" s="53" t="str">
        <f>IF(ROW()&lt;=Results!$C$1+1,IF(ISERROR(C566-F566),"",C566-F566),"")</f>
        <v/>
      </c>
    </row>
    <row r="567" spans="1:7" x14ac:dyDescent="0.25">
      <c r="A567" s="1" t="str">
        <f ca="1">IF(ROW()&lt;=Results!$C$1+1,INDEX(Data!$A:$A,CEILING((COUNTA(Data!$A:$A)-1)*RAND()+1,1)),"")</f>
        <v/>
      </c>
      <c r="B567" s="1" t="str">
        <f>IF(ROW()&lt;=Results!$C$1+1,VLOOKUP($A567,Data!$A$2:$C$117,2,TRUE),"")</f>
        <v/>
      </c>
      <c r="C567" s="14" t="str">
        <f>IF(ROW()&lt;=Results!$C$1+1,IF(B567&lt;=0,"",LN(B567)),"")</f>
        <v/>
      </c>
      <c r="D567" s="58" t="str">
        <f ca="1">IF(Results!$S$5,A567,IF(ROW()&lt;=Results!$C$1+1,INDEX(Data!$A:$A,CEILING((COUNTA(Data!$A:$A)-1)*RAND()+1,1)),""))</f>
        <v/>
      </c>
      <c r="E567" s="1" t="str">
        <f>IF(ROW()&lt;=Results!$C$1+1,VLOOKUP($D567,Data!$A$2:$C$117,3,TRUE),"")</f>
        <v/>
      </c>
      <c r="F567" s="14" t="str">
        <f>IF(ROW()&lt;=Results!$C$1+1,IF(E567&lt;=0,"",LN(E567)),"")</f>
        <v/>
      </c>
      <c r="G567" s="53" t="str">
        <f>IF(ROW()&lt;=Results!$C$1+1,IF(ISERROR(C567-F567),"",C567-F567),"")</f>
        <v/>
      </c>
    </row>
    <row r="568" spans="1:7" x14ac:dyDescent="0.25">
      <c r="A568" s="1" t="str">
        <f ca="1">IF(ROW()&lt;=Results!$C$1+1,INDEX(Data!$A:$A,CEILING((COUNTA(Data!$A:$A)-1)*RAND()+1,1)),"")</f>
        <v/>
      </c>
      <c r="B568" s="1" t="str">
        <f>IF(ROW()&lt;=Results!$C$1+1,VLOOKUP($A568,Data!$A$2:$C$117,2,TRUE),"")</f>
        <v/>
      </c>
      <c r="C568" s="14" t="str">
        <f>IF(ROW()&lt;=Results!$C$1+1,IF(B568&lt;=0,"",LN(B568)),"")</f>
        <v/>
      </c>
      <c r="D568" s="58" t="str">
        <f ca="1">IF(Results!$S$5,A568,IF(ROW()&lt;=Results!$C$1+1,INDEX(Data!$A:$A,CEILING((COUNTA(Data!$A:$A)-1)*RAND()+1,1)),""))</f>
        <v/>
      </c>
      <c r="E568" s="1" t="str">
        <f>IF(ROW()&lt;=Results!$C$1+1,VLOOKUP($D568,Data!$A$2:$C$117,3,TRUE),"")</f>
        <v/>
      </c>
      <c r="F568" s="14" t="str">
        <f>IF(ROW()&lt;=Results!$C$1+1,IF(E568&lt;=0,"",LN(E568)),"")</f>
        <v/>
      </c>
      <c r="G568" s="53" t="str">
        <f>IF(ROW()&lt;=Results!$C$1+1,IF(ISERROR(C568-F568),"",C568-F568),"")</f>
        <v/>
      </c>
    </row>
    <row r="569" spans="1:7" x14ac:dyDescent="0.25">
      <c r="A569" s="1" t="str">
        <f ca="1">IF(ROW()&lt;=Results!$C$1+1,INDEX(Data!$A:$A,CEILING((COUNTA(Data!$A:$A)-1)*RAND()+1,1)),"")</f>
        <v/>
      </c>
      <c r="B569" s="1" t="str">
        <f>IF(ROW()&lt;=Results!$C$1+1,VLOOKUP($A569,Data!$A$2:$C$117,2,TRUE),"")</f>
        <v/>
      </c>
      <c r="C569" s="14" t="str">
        <f>IF(ROW()&lt;=Results!$C$1+1,IF(B569&lt;=0,"",LN(B569)),"")</f>
        <v/>
      </c>
      <c r="D569" s="58" t="str">
        <f ca="1">IF(Results!$S$5,A569,IF(ROW()&lt;=Results!$C$1+1,INDEX(Data!$A:$A,CEILING((COUNTA(Data!$A:$A)-1)*RAND()+1,1)),""))</f>
        <v/>
      </c>
      <c r="E569" s="1" t="str">
        <f>IF(ROW()&lt;=Results!$C$1+1,VLOOKUP($D569,Data!$A$2:$C$117,3,TRUE),"")</f>
        <v/>
      </c>
      <c r="F569" s="14" t="str">
        <f>IF(ROW()&lt;=Results!$C$1+1,IF(E569&lt;=0,"",LN(E569)),"")</f>
        <v/>
      </c>
      <c r="G569" s="53" t="str">
        <f>IF(ROW()&lt;=Results!$C$1+1,IF(ISERROR(C569-F569),"",C569-F569),"")</f>
        <v/>
      </c>
    </row>
    <row r="570" spans="1:7" x14ac:dyDescent="0.25">
      <c r="A570" s="1" t="str">
        <f ca="1">IF(ROW()&lt;=Results!$C$1+1,INDEX(Data!$A:$A,CEILING((COUNTA(Data!$A:$A)-1)*RAND()+1,1)),"")</f>
        <v/>
      </c>
      <c r="B570" s="1" t="str">
        <f>IF(ROW()&lt;=Results!$C$1+1,VLOOKUP($A570,Data!$A$2:$C$117,2,TRUE),"")</f>
        <v/>
      </c>
      <c r="C570" s="14" t="str">
        <f>IF(ROW()&lt;=Results!$C$1+1,IF(B570&lt;=0,"",LN(B570)),"")</f>
        <v/>
      </c>
      <c r="D570" s="58" t="str">
        <f ca="1">IF(Results!$S$5,A570,IF(ROW()&lt;=Results!$C$1+1,INDEX(Data!$A:$A,CEILING((COUNTA(Data!$A:$A)-1)*RAND()+1,1)),""))</f>
        <v/>
      </c>
      <c r="E570" s="1" t="str">
        <f>IF(ROW()&lt;=Results!$C$1+1,VLOOKUP($D570,Data!$A$2:$C$117,3,TRUE),"")</f>
        <v/>
      </c>
      <c r="F570" s="14" t="str">
        <f>IF(ROW()&lt;=Results!$C$1+1,IF(E570&lt;=0,"",LN(E570)),"")</f>
        <v/>
      </c>
      <c r="G570" s="53" t="str">
        <f>IF(ROW()&lt;=Results!$C$1+1,IF(ISERROR(C570-F570),"",C570-F570),"")</f>
        <v/>
      </c>
    </row>
    <row r="571" spans="1:7" x14ac:dyDescent="0.25">
      <c r="A571" s="1" t="str">
        <f ca="1">IF(ROW()&lt;=Results!$C$1+1,INDEX(Data!$A:$A,CEILING((COUNTA(Data!$A:$A)-1)*RAND()+1,1)),"")</f>
        <v/>
      </c>
      <c r="B571" s="1" t="str">
        <f>IF(ROW()&lt;=Results!$C$1+1,VLOOKUP($A571,Data!$A$2:$C$117,2,TRUE),"")</f>
        <v/>
      </c>
      <c r="C571" s="14" t="str">
        <f>IF(ROW()&lt;=Results!$C$1+1,IF(B571&lt;=0,"",LN(B571)),"")</f>
        <v/>
      </c>
      <c r="D571" s="58" t="str">
        <f ca="1">IF(Results!$S$5,A571,IF(ROW()&lt;=Results!$C$1+1,INDEX(Data!$A:$A,CEILING((COUNTA(Data!$A:$A)-1)*RAND()+1,1)),""))</f>
        <v/>
      </c>
      <c r="E571" s="1" t="str">
        <f>IF(ROW()&lt;=Results!$C$1+1,VLOOKUP($D571,Data!$A$2:$C$117,3,TRUE),"")</f>
        <v/>
      </c>
      <c r="F571" s="14" t="str">
        <f>IF(ROW()&lt;=Results!$C$1+1,IF(E571&lt;=0,"",LN(E571)),"")</f>
        <v/>
      </c>
      <c r="G571" s="53" t="str">
        <f>IF(ROW()&lt;=Results!$C$1+1,IF(ISERROR(C571-F571),"",C571-F571),"")</f>
        <v/>
      </c>
    </row>
    <row r="572" spans="1:7" x14ac:dyDescent="0.25">
      <c r="A572" s="1" t="str">
        <f ca="1">IF(ROW()&lt;=Results!$C$1+1,INDEX(Data!$A:$A,CEILING((COUNTA(Data!$A:$A)-1)*RAND()+1,1)),"")</f>
        <v/>
      </c>
      <c r="B572" s="1" t="str">
        <f>IF(ROW()&lt;=Results!$C$1+1,VLOOKUP($A572,Data!$A$2:$C$117,2,TRUE),"")</f>
        <v/>
      </c>
      <c r="C572" s="14" t="str">
        <f>IF(ROW()&lt;=Results!$C$1+1,IF(B572&lt;=0,"",LN(B572)),"")</f>
        <v/>
      </c>
      <c r="D572" s="58" t="str">
        <f ca="1">IF(Results!$S$5,A572,IF(ROW()&lt;=Results!$C$1+1,INDEX(Data!$A:$A,CEILING((COUNTA(Data!$A:$A)-1)*RAND()+1,1)),""))</f>
        <v/>
      </c>
      <c r="E572" s="1" t="str">
        <f>IF(ROW()&lt;=Results!$C$1+1,VLOOKUP($D572,Data!$A$2:$C$117,3,TRUE),"")</f>
        <v/>
      </c>
      <c r="F572" s="14" t="str">
        <f>IF(ROW()&lt;=Results!$C$1+1,IF(E572&lt;=0,"",LN(E572)),"")</f>
        <v/>
      </c>
      <c r="G572" s="53" t="str">
        <f>IF(ROW()&lt;=Results!$C$1+1,IF(ISERROR(C572-F572),"",C572-F572),"")</f>
        <v/>
      </c>
    </row>
    <row r="573" spans="1:7" x14ac:dyDescent="0.25">
      <c r="A573" s="1" t="str">
        <f ca="1">IF(ROW()&lt;=Results!$C$1+1,INDEX(Data!$A:$A,CEILING((COUNTA(Data!$A:$A)-1)*RAND()+1,1)),"")</f>
        <v/>
      </c>
      <c r="B573" s="1" t="str">
        <f>IF(ROW()&lt;=Results!$C$1+1,VLOOKUP($A573,Data!$A$2:$C$117,2,TRUE),"")</f>
        <v/>
      </c>
      <c r="C573" s="14" t="str">
        <f>IF(ROW()&lt;=Results!$C$1+1,IF(B573&lt;=0,"",LN(B573)),"")</f>
        <v/>
      </c>
      <c r="D573" s="58" t="str">
        <f ca="1">IF(Results!$S$5,A573,IF(ROW()&lt;=Results!$C$1+1,INDEX(Data!$A:$A,CEILING((COUNTA(Data!$A:$A)-1)*RAND()+1,1)),""))</f>
        <v/>
      </c>
      <c r="E573" s="1" t="str">
        <f>IF(ROW()&lt;=Results!$C$1+1,VLOOKUP($D573,Data!$A$2:$C$117,3,TRUE),"")</f>
        <v/>
      </c>
      <c r="F573" s="14" t="str">
        <f>IF(ROW()&lt;=Results!$C$1+1,IF(E573&lt;=0,"",LN(E573)),"")</f>
        <v/>
      </c>
      <c r="G573" s="53" t="str">
        <f>IF(ROW()&lt;=Results!$C$1+1,IF(ISERROR(C573-F573),"",C573-F573),"")</f>
        <v/>
      </c>
    </row>
    <row r="574" spans="1:7" x14ac:dyDescent="0.25">
      <c r="A574" s="1" t="str">
        <f ca="1">IF(ROW()&lt;=Results!$C$1+1,INDEX(Data!$A:$A,CEILING((COUNTA(Data!$A:$A)-1)*RAND()+1,1)),"")</f>
        <v/>
      </c>
      <c r="B574" s="1" t="str">
        <f>IF(ROW()&lt;=Results!$C$1+1,VLOOKUP($A574,Data!$A$2:$C$117,2,TRUE),"")</f>
        <v/>
      </c>
      <c r="C574" s="14" t="str">
        <f>IF(ROW()&lt;=Results!$C$1+1,IF(B574&lt;=0,"",LN(B574)),"")</f>
        <v/>
      </c>
      <c r="D574" s="58" t="str">
        <f ca="1">IF(Results!$S$5,A574,IF(ROW()&lt;=Results!$C$1+1,INDEX(Data!$A:$A,CEILING((COUNTA(Data!$A:$A)-1)*RAND()+1,1)),""))</f>
        <v/>
      </c>
      <c r="E574" s="1" t="str">
        <f>IF(ROW()&lt;=Results!$C$1+1,VLOOKUP($D574,Data!$A$2:$C$117,3,TRUE),"")</f>
        <v/>
      </c>
      <c r="F574" s="14" t="str">
        <f>IF(ROW()&lt;=Results!$C$1+1,IF(E574&lt;=0,"",LN(E574)),"")</f>
        <v/>
      </c>
      <c r="G574" s="53" t="str">
        <f>IF(ROW()&lt;=Results!$C$1+1,IF(ISERROR(C574-F574),"",C574-F574),"")</f>
        <v/>
      </c>
    </row>
    <row r="575" spans="1:7" x14ac:dyDescent="0.25">
      <c r="A575" s="1" t="str">
        <f ca="1">IF(ROW()&lt;=Results!$C$1+1,INDEX(Data!$A:$A,CEILING((COUNTA(Data!$A:$A)-1)*RAND()+1,1)),"")</f>
        <v/>
      </c>
      <c r="B575" s="1" t="str">
        <f>IF(ROW()&lt;=Results!$C$1+1,VLOOKUP($A575,Data!$A$2:$C$117,2,TRUE),"")</f>
        <v/>
      </c>
      <c r="C575" s="14" t="str">
        <f>IF(ROW()&lt;=Results!$C$1+1,IF(B575&lt;=0,"",LN(B575)),"")</f>
        <v/>
      </c>
      <c r="D575" s="58" t="str">
        <f ca="1">IF(Results!$S$5,A575,IF(ROW()&lt;=Results!$C$1+1,INDEX(Data!$A:$A,CEILING((COUNTA(Data!$A:$A)-1)*RAND()+1,1)),""))</f>
        <v/>
      </c>
      <c r="E575" s="1" t="str">
        <f>IF(ROW()&lt;=Results!$C$1+1,VLOOKUP($D575,Data!$A$2:$C$117,3,TRUE),"")</f>
        <v/>
      </c>
      <c r="F575" s="14" t="str">
        <f>IF(ROW()&lt;=Results!$C$1+1,IF(E575&lt;=0,"",LN(E575)),"")</f>
        <v/>
      </c>
      <c r="G575" s="53" t="str">
        <f>IF(ROW()&lt;=Results!$C$1+1,IF(ISERROR(C575-F575),"",C575-F575),"")</f>
        <v/>
      </c>
    </row>
    <row r="576" spans="1:7" x14ac:dyDescent="0.25">
      <c r="A576" s="1" t="str">
        <f ca="1">IF(ROW()&lt;=Results!$C$1+1,INDEX(Data!$A:$A,CEILING((COUNTA(Data!$A:$A)-1)*RAND()+1,1)),"")</f>
        <v/>
      </c>
      <c r="B576" s="1" t="str">
        <f>IF(ROW()&lt;=Results!$C$1+1,VLOOKUP($A576,Data!$A$2:$C$117,2,TRUE),"")</f>
        <v/>
      </c>
      <c r="C576" s="14" t="str">
        <f>IF(ROW()&lt;=Results!$C$1+1,IF(B576&lt;=0,"",LN(B576)),"")</f>
        <v/>
      </c>
      <c r="D576" s="58" t="str">
        <f ca="1">IF(Results!$S$5,A576,IF(ROW()&lt;=Results!$C$1+1,INDEX(Data!$A:$A,CEILING((COUNTA(Data!$A:$A)-1)*RAND()+1,1)),""))</f>
        <v/>
      </c>
      <c r="E576" s="1" t="str">
        <f>IF(ROW()&lt;=Results!$C$1+1,VLOOKUP($D576,Data!$A$2:$C$117,3,TRUE),"")</f>
        <v/>
      </c>
      <c r="F576" s="14" t="str">
        <f>IF(ROW()&lt;=Results!$C$1+1,IF(E576&lt;=0,"",LN(E576)),"")</f>
        <v/>
      </c>
      <c r="G576" s="53" t="str">
        <f>IF(ROW()&lt;=Results!$C$1+1,IF(ISERROR(C576-F576),"",C576-F576),"")</f>
        <v/>
      </c>
    </row>
    <row r="577" spans="1:7" x14ac:dyDescent="0.25">
      <c r="A577" s="1" t="str">
        <f ca="1">IF(ROW()&lt;=Results!$C$1+1,INDEX(Data!$A:$A,CEILING((COUNTA(Data!$A:$A)-1)*RAND()+1,1)),"")</f>
        <v/>
      </c>
      <c r="B577" s="1" t="str">
        <f>IF(ROW()&lt;=Results!$C$1+1,VLOOKUP($A577,Data!$A$2:$C$117,2,TRUE),"")</f>
        <v/>
      </c>
      <c r="C577" s="14" t="str">
        <f>IF(ROW()&lt;=Results!$C$1+1,IF(B577&lt;=0,"",LN(B577)),"")</f>
        <v/>
      </c>
      <c r="D577" s="58" t="str">
        <f ca="1">IF(Results!$S$5,A577,IF(ROW()&lt;=Results!$C$1+1,INDEX(Data!$A:$A,CEILING((COUNTA(Data!$A:$A)-1)*RAND()+1,1)),""))</f>
        <v/>
      </c>
      <c r="E577" s="1" t="str">
        <f>IF(ROW()&lt;=Results!$C$1+1,VLOOKUP($D577,Data!$A$2:$C$117,3,TRUE),"")</f>
        <v/>
      </c>
      <c r="F577" s="14" t="str">
        <f>IF(ROW()&lt;=Results!$C$1+1,IF(E577&lt;=0,"",LN(E577)),"")</f>
        <v/>
      </c>
      <c r="G577" s="53" t="str">
        <f>IF(ROW()&lt;=Results!$C$1+1,IF(ISERROR(C577-F577),"",C577-F577),"")</f>
        <v/>
      </c>
    </row>
    <row r="578" spans="1:7" x14ac:dyDescent="0.25">
      <c r="A578" s="1" t="str">
        <f ca="1">IF(ROW()&lt;=Results!$C$1+1,INDEX(Data!$A:$A,CEILING((COUNTA(Data!$A:$A)-1)*RAND()+1,1)),"")</f>
        <v/>
      </c>
      <c r="B578" s="1" t="str">
        <f>IF(ROW()&lt;=Results!$C$1+1,VLOOKUP($A578,Data!$A$2:$C$117,2,TRUE),"")</f>
        <v/>
      </c>
      <c r="C578" s="14" t="str">
        <f>IF(ROW()&lt;=Results!$C$1+1,IF(B578&lt;=0,"",LN(B578)),"")</f>
        <v/>
      </c>
      <c r="D578" s="58" t="str">
        <f ca="1">IF(Results!$S$5,A578,IF(ROW()&lt;=Results!$C$1+1,INDEX(Data!$A:$A,CEILING((COUNTA(Data!$A:$A)-1)*RAND()+1,1)),""))</f>
        <v/>
      </c>
      <c r="E578" s="1" t="str">
        <f>IF(ROW()&lt;=Results!$C$1+1,VLOOKUP($D578,Data!$A$2:$C$117,3,TRUE),"")</f>
        <v/>
      </c>
      <c r="F578" s="14" t="str">
        <f>IF(ROW()&lt;=Results!$C$1+1,IF(E578&lt;=0,"",LN(E578)),"")</f>
        <v/>
      </c>
      <c r="G578" s="53" t="str">
        <f>IF(ROW()&lt;=Results!$C$1+1,IF(ISERROR(C578-F578),"",C578-F578),"")</f>
        <v/>
      </c>
    </row>
    <row r="579" spans="1:7" x14ac:dyDescent="0.25">
      <c r="A579" s="1" t="str">
        <f ca="1">IF(ROW()&lt;=Results!$C$1+1,INDEX(Data!$A:$A,CEILING((COUNTA(Data!$A:$A)-1)*RAND()+1,1)),"")</f>
        <v/>
      </c>
      <c r="B579" s="1" t="str">
        <f>IF(ROW()&lt;=Results!$C$1+1,VLOOKUP($A579,Data!$A$2:$C$117,2,TRUE),"")</f>
        <v/>
      </c>
      <c r="C579" s="14" t="str">
        <f>IF(ROW()&lt;=Results!$C$1+1,IF(B579&lt;=0,"",LN(B579)),"")</f>
        <v/>
      </c>
      <c r="D579" s="58" t="str">
        <f ca="1">IF(Results!$S$5,A579,IF(ROW()&lt;=Results!$C$1+1,INDEX(Data!$A:$A,CEILING((COUNTA(Data!$A:$A)-1)*RAND()+1,1)),""))</f>
        <v/>
      </c>
      <c r="E579" s="1" t="str">
        <f>IF(ROW()&lt;=Results!$C$1+1,VLOOKUP($D579,Data!$A$2:$C$117,3,TRUE),"")</f>
        <v/>
      </c>
      <c r="F579" s="14" t="str">
        <f>IF(ROW()&lt;=Results!$C$1+1,IF(E579&lt;=0,"",LN(E579)),"")</f>
        <v/>
      </c>
      <c r="G579" s="53" t="str">
        <f>IF(ROW()&lt;=Results!$C$1+1,IF(ISERROR(C579-F579),"",C579-F579),"")</f>
        <v/>
      </c>
    </row>
    <row r="580" spans="1:7" x14ac:dyDescent="0.25">
      <c r="A580" s="1" t="str">
        <f ca="1">IF(ROW()&lt;=Results!$C$1+1,INDEX(Data!$A:$A,CEILING((COUNTA(Data!$A:$A)-1)*RAND()+1,1)),"")</f>
        <v/>
      </c>
      <c r="B580" s="1" t="str">
        <f>IF(ROW()&lt;=Results!$C$1+1,VLOOKUP($A580,Data!$A$2:$C$117,2,TRUE),"")</f>
        <v/>
      </c>
      <c r="C580" s="14" t="str">
        <f>IF(ROW()&lt;=Results!$C$1+1,IF(B580&lt;=0,"",LN(B580)),"")</f>
        <v/>
      </c>
      <c r="D580" s="58" t="str">
        <f ca="1">IF(Results!$S$5,A580,IF(ROW()&lt;=Results!$C$1+1,INDEX(Data!$A:$A,CEILING((COUNTA(Data!$A:$A)-1)*RAND()+1,1)),""))</f>
        <v/>
      </c>
      <c r="E580" s="1" t="str">
        <f>IF(ROW()&lt;=Results!$C$1+1,VLOOKUP($D580,Data!$A$2:$C$117,3,TRUE),"")</f>
        <v/>
      </c>
      <c r="F580" s="14" t="str">
        <f>IF(ROW()&lt;=Results!$C$1+1,IF(E580&lt;=0,"",LN(E580)),"")</f>
        <v/>
      </c>
      <c r="G580" s="53" t="str">
        <f>IF(ROW()&lt;=Results!$C$1+1,IF(ISERROR(C580-F580),"",C580-F580),"")</f>
        <v/>
      </c>
    </row>
    <row r="581" spans="1:7" x14ac:dyDescent="0.25">
      <c r="A581" s="1" t="str">
        <f ca="1">IF(ROW()&lt;=Results!$C$1+1,INDEX(Data!$A:$A,CEILING((COUNTA(Data!$A:$A)-1)*RAND()+1,1)),"")</f>
        <v/>
      </c>
      <c r="B581" s="1" t="str">
        <f>IF(ROW()&lt;=Results!$C$1+1,VLOOKUP($A581,Data!$A$2:$C$117,2,TRUE),"")</f>
        <v/>
      </c>
      <c r="C581" s="14" t="str">
        <f>IF(ROW()&lt;=Results!$C$1+1,IF(B581&lt;=0,"",LN(B581)),"")</f>
        <v/>
      </c>
      <c r="D581" s="58" t="str">
        <f ca="1">IF(Results!$S$5,A581,IF(ROW()&lt;=Results!$C$1+1,INDEX(Data!$A:$A,CEILING((COUNTA(Data!$A:$A)-1)*RAND()+1,1)),""))</f>
        <v/>
      </c>
      <c r="E581" s="1" t="str">
        <f>IF(ROW()&lt;=Results!$C$1+1,VLOOKUP($D581,Data!$A$2:$C$117,3,TRUE),"")</f>
        <v/>
      </c>
      <c r="F581" s="14" t="str">
        <f>IF(ROW()&lt;=Results!$C$1+1,IF(E581&lt;=0,"",LN(E581)),"")</f>
        <v/>
      </c>
      <c r="G581" s="53" t="str">
        <f>IF(ROW()&lt;=Results!$C$1+1,IF(ISERROR(C581-F581),"",C581-F581),"")</f>
        <v/>
      </c>
    </row>
    <row r="582" spans="1:7" x14ac:dyDescent="0.25">
      <c r="A582" s="1" t="str">
        <f ca="1">IF(ROW()&lt;=Results!$C$1+1,INDEX(Data!$A:$A,CEILING((COUNTA(Data!$A:$A)-1)*RAND()+1,1)),"")</f>
        <v/>
      </c>
      <c r="B582" s="1" t="str">
        <f>IF(ROW()&lt;=Results!$C$1+1,VLOOKUP($A582,Data!$A$2:$C$117,2,TRUE),"")</f>
        <v/>
      </c>
      <c r="C582" s="14" t="str">
        <f>IF(ROW()&lt;=Results!$C$1+1,IF(B582&lt;=0,"",LN(B582)),"")</f>
        <v/>
      </c>
      <c r="D582" s="58" t="str">
        <f ca="1">IF(Results!$S$5,A582,IF(ROW()&lt;=Results!$C$1+1,INDEX(Data!$A:$A,CEILING((COUNTA(Data!$A:$A)-1)*RAND()+1,1)),""))</f>
        <v/>
      </c>
      <c r="E582" s="1" t="str">
        <f>IF(ROW()&lt;=Results!$C$1+1,VLOOKUP($D582,Data!$A$2:$C$117,3,TRUE),"")</f>
        <v/>
      </c>
      <c r="F582" s="14" t="str">
        <f>IF(ROW()&lt;=Results!$C$1+1,IF(E582&lt;=0,"",LN(E582)),"")</f>
        <v/>
      </c>
      <c r="G582" s="53" t="str">
        <f>IF(ROW()&lt;=Results!$C$1+1,IF(ISERROR(C582-F582),"",C582-F582),"")</f>
        <v/>
      </c>
    </row>
    <row r="583" spans="1:7" x14ac:dyDescent="0.25">
      <c r="A583" s="1" t="str">
        <f ca="1">IF(ROW()&lt;=Results!$C$1+1,INDEX(Data!$A:$A,CEILING((COUNTA(Data!$A:$A)-1)*RAND()+1,1)),"")</f>
        <v/>
      </c>
      <c r="B583" s="1" t="str">
        <f>IF(ROW()&lt;=Results!$C$1+1,VLOOKUP($A583,Data!$A$2:$C$117,2,TRUE),"")</f>
        <v/>
      </c>
      <c r="C583" s="14" t="str">
        <f>IF(ROW()&lt;=Results!$C$1+1,IF(B583&lt;=0,"",LN(B583)),"")</f>
        <v/>
      </c>
      <c r="D583" s="58" t="str">
        <f ca="1">IF(Results!$S$5,A583,IF(ROW()&lt;=Results!$C$1+1,INDEX(Data!$A:$A,CEILING((COUNTA(Data!$A:$A)-1)*RAND()+1,1)),""))</f>
        <v/>
      </c>
      <c r="E583" s="1" t="str">
        <f>IF(ROW()&lt;=Results!$C$1+1,VLOOKUP($D583,Data!$A$2:$C$117,3,TRUE),"")</f>
        <v/>
      </c>
      <c r="F583" s="14" t="str">
        <f>IF(ROW()&lt;=Results!$C$1+1,IF(E583&lt;=0,"",LN(E583)),"")</f>
        <v/>
      </c>
      <c r="G583" s="53" t="str">
        <f>IF(ROW()&lt;=Results!$C$1+1,IF(ISERROR(C583-F583),"",C583-F583),"")</f>
        <v/>
      </c>
    </row>
    <row r="584" spans="1:7" x14ac:dyDescent="0.25">
      <c r="A584" s="1" t="str">
        <f ca="1">IF(ROW()&lt;=Results!$C$1+1,INDEX(Data!$A:$A,CEILING((COUNTA(Data!$A:$A)-1)*RAND()+1,1)),"")</f>
        <v/>
      </c>
      <c r="B584" s="1" t="str">
        <f>IF(ROW()&lt;=Results!$C$1+1,VLOOKUP($A584,Data!$A$2:$C$117,2,TRUE),"")</f>
        <v/>
      </c>
      <c r="C584" s="14" t="str">
        <f>IF(ROW()&lt;=Results!$C$1+1,IF(B584&lt;=0,"",LN(B584)),"")</f>
        <v/>
      </c>
      <c r="D584" s="58" t="str">
        <f ca="1">IF(Results!$S$5,A584,IF(ROW()&lt;=Results!$C$1+1,INDEX(Data!$A:$A,CEILING((COUNTA(Data!$A:$A)-1)*RAND()+1,1)),""))</f>
        <v/>
      </c>
      <c r="E584" s="1" t="str">
        <f>IF(ROW()&lt;=Results!$C$1+1,VLOOKUP($D584,Data!$A$2:$C$117,3,TRUE),"")</f>
        <v/>
      </c>
      <c r="F584" s="14" t="str">
        <f>IF(ROW()&lt;=Results!$C$1+1,IF(E584&lt;=0,"",LN(E584)),"")</f>
        <v/>
      </c>
      <c r="G584" s="53" t="str">
        <f>IF(ROW()&lt;=Results!$C$1+1,IF(ISERROR(C584-F584),"",C584-F584),"")</f>
        <v/>
      </c>
    </row>
    <row r="585" spans="1:7" x14ac:dyDescent="0.25">
      <c r="A585" s="1" t="str">
        <f ca="1">IF(ROW()&lt;=Results!$C$1+1,INDEX(Data!$A:$A,CEILING((COUNTA(Data!$A:$A)-1)*RAND()+1,1)),"")</f>
        <v/>
      </c>
      <c r="B585" s="1" t="str">
        <f>IF(ROW()&lt;=Results!$C$1+1,VLOOKUP($A585,Data!$A$2:$C$117,2,TRUE),"")</f>
        <v/>
      </c>
      <c r="C585" s="14" t="str">
        <f>IF(ROW()&lt;=Results!$C$1+1,IF(B585&lt;=0,"",LN(B585)),"")</f>
        <v/>
      </c>
      <c r="D585" s="58" t="str">
        <f ca="1">IF(Results!$S$5,A585,IF(ROW()&lt;=Results!$C$1+1,INDEX(Data!$A:$A,CEILING((COUNTA(Data!$A:$A)-1)*RAND()+1,1)),""))</f>
        <v/>
      </c>
      <c r="E585" s="1" t="str">
        <f>IF(ROW()&lt;=Results!$C$1+1,VLOOKUP($D585,Data!$A$2:$C$117,3,TRUE),"")</f>
        <v/>
      </c>
      <c r="F585" s="14" t="str">
        <f>IF(ROW()&lt;=Results!$C$1+1,IF(E585&lt;=0,"",LN(E585)),"")</f>
        <v/>
      </c>
      <c r="G585" s="53" t="str">
        <f>IF(ROW()&lt;=Results!$C$1+1,IF(ISERROR(C585-F585),"",C585-F585),"")</f>
        <v/>
      </c>
    </row>
    <row r="586" spans="1:7" x14ac:dyDescent="0.25">
      <c r="A586" s="1" t="str">
        <f ca="1">IF(ROW()&lt;=Results!$C$1+1,INDEX(Data!$A:$A,CEILING((COUNTA(Data!$A:$A)-1)*RAND()+1,1)),"")</f>
        <v/>
      </c>
      <c r="B586" s="1" t="str">
        <f>IF(ROW()&lt;=Results!$C$1+1,VLOOKUP($A586,Data!$A$2:$C$117,2,TRUE),"")</f>
        <v/>
      </c>
      <c r="C586" s="14" t="str">
        <f>IF(ROW()&lt;=Results!$C$1+1,IF(B586&lt;=0,"",LN(B586)),"")</f>
        <v/>
      </c>
      <c r="D586" s="58" t="str">
        <f ca="1">IF(Results!$S$5,A586,IF(ROW()&lt;=Results!$C$1+1,INDEX(Data!$A:$A,CEILING((COUNTA(Data!$A:$A)-1)*RAND()+1,1)),""))</f>
        <v/>
      </c>
      <c r="E586" s="1" t="str">
        <f>IF(ROW()&lt;=Results!$C$1+1,VLOOKUP($D586,Data!$A$2:$C$117,3,TRUE),"")</f>
        <v/>
      </c>
      <c r="F586" s="14" t="str">
        <f>IF(ROW()&lt;=Results!$C$1+1,IF(E586&lt;=0,"",LN(E586)),"")</f>
        <v/>
      </c>
      <c r="G586" s="53" t="str">
        <f>IF(ROW()&lt;=Results!$C$1+1,IF(ISERROR(C586-F586),"",C586-F586),"")</f>
        <v/>
      </c>
    </row>
    <row r="587" spans="1:7" x14ac:dyDescent="0.25">
      <c r="A587" s="1" t="str">
        <f ca="1">IF(ROW()&lt;=Results!$C$1+1,INDEX(Data!$A:$A,CEILING((COUNTA(Data!$A:$A)-1)*RAND()+1,1)),"")</f>
        <v/>
      </c>
      <c r="B587" s="1" t="str">
        <f>IF(ROW()&lt;=Results!$C$1+1,VLOOKUP($A587,Data!$A$2:$C$117,2,TRUE),"")</f>
        <v/>
      </c>
      <c r="C587" s="14" t="str">
        <f>IF(ROW()&lt;=Results!$C$1+1,IF(B587&lt;=0,"",LN(B587)),"")</f>
        <v/>
      </c>
      <c r="D587" s="58" t="str">
        <f ca="1">IF(Results!$S$5,A587,IF(ROW()&lt;=Results!$C$1+1,INDEX(Data!$A:$A,CEILING((COUNTA(Data!$A:$A)-1)*RAND()+1,1)),""))</f>
        <v/>
      </c>
      <c r="E587" s="1" t="str">
        <f>IF(ROW()&lt;=Results!$C$1+1,VLOOKUP($D587,Data!$A$2:$C$117,3,TRUE),"")</f>
        <v/>
      </c>
      <c r="F587" s="14" t="str">
        <f>IF(ROW()&lt;=Results!$C$1+1,IF(E587&lt;=0,"",LN(E587)),"")</f>
        <v/>
      </c>
      <c r="G587" s="53" t="str">
        <f>IF(ROW()&lt;=Results!$C$1+1,IF(ISERROR(C587-F587),"",C587-F587),"")</f>
        <v/>
      </c>
    </row>
    <row r="588" spans="1:7" x14ac:dyDescent="0.25">
      <c r="A588" s="1" t="str">
        <f ca="1">IF(ROW()&lt;=Results!$C$1+1,INDEX(Data!$A:$A,CEILING((COUNTA(Data!$A:$A)-1)*RAND()+1,1)),"")</f>
        <v/>
      </c>
      <c r="B588" s="1" t="str">
        <f>IF(ROW()&lt;=Results!$C$1+1,VLOOKUP($A588,Data!$A$2:$C$117,2,TRUE),"")</f>
        <v/>
      </c>
      <c r="C588" s="14" t="str">
        <f>IF(ROW()&lt;=Results!$C$1+1,IF(B588&lt;=0,"",LN(B588)),"")</f>
        <v/>
      </c>
      <c r="D588" s="58" t="str">
        <f ca="1">IF(Results!$S$5,A588,IF(ROW()&lt;=Results!$C$1+1,INDEX(Data!$A:$A,CEILING((COUNTA(Data!$A:$A)-1)*RAND()+1,1)),""))</f>
        <v/>
      </c>
      <c r="E588" s="1" t="str">
        <f>IF(ROW()&lt;=Results!$C$1+1,VLOOKUP($D588,Data!$A$2:$C$117,3,TRUE),"")</f>
        <v/>
      </c>
      <c r="F588" s="14" t="str">
        <f>IF(ROW()&lt;=Results!$C$1+1,IF(E588&lt;=0,"",LN(E588)),"")</f>
        <v/>
      </c>
      <c r="G588" s="53" t="str">
        <f>IF(ROW()&lt;=Results!$C$1+1,IF(ISERROR(C588-F588),"",C588-F588),"")</f>
        <v/>
      </c>
    </row>
    <row r="589" spans="1:7" x14ac:dyDescent="0.25">
      <c r="A589" s="1" t="str">
        <f ca="1">IF(ROW()&lt;=Results!$C$1+1,INDEX(Data!$A:$A,CEILING((COUNTA(Data!$A:$A)-1)*RAND()+1,1)),"")</f>
        <v/>
      </c>
      <c r="B589" s="1" t="str">
        <f>IF(ROW()&lt;=Results!$C$1+1,VLOOKUP($A589,Data!$A$2:$C$117,2,TRUE),"")</f>
        <v/>
      </c>
      <c r="C589" s="14" t="str">
        <f>IF(ROW()&lt;=Results!$C$1+1,IF(B589&lt;=0,"",LN(B589)),"")</f>
        <v/>
      </c>
      <c r="D589" s="58" t="str">
        <f ca="1">IF(Results!$S$5,A589,IF(ROW()&lt;=Results!$C$1+1,INDEX(Data!$A:$A,CEILING((COUNTA(Data!$A:$A)-1)*RAND()+1,1)),""))</f>
        <v/>
      </c>
      <c r="E589" s="1" t="str">
        <f>IF(ROW()&lt;=Results!$C$1+1,VLOOKUP($D589,Data!$A$2:$C$117,3,TRUE),"")</f>
        <v/>
      </c>
      <c r="F589" s="14" t="str">
        <f>IF(ROW()&lt;=Results!$C$1+1,IF(E589&lt;=0,"",LN(E589)),"")</f>
        <v/>
      </c>
      <c r="G589" s="53" t="str">
        <f>IF(ROW()&lt;=Results!$C$1+1,IF(ISERROR(C589-F589),"",C589-F589),"")</f>
        <v/>
      </c>
    </row>
    <row r="590" spans="1:7" x14ac:dyDescent="0.25">
      <c r="A590" s="1" t="str">
        <f ca="1">IF(ROW()&lt;=Results!$C$1+1,INDEX(Data!$A:$A,CEILING((COUNTA(Data!$A:$A)-1)*RAND()+1,1)),"")</f>
        <v/>
      </c>
      <c r="B590" s="1" t="str">
        <f>IF(ROW()&lt;=Results!$C$1+1,VLOOKUP($A590,Data!$A$2:$C$117,2,TRUE),"")</f>
        <v/>
      </c>
      <c r="C590" s="14" t="str">
        <f>IF(ROW()&lt;=Results!$C$1+1,IF(B590&lt;=0,"",LN(B590)),"")</f>
        <v/>
      </c>
      <c r="D590" s="58" t="str">
        <f ca="1">IF(Results!$S$5,A590,IF(ROW()&lt;=Results!$C$1+1,INDEX(Data!$A:$A,CEILING((COUNTA(Data!$A:$A)-1)*RAND()+1,1)),""))</f>
        <v/>
      </c>
      <c r="E590" s="1" t="str">
        <f>IF(ROW()&lt;=Results!$C$1+1,VLOOKUP($D590,Data!$A$2:$C$117,3,TRUE),"")</f>
        <v/>
      </c>
      <c r="F590" s="14" t="str">
        <f>IF(ROW()&lt;=Results!$C$1+1,IF(E590&lt;=0,"",LN(E590)),"")</f>
        <v/>
      </c>
      <c r="G590" s="53" t="str">
        <f>IF(ROW()&lt;=Results!$C$1+1,IF(ISERROR(C590-F590),"",C590-F590),"")</f>
        <v/>
      </c>
    </row>
    <row r="591" spans="1:7" x14ac:dyDescent="0.25">
      <c r="A591" s="1" t="str">
        <f ca="1">IF(ROW()&lt;=Results!$C$1+1,INDEX(Data!$A:$A,CEILING((COUNTA(Data!$A:$A)-1)*RAND()+1,1)),"")</f>
        <v/>
      </c>
      <c r="B591" s="1" t="str">
        <f>IF(ROW()&lt;=Results!$C$1+1,VLOOKUP($A591,Data!$A$2:$C$117,2,TRUE),"")</f>
        <v/>
      </c>
      <c r="C591" s="14" t="str">
        <f>IF(ROW()&lt;=Results!$C$1+1,IF(B591&lt;=0,"",LN(B591)),"")</f>
        <v/>
      </c>
      <c r="D591" s="58" t="str">
        <f ca="1">IF(Results!$S$5,A591,IF(ROW()&lt;=Results!$C$1+1,INDEX(Data!$A:$A,CEILING((COUNTA(Data!$A:$A)-1)*RAND()+1,1)),""))</f>
        <v/>
      </c>
      <c r="E591" s="1" t="str">
        <f>IF(ROW()&lt;=Results!$C$1+1,VLOOKUP($D591,Data!$A$2:$C$117,3,TRUE),"")</f>
        <v/>
      </c>
      <c r="F591" s="14" t="str">
        <f>IF(ROW()&lt;=Results!$C$1+1,IF(E591&lt;=0,"",LN(E591)),"")</f>
        <v/>
      </c>
      <c r="G591" s="53" t="str">
        <f>IF(ROW()&lt;=Results!$C$1+1,IF(ISERROR(C591-F591),"",C591-F591),"")</f>
        <v/>
      </c>
    </row>
    <row r="592" spans="1:7" x14ac:dyDescent="0.25">
      <c r="A592" s="1" t="str">
        <f ca="1">IF(ROW()&lt;=Results!$C$1+1,INDEX(Data!$A:$A,CEILING((COUNTA(Data!$A:$A)-1)*RAND()+1,1)),"")</f>
        <v/>
      </c>
      <c r="B592" s="1" t="str">
        <f>IF(ROW()&lt;=Results!$C$1+1,VLOOKUP($A592,Data!$A$2:$C$117,2,TRUE),"")</f>
        <v/>
      </c>
      <c r="C592" s="14" t="str">
        <f>IF(ROW()&lt;=Results!$C$1+1,IF(B592&lt;=0,"",LN(B592)),"")</f>
        <v/>
      </c>
      <c r="D592" s="58" t="str">
        <f ca="1">IF(Results!$S$5,A592,IF(ROW()&lt;=Results!$C$1+1,INDEX(Data!$A:$A,CEILING((COUNTA(Data!$A:$A)-1)*RAND()+1,1)),""))</f>
        <v/>
      </c>
      <c r="E592" s="1" t="str">
        <f>IF(ROW()&lt;=Results!$C$1+1,VLOOKUP($D592,Data!$A$2:$C$117,3,TRUE),"")</f>
        <v/>
      </c>
      <c r="F592" s="14" t="str">
        <f>IF(ROW()&lt;=Results!$C$1+1,IF(E592&lt;=0,"",LN(E592)),"")</f>
        <v/>
      </c>
      <c r="G592" s="53" t="str">
        <f>IF(ROW()&lt;=Results!$C$1+1,IF(ISERROR(C592-F592),"",C592-F592),"")</f>
        <v/>
      </c>
    </row>
    <row r="593" spans="1:7" x14ac:dyDescent="0.25">
      <c r="A593" s="1" t="str">
        <f ca="1">IF(ROW()&lt;=Results!$C$1+1,INDEX(Data!$A:$A,CEILING((COUNTA(Data!$A:$A)-1)*RAND()+1,1)),"")</f>
        <v/>
      </c>
      <c r="B593" s="1" t="str">
        <f>IF(ROW()&lt;=Results!$C$1+1,VLOOKUP($A593,Data!$A$2:$C$117,2,TRUE),"")</f>
        <v/>
      </c>
      <c r="C593" s="14" t="str">
        <f>IF(ROW()&lt;=Results!$C$1+1,IF(B593&lt;=0,"",LN(B593)),"")</f>
        <v/>
      </c>
      <c r="D593" s="58" t="str">
        <f ca="1">IF(Results!$S$5,A593,IF(ROW()&lt;=Results!$C$1+1,INDEX(Data!$A:$A,CEILING((COUNTA(Data!$A:$A)-1)*RAND()+1,1)),""))</f>
        <v/>
      </c>
      <c r="E593" s="1" t="str">
        <f>IF(ROW()&lt;=Results!$C$1+1,VLOOKUP($D593,Data!$A$2:$C$117,3,TRUE),"")</f>
        <v/>
      </c>
      <c r="F593" s="14" t="str">
        <f>IF(ROW()&lt;=Results!$C$1+1,IF(E593&lt;=0,"",LN(E593)),"")</f>
        <v/>
      </c>
      <c r="G593" s="53" t="str">
        <f>IF(ROW()&lt;=Results!$C$1+1,IF(ISERROR(C593-F593),"",C593-F593),"")</f>
        <v/>
      </c>
    </row>
    <row r="594" spans="1:7" x14ac:dyDescent="0.25">
      <c r="A594" s="1" t="str">
        <f ca="1">IF(ROW()&lt;=Results!$C$1+1,INDEX(Data!$A:$A,CEILING((COUNTA(Data!$A:$A)-1)*RAND()+1,1)),"")</f>
        <v/>
      </c>
      <c r="B594" s="1" t="str">
        <f>IF(ROW()&lt;=Results!$C$1+1,VLOOKUP($A594,Data!$A$2:$C$117,2,TRUE),"")</f>
        <v/>
      </c>
      <c r="C594" s="14" t="str">
        <f>IF(ROW()&lt;=Results!$C$1+1,IF(B594&lt;=0,"",LN(B594)),"")</f>
        <v/>
      </c>
      <c r="D594" s="58" t="str">
        <f ca="1">IF(Results!$S$5,A594,IF(ROW()&lt;=Results!$C$1+1,INDEX(Data!$A:$A,CEILING((COUNTA(Data!$A:$A)-1)*RAND()+1,1)),""))</f>
        <v/>
      </c>
      <c r="E594" s="1" t="str">
        <f>IF(ROW()&lt;=Results!$C$1+1,VLOOKUP($D594,Data!$A$2:$C$117,3,TRUE),"")</f>
        <v/>
      </c>
      <c r="F594" s="14" t="str">
        <f>IF(ROW()&lt;=Results!$C$1+1,IF(E594&lt;=0,"",LN(E594)),"")</f>
        <v/>
      </c>
      <c r="G594" s="53" t="str">
        <f>IF(ROW()&lt;=Results!$C$1+1,IF(ISERROR(C594-F594),"",C594-F594),"")</f>
        <v/>
      </c>
    </row>
    <row r="595" spans="1:7" x14ac:dyDescent="0.25">
      <c r="A595" s="1" t="str">
        <f ca="1">IF(ROW()&lt;=Results!$C$1+1,INDEX(Data!$A:$A,CEILING((COUNTA(Data!$A:$A)-1)*RAND()+1,1)),"")</f>
        <v/>
      </c>
      <c r="B595" s="1" t="str">
        <f>IF(ROW()&lt;=Results!$C$1+1,VLOOKUP($A595,Data!$A$2:$C$117,2,TRUE),"")</f>
        <v/>
      </c>
      <c r="C595" s="14" t="str">
        <f>IF(ROW()&lt;=Results!$C$1+1,IF(B595&lt;=0,"",LN(B595)),"")</f>
        <v/>
      </c>
      <c r="D595" s="58" t="str">
        <f ca="1">IF(Results!$S$5,A595,IF(ROW()&lt;=Results!$C$1+1,INDEX(Data!$A:$A,CEILING((COUNTA(Data!$A:$A)-1)*RAND()+1,1)),""))</f>
        <v/>
      </c>
      <c r="E595" s="1" t="str">
        <f>IF(ROW()&lt;=Results!$C$1+1,VLOOKUP($D595,Data!$A$2:$C$117,3,TRUE),"")</f>
        <v/>
      </c>
      <c r="F595" s="14" t="str">
        <f>IF(ROW()&lt;=Results!$C$1+1,IF(E595&lt;=0,"",LN(E595)),"")</f>
        <v/>
      </c>
      <c r="G595" s="53" t="str">
        <f>IF(ROW()&lt;=Results!$C$1+1,IF(ISERROR(C595-F595),"",C595-F595),"")</f>
        <v/>
      </c>
    </row>
    <row r="596" spans="1:7" x14ac:dyDescent="0.25">
      <c r="A596" s="1" t="str">
        <f ca="1">IF(ROW()&lt;=Results!$C$1+1,INDEX(Data!$A:$A,CEILING((COUNTA(Data!$A:$A)-1)*RAND()+1,1)),"")</f>
        <v/>
      </c>
      <c r="B596" s="1" t="str">
        <f>IF(ROW()&lt;=Results!$C$1+1,VLOOKUP($A596,Data!$A$2:$C$117,2,TRUE),"")</f>
        <v/>
      </c>
      <c r="C596" s="14" t="str">
        <f>IF(ROW()&lt;=Results!$C$1+1,IF(B596&lt;=0,"",LN(B596)),"")</f>
        <v/>
      </c>
      <c r="D596" s="58" t="str">
        <f ca="1">IF(Results!$S$5,A596,IF(ROW()&lt;=Results!$C$1+1,INDEX(Data!$A:$A,CEILING((COUNTA(Data!$A:$A)-1)*RAND()+1,1)),""))</f>
        <v/>
      </c>
      <c r="E596" s="1" t="str">
        <f>IF(ROW()&lt;=Results!$C$1+1,VLOOKUP($D596,Data!$A$2:$C$117,3,TRUE),"")</f>
        <v/>
      </c>
      <c r="F596" s="14" t="str">
        <f>IF(ROW()&lt;=Results!$C$1+1,IF(E596&lt;=0,"",LN(E596)),"")</f>
        <v/>
      </c>
      <c r="G596" s="53" t="str">
        <f>IF(ROW()&lt;=Results!$C$1+1,IF(ISERROR(C596-F596),"",C596-F596),"")</f>
        <v/>
      </c>
    </row>
    <row r="597" spans="1:7" x14ac:dyDescent="0.25">
      <c r="A597" s="1" t="str">
        <f ca="1">IF(ROW()&lt;=Results!$C$1+1,INDEX(Data!$A:$A,CEILING((COUNTA(Data!$A:$A)-1)*RAND()+1,1)),"")</f>
        <v/>
      </c>
      <c r="B597" s="1" t="str">
        <f>IF(ROW()&lt;=Results!$C$1+1,VLOOKUP($A597,Data!$A$2:$C$117,2,TRUE),"")</f>
        <v/>
      </c>
      <c r="C597" s="14" t="str">
        <f>IF(ROW()&lt;=Results!$C$1+1,IF(B597&lt;=0,"",LN(B597)),"")</f>
        <v/>
      </c>
      <c r="D597" s="58" t="str">
        <f ca="1">IF(Results!$S$5,A597,IF(ROW()&lt;=Results!$C$1+1,INDEX(Data!$A:$A,CEILING((COUNTA(Data!$A:$A)-1)*RAND()+1,1)),""))</f>
        <v/>
      </c>
      <c r="E597" s="1" t="str">
        <f>IF(ROW()&lt;=Results!$C$1+1,VLOOKUP($D597,Data!$A$2:$C$117,3,TRUE),"")</f>
        <v/>
      </c>
      <c r="F597" s="14" t="str">
        <f>IF(ROW()&lt;=Results!$C$1+1,IF(E597&lt;=0,"",LN(E597)),"")</f>
        <v/>
      </c>
      <c r="G597" s="53" t="str">
        <f>IF(ROW()&lt;=Results!$C$1+1,IF(ISERROR(C597-F597),"",C597-F597),"")</f>
        <v/>
      </c>
    </row>
    <row r="598" spans="1:7" x14ac:dyDescent="0.25">
      <c r="A598" s="1" t="str">
        <f ca="1">IF(ROW()&lt;=Results!$C$1+1,INDEX(Data!$A:$A,CEILING((COUNTA(Data!$A:$A)-1)*RAND()+1,1)),"")</f>
        <v/>
      </c>
      <c r="B598" s="1" t="str">
        <f>IF(ROW()&lt;=Results!$C$1+1,VLOOKUP($A598,Data!$A$2:$C$117,2,TRUE),"")</f>
        <v/>
      </c>
      <c r="C598" s="14" t="str">
        <f>IF(ROW()&lt;=Results!$C$1+1,IF(B598&lt;=0,"",LN(B598)),"")</f>
        <v/>
      </c>
      <c r="D598" s="58" t="str">
        <f ca="1">IF(Results!$S$5,A598,IF(ROW()&lt;=Results!$C$1+1,INDEX(Data!$A:$A,CEILING((COUNTA(Data!$A:$A)-1)*RAND()+1,1)),""))</f>
        <v/>
      </c>
      <c r="E598" s="1" t="str">
        <f>IF(ROW()&lt;=Results!$C$1+1,VLOOKUP($D598,Data!$A$2:$C$117,3,TRUE),"")</f>
        <v/>
      </c>
      <c r="F598" s="14" t="str">
        <f>IF(ROW()&lt;=Results!$C$1+1,IF(E598&lt;=0,"",LN(E598)),"")</f>
        <v/>
      </c>
      <c r="G598" s="53" t="str">
        <f>IF(ROW()&lt;=Results!$C$1+1,IF(ISERROR(C598-F598),"",C598-F598),"")</f>
        <v/>
      </c>
    </row>
    <row r="599" spans="1:7" x14ac:dyDescent="0.25">
      <c r="A599" s="1" t="str">
        <f ca="1">IF(ROW()&lt;=Results!$C$1+1,INDEX(Data!$A:$A,CEILING((COUNTA(Data!$A:$A)-1)*RAND()+1,1)),"")</f>
        <v/>
      </c>
      <c r="B599" s="1" t="str">
        <f>IF(ROW()&lt;=Results!$C$1+1,VLOOKUP($A599,Data!$A$2:$C$117,2,TRUE),"")</f>
        <v/>
      </c>
      <c r="C599" s="14" t="str">
        <f>IF(ROW()&lt;=Results!$C$1+1,IF(B599&lt;=0,"",LN(B599)),"")</f>
        <v/>
      </c>
      <c r="D599" s="58" t="str">
        <f ca="1">IF(Results!$S$5,A599,IF(ROW()&lt;=Results!$C$1+1,INDEX(Data!$A:$A,CEILING((COUNTA(Data!$A:$A)-1)*RAND()+1,1)),""))</f>
        <v/>
      </c>
      <c r="E599" s="1" t="str">
        <f>IF(ROW()&lt;=Results!$C$1+1,VLOOKUP($D599,Data!$A$2:$C$117,3,TRUE),"")</f>
        <v/>
      </c>
      <c r="F599" s="14" t="str">
        <f>IF(ROW()&lt;=Results!$C$1+1,IF(E599&lt;=0,"",LN(E599)),"")</f>
        <v/>
      </c>
      <c r="G599" s="53" t="str">
        <f>IF(ROW()&lt;=Results!$C$1+1,IF(ISERROR(C599-F599),"",C599-F599),"")</f>
        <v/>
      </c>
    </row>
    <row r="600" spans="1:7" x14ac:dyDescent="0.25">
      <c r="A600" s="1" t="str">
        <f ca="1">IF(ROW()&lt;=Results!$C$1+1,INDEX(Data!$A:$A,CEILING((COUNTA(Data!$A:$A)-1)*RAND()+1,1)),"")</f>
        <v/>
      </c>
      <c r="B600" s="1" t="str">
        <f>IF(ROW()&lt;=Results!$C$1+1,VLOOKUP($A600,Data!$A$2:$C$117,2,TRUE),"")</f>
        <v/>
      </c>
      <c r="C600" s="14" t="str">
        <f>IF(ROW()&lt;=Results!$C$1+1,IF(B600&lt;=0,"",LN(B600)),"")</f>
        <v/>
      </c>
      <c r="D600" s="58" t="str">
        <f ca="1">IF(Results!$S$5,A600,IF(ROW()&lt;=Results!$C$1+1,INDEX(Data!$A:$A,CEILING((COUNTA(Data!$A:$A)-1)*RAND()+1,1)),""))</f>
        <v/>
      </c>
      <c r="E600" s="1" t="str">
        <f>IF(ROW()&lt;=Results!$C$1+1,VLOOKUP($D600,Data!$A$2:$C$117,3,TRUE),"")</f>
        <v/>
      </c>
      <c r="F600" s="14" t="str">
        <f>IF(ROW()&lt;=Results!$C$1+1,IF(E600&lt;=0,"",LN(E600)),"")</f>
        <v/>
      </c>
      <c r="G600" s="53" t="str">
        <f>IF(ROW()&lt;=Results!$C$1+1,IF(ISERROR(C600-F600),"",C600-F600),"")</f>
        <v/>
      </c>
    </row>
    <row r="601" spans="1:7" x14ac:dyDescent="0.25">
      <c r="A601" s="1" t="str">
        <f ca="1">IF(ROW()&lt;=Results!$C$1+1,INDEX(Data!$A:$A,CEILING((COUNTA(Data!$A:$A)-1)*RAND()+1,1)),"")</f>
        <v/>
      </c>
      <c r="B601" s="1" t="str">
        <f>IF(ROW()&lt;=Results!$C$1+1,VLOOKUP($A601,Data!$A$2:$C$117,2,TRUE),"")</f>
        <v/>
      </c>
      <c r="C601" s="14" t="str">
        <f>IF(ROW()&lt;=Results!$C$1+1,IF(B601&lt;=0,"",LN(B601)),"")</f>
        <v/>
      </c>
      <c r="D601" s="58" t="str">
        <f ca="1">IF(Results!$S$5,A601,IF(ROW()&lt;=Results!$C$1+1,INDEX(Data!$A:$A,CEILING((COUNTA(Data!$A:$A)-1)*RAND()+1,1)),""))</f>
        <v/>
      </c>
      <c r="E601" s="1" t="str">
        <f>IF(ROW()&lt;=Results!$C$1+1,VLOOKUP($D601,Data!$A$2:$C$117,3,TRUE),"")</f>
        <v/>
      </c>
      <c r="F601" s="14" t="str">
        <f>IF(ROW()&lt;=Results!$C$1+1,IF(E601&lt;=0,"",LN(E601)),"")</f>
        <v/>
      </c>
      <c r="G601" s="53" t="str">
        <f>IF(ROW()&lt;=Results!$C$1+1,IF(ISERROR(C601-F601),"",C601-F601),"")</f>
        <v/>
      </c>
    </row>
    <row r="602" spans="1:7" x14ac:dyDescent="0.25">
      <c r="A602" s="1" t="str">
        <f ca="1">IF(ROW()&lt;=Results!$C$1+1,INDEX(Data!$A:$A,CEILING((COUNTA(Data!$A:$A)-1)*RAND()+1,1)),"")</f>
        <v/>
      </c>
      <c r="B602" s="1" t="str">
        <f>IF(ROW()&lt;=Results!$C$1+1,VLOOKUP($A602,Data!$A$2:$C$117,2,TRUE),"")</f>
        <v/>
      </c>
      <c r="C602" s="14" t="str">
        <f>IF(ROW()&lt;=Results!$C$1+1,IF(B602&lt;=0,"",LN(B602)),"")</f>
        <v/>
      </c>
      <c r="D602" s="58" t="str">
        <f ca="1">IF(Results!$S$5,A602,IF(ROW()&lt;=Results!$C$1+1,INDEX(Data!$A:$A,CEILING((COUNTA(Data!$A:$A)-1)*RAND()+1,1)),""))</f>
        <v/>
      </c>
      <c r="E602" s="1" t="str">
        <f>IF(ROW()&lt;=Results!$C$1+1,VLOOKUP($D602,Data!$A$2:$C$117,3,TRUE),"")</f>
        <v/>
      </c>
      <c r="F602" s="14" t="str">
        <f>IF(ROW()&lt;=Results!$C$1+1,IF(E602&lt;=0,"",LN(E602)),"")</f>
        <v/>
      </c>
      <c r="G602" s="53" t="str">
        <f>IF(ROW()&lt;=Results!$C$1+1,IF(ISERROR(C602-F602),"",C602-F602),"")</f>
        <v/>
      </c>
    </row>
    <row r="603" spans="1:7" x14ac:dyDescent="0.25">
      <c r="A603" s="1" t="str">
        <f ca="1">IF(ROW()&lt;=Results!$C$1+1,INDEX(Data!$A:$A,CEILING((COUNTA(Data!$A:$A)-1)*RAND()+1,1)),"")</f>
        <v/>
      </c>
      <c r="B603" s="1" t="str">
        <f>IF(ROW()&lt;=Results!$C$1+1,VLOOKUP($A603,Data!$A$2:$C$117,2,TRUE),"")</f>
        <v/>
      </c>
      <c r="C603" s="14" t="str">
        <f>IF(ROW()&lt;=Results!$C$1+1,IF(B603&lt;=0,"",LN(B603)),"")</f>
        <v/>
      </c>
      <c r="D603" s="58" t="str">
        <f ca="1">IF(Results!$S$5,A603,IF(ROW()&lt;=Results!$C$1+1,INDEX(Data!$A:$A,CEILING((COUNTA(Data!$A:$A)-1)*RAND()+1,1)),""))</f>
        <v/>
      </c>
      <c r="E603" s="1" t="str">
        <f>IF(ROW()&lt;=Results!$C$1+1,VLOOKUP($D603,Data!$A$2:$C$117,3,TRUE),"")</f>
        <v/>
      </c>
      <c r="F603" s="14" t="str">
        <f>IF(ROW()&lt;=Results!$C$1+1,IF(E603&lt;=0,"",LN(E603)),"")</f>
        <v/>
      </c>
      <c r="G603" s="53" t="str">
        <f>IF(ROW()&lt;=Results!$C$1+1,IF(ISERROR(C603-F603),"",C603-F603),"")</f>
        <v/>
      </c>
    </row>
    <row r="604" spans="1:7" x14ac:dyDescent="0.25">
      <c r="A604" s="1" t="str">
        <f ca="1">IF(ROW()&lt;=Results!$C$1+1,INDEX(Data!$A:$A,CEILING((COUNTA(Data!$A:$A)-1)*RAND()+1,1)),"")</f>
        <v/>
      </c>
      <c r="B604" s="1" t="str">
        <f>IF(ROW()&lt;=Results!$C$1+1,VLOOKUP($A604,Data!$A$2:$C$117,2,TRUE),"")</f>
        <v/>
      </c>
      <c r="C604" s="14" t="str">
        <f>IF(ROW()&lt;=Results!$C$1+1,IF(B604&lt;=0,"",LN(B604)),"")</f>
        <v/>
      </c>
      <c r="D604" s="58" t="str">
        <f ca="1">IF(Results!$S$5,A604,IF(ROW()&lt;=Results!$C$1+1,INDEX(Data!$A:$A,CEILING((COUNTA(Data!$A:$A)-1)*RAND()+1,1)),""))</f>
        <v/>
      </c>
      <c r="E604" s="1" t="str">
        <f>IF(ROW()&lt;=Results!$C$1+1,VLOOKUP($D604,Data!$A$2:$C$117,3,TRUE),"")</f>
        <v/>
      </c>
      <c r="F604" s="14" t="str">
        <f>IF(ROW()&lt;=Results!$C$1+1,IF(E604&lt;=0,"",LN(E604)),"")</f>
        <v/>
      </c>
      <c r="G604" s="53" t="str">
        <f>IF(ROW()&lt;=Results!$C$1+1,IF(ISERROR(C604-F604),"",C604-F604),"")</f>
        <v/>
      </c>
    </row>
    <row r="605" spans="1:7" x14ac:dyDescent="0.25">
      <c r="A605" s="1" t="str">
        <f ca="1">IF(ROW()&lt;=Results!$C$1+1,INDEX(Data!$A:$A,CEILING((COUNTA(Data!$A:$A)-1)*RAND()+1,1)),"")</f>
        <v/>
      </c>
      <c r="B605" s="1" t="str">
        <f>IF(ROW()&lt;=Results!$C$1+1,VLOOKUP($A605,Data!$A$2:$C$117,2,TRUE),"")</f>
        <v/>
      </c>
      <c r="C605" s="14" t="str">
        <f>IF(ROW()&lt;=Results!$C$1+1,IF(B605&lt;=0,"",LN(B605)),"")</f>
        <v/>
      </c>
      <c r="D605" s="58" t="str">
        <f ca="1">IF(Results!$S$5,A605,IF(ROW()&lt;=Results!$C$1+1,INDEX(Data!$A:$A,CEILING((COUNTA(Data!$A:$A)-1)*RAND()+1,1)),""))</f>
        <v/>
      </c>
      <c r="E605" s="1" t="str">
        <f>IF(ROW()&lt;=Results!$C$1+1,VLOOKUP($D605,Data!$A$2:$C$117,3,TRUE),"")</f>
        <v/>
      </c>
      <c r="F605" s="14" t="str">
        <f>IF(ROW()&lt;=Results!$C$1+1,IF(E605&lt;=0,"",LN(E605)),"")</f>
        <v/>
      </c>
      <c r="G605" s="53" t="str">
        <f>IF(ROW()&lt;=Results!$C$1+1,IF(ISERROR(C605-F605),"",C605-F605),"")</f>
        <v/>
      </c>
    </row>
    <row r="606" spans="1:7" x14ac:dyDescent="0.25">
      <c r="A606" s="1" t="str">
        <f ca="1">IF(ROW()&lt;=Results!$C$1+1,INDEX(Data!$A:$A,CEILING((COUNTA(Data!$A:$A)-1)*RAND()+1,1)),"")</f>
        <v/>
      </c>
      <c r="B606" s="1" t="str">
        <f>IF(ROW()&lt;=Results!$C$1+1,VLOOKUP($A606,Data!$A$2:$C$117,2,TRUE),"")</f>
        <v/>
      </c>
      <c r="C606" s="14" t="str">
        <f>IF(ROW()&lt;=Results!$C$1+1,IF(B606&lt;=0,"",LN(B606)),"")</f>
        <v/>
      </c>
      <c r="D606" s="58" t="str">
        <f ca="1">IF(Results!$S$5,A606,IF(ROW()&lt;=Results!$C$1+1,INDEX(Data!$A:$A,CEILING((COUNTA(Data!$A:$A)-1)*RAND()+1,1)),""))</f>
        <v/>
      </c>
      <c r="E606" s="1" t="str">
        <f>IF(ROW()&lt;=Results!$C$1+1,VLOOKUP($D606,Data!$A$2:$C$117,3,TRUE),"")</f>
        <v/>
      </c>
      <c r="F606" s="14" t="str">
        <f>IF(ROW()&lt;=Results!$C$1+1,IF(E606&lt;=0,"",LN(E606)),"")</f>
        <v/>
      </c>
      <c r="G606" s="53" t="str">
        <f>IF(ROW()&lt;=Results!$C$1+1,IF(ISERROR(C606-F606),"",C606-F606),"")</f>
        <v/>
      </c>
    </row>
    <row r="607" spans="1:7" x14ac:dyDescent="0.25">
      <c r="A607" s="1" t="str">
        <f ca="1">IF(ROW()&lt;=Results!$C$1+1,INDEX(Data!$A:$A,CEILING((COUNTA(Data!$A:$A)-1)*RAND()+1,1)),"")</f>
        <v/>
      </c>
      <c r="B607" s="1" t="str">
        <f>IF(ROW()&lt;=Results!$C$1+1,VLOOKUP($A607,Data!$A$2:$C$117,2,TRUE),"")</f>
        <v/>
      </c>
      <c r="C607" s="14" t="str">
        <f>IF(ROW()&lt;=Results!$C$1+1,IF(B607&lt;=0,"",LN(B607)),"")</f>
        <v/>
      </c>
      <c r="D607" s="58" t="str">
        <f ca="1">IF(Results!$S$5,A607,IF(ROW()&lt;=Results!$C$1+1,INDEX(Data!$A:$A,CEILING((COUNTA(Data!$A:$A)-1)*RAND()+1,1)),""))</f>
        <v/>
      </c>
      <c r="E607" s="1" t="str">
        <f>IF(ROW()&lt;=Results!$C$1+1,VLOOKUP($D607,Data!$A$2:$C$117,3,TRUE),"")</f>
        <v/>
      </c>
      <c r="F607" s="14" t="str">
        <f>IF(ROW()&lt;=Results!$C$1+1,IF(E607&lt;=0,"",LN(E607)),"")</f>
        <v/>
      </c>
      <c r="G607" s="53" t="str">
        <f>IF(ROW()&lt;=Results!$C$1+1,IF(ISERROR(C607-F607),"",C607-F607),"")</f>
        <v/>
      </c>
    </row>
    <row r="608" spans="1:7" x14ac:dyDescent="0.25">
      <c r="A608" s="1" t="str">
        <f ca="1">IF(ROW()&lt;=Results!$C$1+1,INDEX(Data!$A:$A,CEILING((COUNTA(Data!$A:$A)-1)*RAND()+1,1)),"")</f>
        <v/>
      </c>
      <c r="B608" s="1" t="str">
        <f>IF(ROW()&lt;=Results!$C$1+1,VLOOKUP($A608,Data!$A$2:$C$117,2,TRUE),"")</f>
        <v/>
      </c>
      <c r="C608" s="14" t="str">
        <f>IF(ROW()&lt;=Results!$C$1+1,IF(B608&lt;=0,"",LN(B608)),"")</f>
        <v/>
      </c>
      <c r="D608" s="58" t="str">
        <f ca="1">IF(Results!$S$5,A608,IF(ROW()&lt;=Results!$C$1+1,INDEX(Data!$A:$A,CEILING((COUNTA(Data!$A:$A)-1)*RAND()+1,1)),""))</f>
        <v/>
      </c>
      <c r="E608" s="1" t="str">
        <f>IF(ROW()&lt;=Results!$C$1+1,VLOOKUP($D608,Data!$A$2:$C$117,3,TRUE),"")</f>
        <v/>
      </c>
      <c r="F608" s="14" t="str">
        <f>IF(ROW()&lt;=Results!$C$1+1,IF(E608&lt;=0,"",LN(E608)),"")</f>
        <v/>
      </c>
      <c r="G608" s="53" t="str">
        <f>IF(ROW()&lt;=Results!$C$1+1,IF(ISERROR(C608-F608),"",C608-F608),"")</f>
        <v/>
      </c>
    </row>
    <row r="609" spans="1:7" x14ac:dyDescent="0.25">
      <c r="A609" s="1" t="str">
        <f ca="1">IF(ROW()&lt;=Results!$C$1+1,INDEX(Data!$A:$A,CEILING((COUNTA(Data!$A:$A)-1)*RAND()+1,1)),"")</f>
        <v/>
      </c>
      <c r="B609" s="1" t="str">
        <f>IF(ROW()&lt;=Results!$C$1+1,VLOOKUP($A609,Data!$A$2:$C$117,2,TRUE),"")</f>
        <v/>
      </c>
      <c r="C609" s="14" t="str">
        <f>IF(ROW()&lt;=Results!$C$1+1,IF(B609&lt;=0,"",LN(B609)),"")</f>
        <v/>
      </c>
      <c r="D609" s="58" t="str">
        <f ca="1">IF(Results!$S$5,A609,IF(ROW()&lt;=Results!$C$1+1,INDEX(Data!$A:$A,CEILING((COUNTA(Data!$A:$A)-1)*RAND()+1,1)),""))</f>
        <v/>
      </c>
      <c r="E609" s="1" t="str">
        <f>IF(ROW()&lt;=Results!$C$1+1,VLOOKUP($D609,Data!$A$2:$C$117,3,TRUE),"")</f>
        <v/>
      </c>
      <c r="F609" s="14" t="str">
        <f>IF(ROW()&lt;=Results!$C$1+1,IF(E609&lt;=0,"",LN(E609)),"")</f>
        <v/>
      </c>
      <c r="G609" s="53" t="str">
        <f>IF(ROW()&lt;=Results!$C$1+1,IF(ISERROR(C609-F609),"",C609-F609),"")</f>
        <v/>
      </c>
    </row>
    <row r="610" spans="1:7" x14ac:dyDescent="0.25">
      <c r="A610" s="1" t="str">
        <f ca="1">IF(ROW()&lt;=Results!$C$1+1,INDEX(Data!$A:$A,CEILING((COUNTA(Data!$A:$A)-1)*RAND()+1,1)),"")</f>
        <v/>
      </c>
      <c r="B610" s="1" t="str">
        <f>IF(ROW()&lt;=Results!$C$1+1,VLOOKUP($A610,Data!$A$2:$C$117,2,TRUE),"")</f>
        <v/>
      </c>
      <c r="C610" s="14" t="str">
        <f>IF(ROW()&lt;=Results!$C$1+1,IF(B610&lt;=0,"",LN(B610)),"")</f>
        <v/>
      </c>
      <c r="D610" s="58" t="str">
        <f ca="1">IF(Results!$S$5,A610,IF(ROW()&lt;=Results!$C$1+1,INDEX(Data!$A:$A,CEILING((COUNTA(Data!$A:$A)-1)*RAND()+1,1)),""))</f>
        <v/>
      </c>
      <c r="E610" s="1" t="str">
        <f>IF(ROW()&lt;=Results!$C$1+1,VLOOKUP($D610,Data!$A$2:$C$117,3,TRUE),"")</f>
        <v/>
      </c>
      <c r="F610" s="14" t="str">
        <f>IF(ROW()&lt;=Results!$C$1+1,IF(E610&lt;=0,"",LN(E610)),"")</f>
        <v/>
      </c>
      <c r="G610" s="53" t="str">
        <f>IF(ROW()&lt;=Results!$C$1+1,IF(ISERROR(C610-F610),"",C610-F610),"")</f>
        <v/>
      </c>
    </row>
    <row r="611" spans="1:7" x14ac:dyDescent="0.25">
      <c r="A611" s="1" t="str">
        <f ca="1">IF(ROW()&lt;=Results!$C$1+1,INDEX(Data!$A:$A,CEILING((COUNTA(Data!$A:$A)-1)*RAND()+1,1)),"")</f>
        <v/>
      </c>
      <c r="B611" s="1" t="str">
        <f>IF(ROW()&lt;=Results!$C$1+1,VLOOKUP($A611,Data!$A$2:$C$117,2,TRUE),"")</f>
        <v/>
      </c>
      <c r="C611" s="14" t="str">
        <f>IF(ROW()&lt;=Results!$C$1+1,IF(B611&lt;=0,"",LN(B611)),"")</f>
        <v/>
      </c>
      <c r="D611" s="58" t="str">
        <f ca="1">IF(Results!$S$5,A611,IF(ROW()&lt;=Results!$C$1+1,INDEX(Data!$A:$A,CEILING((COUNTA(Data!$A:$A)-1)*RAND()+1,1)),""))</f>
        <v/>
      </c>
      <c r="E611" s="1" t="str">
        <f>IF(ROW()&lt;=Results!$C$1+1,VLOOKUP($D611,Data!$A$2:$C$117,3,TRUE),"")</f>
        <v/>
      </c>
      <c r="F611" s="14" t="str">
        <f>IF(ROW()&lt;=Results!$C$1+1,IF(E611&lt;=0,"",LN(E611)),"")</f>
        <v/>
      </c>
      <c r="G611" s="53" t="str">
        <f>IF(ROW()&lt;=Results!$C$1+1,IF(ISERROR(C611-F611),"",C611-F611),"")</f>
        <v/>
      </c>
    </row>
    <row r="612" spans="1:7" x14ac:dyDescent="0.25">
      <c r="A612" s="1" t="str">
        <f ca="1">IF(ROW()&lt;=Results!$C$1+1,INDEX(Data!$A:$A,CEILING((COUNTA(Data!$A:$A)-1)*RAND()+1,1)),"")</f>
        <v/>
      </c>
      <c r="B612" s="1" t="str">
        <f>IF(ROW()&lt;=Results!$C$1+1,VLOOKUP($A612,Data!$A$2:$C$117,2,TRUE),"")</f>
        <v/>
      </c>
      <c r="C612" s="14" t="str">
        <f>IF(ROW()&lt;=Results!$C$1+1,IF(B612&lt;=0,"",LN(B612)),"")</f>
        <v/>
      </c>
      <c r="D612" s="58" t="str">
        <f ca="1">IF(Results!$S$5,A612,IF(ROW()&lt;=Results!$C$1+1,INDEX(Data!$A:$A,CEILING((COUNTA(Data!$A:$A)-1)*RAND()+1,1)),""))</f>
        <v/>
      </c>
      <c r="E612" s="1" t="str">
        <f>IF(ROW()&lt;=Results!$C$1+1,VLOOKUP($D612,Data!$A$2:$C$117,3,TRUE),"")</f>
        <v/>
      </c>
      <c r="F612" s="14" t="str">
        <f>IF(ROW()&lt;=Results!$C$1+1,IF(E612&lt;=0,"",LN(E612)),"")</f>
        <v/>
      </c>
      <c r="G612" s="53" t="str">
        <f>IF(ROW()&lt;=Results!$C$1+1,IF(ISERROR(C612-F612),"",C612-F612),"")</f>
        <v/>
      </c>
    </row>
    <row r="613" spans="1:7" x14ac:dyDescent="0.25">
      <c r="A613" s="1" t="str">
        <f ca="1">IF(ROW()&lt;=Results!$C$1+1,INDEX(Data!$A:$A,CEILING((COUNTA(Data!$A:$A)-1)*RAND()+1,1)),"")</f>
        <v/>
      </c>
      <c r="B613" s="1" t="str">
        <f>IF(ROW()&lt;=Results!$C$1+1,VLOOKUP($A613,Data!$A$2:$C$117,2,TRUE),"")</f>
        <v/>
      </c>
      <c r="C613" s="14" t="str">
        <f>IF(ROW()&lt;=Results!$C$1+1,IF(B613&lt;=0,"",LN(B613)),"")</f>
        <v/>
      </c>
      <c r="D613" s="58" t="str">
        <f ca="1">IF(Results!$S$5,A613,IF(ROW()&lt;=Results!$C$1+1,INDEX(Data!$A:$A,CEILING((COUNTA(Data!$A:$A)-1)*RAND()+1,1)),""))</f>
        <v/>
      </c>
      <c r="E613" s="1" t="str">
        <f>IF(ROW()&lt;=Results!$C$1+1,VLOOKUP($D613,Data!$A$2:$C$117,3,TRUE),"")</f>
        <v/>
      </c>
      <c r="F613" s="14" t="str">
        <f>IF(ROW()&lt;=Results!$C$1+1,IF(E613&lt;=0,"",LN(E613)),"")</f>
        <v/>
      </c>
      <c r="G613" s="53" t="str">
        <f>IF(ROW()&lt;=Results!$C$1+1,IF(ISERROR(C613-F613),"",C613-F613),"")</f>
        <v/>
      </c>
    </row>
    <row r="614" spans="1:7" x14ac:dyDescent="0.25">
      <c r="A614" s="1" t="str">
        <f ca="1">IF(ROW()&lt;=Results!$C$1+1,INDEX(Data!$A:$A,CEILING((COUNTA(Data!$A:$A)-1)*RAND()+1,1)),"")</f>
        <v/>
      </c>
      <c r="B614" s="1" t="str">
        <f>IF(ROW()&lt;=Results!$C$1+1,VLOOKUP($A614,Data!$A$2:$C$117,2,TRUE),"")</f>
        <v/>
      </c>
      <c r="C614" s="14" t="str">
        <f>IF(ROW()&lt;=Results!$C$1+1,IF(B614&lt;=0,"",LN(B614)),"")</f>
        <v/>
      </c>
      <c r="D614" s="58" t="str">
        <f ca="1">IF(Results!$S$5,A614,IF(ROW()&lt;=Results!$C$1+1,INDEX(Data!$A:$A,CEILING((COUNTA(Data!$A:$A)-1)*RAND()+1,1)),""))</f>
        <v/>
      </c>
      <c r="E614" s="1" t="str">
        <f>IF(ROW()&lt;=Results!$C$1+1,VLOOKUP($D614,Data!$A$2:$C$117,3,TRUE),"")</f>
        <v/>
      </c>
      <c r="F614" s="14" t="str">
        <f>IF(ROW()&lt;=Results!$C$1+1,IF(E614&lt;=0,"",LN(E614)),"")</f>
        <v/>
      </c>
      <c r="G614" s="53" t="str">
        <f>IF(ROW()&lt;=Results!$C$1+1,IF(ISERROR(C614-F614),"",C614-F614),"")</f>
        <v/>
      </c>
    </row>
    <row r="615" spans="1:7" x14ac:dyDescent="0.25">
      <c r="A615" s="1" t="str">
        <f ca="1">IF(ROW()&lt;=Results!$C$1+1,INDEX(Data!$A:$A,CEILING((COUNTA(Data!$A:$A)-1)*RAND()+1,1)),"")</f>
        <v/>
      </c>
      <c r="B615" s="1" t="str">
        <f>IF(ROW()&lt;=Results!$C$1+1,VLOOKUP($A615,Data!$A$2:$C$117,2,TRUE),"")</f>
        <v/>
      </c>
      <c r="C615" s="14" t="str">
        <f>IF(ROW()&lt;=Results!$C$1+1,IF(B615&lt;=0,"",LN(B615)),"")</f>
        <v/>
      </c>
      <c r="D615" s="58" t="str">
        <f ca="1">IF(Results!$S$5,A615,IF(ROW()&lt;=Results!$C$1+1,INDEX(Data!$A:$A,CEILING((COUNTA(Data!$A:$A)-1)*RAND()+1,1)),""))</f>
        <v/>
      </c>
      <c r="E615" s="1" t="str">
        <f>IF(ROW()&lt;=Results!$C$1+1,VLOOKUP($D615,Data!$A$2:$C$117,3,TRUE),"")</f>
        <v/>
      </c>
      <c r="F615" s="14" t="str">
        <f>IF(ROW()&lt;=Results!$C$1+1,IF(E615&lt;=0,"",LN(E615)),"")</f>
        <v/>
      </c>
      <c r="G615" s="53" t="str">
        <f>IF(ROW()&lt;=Results!$C$1+1,IF(ISERROR(C615-F615),"",C615-F615),"")</f>
        <v/>
      </c>
    </row>
    <row r="616" spans="1:7" x14ac:dyDescent="0.25">
      <c r="A616" s="1" t="str">
        <f ca="1">IF(ROW()&lt;=Results!$C$1+1,INDEX(Data!$A:$A,CEILING((COUNTA(Data!$A:$A)-1)*RAND()+1,1)),"")</f>
        <v/>
      </c>
      <c r="B616" s="1" t="str">
        <f>IF(ROW()&lt;=Results!$C$1+1,VLOOKUP($A616,Data!$A$2:$C$117,2,TRUE),"")</f>
        <v/>
      </c>
      <c r="C616" s="14" t="str">
        <f>IF(ROW()&lt;=Results!$C$1+1,IF(B616&lt;=0,"",LN(B616)),"")</f>
        <v/>
      </c>
      <c r="D616" s="58" t="str">
        <f ca="1">IF(Results!$S$5,A616,IF(ROW()&lt;=Results!$C$1+1,INDEX(Data!$A:$A,CEILING((COUNTA(Data!$A:$A)-1)*RAND()+1,1)),""))</f>
        <v/>
      </c>
      <c r="E616" s="1" t="str">
        <f>IF(ROW()&lt;=Results!$C$1+1,VLOOKUP($D616,Data!$A$2:$C$117,3,TRUE),"")</f>
        <v/>
      </c>
      <c r="F616" s="14" t="str">
        <f>IF(ROW()&lt;=Results!$C$1+1,IF(E616&lt;=0,"",LN(E616)),"")</f>
        <v/>
      </c>
      <c r="G616" s="53" t="str">
        <f>IF(ROW()&lt;=Results!$C$1+1,IF(ISERROR(C616-F616),"",C616-F616),"")</f>
        <v/>
      </c>
    </row>
    <row r="617" spans="1:7" x14ac:dyDescent="0.25">
      <c r="A617" s="1" t="str">
        <f ca="1">IF(ROW()&lt;=Results!$C$1+1,INDEX(Data!$A:$A,CEILING((COUNTA(Data!$A:$A)-1)*RAND()+1,1)),"")</f>
        <v/>
      </c>
      <c r="B617" s="1" t="str">
        <f>IF(ROW()&lt;=Results!$C$1+1,VLOOKUP($A617,Data!$A$2:$C$117,2,TRUE),"")</f>
        <v/>
      </c>
      <c r="C617" s="14" t="str">
        <f>IF(ROW()&lt;=Results!$C$1+1,IF(B617&lt;=0,"",LN(B617)),"")</f>
        <v/>
      </c>
      <c r="D617" s="58" t="str">
        <f ca="1">IF(Results!$S$5,A617,IF(ROW()&lt;=Results!$C$1+1,INDEX(Data!$A:$A,CEILING((COUNTA(Data!$A:$A)-1)*RAND()+1,1)),""))</f>
        <v/>
      </c>
      <c r="E617" s="1" t="str">
        <f>IF(ROW()&lt;=Results!$C$1+1,VLOOKUP($D617,Data!$A$2:$C$117,3,TRUE),"")</f>
        <v/>
      </c>
      <c r="F617" s="14" t="str">
        <f>IF(ROW()&lt;=Results!$C$1+1,IF(E617&lt;=0,"",LN(E617)),"")</f>
        <v/>
      </c>
      <c r="G617" s="53" t="str">
        <f>IF(ROW()&lt;=Results!$C$1+1,IF(ISERROR(C617-F617),"",C617-F617),"")</f>
        <v/>
      </c>
    </row>
    <row r="618" spans="1:7" x14ac:dyDescent="0.25">
      <c r="A618" s="1" t="str">
        <f ca="1">IF(ROW()&lt;=Results!$C$1+1,INDEX(Data!$A:$A,CEILING((COUNTA(Data!$A:$A)-1)*RAND()+1,1)),"")</f>
        <v/>
      </c>
      <c r="B618" s="1" t="str">
        <f>IF(ROW()&lt;=Results!$C$1+1,VLOOKUP($A618,Data!$A$2:$C$117,2,TRUE),"")</f>
        <v/>
      </c>
      <c r="C618" s="14" t="str">
        <f>IF(ROW()&lt;=Results!$C$1+1,IF(B618&lt;=0,"",LN(B618)),"")</f>
        <v/>
      </c>
      <c r="D618" s="58" t="str">
        <f ca="1">IF(Results!$S$5,A618,IF(ROW()&lt;=Results!$C$1+1,INDEX(Data!$A:$A,CEILING((COUNTA(Data!$A:$A)-1)*RAND()+1,1)),""))</f>
        <v/>
      </c>
      <c r="E618" s="1" t="str">
        <f>IF(ROW()&lt;=Results!$C$1+1,VLOOKUP($D618,Data!$A$2:$C$117,3,TRUE),"")</f>
        <v/>
      </c>
      <c r="F618" s="14" t="str">
        <f>IF(ROW()&lt;=Results!$C$1+1,IF(E618&lt;=0,"",LN(E618)),"")</f>
        <v/>
      </c>
      <c r="G618" s="53" t="str">
        <f>IF(ROW()&lt;=Results!$C$1+1,IF(ISERROR(C618-F618),"",C618-F618),"")</f>
        <v/>
      </c>
    </row>
    <row r="619" spans="1:7" x14ac:dyDescent="0.25">
      <c r="A619" s="1" t="str">
        <f ca="1">IF(ROW()&lt;=Results!$C$1+1,INDEX(Data!$A:$A,CEILING((COUNTA(Data!$A:$A)-1)*RAND()+1,1)),"")</f>
        <v/>
      </c>
      <c r="B619" s="1" t="str">
        <f>IF(ROW()&lt;=Results!$C$1+1,VLOOKUP($A619,Data!$A$2:$C$117,2,TRUE),"")</f>
        <v/>
      </c>
      <c r="C619" s="14" t="str">
        <f>IF(ROW()&lt;=Results!$C$1+1,IF(B619&lt;=0,"",LN(B619)),"")</f>
        <v/>
      </c>
      <c r="D619" s="58" t="str">
        <f ca="1">IF(Results!$S$5,A619,IF(ROW()&lt;=Results!$C$1+1,INDEX(Data!$A:$A,CEILING((COUNTA(Data!$A:$A)-1)*RAND()+1,1)),""))</f>
        <v/>
      </c>
      <c r="E619" s="1" t="str">
        <f>IF(ROW()&lt;=Results!$C$1+1,VLOOKUP($D619,Data!$A$2:$C$117,3,TRUE),"")</f>
        <v/>
      </c>
      <c r="F619" s="14" t="str">
        <f>IF(ROW()&lt;=Results!$C$1+1,IF(E619&lt;=0,"",LN(E619)),"")</f>
        <v/>
      </c>
      <c r="G619" s="53" t="str">
        <f>IF(ROW()&lt;=Results!$C$1+1,IF(ISERROR(C619-F619),"",C619-F619),"")</f>
        <v/>
      </c>
    </row>
    <row r="620" spans="1:7" x14ac:dyDescent="0.25">
      <c r="A620" s="1" t="str">
        <f ca="1">IF(ROW()&lt;=Results!$C$1+1,INDEX(Data!$A:$A,CEILING((COUNTA(Data!$A:$A)-1)*RAND()+1,1)),"")</f>
        <v/>
      </c>
      <c r="B620" s="1" t="str">
        <f>IF(ROW()&lt;=Results!$C$1+1,VLOOKUP($A620,Data!$A$2:$C$117,2,TRUE),"")</f>
        <v/>
      </c>
      <c r="C620" s="14" t="str">
        <f>IF(ROW()&lt;=Results!$C$1+1,IF(B620&lt;=0,"",LN(B620)),"")</f>
        <v/>
      </c>
      <c r="D620" s="58" t="str">
        <f ca="1">IF(Results!$S$5,A620,IF(ROW()&lt;=Results!$C$1+1,INDEX(Data!$A:$A,CEILING((COUNTA(Data!$A:$A)-1)*RAND()+1,1)),""))</f>
        <v/>
      </c>
      <c r="E620" s="1" t="str">
        <f>IF(ROW()&lt;=Results!$C$1+1,VLOOKUP($D620,Data!$A$2:$C$117,3,TRUE),"")</f>
        <v/>
      </c>
      <c r="F620" s="14" t="str">
        <f>IF(ROW()&lt;=Results!$C$1+1,IF(E620&lt;=0,"",LN(E620)),"")</f>
        <v/>
      </c>
      <c r="G620" s="53" t="str">
        <f>IF(ROW()&lt;=Results!$C$1+1,IF(ISERROR(C620-F620),"",C620-F620),"")</f>
        <v/>
      </c>
    </row>
    <row r="621" spans="1:7" x14ac:dyDescent="0.25">
      <c r="A621" s="1" t="str">
        <f ca="1">IF(ROW()&lt;=Results!$C$1+1,INDEX(Data!$A:$A,CEILING((COUNTA(Data!$A:$A)-1)*RAND()+1,1)),"")</f>
        <v/>
      </c>
      <c r="B621" s="1" t="str">
        <f>IF(ROW()&lt;=Results!$C$1+1,VLOOKUP($A621,Data!$A$2:$C$117,2,TRUE),"")</f>
        <v/>
      </c>
      <c r="C621" s="14" t="str">
        <f>IF(ROW()&lt;=Results!$C$1+1,IF(B621&lt;=0,"",LN(B621)),"")</f>
        <v/>
      </c>
      <c r="D621" s="58" t="str">
        <f ca="1">IF(Results!$S$5,A621,IF(ROW()&lt;=Results!$C$1+1,INDEX(Data!$A:$A,CEILING((COUNTA(Data!$A:$A)-1)*RAND()+1,1)),""))</f>
        <v/>
      </c>
      <c r="E621" s="1" t="str">
        <f>IF(ROW()&lt;=Results!$C$1+1,VLOOKUP($D621,Data!$A$2:$C$117,3,TRUE),"")</f>
        <v/>
      </c>
      <c r="F621" s="14" t="str">
        <f>IF(ROW()&lt;=Results!$C$1+1,IF(E621&lt;=0,"",LN(E621)),"")</f>
        <v/>
      </c>
      <c r="G621" s="53" t="str">
        <f>IF(ROW()&lt;=Results!$C$1+1,IF(ISERROR(C621-F621),"",C621-F621),"")</f>
        <v/>
      </c>
    </row>
    <row r="622" spans="1:7" x14ac:dyDescent="0.25">
      <c r="A622" s="1" t="str">
        <f ca="1">IF(ROW()&lt;=Results!$C$1+1,INDEX(Data!$A:$A,CEILING((COUNTA(Data!$A:$A)-1)*RAND()+1,1)),"")</f>
        <v/>
      </c>
      <c r="B622" s="1" t="str">
        <f>IF(ROW()&lt;=Results!$C$1+1,VLOOKUP($A622,Data!$A$2:$C$117,2,TRUE),"")</f>
        <v/>
      </c>
      <c r="C622" s="14" t="str">
        <f>IF(ROW()&lt;=Results!$C$1+1,IF(B622&lt;=0,"",LN(B622)),"")</f>
        <v/>
      </c>
      <c r="D622" s="58" t="str">
        <f ca="1">IF(Results!$S$5,A622,IF(ROW()&lt;=Results!$C$1+1,INDEX(Data!$A:$A,CEILING((COUNTA(Data!$A:$A)-1)*RAND()+1,1)),""))</f>
        <v/>
      </c>
      <c r="E622" s="1" t="str">
        <f>IF(ROW()&lt;=Results!$C$1+1,VLOOKUP($D622,Data!$A$2:$C$117,3,TRUE),"")</f>
        <v/>
      </c>
      <c r="F622" s="14" t="str">
        <f>IF(ROW()&lt;=Results!$C$1+1,IF(E622&lt;=0,"",LN(E622)),"")</f>
        <v/>
      </c>
      <c r="G622" s="53" t="str">
        <f>IF(ROW()&lt;=Results!$C$1+1,IF(ISERROR(C622-F622),"",C622-F622),"")</f>
        <v/>
      </c>
    </row>
    <row r="623" spans="1:7" x14ac:dyDescent="0.25">
      <c r="A623" s="1" t="str">
        <f ca="1">IF(ROW()&lt;=Results!$C$1+1,INDEX(Data!$A:$A,CEILING((COUNTA(Data!$A:$A)-1)*RAND()+1,1)),"")</f>
        <v/>
      </c>
      <c r="B623" s="1" t="str">
        <f>IF(ROW()&lt;=Results!$C$1+1,VLOOKUP($A623,Data!$A$2:$C$117,2,TRUE),"")</f>
        <v/>
      </c>
      <c r="C623" s="14" t="str">
        <f>IF(ROW()&lt;=Results!$C$1+1,IF(B623&lt;=0,"",LN(B623)),"")</f>
        <v/>
      </c>
      <c r="D623" s="58" t="str">
        <f ca="1">IF(Results!$S$5,A623,IF(ROW()&lt;=Results!$C$1+1,INDEX(Data!$A:$A,CEILING((COUNTA(Data!$A:$A)-1)*RAND()+1,1)),""))</f>
        <v/>
      </c>
      <c r="E623" s="1" t="str">
        <f>IF(ROW()&lt;=Results!$C$1+1,VLOOKUP($D623,Data!$A$2:$C$117,3,TRUE),"")</f>
        <v/>
      </c>
      <c r="F623" s="14" t="str">
        <f>IF(ROW()&lt;=Results!$C$1+1,IF(E623&lt;=0,"",LN(E623)),"")</f>
        <v/>
      </c>
      <c r="G623" s="53" t="str">
        <f>IF(ROW()&lt;=Results!$C$1+1,IF(ISERROR(C623-F623),"",C623-F623),"")</f>
        <v/>
      </c>
    </row>
    <row r="624" spans="1:7" x14ac:dyDescent="0.25">
      <c r="A624" s="1" t="str">
        <f ca="1">IF(ROW()&lt;=Results!$C$1+1,INDEX(Data!$A:$A,CEILING((COUNTA(Data!$A:$A)-1)*RAND()+1,1)),"")</f>
        <v/>
      </c>
      <c r="B624" s="1" t="str">
        <f>IF(ROW()&lt;=Results!$C$1+1,VLOOKUP($A624,Data!$A$2:$C$117,2,TRUE),"")</f>
        <v/>
      </c>
      <c r="C624" s="14" t="str">
        <f>IF(ROW()&lt;=Results!$C$1+1,IF(B624&lt;=0,"",LN(B624)),"")</f>
        <v/>
      </c>
      <c r="D624" s="58" t="str">
        <f ca="1">IF(Results!$S$5,A624,IF(ROW()&lt;=Results!$C$1+1,INDEX(Data!$A:$A,CEILING((COUNTA(Data!$A:$A)-1)*RAND()+1,1)),""))</f>
        <v/>
      </c>
      <c r="E624" s="1" t="str">
        <f>IF(ROW()&lt;=Results!$C$1+1,VLOOKUP($D624,Data!$A$2:$C$117,3,TRUE),"")</f>
        <v/>
      </c>
      <c r="F624" s="14" t="str">
        <f>IF(ROW()&lt;=Results!$C$1+1,IF(E624&lt;=0,"",LN(E624)),"")</f>
        <v/>
      </c>
      <c r="G624" s="53" t="str">
        <f>IF(ROW()&lt;=Results!$C$1+1,IF(ISERROR(C624-F624),"",C624-F624),"")</f>
        <v/>
      </c>
    </row>
    <row r="625" spans="1:7" x14ac:dyDescent="0.25">
      <c r="A625" s="1" t="str">
        <f ca="1">IF(ROW()&lt;=Results!$C$1+1,INDEX(Data!$A:$A,CEILING((COUNTA(Data!$A:$A)-1)*RAND()+1,1)),"")</f>
        <v/>
      </c>
      <c r="B625" s="1" t="str">
        <f>IF(ROW()&lt;=Results!$C$1+1,VLOOKUP($A625,Data!$A$2:$C$117,2,TRUE),"")</f>
        <v/>
      </c>
      <c r="C625" s="14" t="str">
        <f>IF(ROW()&lt;=Results!$C$1+1,IF(B625&lt;=0,"",LN(B625)),"")</f>
        <v/>
      </c>
      <c r="D625" s="58" t="str">
        <f ca="1">IF(Results!$S$5,A625,IF(ROW()&lt;=Results!$C$1+1,INDEX(Data!$A:$A,CEILING((COUNTA(Data!$A:$A)-1)*RAND()+1,1)),""))</f>
        <v/>
      </c>
      <c r="E625" s="1" t="str">
        <f>IF(ROW()&lt;=Results!$C$1+1,VLOOKUP($D625,Data!$A$2:$C$117,3,TRUE),"")</f>
        <v/>
      </c>
      <c r="F625" s="14" t="str">
        <f>IF(ROW()&lt;=Results!$C$1+1,IF(E625&lt;=0,"",LN(E625)),"")</f>
        <v/>
      </c>
      <c r="G625" s="53" t="str">
        <f>IF(ROW()&lt;=Results!$C$1+1,IF(ISERROR(C625-F625),"",C625-F625),"")</f>
        <v/>
      </c>
    </row>
    <row r="626" spans="1:7" x14ac:dyDescent="0.25">
      <c r="A626" s="1" t="str">
        <f ca="1">IF(ROW()&lt;=Results!$C$1+1,INDEX(Data!$A:$A,CEILING((COUNTA(Data!$A:$A)-1)*RAND()+1,1)),"")</f>
        <v/>
      </c>
      <c r="B626" s="1" t="str">
        <f>IF(ROW()&lt;=Results!$C$1+1,VLOOKUP($A626,Data!$A$2:$C$117,2,TRUE),"")</f>
        <v/>
      </c>
      <c r="C626" s="14" t="str">
        <f>IF(ROW()&lt;=Results!$C$1+1,IF(B626&lt;=0,"",LN(B626)),"")</f>
        <v/>
      </c>
      <c r="D626" s="58" t="str">
        <f ca="1">IF(Results!$S$5,A626,IF(ROW()&lt;=Results!$C$1+1,INDEX(Data!$A:$A,CEILING((COUNTA(Data!$A:$A)-1)*RAND()+1,1)),""))</f>
        <v/>
      </c>
      <c r="E626" s="1" t="str">
        <f>IF(ROW()&lt;=Results!$C$1+1,VLOOKUP($D626,Data!$A$2:$C$117,3,TRUE),"")</f>
        <v/>
      </c>
      <c r="F626" s="14" t="str">
        <f>IF(ROW()&lt;=Results!$C$1+1,IF(E626&lt;=0,"",LN(E626)),"")</f>
        <v/>
      </c>
      <c r="G626" s="53" t="str">
        <f>IF(ROW()&lt;=Results!$C$1+1,IF(ISERROR(C626-F626),"",C626-F626),"")</f>
        <v/>
      </c>
    </row>
    <row r="627" spans="1:7" x14ac:dyDescent="0.25">
      <c r="A627" s="1" t="str">
        <f ca="1">IF(ROW()&lt;=Results!$C$1+1,INDEX(Data!$A:$A,CEILING((COUNTA(Data!$A:$A)-1)*RAND()+1,1)),"")</f>
        <v/>
      </c>
      <c r="B627" s="1" t="str">
        <f>IF(ROW()&lt;=Results!$C$1+1,VLOOKUP($A627,Data!$A$2:$C$117,2,TRUE),"")</f>
        <v/>
      </c>
      <c r="C627" s="14" t="str">
        <f>IF(ROW()&lt;=Results!$C$1+1,IF(B627&lt;=0,"",LN(B627)),"")</f>
        <v/>
      </c>
      <c r="D627" s="58" t="str">
        <f ca="1">IF(Results!$S$5,A627,IF(ROW()&lt;=Results!$C$1+1,INDEX(Data!$A:$A,CEILING((COUNTA(Data!$A:$A)-1)*RAND()+1,1)),""))</f>
        <v/>
      </c>
      <c r="E627" s="1" t="str">
        <f>IF(ROW()&lt;=Results!$C$1+1,VLOOKUP($D627,Data!$A$2:$C$117,3,TRUE),"")</f>
        <v/>
      </c>
      <c r="F627" s="14" t="str">
        <f>IF(ROW()&lt;=Results!$C$1+1,IF(E627&lt;=0,"",LN(E627)),"")</f>
        <v/>
      </c>
      <c r="G627" s="53" t="str">
        <f>IF(ROW()&lt;=Results!$C$1+1,IF(ISERROR(C627-F627),"",C627-F627),"")</f>
        <v/>
      </c>
    </row>
    <row r="628" spans="1:7" x14ac:dyDescent="0.25">
      <c r="A628" s="1" t="str">
        <f ca="1">IF(ROW()&lt;=Results!$C$1+1,INDEX(Data!$A:$A,CEILING((COUNTA(Data!$A:$A)-1)*RAND()+1,1)),"")</f>
        <v/>
      </c>
      <c r="B628" s="1" t="str">
        <f>IF(ROW()&lt;=Results!$C$1+1,VLOOKUP($A628,Data!$A$2:$C$117,2,TRUE),"")</f>
        <v/>
      </c>
      <c r="C628" s="14" t="str">
        <f>IF(ROW()&lt;=Results!$C$1+1,IF(B628&lt;=0,"",LN(B628)),"")</f>
        <v/>
      </c>
      <c r="D628" s="58" t="str">
        <f ca="1">IF(Results!$S$5,A628,IF(ROW()&lt;=Results!$C$1+1,INDEX(Data!$A:$A,CEILING((COUNTA(Data!$A:$A)-1)*RAND()+1,1)),""))</f>
        <v/>
      </c>
      <c r="E628" s="1" t="str">
        <f>IF(ROW()&lt;=Results!$C$1+1,VLOOKUP($D628,Data!$A$2:$C$117,3,TRUE),"")</f>
        <v/>
      </c>
      <c r="F628" s="14" t="str">
        <f>IF(ROW()&lt;=Results!$C$1+1,IF(E628&lt;=0,"",LN(E628)),"")</f>
        <v/>
      </c>
      <c r="G628" s="53" t="str">
        <f>IF(ROW()&lt;=Results!$C$1+1,IF(ISERROR(C628-F628),"",C628-F628),"")</f>
        <v/>
      </c>
    </row>
    <row r="629" spans="1:7" x14ac:dyDescent="0.25">
      <c r="A629" s="1" t="str">
        <f ca="1">IF(ROW()&lt;=Results!$C$1+1,INDEX(Data!$A:$A,CEILING((COUNTA(Data!$A:$A)-1)*RAND()+1,1)),"")</f>
        <v/>
      </c>
      <c r="B629" s="1" t="str">
        <f>IF(ROW()&lt;=Results!$C$1+1,VLOOKUP($A629,Data!$A$2:$C$117,2,TRUE),"")</f>
        <v/>
      </c>
      <c r="C629" s="14" t="str">
        <f>IF(ROW()&lt;=Results!$C$1+1,IF(B629&lt;=0,"",LN(B629)),"")</f>
        <v/>
      </c>
      <c r="D629" s="58" t="str">
        <f ca="1">IF(Results!$S$5,A629,IF(ROW()&lt;=Results!$C$1+1,INDEX(Data!$A:$A,CEILING((COUNTA(Data!$A:$A)-1)*RAND()+1,1)),""))</f>
        <v/>
      </c>
      <c r="E629" s="1" t="str">
        <f>IF(ROW()&lt;=Results!$C$1+1,VLOOKUP($D629,Data!$A$2:$C$117,3,TRUE),"")</f>
        <v/>
      </c>
      <c r="F629" s="14" t="str">
        <f>IF(ROW()&lt;=Results!$C$1+1,IF(E629&lt;=0,"",LN(E629)),"")</f>
        <v/>
      </c>
      <c r="G629" s="53" t="str">
        <f>IF(ROW()&lt;=Results!$C$1+1,IF(ISERROR(C629-F629),"",C629-F629),"")</f>
        <v/>
      </c>
    </row>
    <row r="630" spans="1:7" x14ac:dyDescent="0.25">
      <c r="A630" s="1" t="str">
        <f ca="1">IF(ROW()&lt;=Results!$C$1+1,INDEX(Data!$A:$A,CEILING((COUNTA(Data!$A:$A)-1)*RAND()+1,1)),"")</f>
        <v/>
      </c>
      <c r="B630" s="1" t="str">
        <f>IF(ROW()&lt;=Results!$C$1+1,VLOOKUP($A630,Data!$A$2:$C$117,2,TRUE),"")</f>
        <v/>
      </c>
      <c r="C630" s="14" t="str">
        <f>IF(ROW()&lt;=Results!$C$1+1,IF(B630&lt;=0,"",LN(B630)),"")</f>
        <v/>
      </c>
      <c r="D630" s="58" t="str">
        <f ca="1">IF(Results!$S$5,A630,IF(ROW()&lt;=Results!$C$1+1,INDEX(Data!$A:$A,CEILING((COUNTA(Data!$A:$A)-1)*RAND()+1,1)),""))</f>
        <v/>
      </c>
      <c r="E630" s="1" t="str">
        <f>IF(ROW()&lt;=Results!$C$1+1,VLOOKUP($D630,Data!$A$2:$C$117,3,TRUE),"")</f>
        <v/>
      </c>
      <c r="F630" s="14" t="str">
        <f>IF(ROW()&lt;=Results!$C$1+1,IF(E630&lt;=0,"",LN(E630)),"")</f>
        <v/>
      </c>
      <c r="G630" s="53" t="str">
        <f>IF(ROW()&lt;=Results!$C$1+1,IF(ISERROR(C630-F630),"",C630-F630),"")</f>
        <v/>
      </c>
    </row>
    <row r="631" spans="1:7" x14ac:dyDescent="0.25">
      <c r="A631" s="1" t="str">
        <f ca="1">IF(ROW()&lt;=Results!$C$1+1,INDEX(Data!$A:$A,CEILING((COUNTA(Data!$A:$A)-1)*RAND()+1,1)),"")</f>
        <v/>
      </c>
      <c r="B631" s="1" t="str">
        <f>IF(ROW()&lt;=Results!$C$1+1,VLOOKUP($A631,Data!$A$2:$C$117,2,TRUE),"")</f>
        <v/>
      </c>
      <c r="C631" s="14" t="str">
        <f>IF(ROW()&lt;=Results!$C$1+1,IF(B631&lt;=0,"",LN(B631)),"")</f>
        <v/>
      </c>
      <c r="D631" s="58" t="str">
        <f ca="1">IF(Results!$S$5,A631,IF(ROW()&lt;=Results!$C$1+1,INDEX(Data!$A:$A,CEILING((COUNTA(Data!$A:$A)-1)*RAND()+1,1)),""))</f>
        <v/>
      </c>
      <c r="E631" s="1" t="str">
        <f>IF(ROW()&lt;=Results!$C$1+1,VLOOKUP($D631,Data!$A$2:$C$117,3,TRUE),"")</f>
        <v/>
      </c>
      <c r="F631" s="14" t="str">
        <f>IF(ROW()&lt;=Results!$C$1+1,IF(E631&lt;=0,"",LN(E631)),"")</f>
        <v/>
      </c>
      <c r="G631" s="53" t="str">
        <f>IF(ROW()&lt;=Results!$C$1+1,IF(ISERROR(C631-F631),"",C631-F631),"")</f>
        <v/>
      </c>
    </row>
    <row r="632" spans="1:7" x14ac:dyDescent="0.25">
      <c r="A632" s="1" t="str">
        <f ca="1">IF(ROW()&lt;=Results!$C$1+1,INDEX(Data!$A:$A,CEILING((COUNTA(Data!$A:$A)-1)*RAND()+1,1)),"")</f>
        <v/>
      </c>
      <c r="B632" s="1" t="str">
        <f>IF(ROW()&lt;=Results!$C$1+1,VLOOKUP($A632,Data!$A$2:$C$117,2,TRUE),"")</f>
        <v/>
      </c>
      <c r="C632" s="14" t="str">
        <f>IF(ROW()&lt;=Results!$C$1+1,IF(B632&lt;=0,"",LN(B632)),"")</f>
        <v/>
      </c>
      <c r="D632" s="58" t="str">
        <f ca="1">IF(Results!$S$5,A632,IF(ROW()&lt;=Results!$C$1+1,INDEX(Data!$A:$A,CEILING((COUNTA(Data!$A:$A)-1)*RAND()+1,1)),""))</f>
        <v/>
      </c>
      <c r="E632" s="1" t="str">
        <f>IF(ROW()&lt;=Results!$C$1+1,VLOOKUP($D632,Data!$A$2:$C$117,3,TRUE),"")</f>
        <v/>
      </c>
      <c r="F632" s="14" t="str">
        <f>IF(ROW()&lt;=Results!$C$1+1,IF(E632&lt;=0,"",LN(E632)),"")</f>
        <v/>
      </c>
      <c r="G632" s="53" t="str">
        <f>IF(ROW()&lt;=Results!$C$1+1,IF(ISERROR(C632-F632),"",C632-F632),"")</f>
        <v/>
      </c>
    </row>
    <row r="633" spans="1:7" x14ac:dyDescent="0.25">
      <c r="A633" s="1" t="str">
        <f ca="1">IF(ROW()&lt;=Results!$C$1+1,INDEX(Data!$A:$A,CEILING((COUNTA(Data!$A:$A)-1)*RAND()+1,1)),"")</f>
        <v/>
      </c>
      <c r="B633" s="1" t="str">
        <f>IF(ROW()&lt;=Results!$C$1+1,VLOOKUP($A633,Data!$A$2:$C$117,2,TRUE),"")</f>
        <v/>
      </c>
      <c r="C633" s="14" t="str">
        <f>IF(ROW()&lt;=Results!$C$1+1,IF(B633&lt;=0,"",LN(B633)),"")</f>
        <v/>
      </c>
      <c r="D633" s="58" t="str">
        <f ca="1">IF(Results!$S$5,A633,IF(ROW()&lt;=Results!$C$1+1,INDEX(Data!$A:$A,CEILING((COUNTA(Data!$A:$A)-1)*RAND()+1,1)),""))</f>
        <v/>
      </c>
      <c r="E633" s="1" t="str">
        <f>IF(ROW()&lt;=Results!$C$1+1,VLOOKUP($D633,Data!$A$2:$C$117,3,TRUE),"")</f>
        <v/>
      </c>
      <c r="F633" s="14" t="str">
        <f>IF(ROW()&lt;=Results!$C$1+1,IF(E633&lt;=0,"",LN(E633)),"")</f>
        <v/>
      </c>
      <c r="G633" s="53" t="str">
        <f>IF(ROW()&lt;=Results!$C$1+1,IF(ISERROR(C633-F633),"",C633-F633),"")</f>
        <v/>
      </c>
    </row>
    <row r="634" spans="1:7" x14ac:dyDescent="0.25">
      <c r="A634" s="1" t="str">
        <f ca="1">IF(ROW()&lt;=Results!$C$1+1,INDEX(Data!$A:$A,CEILING((COUNTA(Data!$A:$A)-1)*RAND()+1,1)),"")</f>
        <v/>
      </c>
      <c r="B634" s="1" t="str">
        <f>IF(ROW()&lt;=Results!$C$1+1,VLOOKUP($A634,Data!$A$2:$C$117,2,TRUE),"")</f>
        <v/>
      </c>
      <c r="C634" s="14" t="str">
        <f>IF(ROW()&lt;=Results!$C$1+1,IF(B634&lt;=0,"",LN(B634)),"")</f>
        <v/>
      </c>
      <c r="D634" s="58" t="str">
        <f ca="1">IF(Results!$S$5,A634,IF(ROW()&lt;=Results!$C$1+1,INDEX(Data!$A:$A,CEILING((COUNTA(Data!$A:$A)-1)*RAND()+1,1)),""))</f>
        <v/>
      </c>
      <c r="E634" s="1" t="str">
        <f>IF(ROW()&lt;=Results!$C$1+1,VLOOKUP($D634,Data!$A$2:$C$117,3,TRUE),"")</f>
        <v/>
      </c>
      <c r="F634" s="14" t="str">
        <f>IF(ROW()&lt;=Results!$C$1+1,IF(E634&lt;=0,"",LN(E634)),"")</f>
        <v/>
      </c>
      <c r="G634" s="53" t="str">
        <f>IF(ROW()&lt;=Results!$C$1+1,IF(ISERROR(C634-F634),"",C634-F634),"")</f>
        <v/>
      </c>
    </row>
    <row r="635" spans="1:7" x14ac:dyDescent="0.25">
      <c r="A635" s="1" t="str">
        <f ca="1">IF(ROW()&lt;=Results!$C$1+1,INDEX(Data!$A:$A,CEILING((COUNTA(Data!$A:$A)-1)*RAND()+1,1)),"")</f>
        <v/>
      </c>
      <c r="B635" s="1" t="str">
        <f>IF(ROW()&lt;=Results!$C$1+1,VLOOKUP($A635,Data!$A$2:$C$117,2,TRUE),"")</f>
        <v/>
      </c>
      <c r="C635" s="14" t="str">
        <f>IF(ROW()&lt;=Results!$C$1+1,IF(B635&lt;=0,"",LN(B635)),"")</f>
        <v/>
      </c>
      <c r="D635" s="58" t="str">
        <f ca="1">IF(Results!$S$5,A635,IF(ROW()&lt;=Results!$C$1+1,INDEX(Data!$A:$A,CEILING((COUNTA(Data!$A:$A)-1)*RAND()+1,1)),""))</f>
        <v/>
      </c>
      <c r="E635" s="1" t="str">
        <f>IF(ROW()&lt;=Results!$C$1+1,VLOOKUP($D635,Data!$A$2:$C$117,3,TRUE),"")</f>
        <v/>
      </c>
      <c r="F635" s="14" t="str">
        <f>IF(ROW()&lt;=Results!$C$1+1,IF(E635&lt;=0,"",LN(E635)),"")</f>
        <v/>
      </c>
      <c r="G635" s="53" t="str">
        <f>IF(ROW()&lt;=Results!$C$1+1,IF(ISERROR(C635-F635),"",C635-F635),"")</f>
        <v/>
      </c>
    </row>
    <row r="636" spans="1:7" x14ac:dyDescent="0.25">
      <c r="A636" s="1" t="str">
        <f ca="1">IF(ROW()&lt;=Results!$C$1+1,INDEX(Data!$A:$A,CEILING((COUNTA(Data!$A:$A)-1)*RAND()+1,1)),"")</f>
        <v/>
      </c>
      <c r="B636" s="1" t="str">
        <f>IF(ROW()&lt;=Results!$C$1+1,VLOOKUP($A636,Data!$A$2:$C$117,2,TRUE),"")</f>
        <v/>
      </c>
      <c r="C636" s="14" t="str">
        <f>IF(ROW()&lt;=Results!$C$1+1,IF(B636&lt;=0,"",LN(B636)),"")</f>
        <v/>
      </c>
      <c r="D636" s="58" t="str">
        <f ca="1">IF(Results!$S$5,A636,IF(ROW()&lt;=Results!$C$1+1,INDEX(Data!$A:$A,CEILING((COUNTA(Data!$A:$A)-1)*RAND()+1,1)),""))</f>
        <v/>
      </c>
      <c r="E636" s="1" t="str">
        <f>IF(ROW()&lt;=Results!$C$1+1,VLOOKUP($D636,Data!$A$2:$C$117,3,TRUE),"")</f>
        <v/>
      </c>
      <c r="F636" s="14" t="str">
        <f>IF(ROW()&lt;=Results!$C$1+1,IF(E636&lt;=0,"",LN(E636)),"")</f>
        <v/>
      </c>
      <c r="G636" s="53" t="str">
        <f>IF(ROW()&lt;=Results!$C$1+1,IF(ISERROR(C636-F636),"",C636-F636),"")</f>
        <v/>
      </c>
    </row>
    <row r="637" spans="1:7" x14ac:dyDescent="0.25">
      <c r="A637" s="1" t="str">
        <f ca="1">IF(ROW()&lt;=Results!$C$1+1,INDEX(Data!$A:$A,CEILING((COUNTA(Data!$A:$A)-1)*RAND()+1,1)),"")</f>
        <v/>
      </c>
      <c r="B637" s="1" t="str">
        <f>IF(ROW()&lt;=Results!$C$1+1,VLOOKUP($A637,Data!$A$2:$C$117,2,TRUE),"")</f>
        <v/>
      </c>
      <c r="C637" s="14" t="str">
        <f>IF(ROW()&lt;=Results!$C$1+1,IF(B637&lt;=0,"",LN(B637)),"")</f>
        <v/>
      </c>
      <c r="D637" s="58" t="str">
        <f ca="1">IF(Results!$S$5,A637,IF(ROW()&lt;=Results!$C$1+1,INDEX(Data!$A:$A,CEILING((COUNTA(Data!$A:$A)-1)*RAND()+1,1)),""))</f>
        <v/>
      </c>
      <c r="E637" s="1" t="str">
        <f>IF(ROW()&lt;=Results!$C$1+1,VLOOKUP($D637,Data!$A$2:$C$117,3,TRUE),"")</f>
        <v/>
      </c>
      <c r="F637" s="14" t="str">
        <f>IF(ROW()&lt;=Results!$C$1+1,IF(E637&lt;=0,"",LN(E637)),"")</f>
        <v/>
      </c>
      <c r="G637" s="53" t="str">
        <f>IF(ROW()&lt;=Results!$C$1+1,IF(ISERROR(C637-F637),"",C637-F637),"")</f>
        <v/>
      </c>
    </row>
    <row r="638" spans="1:7" x14ac:dyDescent="0.25">
      <c r="A638" s="1" t="str">
        <f ca="1">IF(ROW()&lt;=Results!$C$1+1,INDEX(Data!$A:$A,CEILING((COUNTA(Data!$A:$A)-1)*RAND()+1,1)),"")</f>
        <v/>
      </c>
      <c r="B638" s="1" t="str">
        <f>IF(ROW()&lt;=Results!$C$1+1,VLOOKUP($A638,Data!$A$2:$C$117,2,TRUE),"")</f>
        <v/>
      </c>
      <c r="C638" s="14" t="str">
        <f>IF(ROW()&lt;=Results!$C$1+1,IF(B638&lt;=0,"",LN(B638)),"")</f>
        <v/>
      </c>
      <c r="D638" s="58" t="str">
        <f ca="1">IF(Results!$S$5,A638,IF(ROW()&lt;=Results!$C$1+1,INDEX(Data!$A:$A,CEILING((COUNTA(Data!$A:$A)-1)*RAND()+1,1)),""))</f>
        <v/>
      </c>
      <c r="E638" s="1" t="str">
        <f>IF(ROW()&lt;=Results!$C$1+1,VLOOKUP($D638,Data!$A$2:$C$117,3,TRUE),"")</f>
        <v/>
      </c>
      <c r="F638" s="14" t="str">
        <f>IF(ROW()&lt;=Results!$C$1+1,IF(E638&lt;=0,"",LN(E638)),"")</f>
        <v/>
      </c>
      <c r="G638" s="53" t="str">
        <f>IF(ROW()&lt;=Results!$C$1+1,IF(ISERROR(C638-F638),"",C638-F638),"")</f>
        <v/>
      </c>
    </row>
    <row r="639" spans="1:7" x14ac:dyDescent="0.25">
      <c r="A639" s="1" t="str">
        <f ca="1">IF(ROW()&lt;=Results!$C$1+1,INDEX(Data!$A:$A,CEILING((COUNTA(Data!$A:$A)-1)*RAND()+1,1)),"")</f>
        <v/>
      </c>
      <c r="B639" s="1" t="str">
        <f>IF(ROW()&lt;=Results!$C$1+1,VLOOKUP($A639,Data!$A$2:$C$117,2,TRUE),"")</f>
        <v/>
      </c>
      <c r="C639" s="14" t="str">
        <f>IF(ROW()&lt;=Results!$C$1+1,IF(B639&lt;=0,"",LN(B639)),"")</f>
        <v/>
      </c>
      <c r="D639" s="58" t="str">
        <f ca="1">IF(Results!$S$5,A639,IF(ROW()&lt;=Results!$C$1+1,INDEX(Data!$A:$A,CEILING((COUNTA(Data!$A:$A)-1)*RAND()+1,1)),""))</f>
        <v/>
      </c>
      <c r="E639" s="1" t="str">
        <f>IF(ROW()&lt;=Results!$C$1+1,VLOOKUP($D639,Data!$A$2:$C$117,3,TRUE),"")</f>
        <v/>
      </c>
      <c r="F639" s="14" t="str">
        <f>IF(ROW()&lt;=Results!$C$1+1,IF(E639&lt;=0,"",LN(E639)),"")</f>
        <v/>
      </c>
      <c r="G639" s="53" t="str">
        <f>IF(ROW()&lt;=Results!$C$1+1,IF(ISERROR(C639-F639),"",C639-F639),"")</f>
        <v/>
      </c>
    </row>
    <row r="640" spans="1:7" x14ac:dyDescent="0.25">
      <c r="A640" s="1" t="str">
        <f ca="1">IF(ROW()&lt;=Results!$C$1+1,INDEX(Data!$A:$A,CEILING((COUNTA(Data!$A:$A)-1)*RAND()+1,1)),"")</f>
        <v/>
      </c>
      <c r="B640" s="1" t="str">
        <f>IF(ROW()&lt;=Results!$C$1+1,VLOOKUP($A640,Data!$A$2:$C$117,2,TRUE),"")</f>
        <v/>
      </c>
      <c r="C640" s="14" t="str">
        <f>IF(ROW()&lt;=Results!$C$1+1,IF(B640&lt;=0,"",LN(B640)),"")</f>
        <v/>
      </c>
      <c r="D640" s="58" t="str">
        <f ca="1">IF(Results!$S$5,A640,IF(ROW()&lt;=Results!$C$1+1,INDEX(Data!$A:$A,CEILING((COUNTA(Data!$A:$A)-1)*RAND()+1,1)),""))</f>
        <v/>
      </c>
      <c r="E640" s="1" t="str">
        <f>IF(ROW()&lt;=Results!$C$1+1,VLOOKUP($D640,Data!$A$2:$C$117,3,TRUE),"")</f>
        <v/>
      </c>
      <c r="F640" s="14" t="str">
        <f>IF(ROW()&lt;=Results!$C$1+1,IF(E640&lt;=0,"",LN(E640)),"")</f>
        <v/>
      </c>
      <c r="G640" s="53" t="str">
        <f>IF(ROW()&lt;=Results!$C$1+1,IF(ISERROR(C640-F640),"",C640-F640),"")</f>
        <v/>
      </c>
    </row>
    <row r="641" spans="1:7" x14ac:dyDescent="0.25">
      <c r="A641" s="1" t="str">
        <f ca="1">IF(ROW()&lt;=Results!$C$1+1,INDEX(Data!$A:$A,CEILING((COUNTA(Data!$A:$A)-1)*RAND()+1,1)),"")</f>
        <v/>
      </c>
      <c r="B641" s="1" t="str">
        <f>IF(ROW()&lt;=Results!$C$1+1,VLOOKUP($A641,Data!$A$2:$C$117,2,TRUE),"")</f>
        <v/>
      </c>
      <c r="C641" s="14" t="str">
        <f>IF(ROW()&lt;=Results!$C$1+1,IF(B641&lt;=0,"",LN(B641)),"")</f>
        <v/>
      </c>
      <c r="D641" s="58" t="str">
        <f ca="1">IF(Results!$S$5,A641,IF(ROW()&lt;=Results!$C$1+1,INDEX(Data!$A:$A,CEILING((COUNTA(Data!$A:$A)-1)*RAND()+1,1)),""))</f>
        <v/>
      </c>
      <c r="E641" s="1" t="str">
        <f>IF(ROW()&lt;=Results!$C$1+1,VLOOKUP($D641,Data!$A$2:$C$117,3,TRUE),"")</f>
        <v/>
      </c>
      <c r="F641" s="14" t="str">
        <f>IF(ROW()&lt;=Results!$C$1+1,IF(E641&lt;=0,"",LN(E641)),"")</f>
        <v/>
      </c>
      <c r="G641" s="53" t="str">
        <f>IF(ROW()&lt;=Results!$C$1+1,IF(ISERROR(C641-F641),"",C641-F641),"")</f>
        <v/>
      </c>
    </row>
    <row r="642" spans="1:7" x14ac:dyDescent="0.25">
      <c r="A642" s="1" t="str">
        <f ca="1">IF(ROW()&lt;=Results!$C$1+1,INDEX(Data!$A:$A,CEILING((COUNTA(Data!$A:$A)-1)*RAND()+1,1)),"")</f>
        <v/>
      </c>
      <c r="B642" s="1" t="str">
        <f>IF(ROW()&lt;=Results!$C$1+1,VLOOKUP($A642,Data!$A$2:$C$117,2,TRUE),"")</f>
        <v/>
      </c>
      <c r="C642" s="14" t="str">
        <f>IF(ROW()&lt;=Results!$C$1+1,IF(B642&lt;=0,"",LN(B642)),"")</f>
        <v/>
      </c>
      <c r="D642" s="58" t="str">
        <f ca="1">IF(Results!$S$5,A642,IF(ROW()&lt;=Results!$C$1+1,INDEX(Data!$A:$A,CEILING((COUNTA(Data!$A:$A)-1)*RAND()+1,1)),""))</f>
        <v/>
      </c>
      <c r="E642" s="1" t="str">
        <f>IF(ROW()&lt;=Results!$C$1+1,VLOOKUP($D642,Data!$A$2:$C$117,3,TRUE),"")</f>
        <v/>
      </c>
      <c r="F642" s="14" t="str">
        <f>IF(ROW()&lt;=Results!$C$1+1,IF(E642&lt;=0,"",LN(E642)),"")</f>
        <v/>
      </c>
      <c r="G642" s="53" t="str">
        <f>IF(ROW()&lt;=Results!$C$1+1,IF(ISERROR(C642-F642),"",C642-F642),"")</f>
        <v/>
      </c>
    </row>
    <row r="643" spans="1:7" x14ac:dyDescent="0.25">
      <c r="A643" s="1" t="str">
        <f ca="1">IF(ROW()&lt;=Results!$C$1+1,INDEX(Data!$A:$A,CEILING((COUNTA(Data!$A:$A)-1)*RAND()+1,1)),"")</f>
        <v/>
      </c>
      <c r="B643" s="1" t="str">
        <f>IF(ROW()&lt;=Results!$C$1+1,VLOOKUP($A643,Data!$A$2:$C$117,2,TRUE),"")</f>
        <v/>
      </c>
      <c r="C643" s="14" t="str">
        <f>IF(ROW()&lt;=Results!$C$1+1,IF(B643&lt;=0,"",LN(B643)),"")</f>
        <v/>
      </c>
      <c r="D643" s="58" t="str">
        <f ca="1">IF(Results!$S$5,A643,IF(ROW()&lt;=Results!$C$1+1,INDEX(Data!$A:$A,CEILING((COUNTA(Data!$A:$A)-1)*RAND()+1,1)),""))</f>
        <v/>
      </c>
      <c r="E643" s="1" t="str">
        <f>IF(ROW()&lt;=Results!$C$1+1,VLOOKUP($D643,Data!$A$2:$C$117,3,TRUE),"")</f>
        <v/>
      </c>
      <c r="F643" s="14" t="str">
        <f>IF(ROW()&lt;=Results!$C$1+1,IF(E643&lt;=0,"",LN(E643)),"")</f>
        <v/>
      </c>
      <c r="G643" s="53" t="str">
        <f>IF(ROW()&lt;=Results!$C$1+1,IF(ISERROR(C643-F643),"",C643-F643),"")</f>
        <v/>
      </c>
    </row>
    <row r="644" spans="1:7" x14ac:dyDescent="0.25">
      <c r="A644" s="1" t="str">
        <f ca="1">IF(ROW()&lt;=Results!$C$1+1,INDEX(Data!$A:$A,CEILING((COUNTA(Data!$A:$A)-1)*RAND()+1,1)),"")</f>
        <v/>
      </c>
      <c r="B644" s="1" t="str">
        <f>IF(ROW()&lt;=Results!$C$1+1,VLOOKUP($A644,Data!$A$2:$C$117,2,TRUE),"")</f>
        <v/>
      </c>
      <c r="C644" s="14" t="str">
        <f>IF(ROW()&lt;=Results!$C$1+1,IF(B644&lt;=0,"",LN(B644)),"")</f>
        <v/>
      </c>
      <c r="D644" s="58" t="str">
        <f ca="1">IF(Results!$S$5,A644,IF(ROW()&lt;=Results!$C$1+1,INDEX(Data!$A:$A,CEILING((COUNTA(Data!$A:$A)-1)*RAND()+1,1)),""))</f>
        <v/>
      </c>
      <c r="E644" s="1" t="str">
        <f>IF(ROW()&lt;=Results!$C$1+1,VLOOKUP($D644,Data!$A$2:$C$117,3,TRUE),"")</f>
        <v/>
      </c>
      <c r="F644" s="14" t="str">
        <f>IF(ROW()&lt;=Results!$C$1+1,IF(E644&lt;=0,"",LN(E644)),"")</f>
        <v/>
      </c>
      <c r="G644" s="53" t="str">
        <f>IF(ROW()&lt;=Results!$C$1+1,IF(ISERROR(C644-F644),"",C644-F644),"")</f>
        <v/>
      </c>
    </row>
    <row r="645" spans="1:7" x14ac:dyDescent="0.25">
      <c r="A645" s="1" t="str">
        <f ca="1">IF(ROW()&lt;=Results!$C$1+1,INDEX(Data!$A:$A,CEILING((COUNTA(Data!$A:$A)-1)*RAND()+1,1)),"")</f>
        <v/>
      </c>
      <c r="B645" s="1" t="str">
        <f>IF(ROW()&lt;=Results!$C$1+1,VLOOKUP($A645,Data!$A$2:$C$117,2,TRUE),"")</f>
        <v/>
      </c>
      <c r="C645" s="14" t="str">
        <f>IF(ROW()&lt;=Results!$C$1+1,IF(B645&lt;=0,"",LN(B645)),"")</f>
        <v/>
      </c>
      <c r="D645" s="58" t="str">
        <f ca="1">IF(Results!$S$5,A645,IF(ROW()&lt;=Results!$C$1+1,INDEX(Data!$A:$A,CEILING((COUNTA(Data!$A:$A)-1)*RAND()+1,1)),""))</f>
        <v/>
      </c>
      <c r="E645" s="1" t="str">
        <f>IF(ROW()&lt;=Results!$C$1+1,VLOOKUP($D645,Data!$A$2:$C$117,3,TRUE),"")</f>
        <v/>
      </c>
      <c r="F645" s="14" t="str">
        <f>IF(ROW()&lt;=Results!$C$1+1,IF(E645&lt;=0,"",LN(E645)),"")</f>
        <v/>
      </c>
      <c r="G645" s="53" t="str">
        <f>IF(ROW()&lt;=Results!$C$1+1,IF(ISERROR(C645-F645),"",C645-F645),"")</f>
        <v/>
      </c>
    </row>
    <row r="646" spans="1:7" x14ac:dyDescent="0.25">
      <c r="A646" s="1" t="str">
        <f ca="1">IF(ROW()&lt;=Results!$C$1+1,INDEX(Data!$A:$A,CEILING((COUNTA(Data!$A:$A)-1)*RAND()+1,1)),"")</f>
        <v/>
      </c>
      <c r="B646" s="1" t="str">
        <f>IF(ROW()&lt;=Results!$C$1+1,VLOOKUP($A646,Data!$A$2:$C$117,2,TRUE),"")</f>
        <v/>
      </c>
      <c r="C646" s="14" t="str">
        <f>IF(ROW()&lt;=Results!$C$1+1,IF(B646&lt;=0,"",LN(B646)),"")</f>
        <v/>
      </c>
      <c r="D646" s="58" t="str">
        <f ca="1">IF(Results!$S$5,A646,IF(ROW()&lt;=Results!$C$1+1,INDEX(Data!$A:$A,CEILING((COUNTA(Data!$A:$A)-1)*RAND()+1,1)),""))</f>
        <v/>
      </c>
      <c r="E646" s="1" t="str">
        <f>IF(ROW()&lt;=Results!$C$1+1,VLOOKUP($D646,Data!$A$2:$C$117,3,TRUE),"")</f>
        <v/>
      </c>
      <c r="F646" s="14" t="str">
        <f>IF(ROW()&lt;=Results!$C$1+1,IF(E646&lt;=0,"",LN(E646)),"")</f>
        <v/>
      </c>
      <c r="G646" s="53" t="str">
        <f>IF(ROW()&lt;=Results!$C$1+1,IF(ISERROR(C646-F646),"",C646-F646),"")</f>
        <v/>
      </c>
    </row>
    <row r="647" spans="1:7" x14ac:dyDescent="0.25">
      <c r="A647" s="1" t="str">
        <f ca="1">IF(ROW()&lt;=Results!$C$1+1,INDEX(Data!$A:$A,CEILING((COUNTA(Data!$A:$A)-1)*RAND()+1,1)),"")</f>
        <v/>
      </c>
      <c r="B647" s="1" t="str">
        <f>IF(ROW()&lt;=Results!$C$1+1,VLOOKUP($A647,Data!$A$2:$C$117,2,TRUE),"")</f>
        <v/>
      </c>
      <c r="C647" s="14" t="str">
        <f>IF(ROW()&lt;=Results!$C$1+1,IF(B647&lt;=0,"",LN(B647)),"")</f>
        <v/>
      </c>
      <c r="D647" s="58" t="str">
        <f ca="1">IF(Results!$S$5,A647,IF(ROW()&lt;=Results!$C$1+1,INDEX(Data!$A:$A,CEILING((COUNTA(Data!$A:$A)-1)*RAND()+1,1)),""))</f>
        <v/>
      </c>
      <c r="E647" s="1" t="str">
        <f>IF(ROW()&lt;=Results!$C$1+1,VLOOKUP($D647,Data!$A$2:$C$117,3,TRUE),"")</f>
        <v/>
      </c>
      <c r="F647" s="14" t="str">
        <f>IF(ROW()&lt;=Results!$C$1+1,IF(E647&lt;=0,"",LN(E647)),"")</f>
        <v/>
      </c>
      <c r="G647" s="53" t="str">
        <f>IF(ROW()&lt;=Results!$C$1+1,IF(ISERROR(C647-F647),"",C647-F647),"")</f>
        <v/>
      </c>
    </row>
    <row r="648" spans="1:7" x14ac:dyDescent="0.25">
      <c r="A648" s="1" t="str">
        <f ca="1">IF(ROW()&lt;=Results!$C$1+1,INDEX(Data!$A:$A,CEILING((COUNTA(Data!$A:$A)-1)*RAND()+1,1)),"")</f>
        <v/>
      </c>
      <c r="B648" s="1" t="str">
        <f>IF(ROW()&lt;=Results!$C$1+1,VLOOKUP($A648,Data!$A$2:$C$117,2,TRUE),"")</f>
        <v/>
      </c>
      <c r="C648" s="14" t="str">
        <f>IF(ROW()&lt;=Results!$C$1+1,IF(B648&lt;=0,"",LN(B648)),"")</f>
        <v/>
      </c>
      <c r="D648" s="58" t="str">
        <f ca="1">IF(Results!$S$5,A648,IF(ROW()&lt;=Results!$C$1+1,INDEX(Data!$A:$A,CEILING((COUNTA(Data!$A:$A)-1)*RAND()+1,1)),""))</f>
        <v/>
      </c>
      <c r="E648" s="1" t="str">
        <f>IF(ROW()&lt;=Results!$C$1+1,VLOOKUP($D648,Data!$A$2:$C$117,3,TRUE),"")</f>
        <v/>
      </c>
      <c r="F648" s="14" t="str">
        <f>IF(ROW()&lt;=Results!$C$1+1,IF(E648&lt;=0,"",LN(E648)),"")</f>
        <v/>
      </c>
      <c r="G648" s="53" t="str">
        <f>IF(ROW()&lt;=Results!$C$1+1,IF(ISERROR(C648-F648),"",C648-F648),"")</f>
        <v/>
      </c>
    </row>
    <row r="649" spans="1:7" x14ac:dyDescent="0.25">
      <c r="A649" s="1" t="str">
        <f ca="1">IF(ROW()&lt;=Results!$C$1+1,INDEX(Data!$A:$A,CEILING((COUNTA(Data!$A:$A)-1)*RAND()+1,1)),"")</f>
        <v/>
      </c>
      <c r="B649" s="1" t="str">
        <f>IF(ROW()&lt;=Results!$C$1+1,VLOOKUP($A649,Data!$A$2:$C$117,2,TRUE),"")</f>
        <v/>
      </c>
      <c r="C649" s="14" t="str">
        <f>IF(ROW()&lt;=Results!$C$1+1,IF(B649&lt;=0,"",LN(B649)),"")</f>
        <v/>
      </c>
      <c r="D649" s="58" t="str">
        <f ca="1">IF(Results!$S$5,A649,IF(ROW()&lt;=Results!$C$1+1,INDEX(Data!$A:$A,CEILING((COUNTA(Data!$A:$A)-1)*RAND()+1,1)),""))</f>
        <v/>
      </c>
      <c r="E649" s="1" t="str">
        <f>IF(ROW()&lt;=Results!$C$1+1,VLOOKUP($D649,Data!$A$2:$C$117,3,TRUE),"")</f>
        <v/>
      </c>
      <c r="F649" s="14" t="str">
        <f>IF(ROW()&lt;=Results!$C$1+1,IF(E649&lt;=0,"",LN(E649)),"")</f>
        <v/>
      </c>
      <c r="G649" s="53" t="str">
        <f>IF(ROW()&lt;=Results!$C$1+1,IF(ISERROR(C649-F649),"",C649-F649),"")</f>
        <v/>
      </c>
    </row>
    <row r="650" spans="1:7" x14ac:dyDescent="0.25">
      <c r="A650" s="1" t="str">
        <f ca="1">IF(ROW()&lt;=Results!$C$1+1,INDEX(Data!$A:$A,CEILING((COUNTA(Data!$A:$A)-1)*RAND()+1,1)),"")</f>
        <v/>
      </c>
      <c r="B650" s="1" t="str">
        <f>IF(ROW()&lt;=Results!$C$1+1,VLOOKUP($A650,Data!$A$2:$C$117,2,TRUE),"")</f>
        <v/>
      </c>
      <c r="C650" s="14" t="str">
        <f>IF(ROW()&lt;=Results!$C$1+1,IF(B650&lt;=0,"",LN(B650)),"")</f>
        <v/>
      </c>
      <c r="D650" s="58" t="str">
        <f ca="1">IF(Results!$S$5,A650,IF(ROW()&lt;=Results!$C$1+1,INDEX(Data!$A:$A,CEILING((COUNTA(Data!$A:$A)-1)*RAND()+1,1)),""))</f>
        <v/>
      </c>
      <c r="E650" s="1" t="str">
        <f>IF(ROW()&lt;=Results!$C$1+1,VLOOKUP($D650,Data!$A$2:$C$117,3,TRUE),"")</f>
        <v/>
      </c>
      <c r="F650" s="14" t="str">
        <f>IF(ROW()&lt;=Results!$C$1+1,IF(E650&lt;=0,"",LN(E650)),"")</f>
        <v/>
      </c>
      <c r="G650" s="53" t="str">
        <f>IF(ROW()&lt;=Results!$C$1+1,IF(ISERROR(C650-F650),"",C650-F650),"")</f>
        <v/>
      </c>
    </row>
    <row r="651" spans="1:7" x14ac:dyDescent="0.25">
      <c r="A651" s="1" t="str">
        <f ca="1">IF(ROW()&lt;=Results!$C$1+1,INDEX(Data!$A:$A,CEILING((COUNTA(Data!$A:$A)-1)*RAND()+1,1)),"")</f>
        <v/>
      </c>
      <c r="B651" s="1" t="str">
        <f>IF(ROW()&lt;=Results!$C$1+1,VLOOKUP($A651,Data!$A$2:$C$117,2,TRUE),"")</f>
        <v/>
      </c>
      <c r="C651" s="14" t="str">
        <f>IF(ROW()&lt;=Results!$C$1+1,IF(B651&lt;=0,"",LN(B651)),"")</f>
        <v/>
      </c>
      <c r="D651" s="58" t="str">
        <f ca="1">IF(Results!$S$5,A651,IF(ROW()&lt;=Results!$C$1+1,INDEX(Data!$A:$A,CEILING((COUNTA(Data!$A:$A)-1)*RAND()+1,1)),""))</f>
        <v/>
      </c>
      <c r="E651" s="1" t="str">
        <f>IF(ROW()&lt;=Results!$C$1+1,VLOOKUP($D651,Data!$A$2:$C$117,3,TRUE),"")</f>
        <v/>
      </c>
      <c r="F651" s="14" t="str">
        <f>IF(ROW()&lt;=Results!$C$1+1,IF(E651&lt;=0,"",LN(E651)),"")</f>
        <v/>
      </c>
      <c r="G651" s="53" t="str">
        <f>IF(ROW()&lt;=Results!$C$1+1,IF(ISERROR(C651-F651),"",C651-F651),"")</f>
        <v/>
      </c>
    </row>
    <row r="652" spans="1:7" x14ac:dyDescent="0.25">
      <c r="A652" s="1" t="str">
        <f ca="1">IF(ROW()&lt;=Results!$C$1+1,INDEX(Data!$A:$A,CEILING((COUNTA(Data!$A:$A)-1)*RAND()+1,1)),"")</f>
        <v/>
      </c>
      <c r="B652" s="1" t="str">
        <f>IF(ROW()&lt;=Results!$C$1+1,VLOOKUP($A652,Data!$A$2:$C$117,2,TRUE),"")</f>
        <v/>
      </c>
      <c r="C652" s="14" t="str">
        <f>IF(ROW()&lt;=Results!$C$1+1,IF(B652&lt;=0,"",LN(B652)),"")</f>
        <v/>
      </c>
      <c r="D652" s="58" t="str">
        <f ca="1">IF(Results!$S$5,A652,IF(ROW()&lt;=Results!$C$1+1,INDEX(Data!$A:$A,CEILING((COUNTA(Data!$A:$A)-1)*RAND()+1,1)),""))</f>
        <v/>
      </c>
      <c r="E652" s="1" t="str">
        <f>IF(ROW()&lt;=Results!$C$1+1,VLOOKUP($D652,Data!$A$2:$C$117,3,TRUE),"")</f>
        <v/>
      </c>
      <c r="F652" s="14" t="str">
        <f>IF(ROW()&lt;=Results!$C$1+1,IF(E652&lt;=0,"",LN(E652)),"")</f>
        <v/>
      </c>
      <c r="G652" s="53" t="str">
        <f>IF(ROW()&lt;=Results!$C$1+1,IF(ISERROR(C652-F652),"",C652-F652),"")</f>
        <v/>
      </c>
    </row>
    <row r="653" spans="1:7" x14ac:dyDescent="0.25">
      <c r="A653" s="1" t="str">
        <f ca="1">IF(ROW()&lt;=Results!$C$1+1,INDEX(Data!$A:$A,CEILING((COUNTA(Data!$A:$A)-1)*RAND()+1,1)),"")</f>
        <v/>
      </c>
      <c r="B653" s="1" t="str">
        <f>IF(ROW()&lt;=Results!$C$1+1,VLOOKUP($A653,Data!$A$2:$C$117,2,TRUE),"")</f>
        <v/>
      </c>
      <c r="C653" s="14" t="str">
        <f>IF(ROW()&lt;=Results!$C$1+1,IF(B653&lt;=0,"",LN(B653)),"")</f>
        <v/>
      </c>
      <c r="D653" s="58" t="str">
        <f ca="1">IF(Results!$S$5,A653,IF(ROW()&lt;=Results!$C$1+1,INDEX(Data!$A:$A,CEILING((COUNTA(Data!$A:$A)-1)*RAND()+1,1)),""))</f>
        <v/>
      </c>
      <c r="E653" s="1" t="str">
        <f>IF(ROW()&lt;=Results!$C$1+1,VLOOKUP($D653,Data!$A$2:$C$117,3,TRUE),"")</f>
        <v/>
      </c>
      <c r="F653" s="14" t="str">
        <f>IF(ROW()&lt;=Results!$C$1+1,IF(E653&lt;=0,"",LN(E653)),"")</f>
        <v/>
      </c>
      <c r="G653" s="53" t="str">
        <f>IF(ROW()&lt;=Results!$C$1+1,IF(ISERROR(C653-F653),"",C653-F653),"")</f>
        <v/>
      </c>
    </row>
    <row r="654" spans="1:7" x14ac:dyDescent="0.25">
      <c r="A654" s="1" t="str">
        <f ca="1">IF(ROW()&lt;=Results!$C$1+1,INDEX(Data!$A:$A,CEILING((COUNTA(Data!$A:$A)-1)*RAND()+1,1)),"")</f>
        <v/>
      </c>
      <c r="B654" s="1" t="str">
        <f>IF(ROW()&lt;=Results!$C$1+1,VLOOKUP($A654,Data!$A$2:$C$117,2,TRUE),"")</f>
        <v/>
      </c>
      <c r="C654" s="14" t="str">
        <f>IF(ROW()&lt;=Results!$C$1+1,IF(B654&lt;=0,"",LN(B654)),"")</f>
        <v/>
      </c>
      <c r="D654" s="58" t="str">
        <f ca="1">IF(Results!$S$5,A654,IF(ROW()&lt;=Results!$C$1+1,INDEX(Data!$A:$A,CEILING((COUNTA(Data!$A:$A)-1)*RAND()+1,1)),""))</f>
        <v/>
      </c>
      <c r="E654" s="1" t="str">
        <f>IF(ROW()&lt;=Results!$C$1+1,VLOOKUP($D654,Data!$A$2:$C$117,3,TRUE),"")</f>
        <v/>
      </c>
      <c r="F654" s="14" t="str">
        <f>IF(ROW()&lt;=Results!$C$1+1,IF(E654&lt;=0,"",LN(E654)),"")</f>
        <v/>
      </c>
      <c r="G654" s="53" t="str">
        <f>IF(ROW()&lt;=Results!$C$1+1,IF(ISERROR(C654-F654),"",C654-F654),"")</f>
        <v/>
      </c>
    </row>
    <row r="655" spans="1:7" x14ac:dyDescent="0.25">
      <c r="A655" s="1" t="str">
        <f ca="1">IF(ROW()&lt;=Results!$C$1+1,INDEX(Data!$A:$A,CEILING((COUNTA(Data!$A:$A)-1)*RAND()+1,1)),"")</f>
        <v/>
      </c>
      <c r="B655" s="1" t="str">
        <f>IF(ROW()&lt;=Results!$C$1+1,VLOOKUP($A655,Data!$A$2:$C$117,2,TRUE),"")</f>
        <v/>
      </c>
      <c r="C655" s="14" t="str">
        <f>IF(ROW()&lt;=Results!$C$1+1,IF(B655&lt;=0,"",LN(B655)),"")</f>
        <v/>
      </c>
      <c r="D655" s="58" t="str">
        <f ca="1">IF(Results!$S$5,A655,IF(ROW()&lt;=Results!$C$1+1,INDEX(Data!$A:$A,CEILING((COUNTA(Data!$A:$A)-1)*RAND()+1,1)),""))</f>
        <v/>
      </c>
      <c r="E655" s="1" t="str">
        <f>IF(ROW()&lt;=Results!$C$1+1,VLOOKUP($D655,Data!$A$2:$C$117,3,TRUE),"")</f>
        <v/>
      </c>
      <c r="F655" s="14" t="str">
        <f>IF(ROW()&lt;=Results!$C$1+1,IF(E655&lt;=0,"",LN(E655)),"")</f>
        <v/>
      </c>
      <c r="G655" s="53" t="str">
        <f>IF(ROW()&lt;=Results!$C$1+1,IF(ISERROR(C655-F655),"",C655-F655),"")</f>
        <v/>
      </c>
    </row>
    <row r="656" spans="1:7" x14ac:dyDescent="0.25">
      <c r="A656" s="1" t="str">
        <f ca="1">IF(ROW()&lt;=Results!$C$1+1,INDEX(Data!$A:$A,CEILING((COUNTA(Data!$A:$A)-1)*RAND()+1,1)),"")</f>
        <v/>
      </c>
      <c r="B656" s="1" t="str">
        <f>IF(ROW()&lt;=Results!$C$1+1,VLOOKUP($A656,Data!$A$2:$C$117,2,TRUE),"")</f>
        <v/>
      </c>
      <c r="C656" s="14" t="str">
        <f>IF(ROW()&lt;=Results!$C$1+1,IF(B656&lt;=0,"",LN(B656)),"")</f>
        <v/>
      </c>
      <c r="D656" s="58" t="str">
        <f ca="1">IF(Results!$S$5,A656,IF(ROW()&lt;=Results!$C$1+1,INDEX(Data!$A:$A,CEILING((COUNTA(Data!$A:$A)-1)*RAND()+1,1)),""))</f>
        <v/>
      </c>
      <c r="E656" s="1" t="str">
        <f>IF(ROW()&lt;=Results!$C$1+1,VLOOKUP($D656,Data!$A$2:$C$117,3,TRUE),"")</f>
        <v/>
      </c>
      <c r="F656" s="14" t="str">
        <f>IF(ROW()&lt;=Results!$C$1+1,IF(E656&lt;=0,"",LN(E656)),"")</f>
        <v/>
      </c>
      <c r="G656" s="53" t="str">
        <f>IF(ROW()&lt;=Results!$C$1+1,IF(ISERROR(C656-F656),"",C656-F656),"")</f>
        <v/>
      </c>
    </row>
    <row r="657" spans="1:7" x14ac:dyDescent="0.25">
      <c r="A657" s="1" t="str">
        <f ca="1">IF(ROW()&lt;=Results!$C$1+1,INDEX(Data!$A:$A,CEILING((COUNTA(Data!$A:$A)-1)*RAND()+1,1)),"")</f>
        <v/>
      </c>
      <c r="B657" s="1" t="str">
        <f>IF(ROW()&lt;=Results!$C$1+1,VLOOKUP($A657,Data!$A$2:$C$117,2,TRUE),"")</f>
        <v/>
      </c>
      <c r="C657" s="14" t="str">
        <f>IF(ROW()&lt;=Results!$C$1+1,IF(B657&lt;=0,"",LN(B657)),"")</f>
        <v/>
      </c>
      <c r="D657" s="58" t="str">
        <f ca="1">IF(Results!$S$5,A657,IF(ROW()&lt;=Results!$C$1+1,INDEX(Data!$A:$A,CEILING((COUNTA(Data!$A:$A)-1)*RAND()+1,1)),""))</f>
        <v/>
      </c>
      <c r="E657" s="1" t="str">
        <f>IF(ROW()&lt;=Results!$C$1+1,VLOOKUP($D657,Data!$A$2:$C$117,3,TRUE),"")</f>
        <v/>
      </c>
      <c r="F657" s="14" t="str">
        <f>IF(ROW()&lt;=Results!$C$1+1,IF(E657&lt;=0,"",LN(E657)),"")</f>
        <v/>
      </c>
      <c r="G657" s="53" t="str">
        <f>IF(ROW()&lt;=Results!$C$1+1,IF(ISERROR(C657-F657),"",C657-F657),"")</f>
        <v/>
      </c>
    </row>
    <row r="658" spans="1:7" x14ac:dyDescent="0.25">
      <c r="A658" s="1" t="str">
        <f ca="1">IF(ROW()&lt;=Results!$C$1+1,INDEX(Data!$A:$A,CEILING((COUNTA(Data!$A:$A)-1)*RAND()+1,1)),"")</f>
        <v/>
      </c>
      <c r="B658" s="1" t="str">
        <f>IF(ROW()&lt;=Results!$C$1+1,VLOOKUP($A658,Data!$A$2:$C$117,2,TRUE),"")</f>
        <v/>
      </c>
      <c r="C658" s="14" t="str">
        <f>IF(ROW()&lt;=Results!$C$1+1,IF(B658&lt;=0,"",LN(B658)),"")</f>
        <v/>
      </c>
      <c r="D658" s="58" t="str">
        <f ca="1">IF(Results!$S$5,A658,IF(ROW()&lt;=Results!$C$1+1,INDEX(Data!$A:$A,CEILING((COUNTA(Data!$A:$A)-1)*RAND()+1,1)),""))</f>
        <v/>
      </c>
      <c r="E658" s="1" t="str">
        <f>IF(ROW()&lt;=Results!$C$1+1,VLOOKUP($D658,Data!$A$2:$C$117,3,TRUE),"")</f>
        <v/>
      </c>
      <c r="F658" s="14" t="str">
        <f>IF(ROW()&lt;=Results!$C$1+1,IF(E658&lt;=0,"",LN(E658)),"")</f>
        <v/>
      </c>
      <c r="G658" s="53" t="str">
        <f>IF(ROW()&lt;=Results!$C$1+1,IF(ISERROR(C658-F658),"",C658-F658),"")</f>
        <v/>
      </c>
    </row>
    <row r="659" spans="1:7" x14ac:dyDescent="0.25">
      <c r="A659" s="1" t="str">
        <f ca="1">IF(ROW()&lt;=Results!$C$1+1,INDEX(Data!$A:$A,CEILING((COUNTA(Data!$A:$A)-1)*RAND()+1,1)),"")</f>
        <v/>
      </c>
      <c r="B659" s="1" t="str">
        <f>IF(ROW()&lt;=Results!$C$1+1,VLOOKUP($A659,Data!$A$2:$C$117,2,TRUE),"")</f>
        <v/>
      </c>
      <c r="C659" s="14" t="str">
        <f>IF(ROW()&lt;=Results!$C$1+1,IF(B659&lt;=0,"",LN(B659)),"")</f>
        <v/>
      </c>
      <c r="D659" s="58" t="str">
        <f ca="1">IF(Results!$S$5,A659,IF(ROW()&lt;=Results!$C$1+1,INDEX(Data!$A:$A,CEILING((COUNTA(Data!$A:$A)-1)*RAND()+1,1)),""))</f>
        <v/>
      </c>
      <c r="E659" s="1" t="str">
        <f>IF(ROW()&lt;=Results!$C$1+1,VLOOKUP($D659,Data!$A$2:$C$117,3,TRUE),"")</f>
        <v/>
      </c>
      <c r="F659" s="14" t="str">
        <f>IF(ROW()&lt;=Results!$C$1+1,IF(E659&lt;=0,"",LN(E659)),"")</f>
        <v/>
      </c>
      <c r="G659" s="53" t="str">
        <f>IF(ROW()&lt;=Results!$C$1+1,IF(ISERROR(C659-F659),"",C659-F659),"")</f>
        <v/>
      </c>
    </row>
    <row r="660" spans="1:7" x14ac:dyDescent="0.25">
      <c r="A660" s="1" t="str">
        <f ca="1">IF(ROW()&lt;=Results!$C$1+1,INDEX(Data!$A:$A,CEILING((COUNTA(Data!$A:$A)-1)*RAND()+1,1)),"")</f>
        <v/>
      </c>
      <c r="B660" s="1" t="str">
        <f>IF(ROW()&lt;=Results!$C$1+1,VLOOKUP($A660,Data!$A$2:$C$117,2,TRUE),"")</f>
        <v/>
      </c>
      <c r="C660" s="14" t="str">
        <f>IF(ROW()&lt;=Results!$C$1+1,IF(B660&lt;=0,"",LN(B660)),"")</f>
        <v/>
      </c>
      <c r="D660" s="58" t="str">
        <f ca="1">IF(Results!$S$5,A660,IF(ROW()&lt;=Results!$C$1+1,INDEX(Data!$A:$A,CEILING((COUNTA(Data!$A:$A)-1)*RAND()+1,1)),""))</f>
        <v/>
      </c>
      <c r="E660" s="1" t="str">
        <f>IF(ROW()&lt;=Results!$C$1+1,VLOOKUP($D660,Data!$A$2:$C$117,3,TRUE),"")</f>
        <v/>
      </c>
      <c r="F660" s="14" t="str">
        <f>IF(ROW()&lt;=Results!$C$1+1,IF(E660&lt;=0,"",LN(E660)),"")</f>
        <v/>
      </c>
      <c r="G660" s="53" t="str">
        <f>IF(ROW()&lt;=Results!$C$1+1,IF(ISERROR(C660-F660),"",C660-F660),"")</f>
        <v/>
      </c>
    </row>
    <row r="661" spans="1:7" x14ac:dyDescent="0.25">
      <c r="A661" s="1" t="str">
        <f ca="1">IF(ROW()&lt;=Results!$C$1+1,INDEX(Data!$A:$A,CEILING((COUNTA(Data!$A:$A)-1)*RAND()+1,1)),"")</f>
        <v/>
      </c>
      <c r="B661" s="1" t="str">
        <f>IF(ROW()&lt;=Results!$C$1+1,VLOOKUP($A661,Data!$A$2:$C$117,2,TRUE),"")</f>
        <v/>
      </c>
      <c r="C661" s="14" t="str">
        <f>IF(ROW()&lt;=Results!$C$1+1,IF(B661&lt;=0,"",LN(B661)),"")</f>
        <v/>
      </c>
      <c r="D661" s="58" t="str">
        <f ca="1">IF(Results!$S$5,A661,IF(ROW()&lt;=Results!$C$1+1,INDEX(Data!$A:$A,CEILING((COUNTA(Data!$A:$A)-1)*RAND()+1,1)),""))</f>
        <v/>
      </c>
      <c r="E661" s="1" t="str">
        <f>IF(ROW()&lt;=Results!$C$1+1,VLOOKUP($D661,Data!$A$2:$C$117,3,TRUE),"")</f>
        <v/>
      </c>
      <c r="F661" s="14" t="str">
        <f>IF(ROW()&lt;=Results!$C$1+1,IF(E661&lt;=0,"",LN(E661)),"")</f>
        <v/>
      </c>
      <c r="G661" s="53" t="str">
        <f>IF(ROW()&lt;=Results!$C$1+1,IF(ISERROR(C661-F661),"",C661-F661),"")</f>
        <v/>
      </c>
    </row>
    <row r="662" spans="1:7" x14ac:dyDescent="0.25">
      <c r="A662" s="1" t="str">
        <f ca="1">IF(ROW()&lt;=Results!$C$1+1,INDEX(Data!$A:$A,CEILING((COUNTA(Data!$A:$A)-1)*RAND()+1,1)),"")</f>
        <v/>
      </c>
      <c r="B662" s="1" t="str">
        <f>IF(ROW()&lt;=Results!$C$1+1,VLOOKUP($A662,Data!$A$2:$C$117,2,TRUE),"")</f>
        <v/>
      </c>
      <c r="C662" s="14" t="str">
        <f>IF(ROW()&lt;=Results!$C$1+1,IF(B662&lt;=0,"",LN(B662)),"")</f>
        <v/>
      </c>
      <c r="D662" s="58" t="str">
        <f ca="1">IF(Results!$S$5,A662,IF(ROW()&lt;=Results!$C$1+1,INDEX(Data!$A:$A,CEILING((COUNTA(Data!$A:$A)-1)*RAND()+1,1)),""))</f>
        <v/>
      </c>
      <c r="E662" s="1" t="str">
        <f>IF(ROW()&lt;=Results!$C$1+1,VLOOKUP($D662,Data!$A$2:$C$117,3,TRUE),"")</f>
        <v/>
      </c>
      <c r="F662" s="14" t="str">
        <f>IF(ROW()&lt;=Results!$C$1+1,IF(E662&lt;=0,"",LN(E662)),"")</f>
        <v/>
      </c>
      <c r="G662" s="53" t="str">
        <f>IF(ROW()&lt;=Results!$C$1+1,IF(ISERROR(C662-F662),"",C662-F662),"")</f>
        <v/>
      </c>
    </row>
    <row r="663" spans="1:7" x14ac:dyDescent="0.25">
      <c r="A663" s="1" t="str">
        <f ca="1">IF(ROW()&lt;=Results!$C$1+1,INDEX(Data!$A:$A,CEILING((COUNTA(Data!$A:$A)-1)*RAND()+1,1)),"")</f>
        <v/>
      </c>
      <c r="B663" s="1" t="str">
        <f>IF(ROW()&lt;=Results!$C$1+1,VLOOKUP($A663,Data!$A$2:$C$117,2,TRUE),"")</f>
        <v/>
      </c>
      <c r="C663" s="14" t="str">
        <f>IF(ROW()&lt;=Results!$C$1+1,IF(B663&lt;=0,"",LN(B663)),"")</f>
        <v/>
      </c>
      <c r="D663" s="58" t="str">
        <f ca="1">IF(Results!$S$5,A663,IF(ROW()&lt;=Results!$C$1+1,INDEX(Data!$A:$A,CEILING((COUNTA(Data!$A:$A)-1)*RAND()+1,1)),""))</f>
        <v/>
      </c>
      <c r="E663" s="1" t="str">
        <f>IF(ROW()&lt;=Results!$C$1+1,VLOOKUP($D663,Data!$A$2:$C$117,3,TRUE),"")</f>
        <v/>
      </c>
      <c r="F663" s="14" t="str">
        <f>IF(ROW()&lt;=Results!$C$1+1,IF(E663&lt;=0,"",LN(E663)),"")</f>
        <v/>
      </c>
      <c r="G663" s="53" t="str">
        <f>IF(ROW()&lt;=Results!$C$1+1,IF(ISERROR(C663-F663),"",C663-F663),"")</f>
        <v/>
      </c>
    </row>
    <row r="664" spans="1:7" x14ac:dyDescent="0.25">
      <c r="A664" s="1" t="str">
        <f ca="1">IF(ROW()&lt;=Results!$C$1+1,INDEX(Data!$A:$A,CEILING((COUNTA(Data!$A:$A)-1)*RAND()+1,1)),"")</f>
        <v/>
      </c>
      <c r="B664" s="1" t="str">
        <f>IF(ROW()&lt;=Results!$C$1+1,VLOOKUP($A664,Data!$A$2:$C$117,2,TRUE),"")</f>
        <v/>
      </c>
      <c r="C664" s="14" t="str">
        <f>IF(ROW()&lt;=Results!$C$1+1,IF(B664&lt;=0,"",LN(B664)),"")</f>
        <v/>
      </c>
      <c r="D664" s="58" t="str">
        <f ca="1">IF(Results!$S$5,A664,IF(ROW()&lt;=Results!$C$1+1,INDEX(Data!$A:$A,CEILING((COUNTA(Data!$A:$A)-1)*RAND()+1,1)),""))</f>
        <v/>
      </c>
      <c r="E664" s="1" t="str">
        <f>IF(ROW()&lt;=Results!$C$1+1,VLOOKUP($D664,Data!$A$2:$C$117,3,TRUE),"")</f>
        <v/>
      </c>
      <c r="F664" s="14" t="str">
        <f>IF(ROW()&lt;=Results!$C$1+1,IF(E664&lt;=0,"",LN(E664)),"")</f>
        <v/>
      </c>
      <c r="G664" s="53" t="str">
        <f>IF(ROW()&lt;=Results!$C$1+1,IF(ISERROR(C664-F664),"",C664-F664),"")</f>
        <v/>
      </c>
    </row>
    <row r="665" spans="1:7" x14ac:dyDescent="0.25">
      <c r="A665" s="1" t="str">
        <f ca="1">IF(ROW()&lt;=Results!$C$1+1,INDEX(Data!$A:$A,CEILING((COUNTA(Data!$A:$A)-1)*RAND()+1,1)),"")</f>
        <v/>
      </c>
      <c r="B665" s="1" t="str">
        <f>IF(ROW()&lt;=Results!$C$1+1,VLOOKUP($A665,Data!$A$2:$C$117,2,TRUE),"")</f>
        <v/>
      </c>
      <c r="C665" s="14" t="str">
        <f>IF(ROW()&lt;=Results!$C$1+1,IF(B665&lt;=0,"",LN(B665)),"")</f>
        <v/>
      </c>
      <c r="D665" s="58" t="str">
        <f ca="1">IF(Results!$S$5,A665,IF(ROW()&lt;=Results!$C$1+1,INDEX(Data!$A:$A,CEILING((COUNTA(Data!$A:$A)-1)*RAND()+1,1)),""))</f>
        <v/>
      </c>
      <c r="E665" s="1" t="str">
        <f>IF(ROW()&lt;=Results!$C$1+1,VLOOKUP($D665,Data!$A$2:$C$117,3,TRUE),"")</f>
        <v/>
      </c>
      <c r="F665" s="14" t="str">
        <f>IF(ROW()&lt;=Results!$C$1+1,IF(E665&lt;=0,"",LN(E665)),"")</f>
        <v/>
      </c>
      <c r="G665" s="53" t="str">
        <f>IF(ROW()&lt;=Results!$C$1+1,IF(ISERROR(C665-F665),"",C665-F665),"")</f>
        <v/>
      </c>
    </row>
    <row r="666" spans="1:7" x14ac:dyDescent="0.25">
      <c r="A666" s="1" t="str">
        <f ca="1">IF(ROW()&lt;=Results!$C$1+1,INDEX(Data!$A:$A,CEILING((COUNTA(Data!$A:$A)-1)*RAND()+1,1)),"")</f>
        <v/>
      </c>
      <c r="B666" s="1" t="str">
        <f>IF(ROW()&lt;=Results!$C$1+1,VLOOKUP($A666,Data!$A$2:$C$117,2,TRUE),"")</f>
        <v/>
      </c>
      <c r="C666" s="14" t="str">
        <f>IF(ROW()&lt;=Results!$C$1+1,IF(B666&lt;=0,"",LN(B666)),"")</f>
        <v/>
      </c>
      <c r="D666" s="58" t="str">
        <f ca="1">IF(Results!$S$5,A666,IF(ROW()&lt;=Results!$C$1+1,INDEX(Data!$A:$A,CEILING((COUNTA(Data!$A:$A)-1)*RAND()+1,1)),""))</f>
        <v/>
      </c>
      <c r="E666" s="1" t="str">
        <f>IF(ROW()&lt;=Results!$C$1+1,VLOOKUP($D666,Data!$A$2:$C$117,3,TRUE),"")</f>
        <v/>
      </c>
      <c r="F666" s="14" t="str">
        <f>IF(ROW()&lt;=Results!$C$1+1,IF(E666&lt;=0,"",LN(E666)),"")</f>
        <v/>
      </c>
      <c r="G666" s="53" t="str">
        <f>IF(ROW()&lt;=Results!$C$1+1,IF(ISERROR(C666-F666),"",C666-F666),"")</f>
        <v/>
      </c>
    </row>
    <row r="667" spans="1:7" x14ac:dyDescent="0.25">
      <c r="A667" s="1" t="str">
        <f ca="1">IF(ROW()&lt;=Results!$C$1+1,INDEX(Data!$A:$A,CEILING((COUNTA(Data!$A:$A)-1)*RAND()+1,1)),"")</f>
        <v/>
      </c>
      <c r="B667" s="1" t="str">
        <f>IF(ROW()&lt;=Results!$C$1+1,VLOOKUP($A667,Data!$A$2:$C$117,2,TRUE),"")</f>
        <v/>
      </c>
      <c r="C667" s="14" t="str">
        <f>IF(ROW()&lt;=Results!$C$1+1,IF(B667&lt;=0,"",LN(B667)),"")</f>
        <v/>
      </c>
      <c r="D667" s="58" t="str">
        <f ca="1">IF(Results!$S$5,A667,IF(ROW()&lt;=Results!$C$1+1,INDEX(Data!$A:$A,CEILING((COUNTA(Data!$A:$A)-1)*RAND()+1,1)),""))</f>
        <v/>
      </c>
      <c r="E667" s="1" t="str">
        <f>IF(ROW()&lt;=Results!$C$1+1,VLOOKUP($D667,Data!$A$2:$C$117,3,TRUE),"")</f>
        <v/>
      </c>
      <c r="F667" s="14" t="str">
        <f>IF(ROW()&lt;=Results!$C$1+1,IF(E667&lt;=0,"",LN(E667)),"")</f>
        <v/>
      </c>
      <c r="G667" s="53" t="str">
        <f>IF(ROW()&lt;=Results!$C$1+1,IF(ISERROR(C667-F667),"",C667-F667),"")</f>
        <v/>
      </c>
    </row>
    <row r="668" spans="1:7" x14ac:dyDescent="0.25">
      <c r="A668" s="1" t="str">
        <f ca="1">IF(ROW()&lt;=Results!$C$1+1,INDEX(Data!$A:$A,CEILING((COUNTA(Data!$A:$A)-1)*RAND()+1,1)),"")</f>
        <v/>
      </c>
      <c r="B668" s="1" t="str">
        <f>IF(ROW()&lt;=Results!$C$1+1,VLOOKUP($A668,Data!$A$2:$C$117,2,TRUE),"")</f>
        <v/>
      </c>
      <c r="C668" s="14" t="str">
        <f>IF(ROW()&lt;=Results!$C$1+1,IF(B668&lt;=0,"",LN(B668)),"")</f>
        <v/>
      </c>
      <c r="D668" s="58" t="str">
        <f ca="1">IF(Results!$S$5,A668,IF(ROW()&lt;=Results!$C$1+1,INDEX(Data!$A:$A,CEILING((COUNTA(Data!$A:$A)-1)*RAND()+1,1)),""))</f>
        <v/>
      </c>
      <c r="E668" s="1" t="str">
        <f>IF(ROW()&lt;=Results!$C$1+1,VLOOKUP($D668,Data!$A$2:$C$117,3,TRUE),"")</f>
        <v/>
      </c>
      <c r="F668" s="14" t="str">
        <f>IF(ROW()&lt;=Results!$C$1+1,IF(E668&lt;=0,"",LN(E668)),"")</f>
        <v/>
      </c>
      <c r="G668" s="53" t="str">
        <f>IF(ROW()&lt;=Results!$C$1+1,IF(ISERROR(C668-F668),"",C668-F668),"")</f>
        <v/>
      </c>
    </row>
    <row r="669" spans="1:7" x14ac:dyDescent="0.25">
      <c r="A669" s="1" t="str">
        <f ca="1">IF(ROW()&lt;=Results!$C$1+1,INDEX(Data!$A:$A,CEILING((COUNTA(Data!$A:$A)-1)*RAND()+1,1)),"")</f>
        <v/>
      </c>
      <c r="B669" s="1" t="str">
        <f>IF(ROW()&lt;=Results!$C$1+1,VLOOKUP($A669,Data!$A$2:$C$117,2,TRUE),"")</f>
        <v/>
      </c>
      <c r="C669" s="14" t="str">
        <f>IF(ROW()&lt;=Results!$C$1+1,IF(B669&lt;=0,"",LN(B669)),"")</f>
        <v/>
      </c>
      <c r="D669" s="58" t="str">
        <f ca="1">IF(Results!$S$5,A669,IF(ROW()&lt;=Results!$C$1+1,INDEX(Data!$A:$A,CEILING((COUNTA(Data!$A:$A)-1)*RAND()+1,1)),""))</f>
        <v/>
      </c>
      <c r="E669" s="1" t="str">
        <f>IF(ROW()&lt;=Results!$C$1+1,VLOOKUP($D669,Data!$A$2:$C$117,3,TRUE),"")</f>
        <v/>
      </c>
      <c r="F669" s="14" t="str">
        <f>IF(ROW()&lt;=Results!$C$1+1,IF(E669&lt;=0,"",LN(E669)),"")</f>
        <v/>
      </c>
      <c r="G669" s="53" t="str">
        <f>IF(ROW()&lt;=Results!$C$1+1,IF(ISERROR(C669-F669),"",C669-F669),"")</f>
        <v/>
      </c>
    </row>
    <row r="670" spans="1:7" x14ac:dyDescent="0.25">
      <c r="A670" s="1" t="str">
        <f ca="1">IF(ROW()&lt;=Results!$C$1+1,INDEX(Data!$A:$A,CEILING((COUNTA(Data!$A:$A)-1)*RAND()+1,1)),"")</f>
        <v/>
      </c>
      <c r="B670" s="1" t="str">
        <f>IF(ROW()&lt;=Results!$C$1+1,VLOOKUP($A670,Data!$A$2:$C$117,2,TRUE),"")</f>
        <v/>
      </c>
      <c r="C670" s="14" t="str">
        <f>IF(ROW()&lt;=Results!$C$1+1,IF(B670&lt;=0,"",LN(B670)),"")</f>
        <v/>
      </c>
      <c r="D670" s="58" t="str">
        <f ca="1">IF(Results!$S$5,A670,IF(ROW()&lt;=Results!$C$1+1,INDEX(Data!$A:$A,CEILING((COUNTA(Data!$A:$A)-1)*RAND()+1,1)),""))</f>
        <v/>
      </c>
      <c r="E670" s="1" t="str">
        <f>IF(ROW()&lt;=Results!$C$1+1,VLOOKUP($D670,Data!$A$2:$C$117,3,TRUE),"")</f>
        <v/>
      </c>
      <c r="F670" s="14" t="str">
        <f>IF(ROW()&lt;=Results!$C$1+1,IF(E670&lt;=0,"",LN(E670)),"")</f>
        <v/>
      </c>
      <c r="G670" s="53" t="str">
        <f>IF(ROW()&lt;=Results!$C$1+1,IF(ISERROR(C670-F670),"",C670-F670),"")</f>
        <v/>
      </c>
    </row>
    <row r="671" spans="1:7" x14ac:dyDescent="0.25">
      <c r="A671" s="1" t="str">
        <f ca="1">IF(ROW()&lt;=Results!$C$1+1,INDEX(Data!$A:$A,CEILING((COUNTA(Data!$A:$A)-1)*RAND()+1,1)),"")</f>
        <v/>
      </c>
      <c r="B671" s="1" t="str">
        <f>IF(ROW()&lt;=Results!$C$1+1,VLOOKUP($A671,Data!$A$2:$C$117,2,TRUE),"")</f>
        <v/>
      </c>
      <c r="C671" s="14" t="str">
        <f>IF(ROW()&lt;=Results!$C$1+1,IF(B671&lt;=0,"",LN(B671)),"")</f>
        <v/>
      </c>
      <c r="D671" s="58" t="str">
        <f ca="1">IF(Results!$S$5,A671,IF(ROW()&lt;=Results!$C$1+1,INDEX(Data!$A:$A,CEILING((COUNTA(Data!$A:$A)-1)*RAND()+1,1)),""))</f>
        <v/>
      </c>
      <c r="E671" s="1" t="str">
        <f>IF(ROW()&lt;=Results!$C$1+1,VLOOKUP($D671,Data!$A$2:$C$117,3,TRUE),"")</f>
        <v/>
      </c>
      <c r="F671" s="14" t="str">
        <f>IF(ROW()&lt;=Results!$C$1+1,IF(E671&lt;=0,"",LN(E671)),"")</f>
        <v/>
      </c>
      <c r="G671" s="53" t="str">
        <f>IF(ROW()&lt;=Results!$C$1+1,IF(ISERROR(C671-F671),"",C671-F671),"")</f>
        <v/>
      </c>
    </row>
    <row r="672" spans="1:7" x14ac:dyDescent="0.25">
      <c r="A672" s="1" t="str">
        <f ca="1">IF(ROW()&lt;=Results!$C$1+1,INDEX(Data!$A:$A,CEILING((COUNTA(Data!$A:$A)-1)*RAND()+1,1)),"")</f>
        <v/>
      </c>
      <c r="B672" s="1" t="str">
        <f>IF(ROW()&lt;=Results!$C$1+1,VLOOKUP($A672,Data!$A$2:$C$117,2,TRUE),"")</f>
        <v/>
      </c>
      <c r="C672" s="14" t="str">
        <f>IF(ROW()&lt;=Results!$C$1+1,IF(B672&lt;=0,"",LN(B672)),"")</f>
        <v/>
      </c>
      <c r="D672" s="58" t="str">
        <f ca="1">IF(Results!$S$5,A672,IF(ROW()&lt;=Results!$C$1+1,INDEX(Data!$A:$A,CEILING((COUNTA(Data!$A:$A)-1)*RAND()+1,1)),""))</f>
        <v/>
      </c>
      <c r="E672" s="1" t="str">
        <f>IF(ROW()&lt;=Results!$C$1+1,VLOOKUP($D672,Data!$A$2:$C$117,3,TRUE),"")</f>
        <v/>
      </c>
      <c r="F672" s="14" t="str">
        <f>IF(ROW()&lt;=Results!$C$1+1,IF(E672&lt;=0,"",LN(E672)),"")</f>
        <v/>
      </c>
      <c r="G672" s="53" t="str">
        <f>IF(ROW()&lt;=Results!$C$1+1,IF(ISERROR(C672-F672),"",C672-F672),"")</f>
        <v/>
      </c>
    </row>
    <row r="673" spans="1:7" x14ac:dyDescent="0.25">
      <c r="A673" s="1" t="str">
        <f ca="1">IF(ROW()&lt;=Results!$C$1+1,INDEX(Data!$A:$A,CEILING((COUNTA(Data!$A:$A)-1)*RAND()+1,1)),"")</f>
        <v/>
      </c>
      <c r="B673" s="1" t="str">
        <f>IF(ROW()&lt;=Results!$C$1+1,VLOOKUP($A673,Data!$A$2:$C$117,2,TRUE),"")</f>
        <v/>
      </c>
      <c r="C673" s="14" t="str">
        <f>IF(ROW()&lt;=Results!$C$1+1,IF(B673&lt;=0,"",LN(B673)),"")</f>
        <v/>
      </c>
      <c r="D673" s="58" t="str">
        <f ca="1">IF(Results!$S$5,A673,IF(ROW()&lt;=Results!$C$1+1,INDEX(Data!$A:$A,CEILING((COUNTA(Data!$A:$A)-1)*RAND()+1,1)),""))</f>
        <v/>
      </c>
      <c r="E673" s="1" t="str">
        <f>IF(ROW()&lt;=Results!$C$1+1,VLOOKUP($D673,Data!$A$2:$C$117,3,TRUE),"")</f>
        <v/>
      </c>
      <c r="F673" s="14" t="str">
        <f>IF(ROW()&lt;=Results!$C$1+1,IF(E673&lt;=0,"",LN(E673)),"")</f>
        <v/>
      </c>
      <c r="G673" s="53" t="str">
        <f>IF(ROW()&lt;=Results!$C$1+1,IF(ISERROR(C673-F673),"",C673-F673),"")</f>
        <v/>
      </c>
    </row>
    <row r="674" spans="1:7" x14ac:dyDescent="0.25">
      <c r="A674" s="1" t="str">
        <f ca="1">IF(ROW()&lt;=Results!$C$1+1,INDEX(Data!$A:$A,CEILING((COUNTA(Data!$A:$A)-1)*RAND()+1,1)),"")</f>
        <v/>
      </c>
      <c r="B674" s="1" t="str">
        <f>IF(ROW()&lt;=Results!$C$1+1,VLOOKUP($A674,Data!$A$2:$C$117,2,TRUE),"")</f>
        <v/>
      </c>
      <c r="C674" s="14" t="str">
        <f>IF(ROW()&lt;=Results!$C$1+1,IF(B674&lt;=0,"",LN(B674)),"")</f>
        <v/>
      </c>
      <c r="D674" s="58" t="str">
        <f ca="1">IF(Results!$S$5,A674,IF(ROW()&lt;=Results!$C$1+1,INDEX(Data!$A:$A,CEILING((COUNTA(Data!$A:$A)-1)*RAND()+1,1)),""))</f>
        <v/>
      </c>
      <c r="E674" s="1" t="str">
        <f>IF(ROW()&lt;=Results!$C$1+1,VLOOKUP($D674,Data!$A$2:$C$117,3,TRUE),"")</f>
        <v/>
      </c>
      <c r="F674" s="14" t="str">
        <f>IF(ROW()&lt;=Results!$C$1+1,IF(E674&lt;=0,"",LN(E674)),"")</f>
        <v/>
      </c>
      <c r="G674" s="53" t="str">
        <f>IF(ROW()&lt;=Results!$C$1+1,IF(ISERROR(C674-F674),"",C674-F674),"")</f>
        <v/>
      </c>
    </row>
    <row r="675" spans="1:7" x14ac:dyDescent="0.25">
      <c r="A675" s="1" t="str">
        <f ca="1">IF(ROW()&lt;=Results!$C$1+1,INDEX(Data!$A:$A,CEILING((COUNTA(Data!$A:$A)-1)*RAND()+1,1)),"")</f>
        <v/>
      </c>
      <c r="B675" s="1" t="str">
        <f>IF(ROW()&lt;=Results!$C$1+1,VLOOKUP($A675,Data!$A$2:$C$117,2,TRUE),"")</f>
        <v/>
      </c>
      <c r="C675" s="14" t="str">
        <f>IF(ROW()&lt;=Results!$C$1+1,IF(B675&lt;=0,"",LN(B675)),"")</f>
        <v/>
      </c>
      <c r="D675" s="58" t="str">
        <f ca="1">IF(Results!$S$5,A675,IF(ROW()&lt;=Results!$C$1+1,INDEX(Data!$A:$A,CEILING((COUNTA(Data!$A:$A)-1)*RAND()+1,1)),""))</f>
        <v/>
      </c>
      <c r="E675" s="1" t="str">
        <f>IF(ROW()&lt;=Results!$C$1+1,VLOOKUP($D675,Data!$A$2:$C$117,3,TRUE),"")</f>
        <v/>
      </c>
      <c r="F675" s="14" t="str">
        <f>IF(ROW()&lt;=Results!$C$1+1,IF(E675&lt;=0,"",LN(E675)),"")</f>
        <v/>
      </c>
      <c r="G675" s="53" t="str">
        <f>IF(ROW()&lt;=Results!$C$1+1,IF(ISERROR(C675-F675),"",C675-F675),"")</f>
        <v/>
      </c>
    </row>
    <row r="676" spans="1:7" x14ac:dyDescent="0.25">
      <c r="A676" s="1" t="str">
        <f ca="1">IF(ROW()&lt;=Results!$C$1+1,INDEX(Data!$A:$A,CEILING((COUNTA(Data!$A:$A)-1)*RAND()+1,1)),"")</f>
        <v/>
      </c>
      <c r="B676" s="1" t="str">
        <f>IF(ROW()&lt;=Results!$C$1+1,VLOOKUP($A676,Data!$A$2:$C$117,2,TRUE),"")</f>
        <v/>
      </c>
      <c r="C676" s="14" t="str">
        <f>IF(ROW()&lt;=Results!$C$1+1,IF(B676&lt;=0,"",LN(B676)),"")</f>
        <v/>
      </c>
      <c r="D676" s="58" t="str">
        <f ca="1">IF(Results!$S$5,A676,IF(ROW()&lt;=Results!$C$1+1,INDEX(Data!$A:$A,CEILING((COUNTA(Data!$A:$A)-1)*RAND()+1,1)),""))</f>
        <v/>
      </c>
      <c r="E676" s="1" t="str">
        <f>IF(ROW()&lt;=Results!$C$1+1,VLOOKUP($D676,Data!$A$2:$C$117,3,TRUE),"")</f>
        <v/>
      </c>
      <c r="F676" s="14" t="str">
        <f>IF(ROW()&lt;=Results!$C$1+1,IF(E676&lt;=0,"",LN(E676)),"")</f>
        <v/>
      </c>
      <c r="G676" s="53" t="str">
        <f>IF(ROW()&lt;=Results!$C$1+1,IF(ISERROR(C676-F676),"",C676-F676),"")</f>
        <v/>
      </c>
    </row>
    <row r="677" spans="1:7" x14ac:dyDescent="0.25">
      <c r="A677" s="1" t="str">
        <f ca="1">IF(ROW()&lt;=Results!$C$1+1,INDEX(Data!$A:$A,CEILING((COUNTA(Data!$A:$A)-1)*RAND()+1,1)),"")</f>
        <v/>
      </c>
      <c r="B677" s="1" t="str">
        <f>IF(ROW()&lt;=Results!$C$1+1,VLOOKUP($A677,Data!$A$2:$C$117,2,TRUE),"")</f>
        <v/>
      </c>
      <c r="C677" s="14" t="str">
        <f>IF(ROW()&lt;=Results!$C$1+1,IF(B677&lt;=0,"",LN(B677)),"")</f>
        <v/>
      </c>
      <c r="D677" s="58" t="str">
        <f ca="1">IF(Results!$S$5,A677,IF(ROW()&lt;=Results!$C$1+1,INDEX(Data!$A:$A,CEILING((COUNTA(Data!$A:$A)-1)*RAND()+1,1)),""))</f>
        <v/>
      </c>
      <c r="E677" s="1" t="str">
        <f>IF(ROW()&lt;=Results!$C$1+1,VLOOKUP($D677,Data!$A$2:$C$117,3,TRUE),"")</f>
        <v/>
      </c>
      <c r="F677" s="14" t="str">
        <f>IF(ROW()&lt;=Results!$C$1+1,IF(E677&lt;=0,"",LN(E677)),"")</f>
        <v/>
      </c>
      <c r="G677" s="53" t="str">
        <f>IF(ROW()&lt;=Results!$C$1+1,IF(ISERROR(C677-F677),"",C677-F677),"")</f>
        <v/>
      </c>
    </row>
    <row r="678" spans="1:7" x14ac:dyDescent="0.25">
      <c r="A678" s="1" t="str">
        <f ca="1">IF(ROW()&lt;=Results!$C$1+1,INDEX(Data!$A:$A,CEILING((COUNTA(Data!$A:$A)-1)*RAND()+1,1)),"")</f>
        <v/>
      </c>
      <c r="B678" s="1" t="str">
        <f>IF(ROW()&lt;=Results!$C$1+1,VLOOKUP($A678,Data!$A$2:$C$117,2,TRUE),"")</f>
        <v/>
      </c>
      <c r="C678" s="14" t="str">
        <f>IF(ROW()&lt;=Results!$C$1+1,IF(B678&lt;=0,"",LN(B678)),"")</f>
        <v/>
      </c>
      <c r="D678" s="58" t="str">
        <f ca="1">IF(Results!$S$5,A678,IF(ROW()&lt;=Results!$C$1+1,INDEX(Data!$A:$A,CEILING((COUNTA(Data!$A:$A)-1)*RAND()+1,1)),""))</f>
        <v/>
      </c>
      <c r="E678" s="1" t="str">
        <f>IF(ROW()&lt;=Results!$C$1+1,VLOOKUP($D678,Data!$A$2:$C$117,3,TRUE),"")</f>
        <v/>
      </c>
      <c r="F678" s="14" t="str">
        <f>IF(ROW()&lt;=Results!$C$1+1,IF(E678&lt;=0,"",LN(E678)),"")</f>
        <v/>
      </c>
      <c r="G678" s="53" t="str">
        <f>IF(ROW()&lt;=Results!$C$1+1,IF(ISERROR(C678-F678),"",C678-F678),"")</f>
        <v/>
      </c>
    </row>
    <row r="679" spans="1:7" x14ac:dyDescent="0.25">
      <c r="A679" s="1" t="str">
        <f ca="1">IF(ROW()&lt;=Results!$C$1+1,INDEX(Data!$A:$A,CEILING((COUNTA(Data!$A:$A)-1)*RAND()+1,1)),"")</f>
        <v/>
      </c>
      <c r="B679" s="1" t="str">
        <f>IF(ROW()&lt;=Results!$C$1+1,VLOOKUP($A679,Data!$A$2:$C$117,2,TRUE),"")</f>
        <v/>
      </c>
      <c r="C679" s="14" t="str">
        <f>IF(ROW()&lt;=Results!$C$1+1,IF(B679&lt;=0,"",LN(B679)),"")</f>
        <v/>
      </c>
      <c r="D679" s="58" t="str">
        <f ca="1">IF(Results!$S$5,A679,IF(ROW()&lt;=Results!$C$1+1,INDEX(Data!$A:$A,CEILING((COUNTA(Data!$A:$A)-1)*RAND()+1,1)),""))</f>
        <v/>
      </c>
      <c r="E679" s="1" t="str">
        <f>IF(ROW()&lt;=Results!$C$1+1,VLOOKUP($D679,Data!$A$2:$C$117,3,TRUE),"")</f>
        <v/>
      </c>
      <c r="F679" s="14" t="str">
        <f>IF(ROW()&lt;=Results!$C$1+1,IF(E679&lt;=0,"",LN(E679)),"")</f>
        <v/>
      </c>
      <c r="G679" s="53" t="str">
        <f>IF(ROW()&lt;=Results!$C$1+1,IF(ISERROR(C679-F679),"",C679-F679),"")</f>
        <v/>
      </c>
    </row>
    <row r="680" spans="1:7" x14ac:dyDescent="0.25">
      <c r="A680" s="1" t="str">
        <f ca="1">IF(ROW()&lt;=Results!$C$1+1,INDEX(Data!$A:$A,CEILING((COUNTA(Data!$A:$A)-1)*RAND()+1,1)),"")</f>
        <v/>
      </c>
      <c r="B680" s="1" t="str">
        <f>IF(ROW()&lt;=Results!$C$1+1,VLOOKUP($A680,Data!$A$2:$C$117,2,TRUE),"")</f>
        <v/>
      </c>
      <c r="C680" s="14" t="str">
        <f>IF(ROW()&lt;=Results!$C$1+1,IF(B680&lt;=0,"",LN(B680)),"")</f>
        <v/>
      </c>
      <c r="D680" s="58" t="str">
        <f ca="1">IF(Results!$S$5,A680,IF(ROW()&lt;=Results!$C$1+1,INDEX(Data!$A:$A,CEILING((COUNTA(Data!$A:$A)-1)*RAND()+1,1)),""))</f>
        <v/>
      </c>
      <c r="E680" s="1" t="str">
        <f>IF(ROW()&lt;=Results!$C$1+1,VLOOKUP($D680,Data!$A$2:$C$117,3,TRUE),"")</f>
        <v/>
      </c>
      <c r="F680" s="14" t="str">
        <f>IF(ROW()&lt;=Results!$C$1+1,IF(E680&lt;=0,"",LN(E680)),"")</f>
        <v/>
      </c>
      <c r="G680" s="53" t="str">
        <f>IF(ROW()&lt;=Results!$C$1+1,IF(ISERROR(C680-F680),"",C680-F680),"")</f>
        <v/>
      </c>
    </row>
    <row r="681" spans="1:7" x14ac:dyDescent="0.25">
      <c r="A681" s="1" t="str">
        <f ca="1">IF(ROW()&lt;=Results!$C$1+1,INDEX(Data!$A:$A,CEILING((COUNTA(Data!$A:$A)-1)*RAND()+1,1)),"")</f>
        <v/>
      </c>
      <c r="B681" s="1" t="str">
        <f>IF(ROW()&lt;=Results!$C$1+1,VLOOKUP($A681,Data!$A$2:$C$117,2,TRUE),"")</f>
        <v/>
      </c>
      <c r="C681" s="14" t="str">
        <f>IF(ROW()&lt;=Results!$C$1+1,IF(B681&lt;=0,"",LN(B681)),"")</f>
        <v/>
      </c>
      <c r="D681" s="58" t="str">
        <f ca="1">IF(Results!$S$5,A681,IF(ROW()&lt;=Results!$C$1+1,INDEX(Data!$A:$A,CEILING((COUNTA(Data!$A:$A)-1)*RAND()+1,1)),""))</f>
        <v/>
      </c>
      <c r="E681" s="1" t="str">
        <f>IF(ROW()&lt;=Results!$C$1+1,VLOOKUP($D681,Data!$A$2:$C$117,3,TRUE),"")</f>
        <v/>
      </c>
      <c r="F681" s="14" t="str">
        <f>IF(ROW()&lt;=Results!$C$1+1,IF(E681&lt;=0,"",LN(E681)),"")</f>
        <v/>
      </c>
      <c r="G681" s="53" t="str">
        <f>IF(ROW()&lt;=Results!$C$1+1,IF(ISERROR(C681-F681),"",C681-F681),"")</f>
        <v/>
      </c>
    </row>
    <row r="682" spans="1:7" x14ac:dyDescent="0.25">
      <c r="A682" s="1" t="str">
        <f ca="1">IF(ROW()&lt;=Results!$C$1+1,INDEX(Data!$A:$A,CEILING((COUNTA(Data!$A:$A)-1)*RAND()+1,1)),"")</f>
        <v/>
      </c>
      <c r="B682" s="1" t="str">
        <f>IF(ROW()&lt;=Results!$C$1+1,VLOOKUP($A682,Data!$A$2:$C$117,2,TRUE),"")</f>
        <v/>
      </c>
      <c r="C682" s="14" t="str">
        <f>IF(ROW()&lt;=Results!$C$1+1,IF(B682&lt;=0,"",LN(B682)),"")</f>
        <v/>
      </c>
      <c r="D682" s="58" t="str">
        <f ca="1">IF(Results!$S$5,A682,IF(ROW()&lt;=Results!$C$1+1,INDEX(Data!$A:$A,CEILING((COUNTA(Data!$A:$A)-1)*RAND()+1,1)),""))</f>
        <v/>
      </c>
      <c r="E682" s="1" t="str">
        <f>IF(ROW()&lt;=Results!$C$1+1,VLOOKUP($D682,Data!$A$2:$C$117,3,TRUE),"")</f>
        <v/>
      </c>
      <c r="F682" s="14" t="str">
        <f>IF(ROW()&lt;=Results!$C$1+1,IF(E682&lt;=0,"",LN(E682)),"")</f>
        <v/>
      </c>
      <c r="G682" s="53" t="str">
        <f>IF(ROW()&lt;=Results!$C$1+1,IF(ISERROR(C682-F682),"",C682-F682),"")</f>
        <v/>
      </c>
    </row>
    <row r="683" spans="1:7" x14ac:dyDescent="0.25">
      <c r="A683" s="1" t="str">
        <f ca="1">IF(ROW()&lt;=Results!$C$1+1,INDEX(Data!$A:$A,CEILING((COUNTA(Data!$A:$A)-1)*RAND()+1,1)),"")</f>
        <v/>
      </c>
      <c r="B683" s="1" t="str">
        <f>IF(ROW()&lt;=Results!$C$1+1,VLOOKUP($A683,Data!$A$2:$C$117,2,TRUE),"")</f>
        <v/>
      </c>
      <c r="C683" s="14" t="str">
        <f>IF(ROW()&lt;=Results!$C$1+1,IF(B683&lt;=0,"",LN(B683)),"")</f>
        <v/>
      </c>
      <c r="D683" s="58" t="str">
        <f ca="1">IF(Results!$S$5,A683,IF(ROW()&lt;=Results!$C$1+1,INDEX(Data!$A:$A,CEILING((COUNTA(Data!$A:$A)-1)*RAND()+1,1)),""))</f>
        <v/>
      </c>
      <c r="E683" s="1" t="str">
        <f>IF(ROW()&lt;=Results!$C$1+1,VLOOKUP($D683,Data!$A$2:$C$117,3,TRUE),"")</f>
        <v/>
      </c>
      <c r="F683" s="14" t="str">
        <f>IF(ROW()&lt;=Results!$C$1+1,IF(E683&lt;=0,"",LN(E683)),"")</f>
        <v/>
      </c>
      <c r="G683" s="53" t="str">
        <f>IF(ROW()&lt;=Results!$C$1+1,IF(ISERROR(C683-F683),"",C683-F683),"")</f>
        <v/>
      </c>
    </row>
    <row r="684" spans="1:7" x14ac:dyDescent="0.25">
      <c r="A684" s="1" t="str">
        <f ca="1">IF(ROW()&lt;=Results!$C$1+1,INDEX(Data!$A:$A,CEILING((COUNTA(Data!$A:$A)-1)*RAND()+1,1)),"")</f>
        <v/>
      </c>
      <c r="B684" s="1" t="str">
        <f>IF(ROW()&lt;=Results!$C$1+1,VLOOKUP($A684,Data!$A$2:$C$117,2,TRUE),"")</f>
        <v/>
      </c>
      <c r="C684" s="14" t="str">
        <f>IF(ROW()&lt;=Results!$C$1+1,IF(B684&lt;=0,"",LN(B684)),"")</f>
        <v/>
      </c>
      <c r="D684" s="58" t="str">
        <f ca="1">IF(Results!$S$5,A684,IF(ROW()&lt;=Results!$C$1+1,INDEX(Data!$A:$A,CEILING((COUNTA(Data!$A:$A)-1)*RAND()+1,1)),""))</f>
        <v/>
      </c>
      <c r="E684" s="1" t="str">
        <f>IF(ROW()&lt;=Results!$C$1+1,VLOOKUP($D684,Data!$A$2:$C$117,3,TRUE),"")</f>
        <v/>
      </c>
      <c r="F684" s="14" t="str">
        <f>IF(ROW()&lt;=Results!$C$1+1,IF(E684&lt;=0,"",LN(E684)),"")</f>
        <v/>
      </c>
      <c r="G684" s="53" t="str">
        <f>IF(ROW()&lt;=Results!$C$1+1,IF(ISERROR(C684-F684),"",C684-F684),"")</f>
        <v/>
      </c>
    </row>
    <row r="685" spans="1:7" x14ac:dyDescent="0.25">
      <c r="A685" s="1" t="str">
        <f ca="1">IF(ROW()&lt;=Results!$C$1+1,INDEX(Data!$A:$A,CEILING((COUNTA(Data!$A:$A)-1)*RAND()+1,1)),"")</f>
        <v/>
      </c>
      <c r="B685" s="1" t="str">
        <f>IF(ROW()&lt;=Results!$C$1+1,VLOOKUP($A685,Data!$A$2:$C$117,2,TRUE),"")</f>
        <v/>
      </c>
      <c r="C685" s="14" t="str">
        <f>IF(ROW()&lt;=Results!$C$1+1,IF(B685&lt;=0,"",LN(B685)),"")</f>
        <v/>
      </c>
      <c r="D685" s="58" t="str">
        <f ca="1">IF(Results!$S$5,A685,IF(ROW()&lt;=Results!$C$1+1,INDEX(Data!$A:$A,CEILING((COUNTA(Data!$A:$A)-1)*RAND()+1,1)),""))</f>
        <v/>
      </c>
      <c r="E685" s="1" t="str">
        <f>IF(ROW()&lt;=Results!$C$1+1,VLOOKUP($D685,Data!$A$2:$C$117,3,TRUE),"")</f>
        <v/>
      </c>
      <c r="F685" s="14" t="str">
        <f>IF(ROW()&lt;=Results!$C$1+1,IF(E685&lt;=0,"",LN(E685)),"")</f>
        <v/>
      </c>
      <c r="G685" s="53" t="str">
        <f>IF(ROW()&lt;=Results!$C$1+1,IF(ISERROR(C685-F685),"",C685-F685),"")</f>
        <v/>
      </c>
    </row>
    <row r="686" spans="1:7" x14ac:dyDescent="0.25">
      <c r="A686" s="1" t="str">
        <f ca="1">IF(ROW()&lt;=Results!$C$1+1,INDEX(Data!$A:$A,CEILING((COUNTA(Data!$A:$A)-1)*RAND()+1,1)),"")</f>
        <v/>
      </c>
      <c r="B686" s="1" t="str">
        <f>IF(ROW()&lt;=Results!$C$1+1,VLOOKUP($A686,Data!$A$2:$C$117,2,TRUE),"")</f>
        <v/>
      </c>
      <c r="C686" s="14" t="str">
        <f>IF(ROW()&lt;=Results!$C$1+1,IF(B686&lt;=0,"",LN(B686)),"")</f>
        <v/>
      </c>
      <c r="D686" s="58" t="str">
        <f ca="1">IF(Results!$S$5,A686,IF(ROW()&lt;=Results!$C$1+1,INDEX(Data!$A:$A,CEILING((COUNTA(Data!$A:$A)-1)*RAND()+1,1)),""))</f>
        <v/>
      </c>
      <c r="E686" s="1" t="str">
        <f>IF(ROW()&lt;=Results!$C$1+1,VLOOKUP($D686,Data!$A$2:$C$117,3,TRUE),"")</f>
        <v/>
      </c>
      <c r="F686" s="14" t="str">
        <f>IF(ROW()&lt;=Results!$C$1+1,IF(E686&lt;=0,"",LN(E686)),"")</f>
        <v/>
      </c>
      <c r="G686" s="53" t="str">
        <f>IF(ROW()&lt;=Results!$C$1+1,IF(ISERROR(C686-F686),"",C686-F686),"")</f>
        <v/>
      </c>
    </row>
    <row r="687" spans="1:7" x14ac:dyDescent="0.25">
      <c r="A687" s="1" t="str">
        <f ca="1">IF(ROW()&lt;=Results!$C$1+1,INDEX(Data!$A:$A,CEILING((COUNTA(Data!$A:$A)-1)*RAND()+1,1)),"")</f>
        <v/>
      </c>
      <c r="B687" s="1" t="str">
        <f>IF(ROW()&lt;=Results!$C$1+1,VLOOKUP($A687,Data!$A$2:$C$117,2,TRUE),"")</f>
        <v/>
      </c>
      <c r="C687" s="14" t="str">
        <f>IF(ROW()&lt;=Results!$C$1+1,IF(B687&lt;=0,"",LN(B687)),"")</f>
        <v/>
      </c>
      <c r="D687" s="58" t="str">
        <f ca="1">IF(Results!$S$5,A687,IF(ROW()&lt;=Results!$C$1+1,INDEX(Data!$A:$A,CEILING((COUNTA(Data!$A:$A)-1)*RAND()+1,1)),""))</f>
        <v/>
      </c>
      <c r="E687" s="1" t="str">
        <f>IF(ROW()&lt;=Results!$C$1+1,VLOOKUP($D687,Data!$A$2:$C$117,3,TRUE),"")</f>
        <v/>
      </c>
      <c r="F687" s="14" t="str">
        <f>IF(ROW()&lt;=Results!$C$1+1,IF(E687&lt;=0,"",LN(E687)),"")</f>
        <v/>
      </c>
      <c r="G687" s="53" t="str">
        <f>IF(ROW()&lt;=Results!$C$1+1,IF(ISERROR(C687-F687),"",C687-F687),"")</f>
        <v/>
      </c>
    </row>
    <row r="688" spans="1:7" x14ac:dyDescent="0.25">
      <c r="A688" s="1" t="str">
        <f ca="1">IF(ROW()&lt;=Results!$C$1+1,INDEX(Data!$A:$A,CEILING((COUNTA(Data!$A:$A)-1)*RAND()+1,1)),"")</f>
        <v/>
      </c>
      <c r="B688" s="1" t="str">
        <f>IF(ROW()&lt;=Results!$C$1+1,VLOOKUP($A688,Data!$A$2:$C$117,2,TRUE),"")</f>
        <v/>
      </c>
      <c r="C688" s="14" t="str">
        <f>IF(ROW()&lt;=Results!$C$1+1,IF(B688&lt;=0,"",LN(B688)),"")</f>
        <v/>
      </c>
      <c r="D688" s="58" t="str">
        <f ca="1">IF(Results!$S$5,A688,IF(ROW()&lt;=Results!$C$1+1,INDEX(Data!$A:$A,CEILING((COUNTA(Data!$A:$A)-1)*RAND()+1,1)),""))</f>
        <v/>
      </c>
      <c r="E688" s="1" t="str">
        <f>IF(ROW()&lt;=Results!$C$1+1,VLOOKUP($D688,Data!$A$2:$C$117,3,TRUE),"")</f>
        <v/>
      </c>
      <c r="F688" s="14" t="str">
        <f>IF(ROW()&lt;=Results!$C$1+1,IF(E688&lt;=0,"",LN(E688)),"")</f>
        <v/>
      </c>
      <c r="G688" s="53" t="str">
        <f>IF(ROW()&lt;=Results!$C$1+1,IF(ISERROR(C688-F688),"",C688-F688),"")</f>
        <v/>
      </c>
    </row>
    <row r="689" spans="1:7" x14ac:dyDescent="0.25">
      <c r="A689" s="1" t="str">
        <f ca="1">IF(ROW()&lt;=Results!$C$1+1,INDEX(Data!$A:$A,CEILING((COUNTA(Data!$A:$A)-1)*RAND()+1,1)),"")</f>
        <v/>
      </c>
      <c r="B689" s="1" t="str">
        <f>IF(ROW()&lt;=Results!$C$1+1,VLOOKUP($A689,Data!$A$2:$C$117,2,TRUE),"")</f>
        <v/>
      </c>
      <c r="C689" s="14" t="str">
        <f>IF(ROW()&lt;=Results!$C$1+1,IF(B689&lt;=0,"",LN(B689)),"")</f>
        <v/>
      </c>
      <c r="D689" s="58" t="str">
        <f ca="1">IF(Results!$S$5,A689,IF(ROW()&lt;=Results!$C$1+1,INDEX(Data!$A:$A,CEILING((COUNTA(Data!$A:$A)-1)*RAND()+1,1)),""))</f>
        <v/>
      </c>
      <c r="E689" s="1" t="str">
        <f>IF(ROW()&lt;=Results!$C$1+1,VLOOKUP($D689,Data!$A$2:$C$117,3,TRUE),"")</f>
        <v/>
      </c>
      <c r="F689" s="14" t="str">
        <f>IF(ROW()&lt;=Results!$C$1+1,IF(E689&lt;=0,"",LN(E689)),"")</f>
        <v/>
      </c>
      <c r="G689" s="53" t="str">
        <f>IF(ROW()&lt;=Results!$C$1+1,IF(ISERROR(C689-F689),"",C689-F689),"")</f>
        <v/>
      </c>
    </row>
    <row r="690" spans="1:7" x14ac:dyDescent="0.25">
      <c r="A690" s="1" t="str">
        <f ca="1">IF(ROW()&lt;=Results!$C$1+1,INDEX(Data!$A:$A,CEILING((COUNTA(Data!$A:$A)-1)*RAND()+1,1)),"")</f>
        <v/>
      </c>
      <c r="B690" s="1" t="str">
        <f>IF(ROW()&lt;=Results!$C$1+1,VLOOKUP($A690,Data!$A$2:$C$117,2,TRUE),"")</f>
        <v/>
      </c>
      <c r="C690" s="14" t="str">
        <f>IF(ROW()&lt;=Results!$C$1+1,IF(B690&lt;=0,"",LN(B690)),"")</f>
        <v/>
      </c>
      <c r="D690" s="58" t="str">
        <f ca="1">IF(Results!$S$5,A690,IF(ROW()&lt;=Results!$C$1+1,INDEX(Data!$A:$A,CEILING((COUNTA(Data!$A:$A)-1)*RAND()+1,1)),""))</f>
        <v/>
      </c>
      <c r="E690" s="1" t="str">
        <f>IF(ROW()&lt;=Results!$C$1+1,VLOOKUP($D690,Data!$A$2:$C$117,3,TRUE),"")</f>
        <v/>
      </c>
      <c r="F690" s="14" t="str">
        <f>IF(ROW()&lt;=Results!$C$1+1,IF(E690&lt;=0,"",LN(E690)),"")</f>
        <v/>
      </c>
      <c r="G690" s="53" t="str">
        <f>IF(ROW()&lt;=Results!$C$1+1,IF(ISERROR(C690-F690),"",C690-F690),"")</f>
        <v/>
      </c>
    </row>
    <row r="691" spans="1:7" x14ac:dyDescent="0.25">
      <c r="A691" s="1" t="str">
        <f ca="1">IF(ROW()&lt;=Results!$C$1+1,INDEX(Data!$A:$A,CEILING((COUNTA(Data!$A:$A)-1)*RAND()+1,1)),"")</f>
        <v/>
      </c>
      <c r="B691" s="1" t="str">
        <f>IF(ROW()&lt;=Results!$C$1+1,VLOOKUP($A691,Data!$A$2:$C$117,2,TRUE),"")</f>
        <v/>
      </c>
      <c r="C691" s="14" t="str">
        <f>IF(ROW()&lt;=Results!$C$1+1,IF(B691&lt;=0,"",LN(B691)),"")</f>
        <v/>
      </c>
      <c r="D691" s="58" t="str">
        <f ca="1">IF(Results!$S$5,A691,IF(ROW()&lt;=Results!$C$1+1,INDEX(Data!$A:$A,CEILING((COUNTA(Data!$A:$A)-1)*RAND()+1,1)),""))</f>
        <v/>
      </c>
      <c r="E691" s="1" t="str">
        <f>IF(ROW()&lt;=Results!$C$1+1,VLOOKUP($D691,Data!$A$2:$C$117,3,TRUE),"")</f>
        <v/>
      </c>
      <c r="F691" s="14" t="str">
        <f>IF(ROW()&lt;=Results!$C$1+1,IF(E691&lt;=0,"",LN(E691)),"")</f>
        <v/>
      </c>
      <c r="G691" s="53" t="str">
        <f>IF(ROW()&lt;=Results!$C$1+1,IF(ISERROR(C691-F691),"",C691-F691),"")</f>
        <v/>
      </c>
    </row>
    <row r="692" spans="1:7" x14ac:dyDescent="0.25">
      <c r="A692" s="1" t="str">
        <f ca="1">IF(ROW()&lt;=Results!$C$1+1,INDEX(Data!$A:$A,CEILING((COUNTA(Data!$A:$A)-1)*RAND()+1,1)),"")</f>
        <v/>
      </c>
      <c r="B692" s="1" t="str">
        <f>IF(ROW()&lt;=Results!$C$1+1,VLOOKUP($A692,Data!$A$2:$C$117,2,TRUE),"")</f>
        <v/>
      </c>
      <c r="C692" s="14" t="str">
        <f>IF(ROW()&lt;=Results!$C$1+1,IF(B692&lt;=0,"",LN(B692)),"")</f>
        <v/>
      </c>
      <c r="D692" s="58" t="str">
        <f ca="1">IF(Results!$S$5,A692,IF(ROW()&lt;=Results!$C$1+1,INDEX(Data!$A:$A,CEILING((COUNTA(Data!$A:$A)-1)*RAND()+1,1)),""))</f>
        <v/>
      </c>
      <c r="E692" s="1" t="str">
        <f>IF(ROW()&lt;=Results!$C$1+1,VLOOKUP($D692,Data!$A$2:$C$117,3,TRUE),"")</f>
        <v/>
      </c>
      <c r="F692" s="14" t="str">
        <f>IF(ROW()&lt;=Results!$C$1+1,IF(E692&lt;=0,"",LN(E692)),"")</f>
        <v/>
      </c>
      <c r="G692" s="53" t="str">
        <f>IF(ROW()&lt;=Results!$C$1+1,IF(ISERROR(C692-F692),"",C692-F692),"")</f>
        <v/>
      </c>
    </row>
    <row r="693" spans="1:7" x14ac:dyDescent="0.25">
      <c r="A693" s="1" t="str">
        <f ca="1">IF(ROW()&lt;=Results!$C$1+1,INDEX(Data!$A:$A,CEILING((COUNTA(Data!$A:$A)-1)*RAND()+1,1)),"")</f>
        <v/>
      </c>
      <c r="B693" s="1" t="str">
        <f>IF(ROW()&lt;=Results!$C$1+1,VLOOKUP($A693,Data!$A$2:$C$117,2,TRUE),"")</f>
        <v/>
      </c>
      <c r="C693" s="14" t="str">
        <f>IF(ROW()&lt;=Results!$C$1+1,IF(B693&lt;=0,"",LN(B693)),"")</f>
        <v/>
      </c>
      <c r="D693" s="58" t="str">
        <f ca="1">IF(Results!$S$5,A693,IF(ROW()&lt;=Results!$C$1+1,INDEX(Data!$A:$A,CEILING((COUNTA(Data!$A:$A)-1)*RAND()+1,1)),""))</f>
        <v/>
      </c>
      <c r="E693" s="1" t="str">
        <f>IF(ROW()&lt;=Results!$C$1+1,VLOOKUP($D693,Data!$A$2:$C$117,3,TRUE),"")</f>
        <v/>
      </c>
      <c r="F693" s="14" t="str">
        <f>IF(ROW()&lt;=Results!$C$1+1,IF(E693&lt;=0,"",LN(E693)),"")</f>
        <v/>
      </c>
      <c r="G693" s="53" t="str">
        <f>IF(ROW()&lt;=Results!$C$1+1,IF(ISERROR(C693-F693),"",C693-F693),"")</f>
        <v/>
      </c>
    </row>
    <row r="694" spans="1:7" x14ac:dyDescent="0.25">
      <c r="A694" s="1" t="str">
        <f ca="1">IF(ROW()&lt;=Results!$C$1+1,INDEX(Data!$A:$A,CEILING((COUNTA(Data!$A:$A)-1)*RAND()+1,1)),"")</f>
        <v/>
      </c>
      <c r="B694" s="1" t="str">
        <f>IF(ROW()&lt;=Results!$C$1+1,VLOOKUP($A694,Data!$A$2:$C$117,2,TRUE),"")</f>
        <v/>
      </c>
      <c r="C694" s="14" t="str">
        <f>IF(ROW()&lt;=Results!$C$1+1,IF(B694&lt;=0,"",LN(B694)),"")</f>
        <v/>
      </c>
      <c r="D694" s="58" t="str">
        <f ca="1">IF(Results!$S$5,A694,IF(ROW()&lt;=Results!$C$1+1,INDEX(Data!$A:$A,CEILING((COUNTA(Data!$A:$A)-1)*RAND()+1,1)),""))</f>
        <v/>
      </c>
      <c r="E694" s="1" t="str">
        <f>IF(ROW()&lt;=Results!$C$1+1,VLOOKUP($D694,Data!$A$2:$C$117,3,TRUE),"")</f>
        <v/>
      </c>
      <c r="F694" s="14" t="str">
        <f>IF(ROW()&lt;=Results!$C$1+1,IF(E694&lt;=0,"",LN(E694)),"")</f>
        <v/>
      </c>
      <c r="G694" s="53" t="str">
        <f>IF(ROW()&lt;=Results!$C$1+1,IF(ISERROR(C694-F694),"",C694-F694),"")</f>
        <v/>
      </c>
    </row>
    <row r="695" spans="1:7" x14ac:dyDescent="0.25">
      <c r="A695" s="1" t="str">
        <f ca="1">IF(ROW()&lt;=Results!$C$1+1,INDEX(Data!$A:$A,CEILING((COUNTA(Data!$A:$A)-1)*RAND()+1,1)),"")</f>
        <v/>
      </c>
      <c r="B695" s="1" t="str">
        <f>IF(ROW()&lt;=Results!$C$1+1,VLOOKUP($A695,Data!$A$2:$C$117,2,TRUE),"")</f>
        <v/>
      </c>
      <c r="C695" s="14" t="str">
        <f>IF(ROW()&lt;=Results!$C$1+1,IF(B695&lt;=0,"",LN(B695)),"")</f>
        <v/>
      </c>
      <c r="D695" s="58" t="str">
        <f ca="1">IF(Results!$S$5,A695,IF(ROW()&lt;=Results!$C$1+1,INDEX(Data!$A:$A,CEILING((COUNTA(Data!$A:$A)-1)*RAND()+1,1)),""))</f>
        <v/>
      </c>
      <c r="E695" s="1" t="str">
        <f>IF(ROW()&lt;=Results!$C$1+1,VLOOKUP($D695,Data!$A$2:$C$117,3,TRUE),"")</f>
        <v/>
      </c>
      <c r="F695" s="14" t="str">
        <f>IF(ROW()&lt;=Results!$C$1+1,IF(E695&lt;=0,"",LN(E695)),"")</f>
        <v/>
      </c>
      <c r="G695" s="53" t="str">
        <f>IF(ROW()&lt;=Results!$C$1+1,IF(ISERROR(C695-F695),"",C695-F695),"")</f>
        <v/>
      </c>
    </row>
    <row r="696" spans="1:7" x14ac:dyDescent="0.25">
      <c r="A696" s="1" t="str">
        <f ca="1">IF(ROW()&lt;=Results!$C$1+1,INDEX(Data!$A:$A,CEILING((COUNTA(Data!$A:$A)-1)*RAND()+1,1)),"")</f>
        <v/>
      </c>
      <c r="B696" s="1" t="str">
        <f>IF(ROW()&lt;=Results!$C$1+1,VLOOKUP($A696,Data!$A$2:$C$117,2,TRUE),"")</f>
        <v/>
      </c>
      <c r="C696" s="14" t="str">
        <f>IF(ROW()&lt;=Results!$C$1+1,IF(B696&lt;=0,"",LN(B696)),"")</f>
        <v/>
      </c>
      <c r="D696" s="58" t="str">
        <f ca="1">IF(Results!$S$5,A696,IF(ROW()&lt;=Results!$C$1+1,INDEX(Data!$A:$A,CEILING((COUNTA(Data!$A:$A)-1)*RAND()+1,1)),""))</f>
        <v/>
      </c>
      <c r="E696" s="1" t="str">
        <f>IF(ROW()&lt;=Results!$C$1+1,VLOOKUP($D696,Data!$A$2:$C$117,3,TRUE),"")</f>
        <v/>
      </c>
      <c r="F696" s="14" t="str">
        <f>IF(ROW()&lt;=Results!$C$1+1,IF(E696&lt;=0,"",LN(E696)),"")</f>
        <v/>
      </c>
      <c r="G696" s="53" t="str">
        <f>IF(ROW()&lt;=Results!$C$1+1,IF(ISERROR(C696-F696),"",C696-F696),"")</f>
        <v/>
      </c>
    </row>
    <row r="697" spans="1:7" x14ac:dyDescent="0.25">
      <c r="A697" s="1" t="str">
        <f ca="1">IF(ROW()&lt;=Results!$C$1+1,INDEX(Data!$A:$A,CEILING((COUNTA(Data!$A:$A)-1)*RAND()+1,1)),"")</f>
        <v/>
      </c>
      <c r="B697" s="1" t="str">
        <f>IF(ROW()&lt;=Results!$C$1+1,VLOOKUP($A697,Data!$A$2:$C$117,2,TRUE),"")</f>
        <v/>
      </c>
      <c r="C697" s="14" t="str">
        <f>IF(ROW()&lt;=Results!$C$1+1,IF(B697&lt;=0,"",LN(B697)),"")</f>
        <v/>
      </c>
      <c r="D697" s="58" t="str">
        <f ca="1">IF(Results!$S$5,A697,IF(ROW()&lt;=Results!$C$1+1,INDEX(Data!$A:$A,CEILING((COUNTA(Data!$A:$A)-1)*RAND()+1,1)),""))</f>
        <v/>
      </c>
      <c r="E697" s="1" t="str">
        <f>IF(ROW()&lt;=Results!$C$1+1,VLOOKUP($D697,Data!$A$2:$C$117,3,TRUE),"")</f>
        <v/>
      </c>
      <c r="F697" s="14" t="str">
        <f>IF(ROW()&lt;=Results!$C$1+1,IF(E697&lt;=0,"",LN(E697)),"")</f>
        <v/>
      </c>
      <c r="G697" s="53" t="str">
        <f>IF(ROW()&lt;=Results!$C$1+1,IF(ISERROR(C697-F697),"",C697-F697),"")</f>
        <v/>
      </c>
    </row>
    <row r="698" spans="1:7" x14ac:dyDescent="0.25">
      <c r="A698" s="1" t="str">
        <f ca="1">IF(ROW()&lt;=Results!$C$1+1,INDEX(Data!$A:$A,CEILING((COUNTA(Data!$A:$A)-1)*RAND()+1,1)),"")</f>
        <v/>
      </c>
      <c r="B698" s="1" t="str">
        <f>IF(ROW()&lt;=Results!$C$1+1,VLOOKUP($A698,Data!$A$2:$C$117,2,TRUE),"")</f>
        <v/>
      </c>
      <c r="C698" s="14" t="str">
        <f>IF(ROW()&lt;=Results!$C$1+1,IF(B698&lt;=0,"",LN(B698)),"")</f>
        <v/>
      </c>
      <c r="D698" s="58" t="str">
        <f ca="1">IF(Results!$S$5,A698,IF(ROW()&lt;=Results!$C$1+1,INDEX(Data!$A:$A,CEILING((COUNTA(Data!$A:$A)-1)*RAND()+1,1)),""))</f>
        <v/>
      </c>
      <c r="E698" s="1" t="str">
        <f>IF(ROW()&lt;=Results!$C$1+1,VLOOKUP($D698,Data!$A$2:$C$117,3,TRUE),"")</f>
        <v/>
      </c>
      <c r="F698" s="14" t="str">
        <f>IF(ROW()&lt;=Results!$C$1+1,IF(E698&lt;=0,"",LN(E698)),"")</f>
        <v/>
      </c>
      <c r="G698" s="53" t="str">
        <f>IF(ROW()&lt;=Results!$C$1+1,IF(ISERROR(C698-F698),"",C698-F698),"")</f>
        <v/>
      </c>
    </row>
    <row r="699" spans="1:7" x14ac:dyDescent="0.25">
      <c r="A699" s="1" t="str">
        <f ca="1">IF(ROW()&lt;=Results!$C$1+1,INDEX(Data!$A:$A,CEILING((COUNTA(Data!$A:$A)-1)*RAND()+1,1)),"")</f>
        <v/>
      </c>
      <c r="B699" s="1" t="str">
        <f>IF(ROW()&lt;=Results!$C$1+1,VLOOKUP($A699,Data!$A$2:$C$117,2,TRUE),"")</f>
        <v/>
      </c>
      <c r="C699" s="14" t="str">
        <f>IF(ROW()&lt;=Results!$C$1+1,IF(B699&lt;=0,"",LN(B699)),"")</f>
        <v/>
      </c>
      <c r="D699" s="58" t="str">
        <f ca="1">IF(Results!$S$5,A699,IF(ROW()&lt;=Results!$C$1+1,INDEX(Data!$A:$A,CEILING((COUNTA(Data!$A:$A)-1)*RAND()+1,1)),""))</f>
        <v/>
      </c>
      <c r="E699" s="1" t="str">
        <f>IF(ROW()&lt;=Results!$C$1+1,VLOOKUP($D699,Data!$A$2:$C$117,3,TRUE),"")</f>
        <v/>
      </c>
      <c r="F699" s="14" t="str">
        <f>IF(ROW()&lt;=Results!$C$1+1,IF(E699&lt;=0,"",LN(E699)),"")</f>
        <v/>
      </c>
      <c r="G699" s="53" t="str">
        <f>IF(ROW()&lt;=Results!$C$1+1,IF(ISERROR(C699-F699),"",C699-F699),"")</f>
        <v/>
      </c>
    </row>
    <row r="700" spans="1:7" x14ac:dyDescent="0.25">
      <c r="A700" s="1" t="str">
        <f ca="1">IF(ROW()&lt;=Results!$C$1+1,INDEX(Data!$A:$A,CEILING((COUNTA(Data!$A:$A)-1)*RAND()+1,1)),"")</f>
        <v/>
      </c>
      <c r="B700" s="1" t="str">
        <f>IF(ROW()&lt;=Results!$C$1+1,VLOOKUP($A700,Data!$A$2:$C$117,2,TRUE),"")</f>
        <v/>
      </c>
      <c r="C700" s="14" t="str">
        <f>IF(ROW()&lt;=Results!$C$1+1,IF(B700&lt;=0,"",LN(B700)),"")</f>
        <v/>
      </c>
      <c r="D700" s="58" t="str">
        <f ca="1">IF(Results!$S$5,A700,IF(ROW()&lt;=Results!$C$1+1,INDEX(Data!$A:$A,CEILING((COUNTA(Data!$A:$A)-1)*RAND()+1,1)),""))</f>
        <v/>
      </c>
      <c r="E700" s="1" t="str">
        <f>IF(ROW()&lt;=Results!$C$1+1,VLOOKUP($D700,Data!$A$2:$C$117,3,TRUE),"")</f>
        <v/>
      </c>
      <c r="F700" s="14" t="str">
        <f>IF(ROW()&lt;=Results!$C$1+1,IF(E700&lt;=0,"",LN(E700)),"")</f>
        <v/>
      </c>
      <c r="G700" s="53" t="str">
        <f>IF(ROW()&lt;=Results!$C$1+1,IF(ISERROR(C700-F700),"",C700-F700),"")</f>
        <v/>
      </c>
    </row>
    <row r="701" spans="1:7" x14ac:dyDescent="0.25">
      <c r="A701" s="1" t="str">
        <f ca="1">IF(ROW()&lt;=Results!$C$1+1,INDEX(Data!$A:$A,CEILING((COUNTA(Data!$A:$A)-1)*RAND()+1,1)),"")</f>
        <v/>
      </c>
      <c r="B701" s="1" t="str">
        <f>IF(ROW()&lt;=Results!$C$1+1,VLOOKUP($A701,Data!$A$2:$C$117,2,TRUE),"")</f>
        <v/>
      </c>
      <c r="C701" s="14" t="str">
        <f>IF(ROW()&lt;=Results!$C$1+1,IF(B701&lt;=0,"",LN(B701)),"")</f>
        <v/>
      </c>
      <c r="D701" s="58" t="str">
        <f ca="1">IF(Results!$S$5,A701,IF(ROW()&lt;=Results!$C$1+1,INDEX(Data!$A:$A,CEILING((COUNTA(Data!$A:$A)-1)*RAND()+1,1)),""))</f>
        <v/>
      </c>
      <c r="E701" s="1" t="str">
        <f>IF(ROW()&lt;=Results!$C$1+1,VLOOKUP($D701,Data!$A$2:$C$117,3,TRUE),"")</f>
        <v/>
      </c>
      <c r="F701" s="14" t="str">
        <f>IF(ROW()&lt;=Results!$C$1+1,IF(E701&lt;=0,"",LN(E701)),"")</f>
        <v/>
      </c>
      <c r="G701" s="53" t="str">
        <f>IF(ROW()&lt;=Results!$C$1+1,IF(ISERROR(C701-F701),"",C701-F701),"")</f>
        <v/>
      </c>
    </row>
    <row r="702" spans="1:7" x14ac:dyDescent="0.25">
      <c r="A702" s="1" t="str">
        <f ca="1">IF(ROW()&lt;=Results!$C$1+1,INDEX(Data!$A:$A,CEILING((COUNTA(Data!$A:$A)-1)*RAND()+1,1)),"")</f>
        <v/>
      </c>
      <c r="B702" s="1" t="str">
        <f>IF(ROW()&lt;=Results!$C$1+1,VLOOKUP($A702,Data!$A$2:$C$117,2,TRUE),"")</f>
        <v/>
      </c>
      <c r="C702" s="14" t="str">
        <f>IF(ROW()&lt;=Results!$C$1+1,IF(B702&lt;=0,"",LN(B702)),"")</f>
        <v/>
      </c>
      <c r="D702" s="58" t="str">
        <f ca="1">IF(Results!$S$5,A702,IF(ROW()&lt;=Results!$C$1+1,INDEX(Data!$A:$A,CEILING((COUNTA(Data!$A:$A)-1)*RAND()+1,1)),""))</f>
        <v/>
      </c>
      <c r="E702" s="1" t="str">
        <f>IF(ROW()&lt;=Results!$C$1+1,VLOOKUP($D702,Data!$A$2:$C$117,3,TRUE),"")</f>
        <v/>
      </c>
      <c r="F702" s="14" t="str">
        <f>IF(ROW()&lt;=Results!$C$1+1,IF(E702&lt;=0,"",LN(E702)),"")</f>
        <v/>
      </c>
      <c r="G702" s="53" t="str">
        <f>IF(ROW()&lt;=Results!$C$1+1,IF(ISERROR(C702-F702),"",C702-F702),"")</f>
        <v/>
      </c>
    </row>
    <row r="703" spans="1:7" x14ac:dyDescent="0.25">
      <c r="A703" s="1" t="str">
        <f ca="1">IF(ROW()&lt;=Results!$C$1+1,INDEX(Data!$A:$A,CEILING((COUNTA(Data!$A:$A)-1)*RAND()+1,1)),"")</f>
        <v/>
      </c>
      <c r="B703" s="1" t="str">
        <f>IF(ROW()&lt;=Results!$C$1+1,VLOOKUP($A703,Data!$A$2:$C$117,2,TRUE),"")</f>
        <v/>
      </c>
      <c r="C703" s="14" t="str">
        <f>IF(ROW()&lt;=Results!$C$1+1,IF(B703&lt;=0,"",LN(B703)),"")</f>
        <v/>
      </c>
      <c r="D703" s="58" t="str">
        <f ca="1">IF(Results!$S$5,A703,IF(ROW()&lt;=Results!$C$1+1,INDEX(Data!$A:$A,CEILING((COUNTA(Data!$A:$A)-1)*RAND()+1,1)),""))</f>
        <v/>
      </c>
      <c r="E703" s="1" t="str">
        <f>IF(ROW()&lt;=Results!$C$1+1,VLOOKUP($D703,Data!$A$2:$C$117,3,TRUE),"")</f>
        <v/>
      </c>
      <c r="F703" s="14" t="str">
        <f>IF(ROW()&lt;=Results!$C$1+1,IF(E703&lt;=0,"",LN(E703)),"")</f>
        <v/>
      </c>
      <c r="G703" s="53" t="str">
        <f>IF(ROW()&lt;=Results!$C$1+1,IF(ISERROR(C703-F703),"",C703-F703),"")</f>
        <v/>
      </c>
    </row>
    <row r="704" spans="1:7" x14ac:dyDescent="0.25">
      <c r="A704" s="1" t="str">
        <f ca="1">IF(ROW()&lt;=Results!$C$1+1,INDEX(Data!$A:$A,CEILING((COUNTA(Data!$A:$A)-1)*RAND()+1,1)),"")</f>
        <v/>
      </c>
      <c r="B704" s="1" t="str">
        <f>IF(ROW()&lt;=Results!$C$1+1,VLOOKUP($A704,Data!$A$2:$C$117,2,TRUE),"")</f>
        <v/>
      </c>
      <c r="C704" s="14" t="str">
        <f>IF(ROW()&lt;=Results!$C$1+1,IF(B704&lt;=0,"",LN(B704)),"")</f>
        <v/>
      </c>
      <c r="D704" s="58" t="str">
        <f ca="1">IF(Results!$S$5,A704,IF(ROW()&lt;=Results!$C$1+1,INDEX(Data!$A:$A,CEILING((COUNTA(Data!$A:$A)-1)*RAND()+1,1)),""))</f>
        <v/>
      </c>
      <c r="E704" s="1" t="str">
        <f>IF(ROW()&lt;=Results!$C$1+1,VLOOKUP($D704,Data!$A$2:$C$117,3,TRUE),"")</f>
        <v/>
      </c>
      <c r="F704" s="14" t="str">
        <f>IF(ROW()&lt;=Results!$C$1+1,IF(E704&lt;=0,"",LN(E704)),"")</f>
        <v/>
      </c>
      <c r="G704" s="53" t="str">
        <f>IF(ROW()&lt;=Results!$C$1+1,IF(ISERROR(C704-F704),"",C704-F704),"")</f>
        <v/>
      </c>
    </row>
    <row r="705" spans="1:7" x14ac:dyDescent="0.25">
      <c r="A705" s="1" t="str">
        <f ca="1">IF(ROW()&lt;=Results!$C$1+1,INDEX(Data!$A:$A,CEILING((COUNTA(Data!$A:$A)-1)*RAND()+1,1)),"")</f>
        <v/>
      </c>
      <c r="B705" s="1" t="str">
        <f>IF(ROW()&lt;=Results!$C$1+1,VLOOKUP($A705,Data!$A$2:$C$117,2,TRUE),"")</f>
        <v/>
      </c>
      <c r="C705" s="14" t="str">
        <f>IF(ROW()&lt;=Results!$C$1+1,IF(B705&lt;=0,"",LN(B705)),"")</f>
        <v/>
      </c>
      <c r="D705" s="58" t="str">
        <f ca="1">IF(Results!$S$5,A705,IF(ROW()&lt;=Results!$C$1+1,INDEX(Data!$A:$A,CEILING((COUNTA(Data!$A:$A)-1)*RAND()+1,1)),""))</f>
        <v/>
      </c>
      <c r="E705" s="1" t="str">
        <f>IF(ROW()&lt;=Results!$C$1+1,VLOOKUP($D705,Data!$A$2:$C$117,3,TRUE),"")</f>
        <v/>
      </c>
      <c r="F705" s="14" t="str">
        <f>IF(ROW()&lt;=Results!$C$1+1,IF(E705&lt;=0,"",LN(E705)),"")</f>
        <v/>
      </c>
      <c r="G705" s="53" t="str">
        <f>IF(ROW()&lt;=Results!$C$1+1,IF(ISERROR(C705-F705),"",C705-F705),"")</f>
        <v/>
      </c>
    </row>
    <row r="706" spans="1:7" x14ac:dyDescent="0.25">
      <c r="A706" s="1" t="str">
        <f ca="1">IF(ROW()&lt;=Results!$C$1+1,INDEX(Data!$A:$A,CEILING((COUNTA(Data!$A:$A)-1)*RAND()+1,1)),"")</f>
        <v/>
      </c>
      <c r="B706" s="1" t="str">
        <f>IF(ROW()&lt;=Results!$C$1+1,VLOOKUP($A706,Data!$A$2:$C$117,2,TRUE),"")</f>
        <v/>
      </c>
      <c r="C706" s="14" t="str">
        <f>IF(ROW()&lt;=Results!$C$1+1,IF(B706&lt;=0,"",LN(B706)),"")</f>
        <v/>
      </c>
      <c r="D706" s="58" t="str">
        <f ca="1">IF(Results!$S$5,A706,IF(ROW()&lt;=Results!$C$1+1,INDEX(Data!$A:$A,CEILING((COUNTA(Data!$A:$A)-1)*RAND()+1,1)),""))</f>
        <v/>
      </c>
      <c r="E706" s="1" t="str">
        <f>IF(ROW()&lt;=Results!$C$1+1,VLOOKUP($D706,Data!$A$2:$C$117,3,TRUE),"")</f>
        <v/>
      </c>
      <c r="F706" s="14" t="str">
        <f>IF(ROW()&lt;=Results!$C$1+1,IF(E706&lt;=0,"",LN(E706)),"")</f>
        <v/>
      </c>
      <c r="G706" s="53" t="str">
        <f>IF(ROW()&lt;=Results!$C$1+1,IF(ISERROR(C706-F706),"",C706-F706),"")</f>
        <v/>
      </c>
    </row>
    <row r="707" spans="1:7" x14ac:dyDescent="0.25">
      <c r="A707" s="1" t="str">
        <f ca="1">IF(ROW()&lt;=Results!$C$1+1,INDEX(Data!$A:$A,CEILING((COUNTA(Data!$A:$A)-1)*RAND()+1,1)),"")</f>
        <v/>
      </c>
      <c r="B707" s="1" t="str">
        <f>IF(ROW()&lt;=Results!$C$1+1,VLOOKUP($A707,Data!$A$2:$C$117,2,TRUE),"")</f>
        <v/>
      </c>
      <c r="C707" s="14" t="str">
        <f>IF(ROW()&lt;=Results!$C$1+1,IF(B707&lt;=0,"",LN(B707)),"")</f>
        <v/>
      </c>
      <c r="D707" s="58" t="str">
        <f ca="1">IF(Results!$S$5,A707,IF(ROW()&lt;=Results!$C$1+1,INDEX(Data!$A:$A,CEILING((COUNTA(Data!$A:$A)-1)*RAND()+1,1)),""))</f>
        <v/>
      </c>
      <c r="E707" s="1" t="str">
        <f>IF(ROW()&lt;=Results!$C$1+1,VLOOKUP($D707,Data!$A$2:$C$117,3,TRUE),"")</f>
        <v/>
      </c>
      <c r="F707" s="14" t="str">
        <f>IF(ROW()&lt;=Results!$C$1+1,IF(E707&lt;=0,"",LN(E707)),"")</f>
        <v/>
      </c>
      <c r="G707" s="53" t="str">
        <f>IF(ROW()&lt;=Results!$C$1+1,IF(ISERROR(C707-F707),"",C707-F707),"")</f>
        <v/>
      </c>
    </row>
    <row r="708" spans="1:7" x14ac:dyDescent="0.25">
      <c r="A708" s="1" t="str">
        <f ca="1">IF(ROW()&lt;=Results!$C$1+1,INDEX(Data!$A:$A,CEILING((COUNTA(Data!$A:$A)-1)*RAND()+1,1)),"")</f>
        <v/>
      </c>
      <c r="B708" s="1" t="str">
        <f>IF(ROW()&lt;=Results!$C$1+1,VLOOKUP($A708,Data!$A$2:$C$117,2,TRUE),"")</f>
        <v/>
      </c>
      <c r="C708" s="14" t="str">
        <f>IF(ROW()&lt;=Results!$C$1+1,IF(B708&lt;=0,"",LN(B708)),"")</f>
        <v/>
      </c>
      <c r="D708" s="58" t="str">
        <f ca="1">IF(Results!$S$5,A708,IF(ROW()&lt;=Results!$C$1+1,INDEX(Data!$A:$A,CEILING((COUNTA(Data!$A:$A)-1)*RAND()+1,1)),""))</f>
        <v/>
      </c>
      <c r="E708" s="1" t="str">
        <f>IF(ROW()&lt;=Results!$C$1+1,VLOOKUP($D708,Data!$A$2:$C$117,3,TRUE),"")</f>
        <v/>
      </c>
      <c r="F708" s="14" t="str">
        <f>IF(ROW()&lt;=Results!$C$1+1,IF(E708&lt;=0,"",LN(E708)),"")</f>
        <v/>
      </c>
      <c r="G708" s="53" t="str">
        <f>IF(ROW()&lt;=Results!$C$1+1,IF(ISERROR(C708-F708),"",C708-F708),"")</f>
        <v/>
      </c>
    </row>
    <row r="709" spans="1:7" x14ac:dyDescent="0.25">
      <c r="A709" s="1" t="str">
        <f ca="1">IF(ROW()&lt;=Results!$C$1+1,INDEX(Data!$A:$A,CEILING((COUNTA(Data!$A:$A)-1)*RAND()+1,1)),"")</f>
        <v/>
      </c>
      <c r="B709" s="1" t="str">
        <f>IF(ROW()&lt;=Results!$C$1+1,VLOOKUP($A709,Data!$A$2:$C$117,2,TRUE),"")</f>
        <v/>
      </c>
      <c r="C709" s="14" t="str">
        <f>IF(ROW()&lt;=Results!$C$1+1,IF(B709&lt;=0,"",LN(B709)),"")</f>
        <v/>
      </c>
      <c r="D709" s="58" t="str">
        <f ca="1">IF(Results!$S$5,A709,IF(ROW()&lt;=Results!$C$1+1,INDEX(Data!$A:$A,CEILING((COUNTA(Data!$A:$A)-1)*RAND()+1,1)),""))</f>
        <v/>
      </c>
      <c r="E709" s="1" t="str">
        <f>IF(ROW()&lt;=Results!$C$1+1,VLOOKUP($D709,Data!$A$2:$C$117,3,TRUE),"")</f>
        <v/>
      </c>
      <c r="F709" s="14" t="str">
        <f>IF(ROW()&lt;=Results!$C$1+1,IF(E709&lt;=0,"",LN(E709)),"")</f>
        <v/>
      </c>
      <c r="G709" s="53" t="str">
        <f>IF(ROW()&lt;=Results!$C$1+1,IF(ISERROR(C709-F709),"",C709-F709),"")</f>
        <v/>
      </c>
    </row>
    <row r="710" spans="1:7" x14ac:dyDescent="0.25">
      <c r="A710" s="1" t="str">
        <f ca="1">IF(ROW()&lt;=Results!$C$1+1,INDEX(Data!$A:$A,CEILING((COUNTA(Data!$A:$A)-1)*RAND()+1,1)),"")</f>
        <v/>
      </c>
      <c r="B710" s="1" t="str">
        <f>IF(ROW()&lt;=Results!$C$1+1,VLOOKUP($A710,Data!$A$2:$C$117,2,TRUE),"")</f>
        <v/>
      </c>
      <c r="C710" s="14" t="str">
        <f>IF(ROW()&lt;=Results!$C$1+1,IF(B710&lt;=0,"",LN(B710)),"")</f>
        <v/>
      </c>
      <c r="D710" s="58" t="str">
        <f ca="1">IF(Results!$S$5,A710,IF(ROW()&lt;=Results!$C$1+1,INDEX(Data!$A:$A,CEILING((COUNTA(Data!$A:$A)-1)*RAND()+1,1)),""))</f>
        <v/>
      </c>
      <c r="E710" s="1" t="str">
        <f>IF(ROW()&lt;=Results!$C$1+1,VLOOKUP($D710,Data!$A$2:$C$117,3,TRUE),"")</f>
        <v/>
      </c>
      <c r="F710" s="14" t="str">
        <f>IF(ROW()&lt;=Results!$C$1+1,IF(E710&lt;=0,"",LN(E710)),"")</f>
        <v/>
      </c>
      <c r="G710" s="53" t="str">
        <f>IF(ROW()&lt;=Results!$C$1+1,IF(ISERROR(C710-F710),"",C710-F710),"")</f>
        <v/>
      </c>
    </row>
    <row r="711" spans="1:7" x14ac:dyDescent="0.25">
      <c r="A711" s="1" t="str">
        <f ca="1">IF(ROW()&lt;=Results!$C$1+1,INDEX(Data!$A:$A,CEILING((COUNTA(Data!$A:$A)-1)*RAND()+1,1)),"")</f>
        <v/>
      </c>
      <c r="B711" s="1" t="str">
        <f>IF(ROW()&lt;=Results!$C$1+1,VLOOKUP($A711,Data!$A$2:$C$117,2,TRUE),"")</f>
        <v/>
      </c>
      <c r="C711" s="14" t="str">
        <f>IF(ROW()&lt;=Results!$C$1+1,IF(B711&lt;=0,"",LN(B711)),"")</f>
        <v/>
      </c>
      <c r="D711" s="58" t="str">
        <f ca="1">IF(Results!$S$5,A711,IF(ROW()&lt;=Results!$C$1+1,INDEX(Data!$A:$A,CEILING((COUNTA(Data!$A:$A)-1)*RAND()+1,1)),""))</f>
        <v/>
      </c>
      <c r="E711" s="1" t="str">
        <f>IF(ROW()&lt;=Results!$C$1+1,VLOOKUP($D711,Data!$A$2:$C$117,3,TRUE),"")</f>
        <v/>
      </c>
      <c r="F711" s="14" t="str">
        <f>IF(ROW()&lt;=Results!$C$1+1,IF(E711&lt;=0,"",LN(E711)),"")</f>
        <v/>
      </c>
      <c r="G711" s="53" t="str">
        <f>IF(ROW()&lt;=Results!$C$1+1,IF(ISERROR(C711-F711),"",C711-F711),"")</f>
        <v/>
      </c>
    </row>
    <row r="712" spans="1:7" x14ac:dyDescent="0.25">
      <c r="A712" s="1" t="str">
        <f ca="1">IF(ROW()&lt;=Results!$C$1+1,INDEX(Data!$A:$A,CEILING((COUNTA(Data!$A:$A)-1)*RAND()+1,1)),"")</f>
        <v/>
      </c>
      <c r="B712" s="1" t="str">
        <f>IF(ROW()&lt;=Results!$C$1+1,VLOOKUP($A712,Data!$A$2:$C$117,2,TRUE),"")</f>
        <v/>
      </c>
      <c r="C712" s="14" t="str">
        <f>IF(ROW()&lt;=Results!$C$1+1,IF(B712&lt;=0,"",LN(B712)),"")</f>
        <v/>
      </c>
      <c r="D712" s="58" t="str">
        <f ca="1">IF(Results!$S$5,A712,IF(ROW()&lt;=Results!$C$1+1,INDEX(Data!$A:$A,CEILING((COUNTA(Data!$A:$A)-1)*RAND()+1,1)),""))</f>
        <v/>
      </c>
      <c r="E712" s="1" t="str">
        <f>IF(ROW()&lt;=Results!$C$1+1,VLOOKUP($D712,Data!$A$2:$C$117,3,TRUE),"")</f>
        <v/>
      </c>
      <c r="F712" s="14" t="str">
        <f>IF(ROW()&lt;=Results!$C$1+1,IF(E712&lt;=0,"",LN(E712)),"")</f>
        <v/>
      </c>
      <c r="G712" s="53" t="str">
        <f>IF(ROW()&lt;=Results!$C$1+1,IF(ISERROR(C712-F712),"",C712-F712),"")</f>
        <v/>
      </c>
    </row>
    <row r="713" spans="1:7" x14ac:dyDescent="0.25">
      <c r="A713" s="1" t="str">
        <f ca="1">IF(ROW()&lt;=Results!$C$1+1,INDEX(Data!$A:$A,CEILING((COUNTA(Data!$A:$A)-1)*RAND()+1,1)),"")</f>
        <v/>
      </c>
      <c r="B713" s="1" t="str">
        <f>IF(ROW()&lt;=Results!$C$1+1,VLOOKUP($A713,Data!$A$2:$C$117,2,TRUE),"")</f>
        <v/>
      </c>
      <c r="C713" s="14" t="str">
        <f>IF(ROW()&lt;=Results!$C$1+1,IF(B713&lt;=0,"",LN(B713)),"")</f>
        <v/>
      </c>
      <c r="D713" s="58" t="str">
        <f ca="1">IF(Results!$S$5,A713,IF(ROW()&lt;=Results!$C$1+1,INDEX(Data!$A:$A,CEILING((COUNTA(Data!$A:$A)-1)*RAND()+1,1)),""))</f>
        <v/>
      </c>
      <c r="E713" s="1" t="str">
        <f>IF(ROW()&lt;=Results!$C$1+1,VLOOKUP($D713,Data!$A$2:$C$117,3,TRUE),"")</f>
        <v/>
      </c>
      <c r="F713" s="14" t="str">
        <f>IF(ROW()&lt;=Results!$C$1+1,IF(E713&lt;=0,"",LN(E713)),"")</f>
        <v/>
      </c>
      <c r="G713" s="53" t="str">
        <f>IF(ROW()&lt;=Results!$C$1+1,IF(ISERROR(C713-F713),"",C713-F713),"")</f>
        <v/>
      </c>
    </row>
    <row r="714" spans="1:7" x14ac:dyDescent="0.25">
      <c r="A714" s="1" t="str">
        <f ca="1">IF(ROW()&lt;=Results!$C$1+1,INDEX(Data!$A:$A,CEILING((COUNTA(Data!$A:$A)-1)*RAND()+1,1)),"")</f>
        <v/>
      </c>
      <c r="B714" s="1" t="str">
        <f>IF(ROW()&lt;=Results!$C$1+1,VLOOKUP($A714,Data!$A$2:$C$117,2,TRUE),"")</f>
        <v/>
      </c>
      <c r="C714" s="14" t="str">
        <f>IF(ROW()&lt;=Results!$C$1+1,IF(B714&lt;=0,"",LN(B714)),"")</f>
        <v/>
      </c>
      <c r="D714" s="58" t="str">
        <f ca="1">IF(Results!$S$5,A714,IF(ROW()&lt;=Results!$C$1+1,INDEX(Data!$A:$A,CEILING((COUNTA(Data!$A:$A)-1)*RAND()+1,1)),""))</f>
        <v/>
      </c>
      <c r="E714" s="1" t="str">
        <f>IF(ROW()&lt;=Results!$C$1+1,VLOOKUP($D714,Data!$A$2:$C$117,3,TRUE),"")</f>
        <v/>
      </c>
      <c r="F714" s="14" t="str">
        <f>IF(ROW()&lt;=Results!$C$1+1,IF(E714&lt;=0,"",LN(E714)),"")</f>
        <v/>
      </c>
      <c r="G714" s="53" t="str">
        <f>IF(ROW()&lt;=Results!$C$1+1,IF(ISERROR(C714-F714),"",C714-F714),"")</f>
        <v/>
      </c>
    </row>
    <row r="715" spans="1:7" x14ac:dyDescent="0.25">
      <c r="A715" s="1" t="str">
        <f ca="1">IF(ROW()&lt;=Results!$C$1+1,INDEX(Data!$A:$A,CEILING((COUNTA(Data!$A:$A)-1)*RAND()+1,1)),"")</f>
        <v/>
      </c>
      <c r="B715" s="1" t="str">
        <f>IF(ROW()&lt;=Results!$C$1+1,VLOOKUP($A715,Data!$A$2:$C$117,2,TRUE),"")</f>
        <v/>
      </c>
      <c r="C715" s="14" t="str">
        <f>IF(ROW()&lt;=Results!$C$1+1,IF(B715&lt;=0,"",LN(B715)),"")</f>
        <v/>
      </c>
      <c r="D715" s="58" t="str">
        <f ca="1">IF(Results!$S$5,A715,IF(ROW()&lt;=Results!$C$1+1,INDEX(Data!$A:$A,CEILING((COUNTA(Data!$A:$A)-1)*RAND()+1,1)),""))</f>
        <v/>
      </c>
      <c r="E715" s="1" t="str">
        <f>IF(ROW()&lt;=Results!$C$1+1,VLOOKUP($D715,Data!$A$2:$C$117,3,TRUE),"")</f>
        <v/>
      </c>
      <c r="F715" s="14" t="str">
        <f>IF(ROW()&lt;=Results!$C$1+1,IF(E715&lt;=0,"",LN(E715)),"")</f>
        <v/>
      </c>
      <c r="G715" s="53" t="str">
        <f>IF(ROW()&lt;=Results!$C$1+1,IF(ISERROR(C715-F715),"",C715-F715),"")</f>
        <v/>
      </c>
    </row>
    <row r="716" spans="1:7" x14ac:dyDescent="0.25">
      <c r="A716" s="1" t="str">
        <f ca="1">IF(ROW()&lt;=Results!$C$1+1,INDEX(Data!$A:$A,CEILING((COUNTA(Data!$A:$A)-1)*RAND()+1,1)),"")</f>
        <v/>
      </c>
      <c r="B716" s="1" t="str">
        <f>IF(ROW()&lt;=Results!$C$1+1,VLOOKUP($A716,Data!$A$2:$C$117,2,TRUE),"")</f>
        <v/>
      </c>
      <c r="C716" s="14" t="str">
        <f>IF(ROW()&lt;=Results!$C$1+1,IF(B716&lt;=0,"",LN(B716)),"")</f>
        <v/>
      </c>
      <c r="D716" s="58" t="str">
        <f ca="1">IF(Results!$S$5,A716,IF(ROW()&lt;=Results!$C$1+1,INDEX(Data!$A:$A,CEILING((COUNTA(Data!$A:$A)-1)*RAND()+1,1)),""))</f>
        <v/>
      </c>
      <c r="E716" s="1" t="str">
        <f>IF(ROW()&lt;=Results!$C$1+1,VLOOKUP($D716,Data!$A$2:$C$117,3,TRUE),"")</f>
        <v/>
      </c>
      <c r="F716" s="14" t="str">
        <f>IF(ROW()&lt;=Results!$C$1+1,IF(E716&lt;=0,"",LN(E716)),"")</f>
        <v/>
      </c>
      <c r="G716" s="53" t="str">
        <f>IF(ROW()&lt;=Results!$C$1+1,IF(ISERROR(C716-F716),"",C716-F716),"")</f>
        <v/>
      </c>
    </row>
    <row r="717" spans="1:7" x14ac:dyDescent="0.25">
      <c r="A717" s="1" t="str">
        <f ca="1">IF(ROW()&lt;=Results!$C$1+1,INDEX(Data!$A:$A,CEILING((COUNTA(Data!$A:$A)-1)*RAND()+1,1)),"")</f>
        <v/>
      </c>
      <c r="B717" s="1" t="str">
        <f>IF(ROW()&lt;=Results!$C$1+1,VLOOKUP($A717,Data!$A$2:$C$117,2,TRUE),"")</f>
        <v/>
      </c>
      <c r="C717" s="14" t="str">
        <f>IF(ROW()&lt;=Results!$C$1+1,IF(B717&lt;=0,"",LN(B717)),"")</f>
        <v/>
      </c>
      <c r="D717" s="58" t="str">
        <f ca="1">IF(Results!$S$5,A717,IF(ROW()&lt;=Results!$C$1+1,INDEX(Data!$A:$A,CEILING((COUNTA(Data!$A:$A)-1)*RAND()+1,1)),""))</f>
        <v/>
      </c>
      <c r="E717" s="1" t="str">
        <f>IF(ROW()&lt;=Results!$C$1+1,VLOOKUP($D717,Data!$A$2:$C$117,3,TRUE),"")</f>
        <v/>
      </c>
      <c r="F717" s="14" t="str">
        <f>IF(ROW()&lt;=Results!$C$1+1,IF(E717&lt;=0,"",LN(E717)),"")</f>
        <v/>
      </c>
      <c r="G717" s="53" t="str">
        <f>IF(ROW()&lt;=Results!$C$1+1,IF(ISERROR(C717-F717),"",C717-F717),"")</f>
        <v/>
      </c>
    </row>
    <row r="718" spans="1:7" x14ac:dyDescent="0.25">
      <c r="A718" s="1" t="str">
        <f ca="1">IF(ROW()&lt;=Results!$C$1+1,INDEX(Data!$A:$A,CEILING((COUNTA(Data!$A:$A)-1)*RAND()+1,1)),"")</f>
        <v/>
      </c>
      <c r="B718" s="1" t="str">
        <f>IF(ROW()&lt;=Results!$C$1+1,VLOOKUP($A718,Data!$A$2:$C$117,2,TRUE),"")</f>
        <v/>
      </c>
      <c r="C718" s="14" t="str">
        <f>IF(ROW()&lt;=Results!$C$1+1,IF(B718&lt;=0,"",LN(B718)),"")</f>
        <v/>
      </c>
      <c r="D718" s="58" t="str">
        <f ca="1">IF(Results!$S$5,A718,IF(ROW()&lt;=Results!$C$1+1,INDEX(Data!$A:$A,CEILING((COUNTA(Data!$A:$A)-1)*RAND()+1,1)),""))</f>
        <v/>
      </c>
      <c r="E718" s="1" t="str">
        <f>IF(ROW()&lt;=Results!$C$1+1,VLOOKUP($D718,Data!$A$2:$C$117,3,TRUE),"")</f>
        <v/>
      </c>
      <c r="F718" s="14" t="str">
        <f>IF(ROW()&lt;=Results!$C$1+1,IF(E718&lt;=0,"",LN(E718)),"")</f>
        <v/>
      </c>
      <c r="G718" s="53" t="str">
        <f>IF(ROW()&lt;=Results!$C$1+1,IF(ISERROR(C718-F718),"",C718-F718),"")</f>
        <v/>
      </c>
    </row>
    <row r="719" spans="1:7" x14ac:dyDescent="0.25">
      <c r="A719" s="1" t="str">
        <f ca="1">IF(ROW()&lt;=Results!$C$1+1,INDEX(Data!$A:$A,CEILING((COUNTA(Data!$A:$A)-1)*RAND()+1,1)),"")</f>
        <v/>
      </c>
      <c r="B719" s="1" t="str">
        <f>IF(ROW()&lt;=Results!$C$1+1,VLOOKUP($A719,Data!$A$2:$C$117,2,TRUE),"")</f>
        <v/>
      </c>
      <c r="C719" s="14" t="str">
        <f>IF(ROW()&lt;=Results!$C$1+1,IF(B719&lt;=0,"",LN(B719)),"")</f>
        <v/>
      </c>
      <c r="D719" s="58" t="str">
        <f ca="1">IF(Results!$S$5,A719,IF(ROW()&lt;=Results!$C$1+1,INDEX(Data!$A:$A,CEILING((COUNTA(Data!$A:$A)-1)*RAND()+1,1)),""))</f>
        <v/>
      </c>
      <c r="E719" s="1" t="str">
        <f>IF(ROW()&lt;=Results!$C$1+1,VLOOKUP($D719,Data!$A$2:$C$117,3,TRUE),"")</f>
        <v/>
      </c>
      <c r="F719" s="14" t="str">
        <f>IF(ROW()&lt;=Results!$C$1+1,IF(E719&lt;=0,"",LN(E719)),"")</f>
        <v/>
      </c>
      <c r="G719" s="53" t="str">
        <f>IF(ROW()&lt;=Results!$C$1+1,IF(ISERROR(C719-F719),"",C719-F719),"")</f>
        <v/>
      </c>
    </row>
    <row r="720" spans="1:7" x14ac:dyDescent="0.25">
      <c r="A720" s="1" t="str">
        <f ca="1">IF(ROW()&lt;=Results!$C$1+1,INDEX(Data!$A:$A,CEILING((COUNTA(Data!$A:$A)-1)*RAND()+1,1)),"")</f>
        <v/>
      </c>
      <c r="B720" s="1" t="str">
        <f>IF(ROW()&lt;=Results!$C$1+1,VLOOKUP($A720,Data!$A$2:$C$117,2,TRUE),"")</f>
        <v/>
      </c>
      <c r="C720" s="14" t="str">
        <f>IF(ROW()&lt;=Results!$C$1+1,IF(B720&lt;=0,"",LN(B720)),"")</f>
        <v/>
      </c>
      <c r="D720" s="58" t="str">
        <f ca="1">IF(Results!$S$5,A720,IF(ROW()&lt;=Results!$C$1+1,INDEX(Data!$A:$A,CEILING((COUNTA(Data!$A:$A)-1)*RAND()+1,1)),""))</f>
        <v/>
      </c>
      <c r="E720" s="1" t="str">
        <f>IF(ROW()&lt;=Results!$C$1+1,VLOOKUP($D720,Data!$A$2:$C$117,3,TRUE),"")</f>
        <v/>
      </c>
      <c r="F720" s="14" t="str">
        <f>IF(ROW()&lt;=Results!$C$1+1,IF(E720&lt;=0,"",LN(E720)),"")</f>
        <v/>
      </c>
      <c r="G720" s="53" t="str">
        <f>IF(ROW()&lt;=Results!$C$1+1,IF(ISERROR(C720-F720),"",C720-F720),"")</f>
        <v/>
      </c>
    </row>
    <row r="721" spans="1:7" x14ac:dyDescent="0.25">
      <c r="A721" s="1" t="str">
        <f ca="1">IF(ROW()&lt;=Results!$C$1+1,INDEX(Data!$A:$A,CEILING((COUNTA(Data!$A:$A)-1)*RAND()+1,1)),"")</f>
        <v/>
      </c>
      <c r="B721" s="1" t="str">
        <f>IF(ROW()&lt;=Results!$C$1+1,VLOOKUP($A721,Data!$A$2:$C$117,2,TRUE),"")</f>
        <v/>
      </c>
      <c r="C721" s="14" t="str">
        <f>IF(ROW()&lt;=Results!$C$1+1,IF(B721&lt;=0,"",LN(B721)),"")</f>
        <v/>
      </c>
      <c r="D721" s="58" t="str">
        <f ca="1">IF(Results!$S$5,A721,IF(ROW()&lt;=Results!$C$1+1,INDEX(Data!$A:$A,CEILING((COUNTA(Data!$A:$A)-1)*RAND()+1,1)),""))</f>
        <v/>
      </c>
      <c r="E721" s="1" t="str">
        <f>IF(ROW()&lt;=Results!$C$1+1,VLOOKUP($D721,Data!$A$2:$C$117,3,TRUE),"")</f>
        <v/>
      </c>
      <c r="F721" s="14" t="str">
        <f>IF(ROW()&lt;=Results!$C$1+1,IF(E721&lt;=0,"",LN(E721)),"")</f>
        <v/>
      </c>
      <c r="G721" s="53" t="str">
        <f>IF(ROW()&lt;=Results!$C$1+1,IF(ISERROR(C721-F721),"",C721-F721),"")</f>
        <v/>
      </c>
    </row>
    <row r="722" spans="1:7" x14ac:dyDescent="0.25">
      <c r="A722" s="1" t="str">
        <f ca="1">IF(ROW()&lt;=Results!$C$1+1,INDEX(Data!$A:$A,CEILING((COUNTA(Data!$A:$A)-1)*RAND()+1,1)),"")</f>
        <v/>
      </c>
      <c r="B722" s="1" t="str">
        <f>IF(ROW()&lt;=Results!$C$1+1,VLOOKUP($A722,Data!$A$2:$C$117,2,TRUE),"")</f>
        <v/>
      </c>
      <c r="C722" s="14" t="str">
        <f>IF(ROW()&lt;=Results!$C$1+1,IF(B722&lt;=0,"",LN(B722)),"")</f>
        <v/>
      </c>
      <c r="D722" s="58" t="str">
        <f ca="1">IF(Results!$S$5,A722,IF(ROW()&lt;=Results!$C$1+1,INDEX(Data!$A:$A,CEILING((COUNTA(Data!$A:$A)-1)*RAND()+1,1)),""))</f>
        <v/>
      </c>
      <c r="E722" s="1" t="str">
        <f>IF(ROW()&lt;=Results!$C$1+1,VLOOKUP($D722,Data!$A$2:$C$117,3,TRUE),"")</f>
        <v/>
      </c>
      <c r="F722" s="14" t="str">
        <f>IF(ROW()&lt;=Results!$C$1+1,IF(E722&lt;=0,"",LN(E722)),"")</f>
        <v/>
      </c>
      <c r="G722" s="53" t="str">
        <f>IF(ROW()&lt;=Results!$C$1+1,IF(ISERROR(C722-F722),"",C722-F722),"")</f>
        <v/>
      </c>
    </row>
    <row r="723" spans="1:7" x14ac:dyDescent="0.25">
      <c r="A723" s="1" t="str">
        <f ca="1">IF(ROW()&lt;=Results!$C$1+1,INDEX(Data!$A:$A,CEILING((COUNTA(Data!$A:$A)-1)*RAND()+1,1)),"")</f>
        <v/>
      </c>
      <c r="B723" s="1" t="str">
        <f>IF(ROW()&lt;=Results!$C$1+1,VLOOKUP($A723,Data!$A$2:$C$117,2,TRUE),"")</f>
        <v/>
      </c>
      <c r="C723" s="14" t="str">
        <f>IF(ROW()&lt;=Results!$C$1+1,IF(B723&lt;=0,"",LN(B723)),"")</f>
        <v/>
      </c>
      <c r="D723" s="58" t="str">
        <f ca="1">IF(Results!$S$5,A723,IF(ROW()&lt;=Results!$C$1+1,INDEX(Data!$A:$A,CEILING((COUNTA(Data!$A:$A)-1)*RAND()+1,1)),""))</f>
        <v/>
      </c>
      <c r="E723" s="1" t="str">
        <f>IF(ROW()&lt;=Results!$C$1+1,VLOOKUP($D723,Data!$A$2:$C$117,3,TRUE),"")</f>
        <v/>
      </c>
      <c r="F723" s="14" t="str">
        <f>IF(ROW()&lt;=Results!$C$1+1,IF(E723&lt;=0,"",LN(E723)),"")</f>
        <v/>
      </c>
      <c r="G723" s="53" t="str">
        <f>IF(ROW()&lt;=Results!$C$1+1,IF(ISERROR(C723-F723),"",C723-F723),"")</f>
        <v/>
      </c>
    </row>
    <row r="724" spans="1:7" x14ac:dyDescent="0.25">
      <c r="A724" s="1" t="str">
        <f ca="1">IF(ROW()&lt;=Results!$C$1+1,INDEX(Data!$A:$A,CEILING((COUNTA(Data!$A:$A)-1)*RAND()+1,1)),"")</f>
        <v/>
      </c>
      <c r="B724" s="1" t="str">
        <f>IF(ROW()&lt;=Results!$C$1+1,VLOOKUP($A724,Data!$A$2:$C$117,2,TRUE),"")</f>
        <v/>
      </c>
      <c r="C724" s="14" t="str">
        <f>IF(ROW()&lt;=Results!$C$1+1,IF(B724&lt;=0,"",LN(B724)),"")</f>
        <v/>
      </c>
      <c r="D724" s="58" t="str">
        <f ca="1">IF(Results!$S$5,A724,IF(ROW()&lt;=Results!$C$1+1,INDEX(Data!$A:$A,CEILING((COUNTA(Data!$A:$A)-1)*RAND()+1,1)),""))</f>
        <v/>
      </c>
      <c r="E724" s="1" t="str">
        <f>IF(ROW()&lt;=Results!$C$1+1,VLOOKUP($D724,Data!$A$2:$C$117,3,TRUE),"")</f>
        <v/>
      </c>
      <c r="F724" s="14" t="str">
        <f>IF(ROW()&lt;=Results!$C$1+1,IF(E724&lt;=0,"",LN(E724)),"")</f>
        <v/>
      </c>
      <c r="G724" s="53" t="str">
        <f>IF(ROW()&lt;=Results!$C$1+1,IF(ISERROR(C724-F724),"",C724-F724),"")</f>
        <v/>
      </c>
    </row>
    <row r="725" spans="1:7" x14ac:dyDescent="0.25">
      <c r="A725" s="1" t="str">
        <f ca="1">IF(ROW()&lt;=Results!$C$1+1,INDEX(Data!$A:$A,CEILING((COUNTA(Data!$A:$A)-1)*RAND()+1,1)),"")</f>
        <v/>
      </c>
      <c r="B725" s="1" t="str">
        <f>IF(ROW()&lt;=Results!$C$1+1,VLOOKUP($A725,Data!$A$2:$C$117,2,TRUE),"")</f>
        <v/>
      </c>
      <c r="C725" s="14" t="str">
        <f>IF(ROW()&lt;=Results!$C$1+1,IF(B725&lt;=0,"",LN(B725)),"")</f>
        <v/>
      </c>
      <c r="D725" s="58" t="str">
        <f ca="1">IF(Results!$S$5,A725,IF(ROW()&lt;=Results!$C$1+1,INDEX(Data!$A:$A,CEILING((COUNTA(Data!$A:$A)-1)*RAND()+1,1)),""))</f>
        <v/>
      </c>
      <c r="E725" s="1" t="str">
        <f>IF(ROW()&lt;=Results!$C$1+1,VLOOKUP($D725,Data!$A$2:$C$117,3,TRUE),"")</f>
        <v/>
      </c>
      <c r="F725" s="14" t="str">
        <f>IF(ROW()&lt;=Results!$C$1+1,IF(E725&lt;=0,"",LN(E725)),"")</f>
        <v/>
      </c>
      <c r="G725" s="53" t="str">
        <f>IF(ROW()&lt;=Results!$C$1+1,IF(ISERROR(C725-F725),"",C725-F725),"")</f>
        <v/>
      </c>
    </row>
    <row r="726" spans="1:7" x14ac:dyDescent="0.25">
      <c r="A726" s="1" t="str">
        <f ca="1">IF(ROW()&lt;=Results!$C$1+1,INDEX(Data!$A:$A,CEILING((COUNTA(Data!$A:$A)-1)*RAND()+1,1)),"")</f>
        <v/>
      </c>
      <c r="B726" s="1" t="str">
        <f>IF(ROW()&lt;=Results!$C$1+1,VLOOKUP($A726,Data!$A$2:$C$117,2,TRUE),"")</f>
        <v/>
      </c>
      <c r="C726" s="14" t="str">
        <f>IF(ROW()&lt;=Results!$C$1+1,IF(B726&lt;=0,"",LN(B726)),"")</f>
        <v/>
      </c>
      <c r="D726" s="58" t="str">
        <f ca="1">IF(Results!$S$5,A726,IF(ROW()&lt;=Results!$C$1+1,INDEX(Data!$A:$A,CEILING((COUNTA(Data!$A:$A)-1)*RAND()+1,1)),""))</f>
        <v/>
      </c>
      <c r="E726" s="1" t="str">
        <f>IF(ROW()&lt;=Results!$C$1+1,VLOOKUP($D726,Data!$A$2:$C$117,3,TRUE),"")</f>
        <v/>
      </c>
      <c r="F726" s="14" t="str">
        <f>IF(ROW()&lt;=Results!$C$1+1,IF(E726&lt;=0,"",LN(E726)),"")</f>
        <v/>
      </c>
      <c r="G726" s="53" t="str">
        <f>IF(ROW()&lt;=Results!$C$1+1,IF(ISERROR(C726-F726),"",C726-F726),"")</f>
        <v/>
      </c>
    </row>
    <row r="727" spans="1:7" x14ac:dyDescent="0.25">
      <c r="A727" s="1" t="str">
        <f ca="1">IF(ROW()&lt;=Results!$C$1+1,INDEX(Data!$A:$A,CEILING((COUNTA(Data!$A:$A)-1)*RAND()+1,1)),"")</f>
        <v/>
      </c>
      <c r="B727" s="1" t="str">
        <f>IF(ROW()&lt;=Results!$C$1+1,VLOOKUP($A727,Data!$A$2:$C$117,2,TRUE),"")</f>
        <v/>
      </c>
      <c r="C727" s="14" t="str">
        <f>IF(ROW()&lt;=Results!$C$1+1,IF(B727&lt;=0,"",LN(B727)),"")</f>
        <v/>
      </c>
      <c r="D727" s="58" t="str">
        <f ca="1">IF(Results!$S$5,A727,IF(ROW()&lt;=Results!$C$1+1,INDEX(Data!$A:$A,CEILING((COUNTA(Data!$A:$A)-1)*RAND()+1,1)),""))</f>
        <v/>
      </c>
      <c r="E727" s="1" t="str">
        <f>IF(ROW()&lt;=Results!$C$1+1,VLOOKUP($D727,Data!$A$2:$C$117,3,TRUE),"")</f>
        <v/>
      </c>
      <c r="F727" s="14" t="str">
        <f>IF(ROW()&lt;=Results!$C$1+1,IF(E727&lt;=0,"",LN(E727)),"")</f>
        <v/>
      </c>
      <c r="G727" s="53" t="str">
        <f>IF(ROW()&lt;=Results!$C$1+1,IF(ISERROR(C727-F727),"",C727-F727),"")</f>
        <v/>
      </c>
    </row>
    <row r="728" spans="1:7" x14ac:dyDescent="0.25">
      <c r="A728" s="1" t="str">
        <f ca="1">IF(ROW()&lt;=Results!$C$1+1,INDEX(Data!$A:$A,CEILING((COUNTA(Data!$A:$A)-1)*RAND()+1,1)),"")</f>
        <v/>
      </c>
      <c r="B728" s="1" t="str">
        <f>IF(ROW()&lt;=Results!$C$1+1,VLOOKUP($A728,Data!$A$2:$C$117,2,TRUE),"")</f>
        <v/>
      </c>
      <c r="C728" s="14" t="str">
        <f>IF(ROW()&lt;=Results!$C$1+1,IF(B728&lt;=0,"",LN(B728)),"")</f>
        <v/>
      </c>
      <c r="D728" s="58" t="str">
        <f ca="1">IF(Results!$S$5,A728,IF(ROW()&lt;=Results!$C$1+1,INDEX(Data!$A:$A,CEILING((COUNTA(Data!$A:$A)-1)*RAND()+1,1)),""))</f>
        <v/>
      </c>
      <c r="E728" s="1" t="str">
        <f>IF(ROW()&lt;=Results!$C$1+1,VLOOKUP($D728,Data!$A$2:$C$117,3,TRUE),"")</f>
        <v/>
      </c>
      <c r="F728" s="14" t="str">
        <f>IF(ROW()&lt;=Results!$C$1+1,IF(E728&lt;=0,"",LN(E728)),"")</f>
        <v/>
      </c>
      <c r="G728" s="53" t="str">
        <f>IF(ROW()&lt;=Results!$C$1+1,IF(ISERROR(C728-F728),"",C728-F728),"")</f>
        <v/>
      </c>
    </row>
    <row r="729" spans="1:7" x14ac:dyDescent="0.25">
      <c r="A729" s="1" t="str">
        <f ca="1">IF(ROW()&lt;=Results!$C$1+1,INDEX(Data!$A:$A,CEILING((COUNTA(Data!$A:$A)-1)*RAND()+1,1)),"")</f>
        <v/>
      </c>
      <c r="B729" s="1" t="str">
        <f>IF(ROW()&lt;=Results!$C$1+1,VLOOKUP($A729,Data!$A$2:$C$117,2,TRUE),"")</f>
        <v/>
      </c>
      <c r="C729" s="14" t="str">
        <f>IF(ROW()&lt;=Results!$C$1+1,IF(B729&lt;=0,"",LN(B729)),"")</f>
        <v/>
      </c>
      <c r="D729" s="58" t="str">
        <f ca="1">IF(Results!$S$5,A729,IF(ROW()&lt;=Results!$C$1+1,INDEX(Data!$A:$A,CEILING((COUNTA(Data!$A:$A)-1)*RAND()+1,1)),""))</f>
        <v/>
      </c>
      <c r="E729" s="1" t="str">
        <f>IF(ROW()&lt;=Results!$C$1+1,VLOOKUP($D729,Data!$A$2:$C$117,3,TRUE),"")</f>
        <v/>
      </c>
      <c r="F729" s="14" t="str">
        <f>IF(ROW()&lt;=Results!$C$1+1,IF(E729&lt;=0,"",LN(E729)),"")</f>
        <v/>
      </c>
      <c r="G729" s="53" t="str">
        <f>IF(ROW()&lt;=Results!$C$1+1,IF(ISERROR(C729-F729),"",C729-F729),"")</f>
        <v/>
      </c>
    </row>
    <row r="730" spans="1:7" x14ac:dyDescent="0.25">
      <c r="A730" s="1" t="str">
        <f ca="1">IF(ROW()&lt;=Results!$C$1+1,INDEX(Data!$A:$A,CEILING((COUNTA(Data!$A:$A)-1)*RAND()+1,1)),"")</f>
        <v/>
      </c>
      <c r="B730" s="1" t="str">
        <f>IF(ROW()&lt;=Results!$C$1+1,VLOOKUP($A730,Data!$A$2:$C$117,2,TRUE),"")</f>
        <v/>
      </c>
      <c r="C730" s="14" t="str">
        <f>IF(ROW()&lt;=Results!$C$1+1,IF(B730&lt;=0,"",LN(B730)),"")</f>
        <v/>
      </c>
      <c r="D730" s="58" t="str">
        <f ca="1">IF(Results!$S$5,A730,IF(ROW()&lt;=Results!$C$1+1,INDEX(Data!$A:$A,CEILING((COUNTA(Data!$A:$A)-1)*RAND()+1,1)),""))</f>
        <v/>
      </c>
      <c r="E730" s="1" t="str">
        <f>IF(ROW()&lt;=Results!$C$1+1,VLOOKUP($D730,Data!$A$2:$C$117,3,TRUE),"")</f>
        <v/>
      </c>
      <c r="F730" s="14" t="str">
        <f>IF(ROW()&lt;=Results!$C$1+1,IF(E730&lt;=0,"",LN(E730)),"")</f>
        <v/>
      </c>
      <c r="G730" s="53" t="str">
        <f>IF(ROW()&lt;=Results!$C$1+1,IF(ISERROR(C730-F730),"",C730-F730),"")</f>
        <v/>
      </c>
    </row>
    <row r="731" spans="1:7" x14ac:dyDescent="0.25">
      <c r="A731" s="1" t="str">
        <f ca="1">IF(ROW()&lt;=Results!$C$1+1,INDEX(Data!$A:$A,CEILING((COUNTA(Data!$A:$A)-1)*RAND()+1,1)),"")</f>
        <v/>
      </c>
      <c r="B731" s="1" t="str">
        <f>IF(ROW()&lt;=Results!$C$1+1,VLOOKUP($A731,Data!$A$2:$C$117,2,TRUE),"")</f>
        <v/>
      </c>
      <c r="C731" s="14" t="str">
        <f>IF(ROW()&lt;=Results!$C$1+1,IF(B731&lt;=0,"",LN(B731)),"")</f>
        <v/>
      </c>
      <c r="D731" s="58" t="str">
        <f ca="1">IF(Results!$S$5,A731,IF(ROW()&lt;=Results!$C$1+1,INDEX(Data!$A:$A,CEILING((COUNTA(Data!$A:$A)-1)*RAND()+1,1)),""))</f>
        <v/>
      </c>
      <c r="E731" s="1" t="str">
        <f>IF(ROW()&lt;=Results!$C$1+1,VLOOKUP($D731,Data!$A$2:$C$117,3,TRUE),"")</f>
        <v/>
      </c>
      <c r="F731" s="14" t="str">
        <f>IF(ROW()&lt;=Results!$C$1+1,IF(E731&lt;=0,"",LN(E731)),"")</f>
        <v/>
      </c>
      <c r="G731" s="53" t="str">
        <f>IF(ROW()&lt;=Results!$C$1+1,IF(ISERROR(C731-F731),"",C731-F731),"")</f>
        <v/>
      </c>
    </row>
    <row r="732" spans="1:7" x14ac:dyDescent="0.25">
      <c r="A732" s="1" t="str">
        <f ca="1">IF(ROW()&lt;=Results!$C$1+1,INDEX(Data!$A:$A,CEILING((COUNTA(Data!$A:$A)-1)*RAND()+1,1)),"")</f>
        <v/>
      </c>
      <c r="B732" s="1" t="str">
        <f>IF(ROW()&lt;=Results!$C$1+1,VLOOKUP($A732,Data!$A$2:$C$117,2,TRUE),"")</f>
        <v/>
      </c>
      <c r="C732" s="14" t="str">
        <f>IF(ROW()&lt;=Results!$C$1+1,IF(B732&lt;=0,"",LN(B732)),"")</f>
        <v/>
      </c>
      <c r="D732" s="58" t="str">
        <f ca="1">IF(Results!$S$5,A732,IF(ROW()&lt;=Results!$C$1+1,INDEX(Data!$A:$A,CEILING((COUNTA(Data!$A:$A)-1)*RAND()+1,1)),""))</f>
        <v/>
      </c>
      <c r="E732" s="1" t="str">
        <f>IF(ROW()&lt;=Results!$C$1+1,VLOOKUP($D732,Data!$A$2:$C$117,3,TRUE),"")</f>
        <v/>
      </c>
      <c r="F732" s="14" t="str">
        <f>IF(ROW()&lt;=Results!$C$1+1,IF(E732&lt;=0,"",LN(E732)),"")</f>
        <v/>
      </c>
      <c r="G732" s="53" t="str">
        <f>IF(ROW()&lt;=Results!$C$1+1,IF(ISERROR(C732-F732),"",C732-F732),"")</f>
        <v/>
      </c>
    </row>
    <row r="733" spans="1:7" x14ac:dyDescent="0.25">
      <c r="A733" s="1" t="str">
        <f ca="1">IF(ROW()&lt;=Results!$C$1+1,INDEX(Data!$A:$A,CEILING((COUNTA(Data!$A:$A)-1)*RAND()+1,1)),"")</f>
        <v/>
      </c>
      <c r="B733" s="1" t="str">
        <f>IF(ROW()&lt;=Results!$C$1+1,VLOOKUP($A733,Data!$A$2:$C$117,2,TRUE),"")</f>
        <v/>
      </c>
      <c r="C733" s="14" t="str">
        <f>IF(ROW()&lt;=Results!$C$1+1,IF(B733&lt;=0,"",LN(B733)),"")</f>
        <v/>
      </c>
      <c r="D733" s="58" t="str">
        <f ca="1">IF(Results!$S$5,A733,IF(ROW()&lt;=Results!$C$1+1,INDEX(Data!$A:$A,CEILING((COUNTA(Data!$A:$A)-1)*RAND()+1,1)),""))</f>
        <v/>
      </c>
      <c r="E733" s="1" t="str">
        <f>IF(ROW()&lt;=Results!$C$1+1,VLOOKUP($D733,Data!$A$2:$C$117,3,TRUE),"")</f>
        <v/>
      </c>
      <c r="F733" s="14" t="str">
        <f>IF(ROW()&lt;=Results!$C$1+1,IF(E733&lt;=0,"",LN(E733)),"")</f>
        <v/>
      </c>
      <c r="G733" s="53" t="str">
        <f>IF(ROW()&lt;=Results!$C$1+1,IF(ISERROR(C733-F733),"",C733-F733),"")</f>
        <v/>
      </c>
    </row>
    <row r="734" spans="1:7" x14ac:dyDescent="0.25">
      <c r="A734" s="1" t="str">
        <f ca="1">IF(ROW()&lt;=Results!$C$1+1,INDEX(Data!$A:$A,CEILING((COUNTA(Data!$A:$A)-1)*RAND()+1,1)),"")</f>
        <v/>
      </c>
      <c r="B734" s="1" t="str">
        <f>IF(ROW()&lt;=Results!$C$1+1,VLOOKUP($A734,Data!$A$2:$C$117,2,TRUE),"")</f>
        <v/>
      </c>
      <c r="C734" s="14" t="str">
        <f>IF(ROW()&lt;=Results!$C$1+1,IF(B734&lt;=0,"",LN(B734)),"")</f>
        <v/>
      </c>
      <c r="D734" s="58" t="str">
        <f ca="1">IF(Results!$S$5,A734,IF(ROW()&lt;=Results!$C$1+1,INDEX(Data!$A:$A,CEILING((COUNTA(Data!$A:$A)-1)*RAND()+1,1)),""))</f>
        <v/>
      </c>
      <c r="E734" s="1" t="str">
        <f>IF(ROW()&lt;=Results!$C$1+1,VLOOKUP($D734,Data!$A$2:$C$117,3,TRUE),"")</f>
        <v/>
      </c>
      <c r="F734" s="14" t="str">
        <f>IF(ROW()&lt;=Results!$C$1+1,IF(E734&lt;=0,"",LN(E734)),"")</f>
        <v/>
      </c>
      <c r="G734" s="53" t="str">
        <f>IF(ROW()&lt;=Results!$C$1+1,IF(ISERROR(C734-F734),"",C734-F734),"")</f>
        <v/>
      </c>
    </row>
    <row r="735" spans="1:7" x14ac:dyDescent="0.25">
      <c r="A735" s="1" t="str">
        <f ca="1">IF(ROW()&lt;=Results!$C$1+1,INDEX(Data!$A:$A,CEILING((COUNTA(Data!$A:$A)-1)*RAND()+1,1)),"")</f>
        <v/>
      </c>
      <c r="B735" s="1" t="str">
        <f>IF(ROW()&lt;=Results!$C$1+1,VLOOKUP($A735,Data!$A$2:$C$117,2,TRUE),"")</f>
        <v/>
      </c>
      <c r="C735" s="14" t="str">
        <f>IF(ROW()&lt;=Results!$C$1+1,IF(B735&lt;=0,"",LN(B735)),"")</f>
        <v/>
      </c>
      <c r="D735" s="58" t="str">
        <f ca="1">IF(Results!$S$5,A735,IF(ROW()&lt;=Results!$C$1+1,INDEX(Data!$A:$A,CEILING((COUNTA(Data!$A:$A)-1)*RAND()+1,1)),""))</f>
        <v/>
      </c>
      <c r="E735" s="1" t="str">
        <f>IF(ROW()&lt;=Results!$C$1+1,VLOOKUP($D735,Data!$A$2:$C$117,3,TRUE),"")</f>
        <v/>
      </c>
      <c r="F735" s="14" t="str">
        <f>IF(ROW()&lt;=Results!$C$1+1,IF(E735&lt;=0,"",LN(E735)),"")</f>
        <v/>
      </c>
      <c r="G735" s="53" t="str">
        <f>IF(ROW()&lt;=Results!$C$1+1,IF(ISERROR(C735-F735),"",C735-F735),"")</f>
        <v/>
      </c>
    </row>
    <row r="736" spans="1:7" x14ac:dyDescent="0.25">
      <c r="A736" s="1" t="str">
        <f ca="1">IF(ROW()&lt;=Results!$C$1+1,INDEX(Data!$A:$A,CEILING((COUNTA(Data!$A:$A)-1)*RAND()+1,1)),"")</f>
        <v/>
      </c>
      <c r="B736" s="1" t="str">
        <f>IF(ROW()&lt;=Results!$C$1+1,VLOOKUP($A736,Data!$A$2:$C$117,2,TRUE),"")</f>
        <v/>
      </c>
      <c r="C736" s="14" t="str">
        <f>IF(ROW()&lt;=Results!$C$1+1,IF(B736&lt;=0,"",LN(B736)),"")</f>
        <v/>
      </c>
      <c r="D736" s="58" t="str">
        <f ca="1">IF(Results!$S$5,A736,IF(ROW()&lt;=Results!$C$1+1,INDEX(Data!$A:$A,CEILING((COUNTA(Data!$A:$A)-1)*RAND()+1,1)),""))</f>
        <v/>
      </c>
      <c r="E736" s="1" t="str">
        <f>IF(ROW()&lt;=Results!$C$1+1,VLOOKUP($D736,Data!$A$2:$C$117,3,TRUE),"")</f>
        <v/>
      </c>
      <c r="F736" s="14" t="str">
        <f>IF(ROW()&lt;=Results!$C$1+1,IF(E736&lt;=0,"",LN(E736)),"")</f>
        <v/>
      </c>
      <c r="G736" s="53" t="str">
        <f>IF(ROW()&lt;=Results!$C$1+1,IF(ISERROR(C736-F736),"",C736-F736),"")</f>
        <v/>
      </c>
    </row>
    <row r="737" spans="1:7" x14ac:dyDescent="0.25">
      <c r="A737" s="1" t="str">
        <f ca="1">IF(ROW()&lt;=Results!$C$1+1,INDEX(Data!$A:$A,CEILING((COUNTA(Data!$A:$A)-1)*RAND()+1,1)),"")</f>
        <v/>
      </c>
      <c r="B737" s="1" t="str">
        <f>IF(ROW()&lt;=Results!$C$1+1,VLOOKUP($A737,Data!$A$2:$C$117,2,TRUE),"")</f>
        <v/>
      </c>
      <c r="C737" s="14" t="str">
        <f>IF(ROW()&lt;=Results!$C$1+1,IF(B737&lt;=0,"",LN(B737)),"")</f>
        <v/>
      </c>
      <c r="D737" s="58" t="str">
        <f ca="1">IF(Results!$S$5,A737,IF(ROW()&lt;=Results!$C$1+1,INDEX(Data!$A:$A,CEILING((COUNTA(Data!$A:$A)-1)*RAND()+1,1)),""))</f>
        <v/>
      </c>
      <c r="E737" s="1" t="str">
        <f>IF(ROW()&lt;=Results!$C$1+1,VLOOKUP($D737,Data!$A$2:$C$117,3,TRUE),"")</f>
        <v/>
      </c>
      <c r="F737" s="14" t="str">
        <f>IF(ROW()&lt;=Results!$C$1+1,IF(E737&lt;=0,"",LN(E737)),"")</f>
        <v/>
      </c>
      <c r="G737" s="53" t="str">
        <f>IF(ROW()&lt;=Results!$C$1+1,IF(ISERROR(C737-F737),"",C737-F737),"")</f>
        <v/>
      </c>
    </row>
    <row r="738" spans="1:7" x14ac:dyDescent="0.25">
      <c r="A738" s="1" t="str">
        <f ca="1">IF(ROW()&lt;=Results!$C$1+1,INDEX(Data!$A:$A,CEILING((COUNTA(Data!$A:$A)-1)*RAND()+1,1)),"")</f>
        <v/>
      </c>
      <c r="B738" s="1" t="str">
        <f>IF(ROW()&lt;=Results!$C$1+1,VLOOKUP($A738,Data!$A$2:$C$117,2,TRUE),"")</f>
        <v/>
      </c>
      <c r="C738" s="14" t="str">
        <f>IF(ROW()&lt;=Results!$C$1+1,IF(B738&lt;=0,"",LN(B738)),"")</f>
        <v/>
      </c>
      <c r="D738" s="58" t="str">
        <f ca="1">IF(Results!$S$5,A738,IF(ROW()&lt;=Results!$C$1+1,INDEX(Data!$A:$A,CEILING((COUNTA(Data!$A:$A)-1)*RAND()+1,1)),""))</f>
        <v/>
      </c>
      <c r="E738" s="1" t="str">
        <f>IF(ROW()&lt;=Results!$C$1+1,VLOOKUP($D738,Data!$A$2:$C$117,3,TRUE),"")</f>
        <v/>
      </c>
      <c r="F738" s="14" t="str">
        <f>IF(ROW()&lt;=Results!$C$1+1,IF(E738&lt;=0,"",LN(E738)),"")</f>
        <v/>
      </c>
      <c r="G738" s="53" t="str">
        <f>IF(ROW()&lt;=Results!$C$1+1,IF(ISERROR(C738-F738),"",C738-F738),"")</f>
        <v/>
      </c>
    </row>
    <row r="739" spans="1:7" x14ac:dyDescent="0.25">
      <c r="A739" s="1" t="str">
        <f ca="1">IF(ROW()&lt;=Results!$C$1+1,INDEX(Data!$A:$A,CEILING((COUNTA(Data!$A:$A)-1)*RAND()+1,1)),"")</f>
        <v/>
      </c>
      <c r="B739" s="1" t="str">
        <f>IF(ROW()&lt;=Results!$C$1+1,VLOOKUP($A739,Data!$A$2:$C$117,2,TRUE),"")</f>
        <v/>
      </c>
      <c r="C739" s="14" t="str">
        <f>IF(ROW()&lt;=Results!$C$1+1,IF(B739&lt;=0,"",LN(B739)),"")</f>
        <v/>
      </c>
      <c r="D739" s="58" t="str">
        <f ca="1">IF(Results!$S$5,A739,IF(ROW()&lt;=Results!$C$1+1,INDEX(Data!$A:$A,CEILING((COUNTA(Data!$A:$A)-1)*RAND()+1,1)),""))</f>
        <v/>
      </c>
      <c r="E739" s="1" t="str">
        <f>IF(ROW()&lt;=Results!$C$1+1,VLOOKUP($D739,Data!$A$2:$C$117,3,TRUE),"")</f>
        <v/>
      </c>
      <c r="F739" s="14" t="str">
        <f>IF(ROW()&lt;=Results!$C$1+1,IF(E739&lt;=0,"",LN(E739)),"")</f>
        <v/>
      </c>
      <c r="G739" s="53" t="str">
        <f>IF(ROW()&lt;=Results!$C$1+1,IF(ISERROR(C739-F739),"",C739-F739),"")</f>
        <v/>
      </c>
    </row>
    <row r="740" spans="1:7" x14ac:dyDescent="0.25">
      <c r="A740" s="1" t="str">
        <f ca="1">IF(ROW()&lt;=Results!$C$1+1,INDEX(Data!$A:$A,CEILING((COUNTA(Data!$A:$A)-1)*RAND()+1,1)),"")</f>
        <v/>
      </c>
      <c r="B740" s="1" t="str">
        <f>IF(ROW()&lt;=Results!$C$1+1,VLOOKUP($A740,Data!$A$2:$C$117,2,TRUE),"")</f>
        <v/>
      </c>
      <c r="C740" s="14" t="str">
        <f>IF(ROW()&lt;=Results!$C$1+1,IF(B740&lt;=0,"",LN(B740)),"")</f>
        <v/>
      </c>
      <c r="D740" s="58" t="str">
        <f ca="1">IF(Results!$S$5,A740,IF(ROW()&lt;=Results!$C$1+1,INDEX(Data!$A:$A,CEILING((COUNTA(Data!$A:$A)-1)*RAND()+1,1)),""))</f>
        <v/>
      </c>
      <c r="E740" s="1" t="str">
        <f>IF(ROW()&lt;=Results!$C$1+1,VLOOKUP($D740,Data!$A$2:$C$117,3,TRUE),"")</f>
        <v/>
      </c>
      <c r="F740" s="14" t="str">
        <f>IF(ROW()&lt;=Results!$C$1+1,IF(E740&lt;=0,"",LN(E740)),"")</f>
        <v/>
      </c>
      <c r="G740" s="53" t="str">
        <f>IF(ROW()&lt;=Results!$C$1+1,IF(ISERROR(C740-F740),"",C740-F740),"")</f>
        <v/>
      </c>
    </row>
    <row r="741" spans="1:7" x14ac:dyDescent="0.25">
      <c r="A741" s="1" t="str">
        <f ca="1">IF(ROW()&lt;=Results!$C$1+1,INDEX(Data!$A:$A,CEILING((COUNTA(Data!$A:$A)-1)*RAND()+1,1)),"")</f>
        <v/>
      </c>
      <c r="B741" s="1" t="str">
        <f>IF(ROW()&lt;=Results!$C$1+1,VLOOKUP($A741,Data!$A$2:$C$117,2,TRUE),"")</f>
        <v/>
      </c>
      <c r="C741" s="14" t="str">
        <f>IF(ROW()&lt;=Results!$C$1+1,IF(B741&lt;=0,"",LN(B741)),"")</f>
        <v/>
      </c>
      <c r="D741" s="58" t="str">
        <f ca="1">IF(Results!$S$5,A741,IF(ROW()&lt;=Results!$C$1+1,INDEX(Data!$A:$A,CEILING((COUNTA(Data!$A:$A)-1)*RAND()+1,1)),""))</f>
        <v/>
      </c>
      <c r="E741" s="1" t="str">
        <f>IF(ROW()&lt;=Results!$C$1+1,VLOOKUP($D741,Data!$A$2:$C$117,3,TRUE),"")</f>
        <v/>
      </c>
      <c r="F741" s="14" t="str">
        <f>IF(ROW()&lt;=Results!$C$1+1,IF(E741&lt;=0,"",LN(E741)),"")</f>
        <v/>
      </c>
      <c r="G741" s="53" t="str">
        <f>IF(ROW()&lt;=Results!$C$1+1,IF(ISERROR(C741-F741),"",C741-F741),"")</f>
        <v/>
      </c>
    </row>
    <row r="742" spans="1:7" x14ac:dyDescent="0.25">
      <c r="A742" s="1" t="str">
        <f ca="1">IF(ROW()&lt;=Results!$C$1+1,INDEX(Data!$A:$A,CEILING((COUNTA(Data!$A:$A)-1)*RAND()+1,1)),"")</f>
        <v/>
      </c>
      <c r="B742" s="1" t="str">
        <f>IF(ROW()&lt;=Results!$C$1+1,VLOOKUP($A742,Data!$A$2:$C$117,2,TRUE),"")</f>
        <v/>
      </c>
      <c r="C742" s="14" t="str">
        <f>IF(ROW()&lt;=Results!$C$1+1,IF(B742&lt;=0,"",LN(B742)),"")</f>
        <v/>
      </c>
      <c r="D742" s="58" t="str">
        <f ca="1">IF(Results!$S$5,A742,IF(ROW()&lt;=Results!$C$1+1,INDEX(Data!$A:$A,CEILING((COUNTA(Data!$A:$A)-1)*RAND()+1,1)),""))</f>
        <v/>
      </c>
      <c r="E742" s="1" t="str">
        <f>IF(ROW()&lt;=Results!$C$1+1,VLOOKUP($D742,Data!$A$2:$C$117,3,TRUE),"")</f>
        <v/>
      </c>
      <c r="F742" s="14" t="str">
        <f>IF(ROW()&lt;=Results!$C$1+1,IF(E742&lt;=0,"",LN(E742)),"")</f>
        <v/>
      </c>
      <c r="G742" s="53" t="str">
        <f>IF(ROW()&lt;=Results!$C$1+1,IF(ISERROR(C742-F742),"",C742-F742),"")</f>
        <v/>
      </c>
    </row>
    <row r="743" spans="1:7" x14ac:dyDescent="0.25">
      <c r="A743" s="1" t="str">
        <f ca="1">IF(ROW()&lt;=Results!$C$1+1,INDEX(Data!$A:$A,CEILING((COUNTA(Data!$A:$A)-1)*RAND()+1,1)),"")</f>
        <v/>
      </c>
      <c r="B743" s="1" t="str">
        <f>IF(ROW()&lt;=Results!$C$1+1,VLOOKUP($A743,Data!$A$2:$C$117,2,TRUE),"")</f>
        <v/>
      </c>
      <c r="C743" s="14" t="str">
        <f>IF(ROW()&lt;=Results!$C$1+1,IF(B743&lt;=0,"",LN(B743)),"")</f>
        <v/>
      </c>
      <c r="D743" s="58" t="str">
        <f ca="1">IF(Results!$S$5,A743,IF(ROW()&lt;=Results!$C$1+1,INDEX(Data!$A:$A,CEILING((COUNTA(Data!$A:$A)-1)*RAND()+1,1)),""))</f>
        <v/>
      </c>
      <c r="E743" s="1" t="str">
        <f>IF(ROW()&lt;=Results!$C$1+1,VLOOKUP($D743,Data!$A$2:$C$117,3,TRUE),"")</f>
        <v/>
      </c>
      <c r="F743" s="14" t="str">
        <f>IF(ROW()&lt;=Results!$C$1+1,IF(E743&lt;=0,"",LN(E743)),"")</f>
        <v/>
      </c>
      <c r="G743" s="53" t="str">
        <f>IF(ROW()&lt;=Results!$C$1+1,IF(ISERROR(C743-F743),"",C743-F743),"")</f>
        <v/>
      </c>
    </row>
    <row r="744" spans="1:7" x14ac:dyDescent="0.25">
      <c r="A744" s="1" t="str">
        <f ca="1">IF(ROW()&lt;=Results!$C$1+1,INDEX(Data!$A:$A,CEILING((COUNTA(Data!$A:$A)-1)*RAND()+1,1)),"")</f>
        <v/>
      </c>
      <c r="B744" s="1" t="str">
        <f>IF(ROW()&lt;=Results!$C$1+1,VLOOKUP($A744,Data!$A$2:$C$117,2,TRUE),"")</f>
        <v/>
      </c>
      <c r="C744" s="14" t="str">
        <f>IF(ROW()&lt;=Results!$C$1+1,IF(B744&lt;=0,"",LN(B744)),"")</f>
        <v/>
      </c>
      <c r="D744" s="58" t="str">
        <f ca="1">IF(Results!$S$5,A744,IF(ROW()&lt;=Results!$C$1+1,INDEX(Data!$A:$A,CEILING((COUNTA(Data!$A:$A)-1)*RAND()+1,1)),""))</f>
        <v/>
      </c>
      <c r="E744" s="1" t="str">
        <f>IF(ROW()&lt;=Results!$C$1+1,VLOOKUP($D744,Data!$A$2:$C$117,3,TRUE),"")</f>
        <v/>
      </c>
      <c r="F744" s="14" t="str">
        <f>IF(ROW()&lt;=Results!$C$1+1,IF(E744&lt;=0,"",LN(E744)),"")</f>
        <v/>
      </c>
      <c r="G744" s="53" t="str">
        <f>IF(ROW()&lt;=Results!$C$1+1,IF(ISERROR(C744-F744),"",C744-F744),"")</f>
        <v/>
      </c>
    </row>
    <row r="745" spans="1:7" x14ac:dyDescent="0.25">
      <c r="A745" s="1" t="str">
        <f ca="1">IF(ROW()&lt;=Results!$C$1+1,INDEX(Data!$A:$A,CEILING((COUNTA(Data!$A:$A)-1)*RAND()+1,1)),"")</f>
        <v/>
      </c>
      <c r="B745" s="1" t="str">
        <f>IF(ROW()&lt;=Results!$C$1+1,VLOOKUP($A745,Data!$A$2:$C$117,2,TRUE),"")</f>
        <v/>
      </c>
      <c r="C745" s="14" t="str">
        <f>IF(ROW()&lt;=Results!$C$1+1,IF(B745&lt;=0,"",LN(B745)),"")</f>
        <v/>
      </c>
      <c r="D745" s="58" t="str">
        <f ca="1">IF(Results!$S$5,A745,IF(ROW()&lt;=Results!$C$1+1,INDEX(Data!$A:$A,CEILING((COUNTA(Data!$A:$A)-1)*RAND()+1,1)),""))</f>
        <v/>
      </c>
      <c r="E745" s="1" t="str">
        <f>IF(ROW()&lt;=Results!$C$1+1,VLOOKUP($D745,Data!$A$2:$C$117,3,TRUE),"")</f>
        <v/>
      </c>
      <c r="F745" s="14" t="str">
        <f>IF(ROW()&lt;=Results!$C$1+1,IF(E745&lt;=0,"",LN(E745)),"")</f>
        <v/>
      </c>
      <c r="G745" s="53" t="str">
        <f>IF(ROW()&lt;=Results!$C$1+1,IF(ISERROR(C745-F745),"",C745-F745),"")</f>
        <v/>
      </c>
    </row>
    <row r="746" spans="1:7" x14ac:dyDescent="0.25">
      <c r="A746" s="1" t="str">
        <f ca="1">IF(ROW()&lt;=Results!$C$1+1,INDEX(Data!$A:$A,CEILING((COUNTA(Data!$A:$A)-1)*RAND()+1,1)),"")</f>
        <v/>
      </c>
      <c r="B746" s="1" t="str">
        <f>IF(ROW()&lt;=Results!$C$1+1,VLOOKUP($A746,Data!$A$2:$C$117,2,TRUE),"")</f>
        <v/>
      </c>
      <c r="C746" s="14" t="str">
        <f>IF(ROW()&lt;=Results!$C$1+1,IF(B746&lt;=0,"",LN(B746)),"")</f>
        <v/>
      </c>
      <c r="D746" s="58" t="str">
        <f ca="1">IF(Results!$S$5,A746,IF(ROW()&lt;=Results!$C$1+1,INDEX(Data!$A:$A,CEILING((COUNTA(Data!$A:$A)-1)*RAND()+1,1)),""))</f>
        <v/>
      </c>
      <c r="E746" s="1" t="str">
        <f>IF(ROW()&lt;=Results!$C$1+1,VLOOKUP($D746,Data!$A$2:$C$117,3,TRUE),"")</f>
        <v/>
      </c>
      <c r="F746" s="14" t="str">
        <f>IF(ROW()&lt;=Results!$C$1+1,IF(E746&lt;=0,"",LN(E746)),"")</f>
        <v/>
      </c>
      <c r="G746" s="53" t="str">
        <f>IF(ROW()&lt;=Results!$C$1+1,IF(ISERROR(C746-F746),"",C746-F746),"")</f>
        <v/>
      </c>
    </row>
    <row r="747" spans="1:7" x14ac:dyDescent="0.25">
      <c r="A747" s="1" t="str">
        <f ca="1">IF(ROW()&lt;=Results!$C$1+1,INDEX(Data!$A:$A,CEILING((COUNTA(Data!$A:$A)-1)*RAND()+1,1)),"")</f>
        <v/>
      </c>
      <c r="B747" s="1" t="str">
        <f>IF(ROW()&lt;=Results!$C$1+1,VLOOKUP($A747,Data!$A$2:$C$117,2,TRUE),"")</f>
        <v/>
      </c>
      <c r="C747" s="14" t="str">
        <f>IF(ROW()&lt;=Results!$C$1+1,IF(B747&lt;=0,"",LN(B747)),"")</f>
        <v/>
      </c>
      <c r="D747" s="58" t="str">
        <f ca="1">IF(Results!$S$5,A747,IF(ROW()&lt;=Results!$C$1+1,INDEX(Data!$A:$A,CEILING((COUNTA(Data!$A:$A)-1)*RAND()+1,1)),""))</f>
        <v/>
      </c>
      <c r="E747" s="1" t="str">
        <f>IF(ROW()&lt;=Results!$C$1+1,VLOOKUP($D747,Data!$A$2:$C$117,3,TRUE),"")</f>
        <v/>
      </c>
      <c r="F747" s="14" t="str">
        <f>IF(ROW()&lt;=Results!$C$1+1,IF(E747&lt;=0,"",LN(E747)),"")</f>
        <v/>
      </c>
      <c r="G747" s="53" t="str">
        <f>IF(ROW()&lt;=Results!$C$1+1,IF(ISERROR(C747-F747),"",C747-F747),"")</f>
        <v/>
      </c>
    </row>
    <row r="748" spans="1:7" x14ac:dyDescent="0.25">
      <c r="A748" s="1" t="str">
        <f ca="1">IF(ROW()&lt;=Results!$C$1+1,INDEX(Data!$A:$A,CEILING((COUNTA(Data!$A:$A)-1)*RAND()+1,1)),"")</f>
        <v/>
      </c>
      <c r="B748" s="1" t="str">
        <f>IF(ROW()&lt;=Results!$C$1+1,VLOOKUP($A748,Data!$A$2:$C$117,2,TRUE),"")</f>
        <v/>
      </c>
      <c r="C748" s="14" t="str">
        <f>IF(ROW()&lt;=Results!$C$1+1,IF(B748&lt;=0,"",LN(B748)),"")</f>
        <v/>
      </c>
      <c r="D748" s="58" t="str">
        <f ca="1">IF(Results!$S$5,A748,IF(ROW()&lt;=Results!$C$1+1,INDEX(Data!$A:$A,CEILING((COUNTA(Data!$A:$A)-1)*RAND()+1,1)),""))</f>
        <v/>
      </c>
      <c r="E748" s="1" t="str">
        <f>IF(ROW()&lt;=Results!$C$1+1,VLOOKUP($D748,Data!$A$2:$C$117,3,TRUE),"")</f>
        <v/>
      </c>
      <c r="F748" s="14" t="str">
        <f>IF(ROW()&lt;=Results!$C$1+1,IF(E748&lt;=0,"",LN(E748)),"")</f>
        <v/>
      </c>
      <c r="G748" s="53" t="str">
        <f>IF(ROW()&lt;=Results!$C$1+1,IF(ISERROR(C748-F748),"",C748-F748),"")</f>
        <v/>
      </c>
    </row>
    <row r="749" spans="1:7" x14ac:dyDescent="0.25">
      <c r="A749" s="1" t="str">
        <f ca="1">IF(ROW()&lt;=Results!$C$1+1,INDEX(Data!$A:$A,CEILING((COUNTA(Data!$A:$A)-1)*RAND()+1,1)),"")</f>
        <v/>
      </c>
      <c r="B749" s="1" t="str">
        <f>IF(ROW()&lt;=Results!$C$1+1,VLOOKUP($A749,Data!$A$2:$C$117,2,TRUE),"")</f>
        <v/>
      </c>
      <c r="C749" s="14" t="str">
        <f>IF(ROW()&lt;=Results!$C$1+1,IF(B749&lt;=0,"",LN(B749)),"")</f>
        <v/>
      </c>
      <c r="D749" s="58" t="str">
        <f ca="1">IF(Results!$S$5,A749,IF(ROW()&lt;=Results!$C$1+1,INDEX(Data!$A:$A,CEILING((COUNTA(Data!$A:$A)-1)*RAND()+1,1)),""))</f>
        <v/>
      </c>
      <c r="E749" s="1" t="str">
        <f>IF(ROW()&lt;=Results!$C$1+1,VLOOKUP($D749,Data!$A$2:$C$117,3,TRUE),"")</f>
        <v/>
      </c>
      <c r="F749" s="14" t="str">
        <f>IF(ROW()&lt;=Results!$C$1+1,IF(E749&lt;=0,"",LN(E749)),"")</f>
        <v/>
      </c>
      <c r="G749" s="53" t="str">
        <f>IF(ROW()&lt;=Results!$C$1+1,IF(ISERROR(C749-F749),"",C749-F749),"")</f>
        <v/>
      </c>
    </row>
    <row r="750" spans="1:7" x14ac:dyDescent="0.25">
      <c r="A750" s="1" t="str">
        <f ca="1">IF(ROW()&lt;=Results!$C$1+1,INDEX(Data!$A:$A,CEILING((COUNTA(Data!$A:$A)-1)*RAND()+1,1)),"")</f>
        <v/>
      </c>
      <c r="B750" s="1" t="str">
        <f>IF(ROW()&lt;=Results!$C$1+1,VLOOKUP($A750,Data!$A$2:$C$117,2,TRUE),"")</f>
        <v/>
      </c>
      <c r="C750" s="14" t="str">
        <f>IF(ROW()&lt;=Results!$C$1+1,IF(B750&lt;=0,"",LN(B750)),"")</f>
        <v/>
      </c>
      <c r="D750" s="58" t="str">
        <f ca="1">IF(Results!$S$5,A750,IF(ROW()&lt;=Results!$C$1+1,INDEX(Data!$A:$A,CEILING((COUNTA(Data!$A:$A)-1)*RAND()+1,1)),""))</f>
        <v/>
      </c>
      <c r="E750" s="1" t="str">
        <f>IF(ROW()&lt;=Results!$C$1+1,VLOOKUP($D750,Data!$A$2:$C$117,3,TRUE),"")</f>
        <v/>
      </c>
      <c r="F750" s="14" t="str">
        <f>IF(ROW()&lt;=Results!$C$1+1,IF(E750&lt;=0,"",LN(E750)),"")</f>
        <v/>
      </c>
      <c r="G750" s="53" t="str">
        <f>IF(ROW()&lt;=Results!$C$1+1,IF(ISERROR(C750-F750),"",C750-F750),"")</f>
        <v/>
      </c>
    </row>
    <row r="751" spans="1:7" x14ac:dyDescent="0.25">
      <c r="A751" s="1" t="str">
        <f ca="1">IF(ROW()&lt;=Results!$C$1+1,INDEX(Data!$A:$A,CEILING((COUNTA(Data!$A:$A)-1)*RAND()+1,1)),"")</f>
        <v/>
      </c>
      <c r="B751" s="1" t="str">
        <f>IF(ROW()&lt;=Results!$C$1+1,VLOOKUP($A751,Data!$A$2:$C$117,2,TRUE),"")</f>
        <v/>
      </c>
      <c r="C751" s="14" t="str">
        <f>IF(ROW()&lt;=Results!$C$1+1,IF(B751&lt;=0,"",LN(B751)),"")</f>
        <v/>
      </c>
      <c r="D751" s="58" t="str">
        <f ca="1">IF(Results!$S$5,A751,IF(ROW()&lt;=Results!$C$1+1,INDEX(Data!$A:$A,CEILING((COUNTA(Data!$A:$A)-1)*RAND()+1,1)),""))</f>
        <v/>
      </c>
      <c r="E751" s="1" t="str">
        <f>IF(ROW()&lt;=Results!$C$1+1,VLOOKUP($D751,Data!$A$2:$C$117,3,TRUE),"")</f>
        <v/>
      </c>
      <c r="F751" s="14" t="str">
        <f>IF(ROW()&lt;=Results!$C$1+1,IF(E751&lt;=0,"",LN(E751)),"")</f>
        <v/>
      </c>
      <c r="G751" s="53" t="str">
        <f>IF(ROW()&lt;=Results!$C$1+1,IF(ISERROR(C751-F751),"",C751-F751),"")</f>
        <v/>
      </c>
    </row>
    <row r="752" spans="1:7" x14ac:dyDescent="0.25">
      <c r="A752" s="1" t="str">
        <f ca="1">IF(ROW()&lt;=Results!$C$1+1,INDEX(Data!$A:$A,CEILING((COUNTA(Data!$A:$A)-1)*RAND()+1,1)),"")</f>
        <v/>
      </c>
      <c r="B752" s="1" t="str">
        <f>IF(ROW()&lt;=Results!$C$1+1,VLOOKUP($A752,Data!$A$2:$C$117,2,TRUE),"")</f>
        <v/>
      </c>
      <c r="C752" s="14" t="str">
        <f>IF(ROW()&lt;=Results!$C$1+1,IF(B752&lt;=0,"",LN(B752)),"")</f>
        <v/>
      </c>
      <c r="D752" s="58" t="str">
        <f ca="1">IF(Results!$S$5,A752,IF(ROW()&lt;=Results!$C$1+1,INDEX(Data!$A:$A,CEILING((COUNTA(Data!$A:$A)-1)*RAND()+1,1)),""))</f>
        <v/>
      </c>
      <c r="E752" s="1" t="str">
        <f>IF(ROW()&lt;=Results!$C$1+1,VLOOKUP($D752,Data!$A$2:$C$117,3,TRUE),"")</f>
        <v/>
      </c>
      <c r="F752" s="14" t="str">
        <f>IF(ROW()&lt;=Results!$C$1+1,IF(E752&lt;=0,"",LN(E752)),"")</f>
        <v/>
      </c>
      <c r="G752" s="53" t="str">
        <f>IF(ROW()&lt;=Results!$C$1+1,IF(ISERROR(C752-F752),"",C752-F752),"")</f>
        <v/>
      </c>
    </row>
    <row r="753" spans="1:7" x14ac:dyDescent="0.25">
      <c r="A753" s="1" t="str">
        <f ca="1">IF(ROW()&lt;=Results!$C$1+1,INDEX(Data!$A:$A,CEILING((COUNTA(Data!$A:$A)-1)*RAND()+1,1)),"")</f>
        <v/>
      </c>
      <c r="B753" s="1" t="str">
        <f>IF(ROW()&lt;=Results!$C$1+1,VLOOKUP($A753,Data!$A$2:$C$117,2,TRUE),"")</f>
        <v/>
      </c>
      <c r="C753" s="14" t="str">
        <f>IF(ROW()&lt;=Results!$C$1+1,IF(B753&lt;=0,"",LN(B753)),"")</f>
        <v/>
      </c>
      <c r="D753" s="58" t="str">
        <f ca="1">IF(Results!$S$5,A753,IF(ROW()&lt;=Results!$C$1+1,INDEX(Data!$A:$A,CEILING((COUNTA(Data!$A:$A)-1)*RAND()+1,1)),""))</f>
        <v/>
      </c>
      <c r="E753" s="1" t="str">
        <f>IF(ROW()&lt;=Results!$C$1+1,VLOOKUP($D753,Data!$A$2:$C$117,3,TRUE),"")</f>
        <v/>
      </c>
      <c r="F753" s="14" t="str">
        <f>IF(ROW()&lt;=Results!$C$1+1,IF(E753&lt;=0,"",LN(E753)),"")</f>
        <v/>
      </c>
      <c r="G753" s="53" t="str">
        <f>IF(ROW()&lt;=Results!$C$1+1,IF(ISERROR(C753-F753),"",C753-F753),"")</f>
        <v/>
      </c>
    </row>
    <row r="754" spans="1:7" x14ac:dyDescent="0.25">
      <c r="A754" s="1" t="str">
        <f ca="1">IF(ROW()&lt;=Results!$C$1+1,INDEX(Data!$A:$A,CEILING((COUNTA(Data!$A:$A)-1)*RAND()+1,1)),"")</f>
        <v/>
      </c>
      <c r="B754" s="1" t="str">
        <f>IF(ROW()&lt;=Results!$C$1+1,VLOOKUP($A754,Data!$A$2:$C$117,2,TRUE),"")</f>
        <v/>
      </c>
      <c r="C754" s="14" t="str">
        <f>IF(ROW()&lt;=Results!$C$1+1,IF(B754&lt;=0,"",LN(B754)),"")</f>
        <v/>
      </c>
      <c r="D754" s="58" t="str">
        <f ca="1">IF(Results!$S$5,A754,IF(ROW()&lt;=Results!$C$1+1,INDEX(Data!$A:$A,CEILING((COUNTA(Data!$A:$A)-1)*RAND()+1,1)),""))</f>
        <v/>
      </c>
      <c r="E754" s="1" t="str">
        <f>IF(ROW()&lt;=Results!$C$1+1,VLOOKUP($D754,Data!$A$2:$C$117,3,TRUE),"")</f>
        <v/>
      </c>
      <c r="F754" s="14" t="str">
        <f>IF(ROW()&lt;=Results!$C$1+1,IF(E754&lt;=0,"",LN(E754)),"")</f>
        <v/>
      </c>
      <c r="G754" s="53" t="str">
        <f>IF(ROW()&lt;=Results!$C$1+1,IF(ISERROR(C754-F754),"",C754-F754),"")</f>
        <v/>
      </c>
    </row>
    <row r="755" spans="1:7" x14ac:dyDescent="0.25">
      <c r="A755" s="1" t="str">
        <f ca="1">IF(ROW()&lt;=Results!$C$1+1,INDEX(Data!$A:$A,CEILING((COUNTA(Data!$A:$A)-1)*RAND()+1,1)),"")</f>
        <v/>
      </c>
      <c r="B755" s="1" t="str">
        <f>IF(ROW()&lt;=Results!$C$1+1,VLOOKUP($A755,Data!$A$2:$C$117,2,TRUE),"")</f>
        <v/>
      </c>
      <c r="C755" s="14" t="str">
        <f>IF(ROW()&lt;=Results!$C$1+1,IF(B755&lt;=0,"",LN(B755)),"")</f>
        <v/>
      </c>
      <c r="D755" s="58" t="str">
        <f ca="1">IF(Results!$S$5,A755,IF(ROW()&lt;=Results!$C$1+1,INDEX(Data!$A:$A,CEILING((COUNTA(Data!$A:$A)-1)*RAND()+1,1)),""))</f>
        <v/>
      </c>
      <c r="E755" s="1" t="str">
        <f>IF(ROW()&lt;=Results!$C$1+1,VLOOKUP($D755,Data!$A$2:$C$117,3,TRUE),"")</f>
        <v/>
      </c>
      <c r="F755" s="14" t="str">
        <f>IF(ROW()&lt;=Results!$C$1+1,IF(E755&lt;=0,"",LN(E755)),"")</f>
        <v/>
      </c>
      <c r="G755" s="53" t="str">
        <f>IF(ROW()&lt;=Results!$C$1+1,IF(ISERROR(C755-F755),"",C755-F755),"")</f>
        <v/>
      </c>
    </row>
    <row r="756" spans="1:7" x14ac:dyDescent="0.25">
      <c r="A756" s="1" t="str">
        <f ca="1">IF(ROW()&lt;=Results!$C$1+1,INDEX(Data!$A:$A,CEILING((COUNTA(Data!$A:$A)-1)*RAND()+1,1)),"")</f>
        <v/>
      </c>
      <c r="B756" s="1" t="str">
        <f>IF(ROW()&lt;=Results!$C$1+1,VLOOKUP($A756,Data!$A$2:$C$117,2,TRUE),"")</f>
        <v/>
      </c>
      <c r="C756" s="14" t="str">
        <f>IF(ROW()&lt;=Results!$C$1+1,IF(B756&lt;=0,"",LN(B756)),"")</f>
        <v/>
      </c>
      <c r="D756" s="58" t="str">
        <f ca="1">IF(Results!$S$5,A756,IF(ROW()&lt;=Results!$C$1+1,INDEX(Data!$A:$A,CEILING((COUNTA(Data!$A:$A)-1)*RAND()+1,1)),""))</f>
        <v/>
      </c>
      <c r="E756" s="1" t="str">
        <f>IF(ROW()&lt;=Results!$C$1+1,VLOOKUP($D756,Data!$A$2:$C$117,3,TRUE),"")</f>
        <v/>
      </c>
      <c r="F756" s="14" t="str">
        <f>IF(ROW()&lt;=Results!$C$1+1,IF(E756&lt;=0,"",LN(E756)),"")</f>
        <v/>
      </c>
      <c r="G756" s="53" t="str">
        <f>IF(ROW()&lt;=Results!$C$1+1,IF(ISERROR(C756-F756),"",C756-F756),"")</f>
        <v/>
      </c>
    </row>
    <row r="757" spans="1:7" x14ac:dyDescent="0.25">
      <c r="A757" s="1" t="str">
        <f ca="1">IF(ROW()&lt;=Results!$C$1+1,INDEX(Data!$A:$A,CEILING((COUNTA(Data!$A:$A)-1)*RAND()+1,1)),"")</f>
        <v/>
      </c>
      <c r="B757" s="1" t="str">
        <f>IF(ROW()&lt;=Results!$C$1+1,VLOOKUP($A757,Data!$A$2:$C$117,2,TRUE),"")</f>
        <v/>
      </c>
      <c r="C757" s="14" t="str">
        <f>IF(ROW()&lt;=Results!$C$1+1,IF(B757&lt;=0,"",LN(B757)),"")</f>
        <v/>
      </c>
      <c r="D757" s="58" t="str">
        <f ca="1">IF(Results!$S$5,A757,IF(ROW()&lt;=Results!$C$1+1,INDEX(Data!$A:$A,CEILING((COUNTA(Data!$A:$A)-1)*RAND()+1,1)),""))</f>
        <v/>
      </c>
      <c r="E757" s="1" t="str">
        <f>IF(ROW()&lt;=Results!$C$1+1,VLOOKUP($D757,Data!$A$2:$C$117,3,TRUE),"")</f>
        <v/>
      </c>
      <c r="F757" s="14" t="str">
        <f>IF(ROW()&lt;=Results!$C$1+1,IF(E757&lt;=0,"",LN(E757)),"")</f>
        <v/>
      </c>
      <c r="G757" s="53" t="str">
        <f>IF(ROW()&lt;=Results!$C$1+1,IF(ISERROR(C757-F757),"",C757-F757),"")</f>
        <v/>
      </c>
    </row>
    <row r="758" spans="1:7" x14ac:dyDescent="0.25">
      <c r="A758" s="1" t="str">
        <f ca="1">IF(ROW()&lt;=Results!$C$1+1,INDEX(Data!$A:$A,CEILING((COUNTA(Data!$A:$A)-1)*RAND()+1,1)),"")</f>
        <v/>
      </c>
      <c r="B758" s="1" t="str">
        <f>IF(ROW()&lt;=Results!$C$1+1,VLOOKUP($A758,Data!$A$2:$C$117,2,TRUE),"")</f>
        <v/>
      </c>
      <c r="C758" s="14" t="str">
        <f>IF(ROW()&lt;=Results!$C$1+1,IF(B758&lt;=0,"",LN(B758)),"")</f>
        <v/>
      </c>
      <c r="D758" s="58" t="str">
        <f ca="1">IF(Results!$S$5,A758,IF(ROW()&lt;=Results!$C$1+1,INDEX(Data!$A:$A,CEILING((COUNTA(Data!$A:$A)-1)*RAND()+1,1)),""))</f>
        <v/>
      </c>
      <c r="E758" s="1" t="str">
        <f>IF(ROW()&lt;=Results!$C$1+1,VLOOKUP($D758,Data!$A$2:$C$117,3,TRUE),"")</f>
        <v/>
      </c>
      <c r="F758" s="14" t="str">
        <f>IF(ROW()&lt;=Results!$C$1+1,IF(E758&lt;=0,"",LN(E758)),"")</f>
        <v/>
      </c>
      <c r="G758" s="53" t="str">
        <f>IF(ROW()&lt;=Results!$C$1+1,IF(ISERROR(C758-F758),"",C758-F758),"")</f>
        <v/>
      </c>
    </row>
    <row r="759" spans="1:7" x14ac:dyDescent="0.25">
      <c r="A759" s="1" t="str">
        <f ca="1">IF(ROW()&lt;=Results!$C$1+1,INDEX(Data!$A:$A,CEILING((COUNTA(Data!$A:$A)-1)*RAND()+1,1)),"")</f>
        <v/>
      </c>
      <c r="B759" s="1" t="str">
        <f>IF(ROW()&lt;=Results!$C$1+1,VLOOKUP($A759,Data!$A$2:$C$117,2,TRUE),"")</f>
        <v/>
      </c>
      <c r="C759" s="14" t="str">
        <f>IF(ROW()&lt;=Results!$C$1+1,IF(B759&lt;=0,"",LN(B759)),"")</f>
        <v/>
      </c>
      <c r="D759" s="58" t="str">
        <f ca="1">IF(Results!$S$5,A759,IF(ROW()&lt;=Results!$C$1+1,INDEX(Data!$A:$A,CEILING((COUNTA(Data!$A:$A)-1)*RAND()+1,1)),""))</f>
        <v/>
      </c>
      <c r="E759" s="1" t="str">
        <f>IF(ROW()&lt;=Results!$C$1+1,VLOOKUP($D759,Data!$A$2:$C$117,3,TRUE),"")</f>
        <v/>
      </c>
      <c r="F759" s="14" t="str">
        <f>IF(ROW()&lt;=Results!$C$1+1,IF(E759&lt;=0,"",LN(E759)),"")</f>
        <v/>
      </c>
      <c r="G759" s="53" t="str">
        <f>IF(ROW()&lt;=Results!$C$1+1,IF(ISERROR(C759-F759),"",C759-F759),"")</f>
        <v/>
      </c>
    </row>
    <row r="760" spans="1:7" x14ac:dyDescent="0.25">
      <c r="A760" s="1" t="str">
        <f ca="1">IF(ROW()&lt;=Results!$C$1+1,INDEX(Data!$A:$A,CEILING((COUNTA(Data!$A:$A)-1)*RAND()+1,1)),"")</f>
        <v/>
      </c>
      <c r="B760" s="1" t="str">
        <f>IF(ROW()&lt;=Results!$C$1+1,VLOOKUP($A760,Data!$A$2:$C$117,2,TRUE),"")</f>
        <v/>
      </c>
      <c r="C760" s="14" t="str">
        <f>IF(ROW()&lt;=Results!$C$1+1,IF(B760&lt;=0,"",LN(B760)),"")</f>
        <v/>
      </c>
      <c r="D760" s="58" t="str">
        <f ca="1">IF(Results!$S$5,A760,IF(ROW()&lt;=Results!$C$1+1,INDEX(Data!$A:$A,CEILING((COUNTA(Data!$A:$A)-1)*RAND()+1,1)),""))</f>
        <v/>
      </c>
      <c r="E760" s="1" t="str">
        <f>IF(ROW()&lt;=Results!$C$1+1,VLOOKUP($D760,Data!$A$2:$C$117,3,TRUE),"")</f>
        <v/>
      </c>
      <c r="F760" s="14" t="str">
        <f>IF(ROW()&lt;=Results!$C$1+1,IF(E760&lt;=0,"",LN(E760)),"")</f>
        <v/>
      </c>
      <c r="G760" s="53" t="str">
        <f>IF(ROW()&lt;=Results!$C$1+1,IF(ISERROR(C760-F760),"",C760-F760),"")</f>
        <v/>
      </c>
    </row>
    <row r="761" spans="1:7" x14ac:dyDescent="0.25">
      <c r="A761" s="1" t="str">
        <f ca="1">IF(ROW()&lt;=Results!$C$1+1,INDEX(Data!$A:$A,CEILING((COUNTA(Data!$A:$A)-1)*RAND()+1,1)),"")</f>
        <v/>
      </c>
      <c r="B761" s="1" t="str">
        <f>IF(ROW()&lt;=Results!$C$1+1,VLOOKUP($A761,Data!$A$2:$C$117,2,TRUE),"")</f>
        <v/>
      </c>
      <c r="C761" s="14" t="str">
        <f>IF(ROW()&lt;=Results!$C$1+1,IF(B761&lt;=0,"",LN(B761)),"")</f>
        <v/>
      </c>
      <c r="D761" s="58" t="str">
        <f ca="1">IF(Results!$S$5,A761,IF(ROW()&lt;=Results!$C$1+1,INDEX(Data!$A:$A,CEILING((COUNTA(Data!$A:$A)-1)*RAND()+1,1)),""))</f>
        <v/>
      </c>
      <c r="E761" s="1" t="str">
        <f>IF(ROW()&lt;=Results!$C$1+1,VLOOKUP($D761,Data!$A$2:$C$117,3,TRUE),"")</f>
        <v/>
      </c>
      <c r="F761" s="14" t="str">
        <f>IF(ROW()&lt;=Results!$C$1+1,IF(E761&lt;=0,"",LN(E761)),"")</f>
        <v/>
      </c>
      <c r="G761" s="53" t="str">
        <f>IF(ROW()&lt;=Results!$C$1+1,IF(ISERROR(C761-F761),"",C761-F761),"")</f>
        <v/>
      </c>
    </row>
    <row r="762" spans="1:7" x14ac:dyDescent="0.25">
      <c r="A762" s="1" t="str">
        <f ca="1">IF(ROW()&lt;=Results!$C$1+1,INDEX(Data!$A:$A,CEILING((COUNTA(Data!$A:$A)-1)*RAND()+1,1)),"")</f>
        <v/>
      </c>
      <c r="B762" s="1" t="str">
        <f>IF(ROW()&lt;=Results!$C$1+1,VLOOKUP($A762,Data!$A$2:$C$117,2,TRUE),"")</f>
        <v/>
      </c>
      <c r="C762" s="14" t="str">
        <f>IF(ROW()&lt;=Results!$C$1+1,IF(B762&lt;=0,"",LN(B762)),"")</f>
        <v/>
      </c>
      <c r="D762" s="58" t="str">
        <f ca="1">IF(Results!$S$5,A762,IF(ROW()&lt;=Results!$C$1+1,INDEX(Data!$A:$A,CEILING((COUNTA(Data!$A:$A)-1)*RAND()+1,1)),""))</f>
        <v/>
      </c>
      <c r="E762" s="1" t="str">
        <f>IF(ROW()&lt;=Results!$C$1+1,VLOOKUP($D762,Data!$A$2:$C$117,3,TRUE),"")</f>
        <v/>
      </c>
      <c r="F762" s="14" t="str">
        <f>IF(ROW()&lt;=Results!$C$1+1,IF(E762&lt;=0,"",LN(E762)),"")</f>
        <v/>
      </c>
      <c r="G762" s="53" t="str">
        <f>IF(ROW()&lt;=Results!$C$1+1,IF(ISERROR(C762-F762),"",C762-F762),"")</f>
        <v/>
      </c>
    </row>
    <row r="763" spans="1:7" x14ac:dyDescent="0.25">
      <c r="A763" s="1" t="str">
        <f ca="1">IF(ROW()&lt;=Results!$C$1+1,INDEX(Data!$A:$A,CEILING((COUNTA(Data!$A:$A)-1)*RAND()+1,1)),"")</f>
        <v/>
      </c>
      <c r="B763" s="1" t="str">
        <f>IF(ROW()&lt;=Results!$C$1+1,VLOOKUP($A763,Data!$A$2:$C$117,2,TRUE),"")</f>
        <v/>
      </c>
      <c r="C763" s="14" t="str">
        <f>IF(ROW()&lt;=Results!$C$1+1,IF(B763&lt;=0,"",LN(B763)),"")</f>
        <v/>
      </c>
      <c r="D763" s="58" t="str">
        <f ca="1">IF(Results!$S$5,A763,IF(ROW()&lt;=Results!$C$1+1,INDEX(Data!$A:$A,CEILING((COUNTA(Data!$A:$A)-1)*RAND()+1,1)),""))</f>
        <v/>
      </c>
      <c r="E763" s="1" t="str">
        <f>IF(ROW()&lt;=Results!$C$1+1,VLOOKUP($D763,Data!$A$2:$C$117,3,TRUE),"")</f>
        <v/>
      </c>
      <c r="F763" s="14" t="str">
        <f>IF(ROW()&lt;=Results!$C$1+1,IF(E763&lt;=0,"",LN(E763)),"")</f>
        <v/>
      </c>
      <c r="G763" s="53" t="str">
        <f>IF(ROW()&lt;=Results!$C$1+1,IF(ISERROR(C763-F763),"",C763-F763),"")</f>
        <v/>
      </c>
    </row>
    <row r="764" spans="1:7" x14ac:dyDescent="0.25">
      <c r="A764" s="1" t="str">
        <f ca="1">IF(ROW()&lt;=Results!$C$1+1,INDEX(Data!$A:$A,CEILING((COUNTA(Data!$A:$A)-1)*RAND()+1,1)),"")</f>
        <v/>
      </c>
      <c r="B764" s="1" t="str">
        <f>IF(ROW()&lt;=Results!$C$1+1,VLOOKUP($A764,Data!$A$2:$C$117,2,TRUE),"")</f>
        <v/>
      </c>
      <c r="C764" s="14" t="str">
        <f>IF(ROW()&lt;=Results!$C$1+1,IF(B764&lt;=0,"",LN(B764)),"")</f>
        <v/>
      </c>
      <c r="D764" s="58" t="str">
        <f ca="1">IF(Results!$S$5,A764,IF(ROW()&lt;=Results!$C$1+1,INDEX(Data!$A:$A,CEILING((COUNTA(Data!$A:$A)-1)*RAND()+1,1)),""))</f>
        <v/>
      </c>
      <c r="E764" s="1" t="str">
        <f>IF(ROW()&lt;=Results!$C$1+1,VLOOKUP($D764,Data!$A$2:$C$117,3,TRUE),"")</f>
        <v/>
      </c>
      <c r="F764" s="14" t="str">
        <f>IF(ROW()&lt;=Results!$C$1+1,IF(E764&lt;=0,"",LN(E764)),"")</f>
        <v/>
      </c>
      <c r="G764" s="53" t="str">
        <f>IF(ROW()&lt;=Results!$C$1+1,IF(ISERROR(C764-F764),"",C764-F764),"")</f>
        <v/>
      </c>
    </row>
    <row r="765" spans="1:7" x14ac:dyDescent="0.25">
      <c r="A765" s="1" t="str">
        <f ca="1">IF(ROW()&lt;=Results!$C$1+1,INDEX(Data!$A:$A,CEILING((COUNTA(Data!$A:$A)-1)*RAND()+1,1)),"")</f>
        <v/>
      </c>
      <c r="B765" s="1" t="str">
        <f>IF(ROW()&lt;=Results!$C$1+1,VLOOKUP($A765,Data!$A$2:$C$117,2,TRUE),"")</f>
        <v/>
      </c>
      <c r="C765" s="14" t="str">
        <f>IF(ROW()&lt;=Results!$C$1+1,IF(B765&lt;=0,"",LN(B765)),"")</f>
        <v/>
      </c>
      <c r="D765" s="58" t="str">
        <f ca="1">IF(Results!$S$5,A765,IF(ROW()&lt;=Results!$C$1+1,INDEX(Data!$A:$A,CEILING((COUNTA(Data!$A:$A)-1)*RAND()+1,1)),""))</f>
        <v/>
      </c>
      <c r="E765" s="1" t="str">
        <f>IF(ROW()&lt;=Results!$C$1+1,VLOOKUP($D765,Data!$A$2:$C$117,3,TRUE),"")</f>
        <v/>
      </c>
      <c r="F765" s="14" t="str">
        <f>IF(ROW()&lt;=Results!$C$1+1,IF(E765&lt;=0,"",LN(E765)),"")</f>
        <v/>
      </c>
      <c r="G765" s="53" t="str">
        <f>IF(ROW()&lt;=Results!$C$1+1,IF(ISERROR(C765-F765),"",C765-F765),"")</f>
        <v/>
      </c>
    </row>
    <row r="766" spans="1:7" x14ac:dyDescent="0.25">
      <c r="A766" s="1" t="str">
        <f ca="1">IF(ROW()&lt;=Results!$C$1+1,INDEX(Data!$A:$A,CEILING((COUNTA(Data!$A:$A)-1)*RAND()+1,1)),"")</f>
        <v/>
      </c>
      <c r="B766" s="1" t="str">
        <f>IF(ROW()&lt;=Results!$C$1+1,VLOOKUP($A766,Data!$A$2:$C$117,2,TRUE),"")</f>
        <v/>
      </c>
      <c r="C766" s="14" t="str">
        <f>IF(ROW()&lt;=Results!$C$1+1,IF(B766&lt;=0,"",LN(B766)),"")</f>
        <v/>
      </c>
      <c r="D766" s="58" t="str">
        <f ca="1">IF(Results!$S$5,A766,IF(ROW()&lt;=Results!$C$1+1,INDEX(Data!$A:$A,CEILING((COUNTA(Data!$A:$A)-1)*RAND()+1,1)),""))</f>
        <v/>
      </c>
      <c r="E766" s="1" t="str">
        <f>IF(ROW()&lt;=Results!$C$1+1,VLOOKUP($D766,Data!$A$2:$C$117,3,TRUE),"")</f>
        <v/>
      </c>
      <c r="F766" s="14" t="str">
        <f>IF(ROW()&lt;=Results!$C$1+1,IF(E766&lt;=0,"",LN(E766)),"")</f>
        <v/>
      </c>
      <c r="G766" s="53" t="str">
        <f>IF(ROW()&lt;=Results!$C$1+1,IF(ISERROR(C766-F766),"",C766-F766),"")</f>
        <v/>
      </c>
    </row>
    <row r="767" spans="1:7" x14ac:dyDescent="0.25">
      <c r="A767" s="1" t="str">
        <f ca="1">IF(ROW()&lt;=Results!$C$1+1,INDEX(Data!$A:$A,CEILING((COUNTA(Data!$A:$A)-1)*RAND()+1,1)),"")</f>
        <v/>
      </c>
      <c r="B767" s="1" t="str">
        <f>IF(ROW()&lt;=Results!$C$1+1,VLOOKUP($A767,Data!$A$2:$C$117,2,TRUE),"")</f>
        <v/>
      </c>
      <c r="C767" s="14" t="str">
        <f>IF(ROW()&lt;=Results!$C$1+1,IF(B767&lt;=0,"",LN(B767)),"")</f>
        <v/>
      </c>
      <c r="D767" s="58" t="str">
        <f ca="1">IF(Results!$S$5,A767,IF(ROW()&lt;=Results!$C$1+1,INDEX(Data!$A:$A,CEILING((COUNTA(Data!$A:$A)-1)*RAND()+1,1)),""))</f>
        <v/>
      </c>
      <c r="E767" s="1" t="str">
        <f>IF(ROW()&lt;=Results!$C$1+1,VLOOKUP($D767,Data!$A$2:$C$117,3,TRUE),"")</f>
        <v/>
      </c>
      <c r="F767" s="14" t="str">
        <f>IF(ROW()&lt;=Results!$C$1+1,IF(E767&lt;=0,"",LN(E767)),"")</f>
        <v/>
      </c>
      <c r="G767" s="53" t="str">
        <f>IF(ROW()&lt;=Results!$C$1+1,IF(ISERROR(C767-F767),"",C767-F767),"")</f>
        <v/>
      </c>
    </row>
    <row r="768" spans="1:7" x14ac:dyDescent="0.25">
      <c r="A768" s="1" t="str">
        <f ca="1">IF(ROW()&lt;=Results!$C$1+1,INDEX(Data!$A:$A,CEILING((COUNTA(Data!$A:$A)-1)*RAND()+1,1)),"")</f>
        <v/>
      </c>
      <c r="B768" s="1" t="str">
        <f>IF(ROW()&lt;=Results!$C$1+1,VLOOKUP($A768,Data!$A$2:$C$117,2,TRUE),"")</f>
        <v/>
      </c>
      <c r="C768" s="14" t="str">
        <f>IF(ROW()&lt;=Results!$C$1+1,IF(B768&lt;=0,"",LN(B768)),"")</f>
        <v/>
      </c>
      <c r="D768" s="58" t="str">
        <f ca="1">IF(Results!$S$5,A768,IF(ROW()&lt;=Results!$C$1+1,INDEX(Data!$A:$A,CEILING((COUNTA(Data!$A:$A)-1)*RAND()+1,1)),""))</f>
        <v/>
      </c>
      <c r="E768" s="1" t="str">
        <f>IF(ROW()&lt;=Results!$C$1+1,VLOOKUP($D768,Data!$A$2:$C$117,3,TRUE),"")</f>
        <v/>
      </c>
      <c r="F768" s="14" t="str">
        <f>IF(ROW()&lt;=Results!$C$1+1,IF(E768&lt;=0,"",LN(E768)),"")</f>
        <v/>
      </c>
      <c r="G768" s="53" t="str">
        <f>IF(ROW()&lt;=Results!$C$1+1,IF(ISERROR(C768-F768),"",C768-F768),"")</f>
        <v/>
      </c>
    </row>
    <row r="769" spans="1:7" x14ac:dyDescent="0.25">
      <c r="A769" s="1" t="str">
        <f ca="1">IF(ROW()&lt;=Results!$C$1+1,INDEX(Data!$A:$A,CEILING((COUNTA(Data!$A:$A)-1)*RAND()+1,1)),"")</f>
        <v/>
      </c>
      <c r="B769" s="1" t="str">
        <f>IF(ROW()&lt;=Results!$C$1+1,VLOOKUP($A769,Data!$A$2:$C$117,2,TRUE),"")</f>
        <v/>
      </c>
      <c r="C769" s="14" t="str">
        <f>IF(ROW()&lt;=Results!$C$1+1,IF(B769&lt;=0,"",LN(B769)),"")</f>
        <v/>
      </c>
      <c r="D769" s="58" t="str">
        <f ca="1">IF(Results!$S$5,A769,IF(ROW()&lt;=Results!$C$1+1,INDEX(Data!$A:$A,CEILING((COUNTA(Data!$A:$A)-1)*RAND()+1,1)),""))</f>
        <v/>
      </c>
      <c r="E769" s="1" t="str">
        <f>IF(ROW()&lt;=Results!$C$1+1,VLOOKUP($D769,Data!$A$2:$C$117,3,TRUE),"")</f>
        <v/>
      </c>
      <c r="F769" s="14" t="str">
        <f>IF(ROW()&lt;=Results!$C$1+1,IF(E769&lt;=0,"",LN(E769)),"")</f>
        <v/>
      </c>
      <c r="G769" s="53" t="str">
        <f>IF(ROW()&lt;=Results!$C$1+1,IF(ISERROR(C769-F769),"",C769-F769),"")</f>
        <v/>
      </c>
    </row>
    <row r="770" spans="1:7" x14ac:dyDescent="0.25">
      <c r="A770" s="1" t="str">
        <f ca="1">IF(ROW()&lt;=Results!$C$1+1,INDEX(Data!$A:$A,CEILING((COUNTA(Data!$A:$A)-1)*RAND()+1,1)),"")</f>
        <v/>
      </c>
      <c r="B770" s="1" t="str">
        <f>IF(ROW()&lt;=Results!$C$1+1,VLOOKUP($A770,Data!$A$2:$C$117,2,TRUE),"")</f>
        <v/>
      </c>
      <c r="C770" s="14" t="str">
        <f>IF(ROW()&lt;=Results!$C$1+1,IF(B770&lt;=0,"",LN(B770)),"")</f>
        <v/>
      </c>
      <c r="D770" s="58" t="str">
        <f ca="1">IF(Results!$S$5,A770,IF(ROW()&lt;=Results!$C$1+1,INDEX(Data!$A:$A,CEILING((COUNTA(Data!$A:$A)-1)*RAND()+1,1)),""))</f>
        <v/>
      </c>
      <c r="E770" s="1" t="str">
        <f>IF(ROW()&lt;=Results!$C$1+1,VLOOKUP($D770,Data!$A$2:$C$117,3,TRUE),"")</f>
        <v/>
      </c>
      <c r="F770" s="14" t="str">
        <f>IF(ROW()&lt;=Results!$C$1+1,IF(E770&lt;=0,"",LN(E770)),"")</f>
        <v/>
      </c>
      <c r="G770" s="53" t="str">
        <f>IF(ROW()&lt;=Results!$C$1+1,IF(ISERROR(C770-F770),"",C770-F770),"")</f>
        <v/>
      </c>
    </row>
    <row r="771" spans="1:7" x14ac:dyDescent="0.25">
      <c r="A771" s="1" t="str">
        <f ca="1">IF(ROW()&lt;=Results!$C$1+1,INDEX(Data!$A:$A,CEILING((COUNTA(Data!$A:$A)-1)*RAND()+1,1)),"")</f>
        <v/>
      </c>
      <c r="B771" s="1" t="str">
        <f>IF(ROW()&lt;=Results!$C$1+1,VLOOKUP($A771,Data!$A$2:$C$117,2,TRUE),"")</f>
        <v/>
      </c>
      <c r="C771" s="14" t="str">
        <f>IF(ROW()&lt;=Results!$C$1+1,IF(B771&lt;=0,"",LN(B771)),"")</f>
        <v/>
      </c>
      <c r="D771" s="58" t="str">
        <f ca="1">IF(Results!$S$5,A771,IF(ROW()&lt;=Results!$C$1+1,INDEX(Data!$A:$A,CEILING((COUNTA(Data!$A:$A)-1)*RAND()+1,1)),""))</f>
        <v/>
      </c>
      <c r="E771" s="1" t="str">
        <f>IF(ROW()&lt;=Results!$C$1+1,VLOOKUP($D771,Data!$A$2:$C$117,3,TRUE),"")</f>
        <v/>
      </c>
      <c r="F771" s="14" t="str">
        <f>IF(ROW()&lt;=Results!$C$1+1,IF(E771&lt;=0,"",LN(E771)),"")</f>
        <v/>
      </c>
      <c r="G771" s="53" t="str">
        <f>IF(ROW()&lt;=Results!$C$1+1,IF(ISERROR(C771-F771),"",C771-F771),"")</f>
        <v/>
      </c>
    </row>
    <row r="772" spans="1:7" x14ac:dyDescent="0.25">
      <c r="A772" s="1" t="str">
        <f ca="1">IF(ROW()&lt;=Results!$C$1+1,INDEX(Data!$A:$A,CEILING((COUNTA(Data!$A:$A)-1)*RAND()+1,1)),"")</f>
        <v/>
      </c>
      <c r="B772" s="1" t="str">
        <f>IF(ROW()&lt;=Results!$C$1+1,VLOOKUP($A772,Data!$A$2:$C$117,2,TRUE),"")</f>
        <v/>
      </c>
      <c r="C772" s="14" t="str">
        <f>IF(ROW()&lt;=Results!$C$1+1,IF(B772&lt;=0,"",LN(B772)),"")</f>
        <v/>
      </c>
      <c r="D772" s="58" t="str">
        <f ca="1">IF(Results!$S$5,A772,IF(ROW()&lt;=Results!$C$1+1,INDEX(Data!$A:$A,CEILING((COUNTA(Data!$A:$A)-1)*RAND()+1,1)),""))</f>
        <v/>
      </c>
      <c r="E772" s="1" t="str">
        <f>IF(ROW()&lt;=Results!$C$1+1,VLOOKUP($D772,Data!$A$2:$C$117,3,TRUE),"")</f>
        <v/>
      </c>
      <c r="F772" s="14" t="str">
        <f>IF(ROW()&lt;=Results!$C$1+1,IF(E772&lt;=0,"",LN(E772)),"")</f>
        <v/>
      </c>
      <c r="G772" s="53" t="str">
        <f>IF(ROW()&lt;=Results!$C$1+1,IF(ISERROR(C772-F772),"",C772-F772),"")</f>
        <v/>
      </c>
    </row>
    <row r="773" spans="1:7" x14ac:dyDescent="0.25">
      <c r="A773" s="1" t="str">
        <f ca="1">IF(ROW()&lt;=Results!$C$1+1,INDEX(Data!$A:$A,CEILING((COUNTA(Data!$A:$A)-1)*RAND()+1,1)),"")</f>
        <v/>
      </c>
      <c r="B773" s="1" t="str">
        <f>IF(ROW()&lt;=Results!$C$1+1,VLOOKUP($A773,Data!$A$2:$C$117,2,TRUE),"")</f>
        <v/>
      </c>
      <c r="C773" s="14" t="str">
        <f>IF(ROW()&lt;=Results!$C$1+1,IF(B773&lt;=0,"",LN(B773)),"")</f>
        <v/>
      </c>
      <c r="D773" s="58" t="str">
        <f ca="1">IF(Results!$S$5,A773,IF(ROW()&lt;=Results!$C$1+1,INDEX(Data!$A:$A,CEILING((COUNTA(Data!$A:$A)-1)*RAND()+1,1)),""))</f>
        <v/>
      </c>
      <c r="E773" s="1" t="str">
        <f>IF(ROW()&lt;=Results!$C$1+1,VLOOKUP($D773,Data!$A$2:$C$117,3,TRUE),"")</f>
        <v/>
      </c>
      <c r="F773" s="14" t="str">
        <f>IF(ROW()&lt;=Results!$C$1+1,IF(E773&lt;=0,"",LN(E773)),"")</f>
        <v/>
      </c>
      <c r="G773" s="53" t="str">
        <f>IF(ROW()&lt;=Results!$C$1+1,IF(ISERROR(C773-F773),"",C773-F773),"")</f>
        <v/>
      </c>
    </row>
    <row r="774" spans="1:7" x14ac:dyDescent="0.25">
      <c r="A774" s="1" t="str">
        <f ca="1">IF(ROW()&lt;=Results!$C$1+1,INDEX(Data!$A:$A,CEILING((COUNTA(Data!$A:$A)-1)*RAND()+1,1)),"")</f>
        <v/>
      </c>
      <c r="B774" s="1" t="str">
        <f>IF(ROW()&lt;=Results!$C$1+1,VLOOKUP($A774,Data!$A$2:$C$117,2,TRUE),"")</f>
        <v/>
      </c>
      <c r="C774" s="14" t="str">
        <f>IF(ROW()&lt;=Results!$C$1+1,IF(B774&lt;=0,"",LN(B774)),"")</f>
        <v/>
      </c>
      <c r="D774" s="58" t="str">
        <f ca="1">IF(Results!$S$5,A774,IF(ROW()&lt;=Results!$C$1+1,INDEX(Data!$A:$A,CEILING((COUNTA(Data!$A:$A)-1)*RAND()+1,1)),""))</f>
        <v/>
      </c>
      <c r="E774" s="1" t="str">
        <f>IF(ROW()&lt;=Results!$C$1+1,VLOOKUP($D774,Data!$A$2:$C$117,3,TRUE),"")</f>
        <v/>
      </c>
      <c r="F774" s="14" t="str">
        <f>IF(ROW()&lt;=Results!$C$1+1,IF(E774&lt;=0,"",LN(E774)),"")</f>
        <v/>
      </c>
      <c r="G774" s="53" t="str">
        <f>IF(ROW()&lt;=Results!$C$1+1,IF(ISERROR(C774-F774),"",C774-F774),"")</f>
        <v/>
      </c>
    </row>
    <row r="775" spans="1:7" x14ac:dyDescent="0.25">
      <c r="A775" s="1" t="str">
        <f ca="1">IF(ROW()&lt;=Results!$C$1+1,INDEX(Data!$A:$A,CEILING((COUNTA(Data!$A:$A)-1)*RAND()+1,1)),"")</f>
        <v/>
      </c>
      <c r="B775" s="1" t="str">
        <f>IF(ROW()&lt;=Results!$C$1+1,VLOOKUP($A775,Data!$A$2:$C$117,2,TRUE),"")</f>
        <v/>
      </c>
      <c r="C775" s="14" t="str">
        <f>IF(ROW()&lt;=Results!$C$1+1,IF(B775&lt;=0,"",LN(B775)),"")</f>
        <v/>
      </c>
      <c r="D775" s="58" t="str">
        <f ca="1">IF(Results!$S$5,A775,IF(ROW()&lt;=Results!$C$1+1,INDEX(Data!$A:$A,CEILING((COUNTA(Data!$A:$A)-1)*RAND()+1,1)),""))</f>
        <v/>
      </c>
      <c r="E775" s="1" t="str">
        <f>IF(ROW()&lt;=Results!$C$1+1,VLOOKUP($D775,Data!$A$2:$C$117,3,TRUE),"")</f>
        <v/>
      </c>
      <c r="F775" s="14" t="str">
        <f>IF(ROW()&lt;=Results!$C$1+1,IF(E775&lt;=0,"",LN(E775)),"")</f>
        <v/>
      </c>
      <c r="G775" s="53" t="str">
        <f>IF(ROW()&lt;=Results!$C$1+1,IF(ISERROR(C775-F775),"",C775-F775),"")</f>
        <v/>
      </c>
    </row>
    <row r="776" spans="1:7" x14ac:dyDescent="0.25">
      <c r="A776" s="1" t="str">
        <f ca="1">IF(ROW()&lt;=Results!$C$1+1,INDEX(Data!$A:$A,CEILING((COUNTA(Data!$A:$A)-1)*RAND()+1,1)),"")</f>
        <v/>
      </c>
      <c r="B776" s="1" t="str">
        <f>IF(ROW()&lt;=Results!$C$1+1,VLOOKUP($A776,Data!$A$2:$C$117,2,TRUE),"")</f>
        <v/>
      </c>
      <c r="C776" s="14" t="str">
        <f>IF(ROW()&lt;=Results!$C$1+1,IF(B776&lt;=0,"",LN(B776)),"")</f>
        <v/>
      </c>
      <c r="D776" s="58" t="str">
        <f ca="1">IF(Results!$S$5,A776,IF(ROW()&lt;=Results!$C$1+1,INDEX(Data!$A:$A,CEILING((COUNTA(Data!$A:$A)-1)*RAND()+1,1)),""))</f>
        <v/>
      </c>
      <c r="E776" s="1" t="str">
        <f>IF(ROW()&lt;=Results!$C$1+1,VLOOKUP($D776,Data!$A$2:$C$117,3,TRUE),"")</f>
        <v/>
      </c>
      <c r="F776" s="14" t="str">
        <f>IF(ROW()&lt;=Results!$C$1+1,IF(E776&lt;=0,"",LN(E776)),"")</f>
        <v/>
      </c>
      <c r="G776" s="53" t="str">
        <f>IF(ROW()&lt;=Results!$C$1+1,IF(ISERROR(C776-F776),"",C776-F776),"")</f>
        <v/>
      </c>
    </row>
    <row r="777" spans="1:7" x14ac:dyDescent="0.25">
      <c r="A777" s="1" t="str">
        <f ca="1">IF(ROW()&lt;=Results!$C$1+1,INDEX(Data!$A:$A,CEILING((COUNTA(Data!$A:$A)-1)*RAND()+1,1)),"")</f>
        <v/>
      </c>
      <c r="B777" s="1" t="str">
        <f>IF(ROW()&lt;=Results!$C$1+1,VLOOKUP($A777,Data!$A$2:$C$117,2,TRUE),"")</f>
        <v/>
      </c>
      <c r="C777" s="14" t="str">
        <f>IF(ROW()&lt;=Results!$C$1+1,IF(B777&lt;=0,"",LN(B777)),"")</f>
        <v/>
      </c>
      <c r="D777" s="58" t="str">
        <f ca="1">IF(Results!$S$5,A777,IF(ROW()&lt;=Results!$C$1+1,INDEX(Data!$A:$A,CEILING((COUNTA(Data!$A:$A)-1)*RAND()+1,1)),""))</f>
        <v/>
      </c>
      <c r="E777" s="1" t="str">
        <f>IF(ROW()&lt;=Results!$C$1+1,VLOOKUP($D777,Data!$A$2:$C$117,3,TRUE),"")</f>
        <v/>
      </c>
      <c r="F777" s="14" t="str">
        <f>IF(ROW()&lt;=Results!$C$1+1,IF(E777&lt;=0,"",LN(E777)),"")</f>
        <v/>
      </c>
      <c r="G777" s="53" t="str">
        <f>IF(ROW()&lt;=Results!$C$1+1,IF(ISERROR(C777-F777),"",C777-F777),"")</f>
        <v/>
      </c>
    </row>
    <row r="778" spans="1:7" x14ac:dyDescent="0.25">
      <c r="A778" s="1" t="str">
        <f ca="1">IF(ROW()&lt;=Results!$C$1+1,INDEX(Data!$A:$A,CEILING((COUNTA(Data!$A:$A)-1)*RAND()+1,1)),"")</f>
        <v/>
      </c>
      <c r="B778" s="1" t="str">
        <f>IF(ROW()&lt;=Results!$C$1+1,VLOOKUP($A778,Data!$A$2:$C$117,2,TRUE),"")</f>
        <v/>
      </c>
      <c r="C778" s="14" t="str">
        <f>IF(ROW()&lt;=Results!$C$1+1,IF(B778&lt;=0,"",LN(B778)),"")</f>
        <v/>
      </c>
      <c r="D778" s="58" t="str">
        <f ca="1">IF(Results!$S$5,A778,IF(ROW()&lt;=Results!$C$1+1,INDEX(Data!$A:$A,CEILING((COUNTA(Data!$A:$A)-1)*RAND()+1,1)),""))</f>
        <v/>
      </c>
      <c r="E778" s="1" t="str">
        <f>IF(ROW()&lt;=Results!$C$1+1,VLOOKUP($D778,Data!$A$2:$C$117,3,TRUE),"")</f>
        <v/>
      </c>
      <c r="F778" s="14" t="str">
        <f>IF(ROW()&lt;=Results!$C$1+1,IF(E778&lt;=0,"",LN(E778)),"")</f>
        <v/>
      </c>
      <c r="G778" s="53" t="str">
        <f>IF(ROW()&lt;=Results!$C$1+1,IF(ISERROR(C778-F778),"",C778-F778),"")</f>
        <v/>
      </c>
    </row>
    <row r="779" spans="1:7" x14ac:dyDescent="0.25">
      <c r="A779" s="1" t="str">
        <f ca="1">IF(ROW()&lt;=Results!$C$1+1,INDEX(Data!$A:$A,CEILING((COUNTA(Data!$A:$A)-1)*RAND()+1,1)),"")</f>
        <v/>
      </c>
      <c r="B779" s="1" t="str">
        <f>IF(ROW()&lt;=Results!$C$1+1,VLOOKUP($A779,Data!$A$2:$C$117,2,TRUE),"")</f>
        <v/>
      </c>
      <c r="C779" s="14" t="str">
        <f>IF(ROW()&lt;=Results!$C$1+1,IF(B779&lt;=0,"",LN(B779)),"")</f>
        <v/>
      </c>
      <c r="D779" s="58" t="str">
        <f ca="1">IF(Results!$S$5,A779,IF(ROW()&lt;=Results!$C$1+1,INDEX(Data!$A:$A,CEILING((COUNTA(Data!$A:$A)-1)*RAND()+1,1)),""))</f>
        <v/>
      </c>
      <c r="E779" s="1" t="str">
        <f>IF(ROW()&lt;=Results!$C$1+1,VLOOKUP($D779,Data!$A$2:$C$117,3,TRUE),"")</f>
        <v/>
      </c>
      <c r="F779" s="14" t="str">
        <f>IF(ROW()&lt;=Results!$C$1+1,IF(E779&lt;=0,"",LN(E779)),"")</f>
        <v/>
      </c>
      <c r="G779" s="53" t="str">
        <f>IF(ROW()&lt;=Results!$C$1+1,IF(ISERROR(C779-F779),"",C779-F779),"")</f>
        <v/>
      </c>
    </row>
    <row r="780" spans="1:7" x14ac:dyDescent="0.25">
      <c r="A780" s="1" t="str">
        <f ca="1">IF(ROW()&lt;=Results!$C$1+1,INDEX(Data!$A:$A,CEILING((COUNTA(Data!$A:$A)-1)*RAND()+1,1)),"")</f>
        <v/>
      </c>
      <c r="B780" s="1" t="str">
        <f>IF(ROW()&lt;=Results!$C$1+1,VLOOKUP($A780,Data!$A$2:$C$117,2,TRUE),"")</f>
        <v/>
      </c>
      <c r="C780" s="14" t="str">
        <f>IF(ROW()&lt;=Results!$C$1+1,IF(B780&lt;=0,"",LN(B780)),"")</f>
        <v/>
      </c>
      <c r="D780" s="58" t="str">
        <f ca="1">IF(Results!$S$5,A780,IF(ROW()&lt;=Results!$C$1+1,INDEX(Data!$A:$A,CEILING((COUNTA(Data!$A:$A)-1)*RAND()+1,1)),""))</f>
        <v/>
      </c>
      <c r="E780" s="1" t="str">
        <f>IF(ROW()&lt;=Results!$C$1+1,VLOOKUP($D780,Data!$A$2:$C$117,3,TRUE),"")</f>
        <v/>
      </c>
      <c r="F780" s="14" t="str">
        <f>IF(ROW()&lt;=Results!$C$1+1,IF(E780&lt;=0,"",LN(E780)),"")</f>
        <v/>
      </c>
      <c r="G780" s="53" t="str">
        <f>IF(ROW()&lt;=Results!$C$1+1,IF(ISERROR(C780-F780),"",C780-F780),"")</f>
        <v/>
      </c>
    </row>
    <row r="781" spans="1:7" x14ac:dyDescent="0.25">
      <c r="A781" s="1" t="str">
        <f ca="1">IF(ROW()&lt;=Results!$C$1+1,INDEX(Data!$A:$A,CEILING((COUNTA(Data!$A:$A)-1)*RAND()+1,1)),"")</f>
        <v/>
      </c>
      <c r="B781" s="1" t="str">
        <f>IF(ROW()&lt;=Results!$C$1+1,VLOOKUP($A781,Data!$A$2:$C$117,2,TRUE),"")</f>
        <v/>
      </c>
      <c r="C781" s="14" t="str">
        <f>IF(ROW()&lt;=Results!$C$1+1,IF(B781&lt;=0,"",LN(B781)),"")</f>
        <v/>
      </c>
      <c r="D781" s="58" t="str">
        <f ca="1">IF(Results!$S$5,A781,IF(ROW()&lt;=Results!$C$1+1,INDEX(Data!$A:$A,CEILING((COUNTA(Data!$A:$A)-1)*RAND()+1,1)),""))</f>
        <v/>
      </c>
      <c r="E781" s="1" t="str">
        <f>IF(ROW()&lt;=Results!$C$1+1,VLOOKUP($D781,Data!$A$2:$C$117,3,TRUE),"")</f>
        <v/>
      </c>
      <c r="F781" s="14" t="str">
        <f>IF(ROW()&lt;=Results!$C$1+1,IF(E781&lt;=0,"",LN(E781)),"")</f>
        <v/>
      </c>
      <c r="G781" s="53" t="str">
        <f>IF(ROW()&lt;=Results!$C$1+1,IF(ISERROR(C781-F781),"",C781-F781),"")</f>
        <v/>
      </c>
    </row>
    <row r="782" spans="1:7" x14ac:dyDescent="0.25">
      <c r="A782" s="1" t="str">
        <f ca="1">IF(ROW()&lt;=Results!$C$1+1,INDEX(Data!$A:$A,CEILING((COUNTA(Data!$A:$A)-1)*RAND()+1,1)),"")</f>
        <v/>
      </c>
      <c r="B782" s="1" t="str">
        <f>IF(ROW()&lt;=Results!$C$1+1,VLOOKUP($A782,Data!$A$2:$C$117,2,TRUE),"")</f>
        <v/>
      </c>
      <c r="C782" s="14" t="str">
        <f>IF(ROW()&lt;=Results!$C$1+1,IF(B782&lt;=0,"",LN(B782)),"")</f>
        <v/>
      </c>
      <c r="D782" s="58" t="str">
        <f ca="1">IF(Results!$S$5,A782,IF(ROW()&lt;=Results!$C$1+1,INDEX(Data!$A:$A,CEILING((COUNTA(Data!$A:$A)-1)*RAND()+1,1)),""))</f>
        <v/>
      </c>
      <c r="E782" s="1" t="str">
        <f>IF(ROW()&lt;=Results!$C$1+1,VLOOKUP($D782,Data!$A$2:$C$117,3,TRUE),"")</f>
        <v/>
      </c>
      <c r="F782" s="14" t="str">
        <f>IF(ROW()&lt;=Results!$C$1+1,IF(E782&lt;=0,"",LN(E782)),"")</f>
        <v/>
      </c>
      <c r="G782" s="53" t="str">
        <f>IF(ROW()&lt;=Results!$C$1+1,IF(ISERROR(C782-F782),"",C782-F782),"")</f>
        <v/>
      </c>
    </row>
    <row r="783" spans="1:7" x14ac:dyDescent="0.25">
      <c r="A783" s="1" t="str">
        <f ca="1">IF(ROW()&lt;=Results!$C$1+1,INDEX(Data!$A:$A,CEILING((COUNTA(Data!$A:$A)-1)*RAND()+1,1)),"")</f>
        <v/>
      </c>
      <c r="B783" s="1" t="str">
        <f>IF(ROW()&lt;=Results!$C$1+1,VLOOKUP($A783,Data!$A$2:$C$117,2,TRUE),"")</f>
        <v/>
      </c>
      <c r="C783" s="14" t="str">
        <f>IF(ROW()&lt;=Results!$C$1+1,IF(B783&lt;=0,"",LN(B783)),"")</f>
        <v/>
      </c>
      <c r="D783" s="58" t="str">
        <f ca="1">IF(Results!$S$5,A783,IF(ROW()&lt;=Results!$C$1+1,INDEX(Data!$A:$A,CEILING((COUNTA(Data!$A:$A)-1)*RAND()+1,1)),""))</f>
        <v/>
      </c>
      <c r="E783" s="1" t="str">
        <f>IF(ROW()&lt;=Results!$C$1+1,VLOOKUP($D783,Data!$A$2:$C$117,3,TRUE),"")</f>
        <v/>
      </c>
      <c r="F783" s="14" t="str">
        <f>IF(ROW()&lt;=Results!$C$1+1,IF(E783&lt;=0,"",LN(E783)),"")</f>
        <v/>
      </c>
      <c r="G783" s="53" t="str">
        <f>IF(ROW()&lt;=Results!$C$1+1,IF(ISERROR(C783-F783),"",C783-F783),"")</f>
        <v/>
      </c>
    </row>
    <row r="784" spans="1:7" x14ac:dyDescent="0.25">
      <c r="A784" s="1" t="str">
        <f ca="1">IF(ROW()&lt;=Results!$C$1+1,INDEX(Data!$A:$A,CEILING((COUNTA(Data!$A:$A)-1)*RAND()+1,1)),"")</f>
        <v/>
      </c>
      <c r="B784" s="1" t="str">
        <f>IF(ROW()&lt;=Results!$C$1+1,VLOOKUP($A784,Data!$A$2:$C$117,2,TRUE),"")</f>
        <v/>
      </c>
      <c r="C784" s="14" t="str">
        <f>IF(ROW()&lt;=Results!$C$1+1,IF(B784&lt;=0,"",LN(B784)),"")</f>
        <v/>
      </c>
      <c r="D784" s="58" t="str">
        <f ca="1">IF(Results!$S$5,A784,IF(ROW()&lt;=Results!$C$1+1,INDEX(Data!$A:$A,CEILING((COUNTA(Data!$A:$A)-1)*RAND()+1,1)),""))</f>
        <v/>
      </c>
      <c r="E784" s="1" t="str">
        <f>IF(ROW()&lt;=Results!$C$1+1,VLOOKUP($D784,Data!$A$2:$C$117,3,TRUE),"")</f>
        <v/>
      </c>
      <c r="F784" s="14" t="str">
        <f>IF(ROW()&lt;=Results!$C$1+1,IF(E784&lt;=0,"",LN(E784)),"")</f>
        <v/>
      </c>
      <c r="G784" s="53" t="str">
        <f>IF(ROW()&lt;=Results!$C$1+1,IF(ISERROR(C784-F784),"",C784-F784),"")</f>
        <v/>
      </c>
    </row>
    <row r="785" spans="1:7" x14ac:dyDescent="0.25">
      <c r="A785" s="1" t="str">
        <f ca="1">IF(ROW()&lt;=Results!$C$1+1,INDEX(Data!$A:$A,CEILING((COUNTA(Data!$A:$A)-1)*RAND()+1,1)),"")</f>
        <v/>
      </c>
      <c r="B785" s="1" t="str">
        <f>IF(ROW()&lt;=Results!$C$1+1,VLOOKUP($A785,Data!$A$2:$C$117,2,TRUE),"")</f>
        <v/>
      </c>
      <c r="C785" s="14" t="str">
        <f>IF(ROW()&lt;=Results!$C$1+1,IF(B785&lt;=0,"",LN(B785)),"")</f>
        <v/>
      </c>
      <c r="D785" s="58" t="str">
        <f ca="1">IF(Results!$S$5,A785,IF(ROW()&lt;=Results!$C$1+1,INDEX(Data!$A:$A,CEILING((COUNTA(Data!$A:$A)-1)*RAND()+1,1)),""))</f>
        <v/>
      </c>
      <c r="E785" s="1" t="str">
        <f>IF(ROW()&lt;=Results!$C$1+1,VLOOKUP($D785,Data!$A$2:$C$117,3,TRUE),"")</f>
        <v/>
      </c>
      <c r="F785" s="14" t="str">
        <f>IF(ROW()&lt;=Results!$C$1+1,IF(E785&lt;=0,"",LN(E785)),"")</f>
        <v/>
      </c>
      <c r="G785" s="53" t="str">
        <f>IF(ROW()&lt;=Results!$C$1+1,IF(ISERROR(C785-F785),"",C785-F785),"")</f>
        <v/>
      </c>
    </row>
    <row r="786" spans="1:7" x14ac:dyDescent="0.25">
      <c r="A786" s="1" t="str">
        <f ca="1">IF(ROW()&lt;=Results!$C$1+1,INDEX(Data!$A:$A,CEILING((COUNTA(Data!$A:$A)-1)*RAND()+1,1)),"")</f>
        <v/>
      </c>
      <c r="B786" s="1" t="str">
        <f>IF(ROW()&lt;=Results!$C$1+1,VLOOKUP($A786,Data!$A$2:$C$117,2,TRUE),"")</f>
        <v/>
      </c>
      <c r="C786" s="14" t="str">
        <f>IF(ROW()&lt;=Results!$C$1+1,IF(B786&lt;=0,"",LN(B786)),"")</f>
        <v/>
      </c>
      <c r="D786" s="58" t="str">
        <f ca="1">IF(Results!$S$5,A786,IF(ROW()&lt;=Results!$C$1+1,INDEX(Data!$A:$A,CEILING((COUNTA(Data!$A:$A)-1)*RAND()+1,1)),""))</f>
        <v/>
      </c>
      <c r="E786" s="1" t="str">
        <f>IF(ROW()&lt;=Results!$C$1+1,VLOOKUP($D786,Data!$A$2:$C$117,3,TRUE),"")</f>
        <v/>
      </c>
      <c r="F786" s="14" t="str">
        <f>IF(ROW()&lt;=Results!$C$1+1,IF(E786&lt;=0,"",LN(E786)),"")</f>
        <v/>
      </c>
      <c r="G786" s="53" t="str">
        <f>IF(ROW()&lt;=Results!$C$1+1,IF(ISERROR(C786-F786),"",C786-F786),"")</f>
        <v/>
      </c>
    </row>
    <row r="787" spans="1:7" x14ac:dyDescent="0.25">
      <c r="A787" s="1" t="str">
        <f ca="1">IF(ROW()&lt;=Results!$C$1+1,INDEX(Data!$A:$A,CEILING((COUNTA(Data!$A:$A)-1)*RAND()+1,1)),"")</f>
        <v/>
      </c>
      <c r="B787" s="1" t="str">
        <f>IF(ROW()&lt;=Results!$C$1+1,VLOOKUP($A787,Data!$A$2:$C$117,2,TRUE),"")</f>
        <v/>
      </c>
      <c r="C787" s="14" t="str">
        <f>IF(ROW()&lt;=Results!$C$1+1,IF(B787&lt;=0,"",LN(B787)),"")</f>
        <v/>
      </c>
      <c r="D787" s="58" t="str">
        <f ca="1">IF(Results!$S$5,A787,IF(ROW()&lt;=Results!$C$1+1,INDEX(Data!$A:$A,CEILING((COUNTA(Data!$A:$A)-1)*RAND()+1,1)),""))</f>
        <v/>
      </c>
      <c r="E787" s="1" t="str">
        <f>IF(ROW()&lt;=Results!$C$1+1,VLOOKUP($D787,Data!$A$2:$C$117,3,TRUE),"")</f>
        <v/>
      </c>
      <c r="F787" s="14" t="str">
        <f>IF(ROW()&lt;=Results!$C$1+1,IF(E787&lt;=0,"",LN(E787)),"")</f>
        <v/>
      </c>
      <c r="G787" s="53" t="str">
        <f>IF(ROW()&lt;=Results!$C$1+1,IF(ISERROR(C787-F787),"",C787-F787),"")</f>
        <v/>
      </c>
    </row>
    <row r="788" spans="1:7" x14ac:dyDescent="0.25">
      <c r="A788" s="1" t="str">
        <f ca="1">IF(ROW()&lt;=Results!$C$1+1,INDEX(Data!$A:$A,CEILING((COUNTA(Data!$A:$A)-1)*RAND()+1,1)),"")</f>
        <v/>
      </c>
      <c r="B788" s="1" t="str">
        <f>IF(ROW()&lt;=Results!$C$1+1,VLOOKUP($A788,Data!$A$2:$C$117,2,TRUE),"")</f>
        <v/>
      </c>
      <c r="C788" s="14" t="str">
        <f>IF(ROW()&lt;=Results!$C$1+1,IF(B788&lt;=0,"",LN(B788)),"")</f>
        <v/>
      </c>
      <c r="D788" s="58" t="str">
        <f ca="1">IF(Results!$S$5,A788,IF(ROW()&lt;=Results!$C$1+1,INDEX(Data!$A:$A,CEILING((COUNTA(Data!$A:$A)-1)*RAND()+1,1)),""))</f>
        <v/>
      </c>
      <c r="E788" s="1" t="str">
        <f>IF(ROW()&lt;=Results!$C$1+1,VLOOKUP($D788,Data!$A$2:$C$117,3,TRUE),"")</f>
        <v/>
      </c>
      <c r="F788" s="14" t="str">
        <f>IF(ROW()&lt;=Results!$C$1+1,IF(E788&lt;=0,"",LN(E788)),"")</f>
        <v/>
      </c>
      <c r="G788" s="53" t="str">
        <f>IF(ROW()&lt;=Results!$C$1+1,IF(ISERROR(C788-F788),"",C788-F788),"")</f>
        <v/>
      </c>
    </row>
    <row r="789" spans="1:7" x14ac:dyDescent="0.25">
      <c r="A789" s="1" t="str">
        <f ca="1">IF(ROW()&lt;=Results!$C$1+1,INDEX(Data!$A:$A,CEILING((COUNTA(Data!$A:$A)-1)*RAND()+1,1)),"")</f>
        <v/>
      </c>
      <c r="B789" s="1" t="str">
        <f>IF(ROW()&lt;=Results!$C$1+1,VLOOKUP($A789,Data!$A$2:$C$117,2,TRUE),"")</f>
        <v/>
      </c>
      <c r="C789" s="14" t="str">
        <f>IF(ROW()&lt;=Results!$C$1+1,IF(B789&lt;=0,"",LN(B789)),"")</f>
        <v/>
      </c>
      <c r="D789" s="58" t="str">
        <f ca="1">IF(Results!$S$5,A789,IF(ROW()&lt;=Results!$C$1+1,INDEX(Data!$A:$A,CEILING((COUNTA(Data!$A:$A)-1)*RAND()+1,1)),""))</f>
        <v/>
      </c>
      <c r="E789" s="1" t="str">
        <f>IF(ROW()&lt;=Results!$C$1+1,VLOOKUP($D789,Data!$A$2:$C$117,3,TRUE),"")</f>
        <v/>
      </c>
      <c r="F789" s="14" t="str">
        <f>IF(ROW()&lt;=Results!$C$1+1,IF(E789&lt;=0,"",LN(E789)),"")</f>
        <v/>
      </c>
      <c r="G789" s="53" t="str">
        <f>IF(ROW()&lt;=Results!$C$1+1,IF(ISERROR(C789-F789),"",C789-F789),"")</f>
        <v/>
      </c>
    </row>
    <row r="790" spans="1:7" x14ac:dyDescent="0.25">
      <c r="A790" s="1" t="str">
        <f ca="1">IF(ROW()&lt;=Results!$C$1+1,INDEX(Data!$A:$A,CEILING((COUNTA(Data!$A:$A)-1)*RAND()+1,1)),"")</f>
        <v/>
      </c>
      <c r="B790" s="1" t="str">
        <f>IF(ROW()&lt;=Results!$C$1+1,VLOOKUP($A790,Data!$A$2:$C$117,2,TRUE),"")</f>
        <v/>
      </c>
      <c r="C790" s="14" t="str">
        <f>IF(ROW()&lt;=Results!$C$1+1,IF(B790&lt;=0,"",LN(B790)),"")</f>
        <v/>
      </c>
      <c r="D790" s="58" t="str">
        <f ca="1">IF(Results!$S$5,A790,IF(ROW()&lt;=Results!$C$1+1,INDEX(Data!$A:$A,CEILING((COUNTA(Data!$A:$A)-1)*RAND()+1,1)),""))</f>
        <v/>
      </c>
      <c r="E790" s="1" t="str">
        <f>IF(ROW()&lt;=Results!$C$1+1,VLOOKUP($D790,Data!$A$2:$C$117,3,TRUE),"")</f>
        <v/>
      </c>
      <c r="F790" s="14" t="str">
        <f>IF(ROW()&lt;=Results!$C$1+1,IF(E790&lt;=0,"",LN(E790)),"")</f>
        <v/>
      </c>
      <c r="G790" s="53" t="str">
        <f>IF(ROW()&lt;=Results!$C$1+1,IF(ISERROR(C790-F790),"",C790-F790),"")</f>
        <v/>
      </c>
    </row>
    <row r="791" spans="1:7" x14ac:dyDescent="0.25">
      <c r="A791" s="1" t="str">
        <f ca="1">IF(ROW()&lt;=Results!$C$1+1,INDEX(Data!$A:$A,CEILING((COUNTA(Data!$A:$A)-1)*RAND()+1,1)),"")</f>
        <v/>
      </c>
      <c r="B791" s="1" t="str">
        <f>IF(ROW()&lt;=Results!$C$1+1,VLOOKUP($A791,Data!$A$2:$C$117,2,TRUE),"")</f>
        <v/>
      </c>
      <c r="C791" s="14" t="str">
        <f>IF(ROW()&lt;=Results!$C$1+1,IF(B791&lt;=0,"",LN(B791)),"")</f>
        <v/>
      </c>
      <c r="D791" s="58" t="str">
        <f ca="1">IF(Results!$S$5,A791,IF(ROW()&lt;=Results!$C$1+1,INDEX(Data!$A:$A,CEILING((COUNTA(Data!$A:$A)-1)*RAND()+1,1)),""))</f>
        <v/>
      </c>
      <c r="E791" s="1" t="str">
        <f>IF(ROW()&lt;=Results!$C$1+1,VLOOKUP($D791,Data!$A$2:$C$117,3,TRUE),"")</f>
        <v/>
      </c>
      <c r="F791" s="14" t="str">
        <f>IF(ROW()&lt;=Results!$C$1+1,IF(E791&lt;=0,"",LN(E791)),"")</f>
        <v/>
      </c>
      <c r="G791" s="53" t="str">
        <f>IF(ROW()&lt;=Results!$C$1+1,IF(ISERROR(C791-F791),"",C791-F791),"")</f>
        <v/>
      </c>
    </row>
    <row r="792" spans="1:7" x14ac:dyDescent="0.25">
      <c r="A792" s="1" t="str">
        <f ca="1">IF(ROW()&lt;=Results!$C$1+1,INDEX(Data!$A:$A,CEILING((COUNTA(Data!$A:$A)-1)*RAND()+1,1)),"")</f>
        <v/>
      </c>
      <c r="B792" s="1" t="str">
        <f>IF(ROW()&lt;=Results!$C$1+1,VLOOKUP($A792,Data!$A$2:$C$117,2,TRUE),"")</f>
        <v/>
      </c>
      <c r="C792" s="14" t="str">
        <f>IF(ROW()&lt;=Results!$C$1+1,IF(B792&lt;=0,"",LN(B792)),"")</f>
        <v/>
      </c>
      <c r="D792" s="58" t="str">
        <f ca="1">IF(Results!$S$5,A792,IF(ROW()&lt;=Results!$C$1+1,INDEX(Data!$A:$A,CEILING((COUNTA(Data!$A:$A)-1)*RAND()+1,1)),""))</f>
        <v/>
      </c>
      <c r="E792" s="1" t="str">
        <f>IF(ROW()&lt;=Results!$C$1+1,VLOOKUP($D792,Data!$A$2:$C$117,3,TRUE),"")</f>
        <v/>
      </c>
      <c r="F792" s="14" t="str">
        <f>IF(ROW()&lt;=Results!$C$1+1,IF(E792&lt;=0,"",LN(E792)),"")</f>
        <v/>
      </c>
      <c r="G792" s="53" t="str">
        <f>IF(ROW()&lt;=Results!$C$1+1,IF(ISERROR(C792-F792),"",C792-F792),"")</f>
        <v/>
      </c>
    </row>
    <row r="793" spans="1:7" x14ac:dyDescent="0.25">
      <c r="A793" s="1" t="str">
        <f ca="1">IF(ROW()&lt;=Results!$C$1+1,INDEX(Data!$A:$A,CEILING((COUNTA(Data!$A:$A)-1)*RAND()+1,1)),"")</f>
        <v/>
      </c>
      <c r="B793" s="1" t="str">
        <f>IF(ROW()&lt;=Results!$C$1+1,VLOOKUP($A793,Data!$A$2:$C$117,2,TRUE),"")</f>
        <v/>
      </c>
      <c r="C793" s="14" t="str">
        <f>IF(ROW()&lt;=Results!$C$1+1,IF(B793&lt;=0,"",LN(B793)),"")</f>
        <v/>
      </c>
      <c r="D793" s="58" t="str">
        <f ca="1">IF(Results!$S$5,A793,IF(ROW()&lt;=Results!$C$1+1,INDEX(Data!$A:$A,CEILING((COUNTA(Data!$A:$A)-1)*RAND()+1,1)),""))</f>
        <v/>
      </c>
      <c r="E793" s="1" t="str">
        <f>IF(ROW()&lt;=Results!$C$1+1,VLOOKUP($D793,Data!$A$2:$C$117,3,TRUE),"")</f>
        <v/>
      </c>
      <c r="F793" s="14" t="str">
        <f>IF(ROW()&lt;=Results!$C$1+1,IF(E793&lt;=0,"",LN(E793)),"")</f>
        <v/>
      </c>
      <c r="G793" s="53" t="str">
        <f>IF(ROW()&lt;=Results!$C$1+1,IF(ISERROR(C793-F793),"",C793-F793),"")</f>
        <v/>
      </c>
    </row>
    <row r="794" spans="1:7" x14ac:dyDescent="0.25">
      <c r="A794" s="1" t="str">
        <f ca="1">IF(ROW()&lt;=Results!$C$1+1,INDEX(Data!$A:$A,CEILING((COUNTA(Data!$A:$A)-1)*RAND()+1,1)),"")</f>
        <v/>
      </c>
      <c r="B794" s="1" t="str">
        <f>IF(ROW()&lt;=Results!$C$1+1,VLOOKUP($A794,Data!$A$2:$C$117,2,TRUE),"")</f>
        <v/>
      </c>
      <c r="C794" s="14" t="str">
        <f>IF(ROW()&lt;=Results!$C$1+1,IF(B794&lt;=0,"",LN(B794)),"")</f>
        <v/>
      </c>
      <c r="D794" s="58" t="str">
        <f ca="1">IF(Results!$S$5,A794,IF(ROW()&lt;=Results!$C$1+1,INDEX(Data!$A:$A,CEILING((COUNTA(Data!$A:$A)-1)*RAND()+1,1)),""))</f>
        <v/>
      </c>
      <c r="E794" s="1" t="str">
        <f>IF(ROW()&lt;=Results!$C$1+1,VLOOKUP($D794,Data!$A$2:$C$117,3,TRUE),"")</f>
        <v/>
      </c>
      <c r="F794" s="14" t="str">
        <f>IF(ROW()&lt;=Results!$C$1+1,IF(E794&lt;=0,"",LN(E794)),"")</f>
        <v/>
      </c>
      <c r="G794" s="53" t="str">
        <f>IF(ROW()&lt;=Results!$C$1+1,IF(ISERROR(C794-F794),"",C794-F794),"")</f>
        <v/>
      </c>
    </row>
    <row r="795" spans="1:7" x14ac:dyDescent="0.25">
      <c r="A795" s="1" t="str">
        <f ca="1">IF(ROW()&lt;=Results!$C$1+1,INDEX(Data!$A:$A,CEILING((COUNTA(Data!$A:$A)-1)*RAND()+1,1)),"")</f>
        <v/>
      </c>
      <c r="B795" s="1" t="str">
        <f>IF(ROW()&lt;=Results!$C$1+1,VLOOKUP($A795,Data!$A$2:$C$117,2,TRUE),"")</f>
        <v/>
      </c>
      <c r="C795" s="14" t="str">
        <f>IF(ROW()&lt;=Results!$C$1+1,IF(B795&lt;=0,"",LN(B795)),"")</f>
        <v/>
      </c>
      <c r="D795" s="58" t="str">
        <f ca="1">IF(Results!$S$5,A795,IF(ROW()&lt;=Results!$C$1+1,INDEX(Data!$A:$A,CEILING((COUNTA(Data!$A:$A)-1)*RAND()+1,1)),""))</f>
        <v/>
      </c>
      <c r="E795" s="1" t="str">
        <f>IF(ROW()&lt;=Results!$C$1+1,VLOOKUP($D795,Data!$A$2:$C$117,3,TRUE),"")</f>
        <v/>
      </c>
      <c r="F795" s="14" t="str">
        <f>IF(ROW()&lt;=Results!$C$1+1,IF(E795&lt;=0,"",LN(E795)),"")</f>
        <v/>
      </c>
      <c r="G795" s="53" t="str">
        <f>IF(ROW()&lt;=Results!$C$1+1,IF(ISERROR(C795-F795),"",C795-F795),"")</f>
        <v/>
      </c>
    </row>
    <row r="796" spans="1:7" x14ac:dyDescent="0.25">
      <c r="A796" s="1" t="str">
        <f ca="1">IF(ROW()&lt;=Results!$C$1+1,INDEX(Data!$A:$A,CEILING((COUNTA(Data!$A:$A)-1)*RAND()+1,1)),"")</f>
        <v/>
      </c>
      <c r="B796" s="1" t="str">
        <f>IF(ROW()&lt;=Results!$C$1+1,VLOOKUP($A796,Data!$A$2:$C$117,2,TRUE),"")</f>
        <v/>
      </c>
      <c r="C796" s="14" t="str">
        <f>IF(ROW()&lt;=Results!$C$1+1,IF(B796&lt;=0,"",LN(B796)),"")</f>
        <v/>
      </c>
      <c r="D796" s="58" t="str">
        <f ca="1">IF(Results!$S$5,A796,IF(ROW()&lt;=Results!$C$1+1,INDEX(Data!$A:$A,CEILING((COUNTA(Data!$A:$A)-1)*RAND()+1,1)),""))</f>
        <v/>
      </c>
      <c r="E796" s="1" t="str">
        <f>IF(ROW()&lt;=Results!$C$1+1,VLOOKUP($D796,Data!$A$2:$C$117,3,TRUE),"")</f>
        <v/>
      </c>
      <c r="F796" s="14" t="str">
        <f>IF(ROW()&lt;=Results!$C$1+1,IF(E796&lt;=0,"",LN(E796)),"")</f>
        <v/>
      </c>
      <c r="G796" s="53" t="str">
        <f>IF(ROW()&lt;=Results!$C$1+1,IF(ISERROR(C796-F796),"",C796-F796),"")</f>
        <v/>
      </c>
    </row>
    <row r="797" spans="1:7" x14ac:dyDescent="0.25">
      <c r="A797" s="1" t="str">
        <f ca="1">IF(ROW()&lt;=Results!$C$1+1,INDEX(Data!$A:$A,CEILING((COUNTA(Data!$A:$A)-1)*RAND()+1,1)),"")</f>
        <v/>
      </c>
      <c r="B797" s="1" t="str">
        <f>IF(ROW()&lt;=Results!$C$1+1,VLOOKUP($A797,Data!$A$2:$C$117,2,TRUE),"")</f>
        <v/>
      </c>
      <c r="C797" s="14" t="str">
        <f>IF(ROW()&lt;=Results!$C$1+1,IF(B797&lt;=0,"",LN(B797)),"")</f>
        <v/>
      </c>
      <c r="D797" s="58" t="str">
        <f ca="1">IF(Results!$S$5,A797,IF(ROW()&lt;=Results!$C$1+1,INDEX(Data!$A:$A,CEILING((COUNTA(Data!$A:$A)-1)*RAND()+1,1)),""))</f>
        <v/>
      </c>
      <c r="E797" s="1" t="str">
        <f>IF(ROW()&lt;=Results!$C$1+1,VLOOKUP($D797,Data!$A$2:$C$117,3,TRUE),"")</f>
        <v/>
      </c>
      <c r="F797" s="14" t="str">
        <f>IF(ROW()&lt;=Results!$C$1+1,IF(E797&lt;=0,"",LN(E797)),"")</f>
        <v/>
      </c>
      <c r="G797" s="53" t="str">
        <f>IF(ROW()&lt;=Results!$C$1+1,IF(ISERROR(C797-F797),"",C797-F797),"")</f>
        <v/>
      </c>
    </row>
    <row r="798" spans="1:7" x14ac:dyDescent="0.25">
      <c r="A798" s="1" t="str">
        <f ca="1">IF(ROW()&lt;=Results!$C$1+1,INDEX(Data!$A:$A,CEILING((COUNTA(Data!$A:$A)-1)*RAND()+1,1)),"")</f>
        <v/>
      </c>
      <c r="B798" s="1" t="str">
        <f>IF(ROW()&lt;=Results!$C$1+1,VLOOKUP($A798,Data!$A$2:$C$117,2,TRUE),"")</f>
        <v/>
      </c>
      <c r="C798" s="14" t="str">
        <f>IF(ROW()&lt;=Results!$C$1+1,IF(B798&lt;=0,"",LN(B798)),"")</f>
        <v/>
      </c>
      <c r="D798" s="58" t="str">
        <f ca="1">IF(Results!$S$5,A798,IF(ROW()&lt;=Results!$C$1+1,INDEX(Data!$A:$A,CEILING((COUNTA(Data!$A:$A)-1)*RAND()+1,1)),""))</f>
        <v/>
      </c>
      <c r="E798" s="1" t="str">
        <f>IF(ROW()&lt;=Results!$C$1+1,VLOOKUP($D798,Data!$A$2:$C$117,3,TRUE),"")</f>
        <v/>
      </c>
      <c r="F798" s="14" t="str">
        <f>IF(ROW()&lt;=Results!$C$1+1,IF(E798&lt;=0,"",LN(E798)),"")</f>
        <v/>
      </c>
      <c r="G798" s="53" t="str">
        <f>IF(ROW()&lt;=Results!$C$1+1,IF(ISERROR(C798-F798),"",C798-F798),"")</f>
        <v/>
      </c>
    </row>
    <row r="799" spans="1:7" x14ac:dyDescent="0.25">
      <c r="A799" s="1" t="str">
        <f ca="1">IF(ROW()&lt;=Results!$C$1+1,INDEX(Data!$A:$A,CEILING((COUNTA(Data!$A:$A)-1)*RAND()+1,1)),"")</f>
        <v/>
      </c>
      <c r="B799" s="1" t="str">
        <f>IF(ROW()&lt;=Results!$C$1+1,VLOOKUP($A799,Data!$A$2:$C$117,2,TRUE),"")</f>
        <v/>
      </c>
      <c r="C799" s="14" t="str">
        <f>IF(ROW()&lt;=Results!$C$1+1,IF(B799&lt;=0,"",LN(B799)),"")</f>
        <v/>
      </c>
      <c r="D799" s="58" t="str">
        <f ca="1">IF(Results!$S$5,A799,IF(ROW()&lt;=Results!$C$1+1,INDEX(Data!$A:$A,CEILING((COUNTA(Data!$A:$A)-1)*RAND()+1,1)),""))</f>
        <v/>
      </c>
      <c r="E799" s="1" t="str">
        <f>IF(ROW()&lt;=Results!$C$1+1,VLOOKUP($D799,Data!$A$2:$C$117,3,TRUE),"")</f>
        <v/>
      </c>
      <c r="F799" s="14" t="str">
        <f>IF(ROW()&lt;=Results!$C$1+1,IF(E799&lt;=0,"",LN(E799)),"")</f>
        <v/>
      </c>
      <c r="G799" s="53" t="str">
        <f>IF(ROW()&lt;=Results!$C$1+1,IF(ISERROR(C799-F799),"",C799-F799),"")</f>
        <v/>
      </c>
    </row>
    <row r="800" spans="1:7" x14ac:dyDescent="0.25">
      <c r="A800" s="1" t="str">
        <f ca="1">IF(ROW()&lt;=Results!$C$1+1,INDEX(Data!$A:$A,CEILING((COUNTA(Data!$A:$A)-1)*RAND()+1,1)),"")</f>
        <v/>
      </c>
      <c r="B800" s="1" t="str">
        <f>IF(ROW()&lt;=Results!$C$1+1,VLOOKUP($A800,Data!$A$2:$C$117,2,TRUE),"")</f>
        <v/>
      </c>
      <c r="C800" s="14" t="str">
        <f>IF(ROW()&lt;=Results!$C$1+1,IF(B800&lt;=0,"",LN(B800)),"")</f>
        <v/>
      </c>
      <c r="D800" s="58" t="str">
        <f ca="1">IF(Results!$S$5,A800,IF(ROW()&lt;=Results!$C$1+1,INDEX(Data!$A:$A,CEILING((COUNTA(Data!$A:$A)-1)*RAND()+1,1)),""))</f>
        <v/>
      </c>
      <c r="E800" s="1" t="str">
        <f>IF(ROW()&lt;=Results!$C$1+1,VLOOKUP($D800,Data!$A$2:$C$117,3,TRUE),"")</f>
        <v/>
      </c>
      <c r="F800" s="14" t="str">
        <f>IF(ROW()&lt;=Results!$C$1+1,IF(E800&lt;=0,"",LN(E800)),"")</f>
        <v/>
      </c>
      <c r="G800" s="53" t="str">
        <f>IF(ROW()&lt;=Results!$C$1+1,IF(ISERROR(C800-F800),"",C800-F800),"")</f>
        <v/>
      </c>
    </row>
    <row r="801" spans="1:7" x14ac:dyDescent="0.25">
      <c r="A801" s="1" t="str">
        <f ca="1">IF(ROW()&lt;=Results!$C$1+1,INDEX(Data!$A:$A,CEILING((COUNTA(Data!$A:$A)-1)*RAND()+1,1)),"")</f>
        <v/>
      </c>
      <c r="B801" s="1" t="str">
        <f>IF(ROW()&lt;=Results!$C$1+1,VLOOKUP($A801,Data!$A$2:$C$117,2,TRUE),"")</f>
        <v/>
      </c>
      <c r="C801" s="14" t="str">
        <f>IF(ROW()&lt;=Results!$C$1+1,IF(B801&lt;=0,"",LN(B801)),"")</f>
        <v/>
      </c>
      <c r="D801" s="58" t="str">
        <f ca="1">IF(Results!$S$5,A801,IF(ROW()&lt;=Results!$C$1+1,INDEX(Data!$A:$A,CEILING((COUNTA(Data!$A:$A)-1)*RAND()+1,1)),""))</f>
        <v/>
      </c>
      <c r="E801" s="1" t="str">
        <f>IF(ROW()&lt;=Results!$C$1+1,VLOOKUP($D801,Data!$A$2:$C$117,3,TRUE),"")</f>
        <v/>
      </c>
      <c r="F801" s="14" t="str">
        <f>IF(ROW()&lt;=Results!$C$1+1,IF(E801&lt;=0,"",LN(E801)),"")</f>
        <v/>
      </c>
      <c r="G801" s="53" t="str">
        <f>IF(ROW()&lt;=Results!$C$1+1,IF(ISERROR(C801-F801),"",C801-F801),"")</f>
        <v/>
      </c>
    </row>
    <row r="802" spans="1:7" x14ac:dyDescent="0.25">
      <c r="A802" s="1" t="str">
        <f ca="1">IF(ROW()&lt;=Results!$C$1+1,INDEX(Data!$A:$A,CEILING((COUNTA(Data!$A:$A)-1)*RAND()+1,1)),"")</f>
        <v/>
      </c>
      <c r="B802" s="1" t="str">
        <f>IF(ROW()&lt;=Results!$C$1+1,VLOOKUP($A802,Data!$A$2:$C$117,2,TRUE),"")</f>
        <v/>
      </c>
      <c r="C802" s="14" t="str">
        <f>IF(ROW()&lt;=Results!$C$1+1,IF(B802&lt;=0,"",LN(B802)),"")</f>
        <v/>
      </c>
      <c r="D802" s="58" t="str">
        <f ca="1">IF(Results!$S$5,A802,IF(ROW()&lt;=Results!$C$1+1,INDEX(Data!$A:$A,CEILING((COUNTA(Data!$A:$A)-1)*RAND()+1,1)),""))</f>
        <v/>
      </c>
      <c r="E802" s="1" t="str">
        <f>IF(ROW()&lt;=Results!$C$1+1,VLOOKUP($D802,Data!$A$2:$C$117,3,TRUE),"")</f>
        <v/>
      </c>
      <c r="F802" s="14" t="str">
        <f>IF(ROW()&lt;=Results!$C$1+1,IF(E802&lt;=0,"",LN(E802)),"")</f>
        <v/>
      </c>
      <c r="G802" s="53" t="str">
        <f>IF(ROW()&lt;=Results!$C$1+1,IF(ISERROR(C802-F802),"",C802-F802),"")</f>
        <v/>
      </c>
    </row>
    <row r="803" spans="1:7" x14ac:dyDescent="0.25">
      <c r="A803" s="1" t="str">
        <f ca="1">IF(ROW()&lt;=Results!$C$1+1,INDEX(Data!$A:$A,CEILING((COUNTA(Data!$A:$A)-1)*RAND()+1,1)),"")</f>
        <v/>
      </c>
      <c r="B803" s="1" t="str">
        <f>IF(ROW()&lt;=Results!$C$1+1,VLOOKUP($A803,Data!$A$2:$C$117,2,TRUE),"")</f>
        <v/>
      </c>
      <c r="C803" s="14" t="str">
        <f>IF(ROW()&lt;=Results!$C$1+1,IF(B803&lt;=0,"",LN(B803)),"")</f>
        <v/>
      </c>
      <c r="D803" s="58" t="str">
        <f ca="1">IF(Results!$S$5,A803,IF(ROW()&lt;=Results!$C$1+1,INDEX(Data!$A:$A,CEILING((COUNTA(Data!$A:$A)-1)*RAND()+1,1)),""))</f>
        <v/>
      </c>
      <c r="E803" s="1" t="str">
        <f>IF(ROW()&lt;=Results!$C$1+1,VLOOKUP($D803,Data!$A$2:$C$117,3,TRUE),"")</f>
        <v/>
      </c>
      <c r="F803" s="14" t="str">
        <f>IF(ROW()&lt;=Results!$C$1+1,IF(E803&lt;=0,"",LN(E803)),"")</f>
        <v/>
      </c>
      <c r="G803" s="53" t="str">
        <f>IF(ROW()&lt;=Results!$C$1+1,IF(ISERROR(C803-F803),"",C803-F803),"")</f>
        <v/>
      </c>
    </row>
    <row r="804" spans="1:7" x14ac:dyDescent="0.25">
      <c r="A804" s="1" t="str">
        <f ca="1">IF(ROW()&lt;=Results!$C$1+1,INDEX(Data!$A:$A,CEILING((COUNTA(Data!$A:$A)-1)*RAND()+1,1)),"")</f>
        <v/>
      </c>
      <c r="B804" s="1" t="str">
        <f>IF(ROW()&lt;=Results!$C$1+1,VLOOKUP($A804,Data!$A$2:$C$117,2,TRUE),"")</f>
        <v/>
      </c>
      <c r="C804" s="14" t="str">
        <f>IF(ROW()&lt;=Results!$C$1+1,IF(B804&lt;=0,"",LN(B804)),"")</f>
        <v/>
      </c>
      <c r="D804" s="58" t="str">
        <f ca="1">IF(Results!$S$5,A804,IF(ROW()&lt;=Results!$C$1+1,INDEX(Data!$A:$A,CEILING((COUNTA(Data!$A:$A)-1)*RAND()+1,1)),""))</f>
        <v/>
      </c>
      <c r="E804" s="1" t="str">
        <f>IF(ROW()&lt;=Results!$C$1+1,VLOOKUP($D804,Data!$A$2:$C$117,3,TRUE),"")</f>
        <v/>
      </c>
      <c r="F804" s="14" t="str">
        <f>IF(ROW()&lt;=Results!$C$1+1,IF(E804&lt;=0,"",LN(E804)),"")</f>
        <v/>
      </c>
      <c r="G804" s="53" t="str">
        <f>IF(ROW()&lt;=Results!$C$1+1,IF(ISERROR(C804-F804),"",C804-F804),"")</f>
        <v/>
      </c>
    </row>
    <row r="805" spans="1:7" x14ac:dyDescent="0.25">
      <c r="A805" s="1" t="str">
        <f ca="1">IF(ROW()&lt;=Results!$C$1+1,INDEX(Data!$A:$A,CEILING((COUNTA(Data!$A:$A)-1)*RAND()+1,1)),"")</f>
        <v/>
      </c>
      <c r="B805" s="1" t="str">
        <f>IF(ROW()&lt;=Results!$C$1+1,VLOOKUP($A805,Data!$A$2:$C$117,2,TRUE),"")</f>
        <v/>
      </c>
      <c r="C805" s="14" t="str">
        <f>IF(ROW()&lt;=Results!$C$1+1,IF(B805&lt;=0,"",LN(B805)),"")</f>
        <v/>
      </c>
      <c r="D805" s="58" t="str">
        <f ca="1">IF(Results!$S$5,A805,IF(ROW()&lt;=Results!$C$1+1,INDEX(Data!$A:$A,CEILING((COUNTA(Data!$A:$A)-1)*RAND()+1,1)),""))</f>
        <v/>
      </c>
      <c r="E805" s="1" t="str">
        <f>IF(ROW()&lt;=Results!$C$1+1,VLOOKUP($D805,Data!$A$2:$C$117,3,TRUE),"")</f>
        <v/>
      </c>
      <c r="F805" s="14" t="str">
        <f>IF(ROW()&lt;=Results!$C$1+1,IF(E805&lt;=0,"",LN(E805)),"")</f>
        <v/>
      </c>
      <c r="G805" s="53" t="str">
        <f>IF(ROW()&lt;=Results!$C$1+1,IF(ISERROR(C805-F805),"",C805-F805),"")</f>
        <v/>
      </c>
    </row>
    <row r="806" spans="1:7" x14ac:dyDescent="0.25">
      <c r="A806" s="1" t="str">
        <f ca="1">IF(ROW()&lt;=Results!$C$1+1,INDEX(Data!$A:$A,CEILING((COUNTA(Data!$A:$A)-1)*RAND()+1,1)),"")</f>
        <v/>
      </c>
      <c r="B806" s="1" t="str">
        <f>IF(ROW()&lt;=Results!$C$1+1,VLOOKUP($A806,Data!$A$2:$C$117,2,TRUE),"")</f>
        <v/>
      </c>
      <c r="C806" s="14" t="str">
        <f>IF(ROW()&lt;=Results!$C$1+1,IF(B806&lt;=0,"",LN(B806)),"")</f>
        <v/>
      </c>
      <c r="D806" s="58" t="str">
        <f ca="1">IF(Results!$S$5,A806,IF(ROW()&lt;=Results!$C$1+1,INDEX(Data!$A:$A,CEILING((COUNTA(Data!$A:$A)-1)*RAND()+1,1)),""))</f>
        <v/>
      </c>
      <c r="E806" s="1" t="str">
        <f>IF(ROW()&lt;=Results!$C$1+1,VLOOKUP($D806,Data!$A$2:$C$117,3,TRUE),"")</f>
        <v/>
      </c>
      <c r="F806" s="14" t="str">
        <f>IF(ROW()&lt;=Results!$C$1+1,IF(E806&lt;=0,"",LN(E806)),"")</f>
        <v/>
      </c>
      <c r="G806" s="53" t="str">
        <f>IF(ROW()&lt;=Results!$C$1+1,IF(ISERROR(C806-F806),"",C806-F806),"")</f>
        <v/>
      </c>
    </row>
    <row r="807" spans="1:7" x14ac:dyDescent="0.25">
      <c r="A807" s="1" t="str">
        <f ca="1">IF(ROW()&lt;=Results!$C$1+1,INDEX(Data!$A:$A,CEILING((COUNTA(Data!$A:$A)-1)*RAND()+1,1)),"")</f>
        <v/>
      </c>
      <c r="B807" s="1" t="str">
        <f>IF(ROW()&lt;=Results!$C$1+1,VLOOKUP($A807,Data!$A$2:$C$117,2,TRUE),"")</f>
        <v/>
      </c>
      <c r="C807" s="14" t="str">
        <f>IF(ROW()&lt;=Results!$C$1+1,IF(B807&lt;=0,"",LN(B807)),"")</f>
        <v/>
      </c>
      <c r="D807" s="58" t="str">
        <f ca="1">IF(Results!$S$5,A807,IF(ROW()&lt;=Results!$C$1+1,INDEX(Data!$A:$A,CEILING((COUNTA(Data!$A:$A)-1)*RAND()+1,1)),""))</f>
        <v/>
      </c>
      <c r="E807" s="1" t="str">
        <f>IF(ROW()&lt;=Results!$C$1+1,VLOOKUP($D807,Data!$A$2:$C$117,3,TRUE),"")</f>
        <v/>
      </c>
      <c r="F807" s="14" t="str">
        <f>IF(ROW()&lt;=Results!$C$1+1,IF(E807&lt;=0,"",LN(E807)),"")</f>
        <v/>
      </c>
      <c r="G807" s="53" t="str">
        <f>IF(ROW()&lt;=Results!$C$1+1,IF(ISERROR(C807-F807),"",C807-F807),"")</f>
        <v/>
      </c>
    </row>
    <row r="808" spans="1:7" x14ac:dyDescent="0.25">
      <c r="A808" s="1" t="str">
        <f ca="1">IF(ROW()&lt;=Results!$C$1+1,INDEX(Data!$A:$A,CEILING((COUNTA(Data!$A:$A)-1)*RAND()+1,1)),"")</f>
        <v/>
      </c>
      <c r="B808" s="1" t="str">
        <f>IF(ROW()&lt;=Results!$C$1+1,VLOOKUP($A808,Data!$A$2:$C$117,2,TRUE),"")</f>
        <v/>
      </c>
      <c r="C808" s="14" t="str">
        <f>IF(ROW()&lt;=Results!$C$1+1,IF(B808&lt;=0,"",LN(B808)),"")</f>
        <v/>
      </c>
      <c r="D808" s="58" t="str">
        <f ca="1">IF(Results!$S$5,A808,IF(ROW()&lt;=Results!$C$1+1,INDEX(Data!$A:$A,CEILING((COUNTA(Data!$A:$A)-1)*RAND()+1,1)),""))</f>
        <v/>
      </c>
      <c r="E808" s="1" t="str">
        <f>IF(ROW()&lt;=Results!$C$1+1,VLOOKUP($D808,Data!$A$2:$C$117,3,TRUE),"")</f>
        <v/>
      </c>
      <c r="F808" s="14" t="str">
        <f>IF(ROW()&lt;=Results!$C$1+1,IF(E808&lt;=0,"",LN(E808)),"")</f>
        <v/>
      </c>
      <c r="G808" s="53" t="str">
        <f>IF(ROW()&lt;=Results!$C$1+1,IF(ISERROR(C808-F808),"",C808-F808),"")</f>
        <v/>
      </c>
    </row>
    <row r="809" spans="1:7" x14ac:dyDescent="0.25">
      <c r="A809" s="1" t="str">
        <f ca="1">IF(ROW()&lt;=Results!$C$1+1,INDEX(Data!$A:$A,CEILING((COUNTA(Data!$A:$A)-1)*RAND()+1,1)),"")</f>
        <v/>
      </c>
      <c r="B809" s="1" t="str">
        <f>IF(ROW()&lt;=Results!$C$1+1,VLOOKUP($A809,Data!$A$2:$C$117,2,TRUE),"")</f>
        <v/>
      </c>
      <c r="C809" s="14" t="str">
        <f>IF(ROW()&lt;=Results!$C$1+1,IF(B809&lt;=0,"",LN(B809)),"")</f>
        <v/>
      </c>
      <c r="D809" s="58" t="str">
        <f ca="1">IF(Results!$S$5,A809,IF(ROW()&lt;=Results!$C$1+1,INDEX(Data!$A:$A,CEILING((COUNTA(Data!$A:$A)-1)*RAND()+1,1)),""))</f>
        <v/>
      </c>
      <c r="E809" s="1" t="str">
        <f>IF(ROW()&lt;=Results!$C$1+1,VLOOKUP($D809,Data!$A$2:$C$117,3,TRUE),"")</f>
        <v/>
      </c>
      <c r="F809" s="14" t="str">
        <f>IF(ROW()&lt;=Results!$C$1+1,IF(E809&lt;=0,"",LN(E809)),"")</f>
        <v/>
      </c>
      <c r="G809" s="53" t="str">
        <f>IF(ROW()&lt;=Results!$C$1+1,IF(ISERROR(C809-F809),"",C809-F809),"")</f>
        <v/>
      </c>
    </row>
    <row r="810" spans="1:7" x14ac:dyDescent="0.25">
      <c r="A810" s="1" t="str">
        <f ca="1">IF(ROW()&lt;=Results!$C$1+1,INDEX(Data!$A:$A,CEILING((COUNTA(Data!$A:$A)-1)*RAND()+1,1)),"")</f>
        <v/>
      </c>
      <c r="B810" s="1" t="str">
        <f>IF(ROW()&lt;=Results!$C$1+1,VLOOKUP($A810,Data!$A$2:$C$117,2,TRUE),"")</f>
        <v/>
      </c>
      <c r="C810" s="14" t="str">
        <f>IF(ROW()&lt;=Results!$C$1+1,IF(B810&lt;=0,"",LN(B810)),"")</f>
        <v/>
      </c>
      <c r="D810" s="58" t="str">
        <f ca="1">IF(Results!$S$5,A810,IF(ROW()&lt;=Results!$C$1+1,INDEX(Data!$A:$A,CEILING((COUNTA(Data!$A:$A)-1)*RAND()+1,1)),""))</f>
        <v/>
      </c>
      <c r="E810" s="1" t="str">
        <f>IF(ROW()&lt;=Results!$C$1+1,VLOOKUP($D810,Data!$A$2:$C$117,3,TRUE),"")</f>
        <v/>
      </c>
      <c r="F810" s="14" t="str">
        <f>IF(ROW()&lt;=Results!$C$1+1,IF(E810&lt;=0,"",LN(E810)),"")</f>
        <v/>
      </c>
      <c r="G810" s="53" t="str">
        <f>IF(ROW()&lt;=Results!$C$1+1,IF(ISERROR(C810-F810),"",C810-F810),"")</f>
        <v/>
      </c>
    </row>
    <row r="811" spans="1:7" x14ac:dyDescent="0.25">
      <c r="A811" s="1" t="str">
        <f ca="1">IF(ROW()&lt;=Results!$C$1+1,INDEX(Data!$A:$A,CEILING((COUNTA(Data!$A:$A)-1)*RAND()+1,1)),"")</f>
        <v/>
      </c>
      <c r="B811" s="1" t="str">
        <f>IF(ROW()&lt;=Results!$C$1+1,VLOOKUP($A811,Data!$A$2:$C$117,2,TRUE),"")</f>
        <v/>
      </c>
      <c r="C811" s="14" t="str">
        <f>IF(ROW()&lt;=Results!$C$1+1,IF(B811&lt;=0,"",LN(B811)),"")</f>
        <v/>
      </c>
      <c r="D811" s="58" t="str">
        <f ca="1">IF(Results!$S$5,A811,IF(ROW()&lt;=Results!$C$1+1,INDEX(Data!$A:$A,CEILING((COUNTA(Data!$A:$A)-1)*RAND()+1,1)),""))</f>
        <v/>
      </c>
      <c r="E811" s="1" t="str">
        <f>IF(ROW()&lt;=Results!$C$1+1,VLOOKUP($D811,Data!$A$2:$C$117,3,TRUE),"")</f>
        <v/>
      </c>
      <c r="F811" s="14" t="str">
        <f>IF(ROW()&lt;=Results!$C$1+1,IF(E811&lt;=0,"",LN(E811)),"")</f>
        <v/>
      </c>
      <c r="G811" s="53" t="str">
        <f>IF(ROW()&lt;=Results!$C$1+1,IF(ISERROR(C811-F811),"",C811-F811),"")</f>
        <v/>
      </c>
    </row>
    <row r="812" spans="1:7" x14ac:dyDescent="0.25">
      <c r="A812" s="1" t="str">
        <f ca="1">IF(ROW()&lt;=Results!$C$1+1,INDEX(Data!$A:$A,CEILING((COUNTA(Data!$A:$A)-1)*RAND()+1,1)),"")</f>
        <v/>
      </c>
      <c r="B812" s="1" t="str">
        <f>IF(ROW()&lt;=Results!$C$1+1,VLOOKUP($A812,Data!$A$2:$C$117,2,TRUE),"")</f>
        <v/>
      </c>
      <c r="C812" s="14" t="str">
        <f>IF(ROW()&lt;=Results!$C$1+1,IF(B812&lt;=0,"",LN(B812)),"")</f>
        <v/>
      </c>
      <c r="D812" s="58" t="str">
        <f ca="1">IF(Results!$S$5,A812,IF(ROW()&lt;=Results!$C$1+1,INDEX(Data!$A:$A,CEILING((COUNTA(Data!$A:$A)-1)*RAND()+1,1)),""))</f>
        <v/>
      </c>
      <c r="E812" s="1" t="str">
        <f>IF(ROW()&lt;=Results!$C$1+1,VLOOKUP($D812,Data!$A$2:$C$117,3,TRUE),"")</f>
        <v/>
      </c>
      <c r="F812" s="14" t="str">
        <f>IF(ROW()&lt;=Results!$C$1+1,IF(E812&lt;=0,"",LN(E812)),"")</f>
        <v/>
      </c>
      <c r="G812" s="53" t="str">
        <f>IF(ROW()&lt;=Results!$C$1+1,IF(ISERROR(C812-F812),"",C812-F812),"")</f>
        <v/>
      </c>
    </row>
    <row r="813" spans="1:7" x14ac:dyDescent="0.25">
      <c r="A813" s="1" t="str">
        <f ca="1">IF(ROW()&lt;=Results!$C$1+1,INDEX(Data!$A:$A,CEILING((COUNTA(Data!$A:$A)-1)*RAND()+1,1)),"")</f>
        <v/>
      </c>
      <c r="B813" s="1" t="str">
        <f>IF(ROW()&lt;=Results!$C$1+1,VLOOKUP($A813,Data!$A$2:$C$117,2,TRUE),"")</f>
        <v/>
      </c>
      <c r="C813" s="14" t="str">
        <f>IF(ROW()&lt;=Results!$C$1+1,IF(B813&lt;=0,"",LN(B813)),"")</f>
        <v/>
      </c>
      <c r="D813" s="58" t="str">
        <f ca="1">IF(Results!$S$5,A813,IF(ROW()&lt;=Results!$C$1+1,INDEX(Data!$A:$A,CEILING((COUNTA(Data!$A:$A)-1)*RAND()+1,1)),""))</f>
        <v/>
      </c>
      <c r="E813" s="1" t="str">
        <f>IF(ROW()&lt;=Results!$C$1+1,VLOOKUP($D813,Data!$A$2:$C$117,3,TRUE),"")</f>
        <v/>
      </c>
      <c r="F813" s="14" t="str">
        <f>IF(ROW()&lt;=Results!$C$1+1,IF(E813&lt;=0,"",LN(E813)),"")</f>
        <v/>
      </c>
      <c r="G813" s="53" t="str">
        <f>IF(ROW()&lt;=Results!$C$1+1,IF(ISERROR(C813-F813),"",C813-F813),"")</f>
        <v/>
      </c>
    </row>
    <row r="814" spans="1:7" x14ac:dyDescent="0.25">
      <c r="A814" s="1" t="str">
        <f ca="1">IF(ROW()&lt;=Results!$C$1+1,INDEX(Data!$A:$A,CEILING((COUNTA(Data!$A:$A)-1)*RAND()+1,1)),"")</f>
        <v/>
      </c>
      <c r="B814" s="1" t="str">
        <f>IF(ROW()&lt;=Results!$C$1+1,VLOOKUP($A814,Data!$A$2:$C$117,2,TRUE),"")</f>
        <v/>
      </c>
      <c r="C814" s="14" t="str">
        <f>IF(ROW()&lt;=Results!$C$1+1,IF(B814&lt;=0,"",LN(B814)),"")</f>
        <v/>
      </c>
      <c r="D814" s="58" t="str">
        <f ca="1">IF(Results!$S$5,A814,IF(ROW()&lt;=Results!$C$1+1,INDEX(Data!$A:$A,CEILING((COUNTA(Data!$A:$A)-1)*RAND()+1,1)),""))</f>
        <v/>
      </c>
      <c r="E814" s="1" t="str">
        <f>IF(ROW()&lt;=Results!$C$1+1,VLOOKUP($D814,Data!$A$2:$C$117,3,TRUE),"")</f>
        <v/>
      </c>
      <c r="F814" s="14" t="str">
        <f>IF(ROW()&lt;=Results!$C$1+1,IF(E814&lt;=0,"",LN(E814)),"")</f>
        <v/>
      </c>
      <c r="G814" s="53" t="str">
        <f>IF(ROW()&lt;=Results!$C$1+1,IF(ISERROR(C814-F814),"",C814-F814),"")</f>
        <v/>
      </c>
    </row>
    <row r="815" spans="1:7" x14ac:dyDescent="0.25">
      <c r="A815" s="1" t="str">
        <f ca="1">IF(ROW()&lt;=Results!$C$1+1,INDEX(Data!$A:$A,CEILING((COUNTA(Data!$A:$A)-1)*RAND()+1,1)),"")</f>
        <v/>
      </c>
      <c r="B815" s="1" t="str">
        <f>IF(ROW()&lt;=Results!$C$1+1,VLOOKUP($A815,Data!$A$2:$C$117,2,TRUE),"")</f>
        <v/>
      </c>
      <c r="C815" s="14" t="str">
        <f>IF(ROW()&lt;=Results!$C$1+1,IF(B815&lt;=0,"",LN(B815)),"")</f>
        <v/>
      </c>
      <c r="D815" s="58" t="str">
        <f ca="1">IF(Results!$S$5,A815,IF(ROW()&lt;=Results!$C$1+1,INDEX(Data!$A:$A,CEILING((COUNTA(Data!$A:$A)-1)*RAND()+1,1)),""))</f>
        <v/>
      </c>
      <c r="E815" s="1" t="str">
        <f>IF(ROW()&lt;=Results!$C$1+1,VLOOKUP($D815,Data!$A$2:$C$117,3,TRUE),"")</f>
        <v/>
      </c>
      <c r="F815" s="14" t="str">
        <f>IF(ROW()&lt;=Results!$C$1+1,IF(E815&lt;=0,"",LN(E815)),"")</f>
        <v/>
      </c>
      <c r="G815" s="53" t="str">
        <f>IF(ROW()&lt;=Results!$C$1+1,IF(ISERROR(C815-F815),"",C815-F815),"")</f>
        <v/>
      </c>
    </row>
    <row r="816" spans="1:7" x14ac:dyDescent="0.25">
      <c r="A816" s="1" t="str">
        <f ca="1">IF(ROW()&lt;=Results!$C$1+1,INDEX(Data!$A:$A,CEILING((COUNTA(Data!$A:$A)-1)*RAND()+1,1)),"")</f>
        <v/>
      </c>
      <c r="B816" s="1" t="str">
        <f>IF(ROW()&lt;=Results!$C$1+1,VLOOKUP($A816,Data!$A$2:$C$117,2,TRUE),"")</f>
        <v/>
      </c>
      <c r="C816" s="14" t="str">
        <f>IF(ROW()&lt;=Results!$C$1+1,IF(B816&lt;=0,"",LN(B816)),"")</f>
        <v/>
      </c>
      <c r="D816" s="58" t="str">
        <f ca="1">IF(Results!$S$5,A816,IF(ROW()&lt;=Results!$C$1+1,INDEX(Data!$A:$A,CEILING((COUNTA(Data!$A:$A)-1)*RAND()+1,1)),""))</f>
        <v/>
      </c>
      <c r="E816" s="1" t="str">
        <f>IF(ROW()&lt;=Results!$C$1+1,VLOOKUP($D816,Data!$A$2:$C$117,3,TRUE),"")</f>
        <v/>
      </c>
      <c r="F816" s="14" t="str">
        <f>IF(ROW()&lt;=Results!$C$1+1,IF(E816&lt;=0,"",LN(E816)),"")</f>
        <v/>
      </c>
      <c r="G816" s="53" t="str">
        <f>IF(ROW()&lt;=Results!$C$1+1,IF(ISERROR(C816-F816),"",C816-F816),"")</f>
        <v/>
      </c>
    </row>
    <row r="817" spans="1:7" x14ac:dyDescent="0.25">
      <c r="A817" s="1" t="str">
        <f ca="1">IF(ROW()&lt;=Results!$C$1+1,INDEX(Data!$A:$A,CEILING((COUNTA(Data!$A:$A)-1)*RAND()+1,1)),"")</f>
        <v/>
      </c>
      <c r="B817" s="1" t="str">
        <f>IF(ROW()&lt;=Results!$C$1+1,VLOOKUP($A817,Data!$A$2:$C$117,2,TRUE),"")</f>
        <v/>
      </c>
      <c r="C817" s="14" t="str">
        <f>IF(ROW()&lt;=Results!$C$1+1,IF(B817&lt;=0,"",LN(B817)),"")</f>
        <v/>
      </c>
      <c r="D817" s="58" t="str">
        <f ca="1">IF(Results!$S$5,A817,IF(ROW()&lt;=Results!$C$1+1,INDEX(Data!$A:$A,CEILING((COUNTA(Data!$A:$A)-1)*RAND()+1,1)),""))</f>
        <v/>
      </c>
      <c r="E817" s="1" t="str">
        <f>IF(ROW()&lt;=Results!$C$1+1,VLOOKUP($D817,Data!$A$2:$C$117,3,TRUE),"")</f>
        <v/>
      </c>
      <c r="F817" s="14" t="str">
        <f>IF(ROW()&lt;=Results!$C$1+1,IF(E817&lt;=0,"",LN(E817)),"")</f>
        <v/>
      </c>
      <c r="G817" s="53" t="str">
        <f>IF(ROW()&lt;=Results!$C$1+1,IF(ISERROR(C817-F817),"",C817-F817),"")</f>
        <v/>
      </c>
    </row>
    <row r="818" spans="1:7" x14ac:dyDescent="0.25">
      <c r="A818" s="1" t="str">
        <f ca="1">IF(ROW()&lt;=Results!$C$1+1,INDEX(Data!$A:$A,CEILING((COUNTA(Data!$A:$A)-1)*RAND()+1,1)),"")</f>
        <v/>
      </c>
      <c r="B818" s="1" t="str">
        <f>IF(ROW()&lt;=Results!$C$1+1,VLOOKUP($A818,Data!$A$2:$C$117,2,TRUE),"")</f>
        <v/>
      </c>
      <c r="C818" s="14" t="str">
        <f>IF(ROW()&lt;=Results!$C$1+1,IF(B818&lt;=0,"",LN(B818)),"")</f>
        <v/>
      </c>
      <c r="D818" s="58" t="str">
        <f ca="1">IF(Results!$S$5,A818,IF(ROW()&lt;=Results!$C$1+1,INDEX(Data!$A:$A,CEILING((COUNTA(Data!$A:$A)-1)*RAND()+1,1)),""))</f>
        <v/>
      </c>
      <c r="E818" s="1" t="str">
        <f>IF(ROW()&lt;=Results!$C$1+1,VLOOKUP($D818,Data!$A$2:$C$117,3,TRUE),"")</f>
        <v/>
      </c>
      <c r="F818" s="14" t="str">
        <f>IF(ROW()&lt;=Results!$C$1+1,IF(E818&lt;=0,"",LN(E818)),"")</f>
        <v/>
      </c>
      <c r="G818" s="53" t="str">
        <f>IF(ROW()&lt;=Results!$C$1+1,IF(ISERROR(C818-F818),"",C818-F818),"")</f>
        <v/>
      </c>
    </row>
    <row r="819" spans="1:7" x14ac:dyDescent="0.25">
      <c r="A819" s="1" t="str">
        <f ca="1">IF(ROW()&lt;=Results!$C$1+1,INDEX(Data!$A:$A,CEILING((COUNTA(Data!$A:$A)-1)*RAND()+1,1)),"")</f>
        <v/>
      </c>
      <c r="B819" s="1" t="str">
        <f>IF(ROW()&lt;=Results!$C$1+1,VLOOKUP($A819,Data!$A$2:$C$117,2,TRUE),"")</f>
        <v/>
      </c>
      <c r="C819" s="14" t="str">
        <f>IF(ROW()&lt;=Results!$C$1+1,IF(B819&lt;=0,"",LN(B819)),"")</f>
        <v/>
      </c>
      <c r="D819" s="58" t="str">
        <f ca="1">IF(Results!$S$5,A819,IF(ROW()&lt;=Results!$C$1+1,INDEX(Data!$A:$A,CEILING((COUNTA(Data!$A:$A)-1)*RAND()+1,1)),""))</f>
        <v/>
      </c>
      <c r="E819" s="1" t="str">
        <f>IF(ROW()&lt;=Results!$C$1+1,VLOOKUP($D819,Data!$A$2:$C$117,3,TRUE),"")</f>
        <v/>
      </c>
      <c r="F819" s="14" t="str">
        <f>IF(ROW()&lt;=Results!$C$1+1,IF(E819&lt;=0,"",LN(E819)),"")</f>
        <v/>
      </c>
      <c r="G819" s="53" t="str">
        <f>IF(ROW()&lt;=Results!$C$1+1,IF(ISERROR(C819-F819),"",C819-F819),"")</f>
        <v/>
      </c>
    </row>
    <row r="820" spans="1:7" x14ac:dyDescent="0.25">
      <c r="A820" s="1" t="str">
        <f ca="1">IF(ROW()&lt;=Results!$C$1+1,INDEX(Data!$A:$A,CEILING((COUNTA(Data!$A:$A)-1)*RAND()+1,1)),"")</f>
        <v/>
      </c>
      <c r="B820" s="1" t="str">
        <f>IF(ROW()&lt;=Results!$C$1+1,VLOOKUP($A820,Data!$A$2:$C$117,2,TRUE),"")</f>
        <v/>
      </c>
      <c r="C820" s="14" t="str">
        <f>IF(ROW()&lt;=Results!$C$1+1,IF(B820&lt;=0,"",LN(B820)),"")</f>
        <v/>
      </c>
      <c r="D820" s="58" t="str">
        <f ca="1">IF(Results!$S$5,A820,IF(ROW()&lt;=Results!$C$1+1,INDEX(Data!$A:$A,CEILING((COUNTA(Data!$A:$A)-1)*RAND()+1,1)),""))</f>
        <v/>
      </c>
      <c r="E820" s="1" t="str">
        <f>IF(ROW()&lt;=Results!$C$1+1,VLOOKUP($D820,Data!$A$2:$C$117,3,TRUE),"")</f>
        <v/>
      </c>
      <c r="F820" s="14" t="str">
        <f>IF(ROW()&lt;=Results!$C$1+1,IF(E820&lt;=0,"",LN(E820)),"")</f>
        <v/>
      </c>
      <c r="G820" s="53" t="str">
        <f>IF(ROW()&lt;=Results!$C$1+1,IF(ISERROR(C820-F820),"",C820-F820),"")</f>
        <v/>
      </c>
    </row>
    <row r="821" spans="1:7" x14ac:dyDescent="0.25">
      <c r="A821" s="1" t="str">
        <f ca="1">IF(ROW()&lt;=Results!$C$1+1,INDEX(Data!$A:$A,CEILING((COUNTA(Data!$A:$A)-1)*RAND()+1,1)),"")</f>
        <v/>
      </c>
      <c r="B821" s="1" t="str">
        <f>IF(ROW()&lt;=Results!$C$1+1,VLOOKUP($A821,Data!$A$2:$C$117,2,TRUE),"")</f>
        <v/>
      </c>
      <c r="C821" s="14" t="str">
        <f>IF(ROW()&lt;=Results!$C$1+1,IF(B821&lt;=0,"",LN(B821)),"")</f>
        <v/>
      </c>
      <c r="D821" s="58" t="str">
        <f ca="1">IF(Results!$S$5,A821,IF(ROW()&lt;=Results!$C$1+1,INDEX(Data!$A:$A,CEILING((COUNTA(Data!$A:$A)-1)*RAND()+1,1)),""))</f>
        <v/>
      </c>
      <c r="E821" s="1" t="str">
        <f>IF(ROW()&lt;=Results!$C$1+1,VLOOKUP($D821,Data!$A$2:$C$117,3,TRUE),"")</f>
        <v/>
      </c>
      <c r="F821" s="14" t="str">
        <f>IF(ROW()&lt;=Results!$C$1+1,IF(E821&lt;=0,"",LN(E821)),"")</f>
        <v/>
      </c>
      <c r="G821" s="53" t="str">
        <f>IF(ROW()&lt;=Results!$C$1+1,IF(ISERROR(C821-F821),"",C821-F821),"")</f>
        <v/>
      </c>
    </row>
    <row r="822" spans="1:7" x14ac:dyDescent="0.25">
      <c r="A822" s="1" t="str">
        <f ca="1">IF(ROW()&lt;=Results!$C$1+1,INDEX(Data!$A:$A,CEILING((COUNTA(Data!$A:$A)-1)*RAND()+1,1)),"")</f>
        <v/>
      </c>
      <c r="B822" s="1" t="str">
        <f>IF(ROW()&lt;=Results!$C$1+1,VLOOKUP($A822,Data!$A$2:$C$117,2,TRUE),"")</f>
        <v/>
      </c>
      <c r="C822" s="14" t="str">
        <f>IF(ROW()&lt;=Results!$C$1+1,IF(B822&lt;=0,"",LN(B822)),"")</f>
        <v/>
      </c>
      <c r="D822" s="58" t="str">
        <f ca="1">IF(Results!$S$5,A822,IF(ROW()&lt;=Results!$C$1+1,INDEX(Data!$A:$A,CEILING((COUNTA(Data!$A:$A)-1)*RAND()+1,1)),""))</f>
        <v/>
      </c>
      <c r="E822" s="1" t="str">
        <f>IF(ROW()&lt;=Results!$C$1+1,VLOOKUP($D822,Data!$A$2:$C$117,3,TRUE),"")</f>
        <v/>
      </c>
      <c r="F822" s="14" t="str">
        <f>IF(ROW()&lt;=Results!$C$1+1,IF(E822&lt;=0,"",LN(E822)),"")</f>
        <v/>
      </c>
      <c r="G822" s="53" t="str">
        <f>IF(ROW()&lt;=Results!$C$1+1,IF(ISERROR(C822-F822),"",C822-F822),"")</f>
        <v/>
      </c>
    </row>
    <row r="823" spans="1:7" x14ac:dyDescent="0.25">
      <c r="A823" s="1" t="str">
        <f ca="1">IF(ROW()&lt;=Results!$C$1+1,INDEX(Data!$A:$A,CEILING((COUNTA(Data!$A:$A)-1)*RAND()+1,1)),"")</f>
        <v/>
      </c>
      <c r="B823" s="1" t="str">
        <f>IF(ROW()&lt;=Results!$C$1+1,VLOOKUP($A823,Data!$A$2:$C$117,2,TRUE),"")</f>
        <v/>
      </c>
      <c r="C823" s="14" t="str">
        <f>IF(ROW()&lt;=Results!$C$1+1,IF(B823&lt;=0,"",LN(B823)),"")</f>
        <v/>
      </c>
      <c r="D823" s="58" t="str">
        <f ca="1">IF(Results!$S$5,A823,IF(ROW()&lt;=Results!$C$1+1,INDEX(Data!$A:$A,CEILING((COUNTA(Data!$A:$A)-1)*RAND()+1,1)),""))</f>
        <v/>
      </c>
      <c r="E823" s="1" t="str">
        <f>IF(ROW()&lt;=Results!$C$1+1,VLOOKUP($D823,Data!$A$2:$C$117,3,TRUE),"")</f>
        <v/>
      </c>
      <c r="F823" s="14" t="str">
        <f>IF(ROW()&lt;=Results!$C$1+1,IF(E823&lt;=0,"",LN(E823)),"")</f>
        <v/>
      </c>
      <c r="G823" s="53" t="str">
        <f>IF(ROW()&lt;=Results!$C$1+1,IF(ISERROR(C823-F823),"",C823-F823),"")</f>
        <v/>
      </c>
    </row>
    <row r="824" spans="1:7" x14ac:dyDescent="0.25">
      <c r="A824" s="1" t="str">
        <f ca="1">IF(ROW()&lt;=Results!$C$1+1,INDEX(Data!$A:$A,CEILING((COUNTA(Data!$A:$A)-1)*RAND()+1,1)),"")</f>
        <v/>
      </c>
      <c r="B824" s="1" t="str">
        <f>IF(ROW()&lt;=Results!$C$1+1,VLOOKUP($A824,Data!$A$2:$C$117,2,TRUE),"")</f>
        <v/>
      </c>
      <c r="C824" s="14" t="str">
        <f>IF(ROW()&lt;=Results!$C$1+1,IF(B824&lt;=0,"",LN(B824)),"")</f>
        <v/>
      </c>
      <c r="D824" s="58" t="str">
        <f ca="1">IF(Results!$S$5,A824,IF(ROW()&lt;=Results!$C$1+1,INDEX(Data!$A:$A,CEILING((COUNTA(Data!$A:$A)-1)*RAND()+1,1)),""))</f>
        <v/>
      </c>
      <c r="E824" s="1" t="str">
        <f>IF(ROW()&lt;=Results!$C$1+1,VLOOKUP($D824,Data!$A$2:$C$117,3,TRUE),"")</f>
        <v/>
      </c>
      <c r="F824" s="14" t="str">
        <f>IF(ROW()&lt;=Results!$C$1+1,IF(E824&lt;=0,"",LN(E824)),"")</f>
        <v/>
      </c>
      <c r="G824" s="53" t="str">
        <f>IF(ROW()&lt;=Results!$C$1+1,IF(ISERROR(C824-F824),"",C824-F824),"")</f>
        <v/>
      </c>
    </row>
    <row r="825" spans="1:7" x14ac:dyDescent="0.25">
      <c r="A825" s="1" t="str">
        <f ca="1">IF(ROW()&lt;=Results!$C$1+1,INDEX(Data!$A:$A,CEILING((COUNTA(Data!$A:$A)-1)*RAND()+1,1)),"")</f>
        <v/>
      </c>
      <c r="B825" s="1" t="str">
        <f>IF(ROW()&lt;=Results!$C$1+1,VLOOKUP($A825,Data!$A$2:$C$117,2,TRUE),"")</f>
        <v/>
      </c>
      <c r="C825" s="14" t="str">
        <f>IF(ROW()&lt;=Results!$C$1+1,IF(B825&lt;=0,"",LN(B825)),"")</f>
        <v/>
      </c>
      <c r="D825" s="58" t="str">
        <f ca="1">IF(Results!$S$5,A825,IF(ROW()&lt;=Results!$C$1+1,INDEX(Data!$A:$A,CEILING((COUNTA(Data!$A:$A)-1)*RAND()+1,1)),""))</f>
        <v/>
      </c>
      <c r="E825" s="1" t="str">
        <f>IF(ROW()&lt;=Results!$C$1+1,VLOOKUP($D825,Data!$A$2:$C$117,3,TRUE),"")</f>
        <v/>
      </c>
      <c r="F825" s="14" t="str">
        <f>IF(ROW()&lt;=Results!$C$1+1,IF(E825&lt;=0,"",LN(E825)),"")</f>
        <v/>
      </c>
      <c r="G825" s="53" t="str">
        <f>IF(ROW()&lt;=Results!$C$1+1,IF(ISERROR(C825-F825),"",C825-F825),"")</f>
        <v/>
      </c>
    </row>
    <row r="826" spans="1:7" x14ac:dyDescent="0.25">
      <c r="A826" s="1" t="str">
        <f ca="1">IF(ROW()&lt;=Results!$C$1+1,INDEX(Data!$A:$A,CEILING((COUNTA(Data!$A:$A)-1)*RAND()+1,1)),"")</f>
        <v/>
      </c>
      <c r="B826" s="1" t="str">
        <f>IF(ROW()&lt;=Results!$C$1+1,VLOOKUP($A826,Data!$A$2:$C$117,2,TRUE),"")</f>
        <v/>
      </c>
      <c r="C826" s="14" t="str">
        <f>IF(ROW()&lt;=Results!$C$1+1,IF(B826&lt;=0,"",LN(B826)),"")</f>
        <v/>
      </c>
      <c r="D826" s="58" t="str">
        <f ca="1">IF(Results!$S$5,A826,IF(ROW()&lt;=Results!$C$1+1,INDEX(Data!$A:$A,CEILING((COUNTA(Data!$A:$A)-1)*RAND()+1,1)),""))</f>
        <v/>
      </c>
      <c r="E826" s="1" t="str">
        <f>IF(ROW()&lt;=Results!$C$1+1,VLOOKUP($D826,Data!$A$2:$C$117,3,TRUE),"")</f>
        <v/>
      </c>
      <c r="F826" s="14" t="str">
        <f>IF(ROW()&lt;=Results!$C$1+1,IF(E826&lt;=0,"",LN(E826)),"")</f>
        <v/>
      </c>
      <c r="G826" s="53" t="str">
        <f>IF(ROW()&lt;=Results!$C$1+1,IF(ISERROR(C826-F826),"",C826-F826),"")</f>
        <v/>
      </c>
    </row>
    <row r="827" spans="1:7" x14ac:dyDescent="0.25">
      <c r="A827" s="1" t="str">
        <f ca="1">IF(ROW()&lt;=Results!$C$1+1,INDEX(Data!$A:$A,CEILING((COUNTA(Data!$A:$A)-1)*RAND()+1,1)),"")</f>
        <v/>
      </c>
      <c r="B827" s="1" t="str">
        <f>IF(ROW()&lt;=Results!$C$1+1,VLOOKUP($A827,Data!$A$2:$C$117,2,TRUE),"")</f>
        <v/>
      </c>
      <c r="C827" s="14" t="str">
        <f>IF(ROW()&lt;=Results!$C$1+1,IF(B827&lt;=0,"",LN(B827)),"")</f>
        <v/>
      </c>
      <c r="D827" s="58" t="str">
        <f ca="1">IF(Results!$S$5,A827,IF(ROW()&lt;=Results!$C$1+1,INDEX(Data!$A:$A,CEILING((COUNTA(Data!$A:$A)-1)*RAND()+1,1)),""))</f>
        <v/>
      </c>
      <c r="E827" s="1" t="str">
        <f>IF(ROW()&lt;=Results!$C$1+1,VLOOKUP($D827,Data!$A$2:$C$117,3,TRUE),"")</f>
        <v/>
      </c>
      <c r="F827" s="14" t="str">
        <f>IF(ROW()&lt;=Results!$C$1+1,IF(E827&lt;=0,"",LN(E827)),"")</f>
        <v/>
      </c>
      <c r="G827" s="53" t="str">
        <f>IF(ROW()&lt;=Results!$C$1+1,IF(ISERROR(C827-F827),"",C827-F827),"")</f>
        <v/>
      </c>
    </row>
    <row r="828" spans="1:7" x14ac:dyDescent="0.25">
      <c r="A828" s="1" t="str">
        <f ca="1">IF(ROW()&lt;=Results!$C$1+1,INDEX(Data!$A:$A,CEILING((COUNTA(Data!$A:$A)-1)*RAND()+1,1)),"")</f>
        <v/>
      </c>
      <c r="B828" s="1" t="str">
        <f>IF(ROW()&lt;=Results!$C$1+1,VLOOKUP($A828,Data!$A$2:$C$117,2,TRUE),"")</f>
        <v/>
      </c>
      <c r="C828" s="14" t="str">
        <f>IF(ROW()&lt;=Results!$C$1+1,IF(B828&lt;=0,"",LN(B828)),"")</f>
        <v/>
      </c>
      <c r="D828" s="58" t="str">
        <f ca="1">IF(Results!$S$5,A828,IF(ROW()&lt;=Results!$C$1+1,INDEX(Data!$A:$A,CEILING((COUNTA(Data!$A:$A)-1)*RAND()+1,1)),""))</f>
        <v/>
      </c>
      <c r="E828" s="1" t="str">
        <f>IF(ROW()&lt;=Results!$C$1+1,VLOOKUP($D828,Data!$A$2:$C$117,3,TRUE),"")</f>
        <v/>
      </c>
      <c r="F828" s="14" t="str">
        <f>IF(ROW()&lt;=Results!$C$1+1,IF(E828&lt;=0,"",LN(E828)),"")</f>
        <v/>
      </c>
      <c r="G828" s="53" t="str">
        <f>IF(ROW()&lt;=Results!$C$1+1,IF(ISERROR(C828-F828),"",C828-F828),"")</f>
        <v/>
      </c>
    </row>
    <row r="829" spans="1:7" x14ac:dyDescent="0.25">
      <c r="A829" s="1" t="str">
        <f ca="1">IF(ROW()&lt;=Results!$C$1+1,INDEX(Data!$A:$A,CEILING((COUNTA(Data!$A:$A)-1)*RAND()+1,1)),"")</f>
        <v/>
      </c>
      <c r="B829" s="1" t="str">
        <f>IF(ROW()&lt;=Results!$C$1+1,VLOOKUP($A829,Data!$A$2:$C$117,2,TRUE),"")</f>
        <v/>
      </c>
      <c r="C829" s="14" t="str">
        <f>IF(ROW()&lt;=Results!$C$1+1,IF(B829&lt;=0,"",LN(B829)),"")</f>
        <v/>
      </c>
      <c r="D829" s="58" t="str">
        <f ca="1">IF(Results!$S$5,A829,IF(ROW()&lt;=Results!$C$1+1,INDEX(Data!$A:$A,CEILING((COUNTA(Data!$A:$A)-1)*RAND()+1,1)),""))</f>
        <v/>
      </c>
      <c r="E829" s="1" t="str">
        <f>IF(ROW()&lt;=Results!$C$1+1,VLOOKUP($D829,Data!$A$2:$C$117,3,TRUE),"")</f>
        <v/>
      </c>
      <c r="F829" s="14" t="str">
        <f>IF(ROW()&lt;=Results!$C$1+1,IF(E829&lt;=0,"",LN(E829)),"")</f>
        <v/>
      </c>
      <c r="G829" s="53" t="str">
        <f>IF(ROW()&lt;=Results!$C$1+1,IF(ISERROR(C829-F829),"",C829-F829),"")</f>
        <v/>
      </c>
    </row>
    <row r="830" spans="1:7" x14ac:dyDescent="0.25">
      <c r="A830" s="1" t="str">
        <f ca="1">IF(ROW()&lt;=Results!$C$1+1,INDEX(Data!$A:$A,CEILING((COUNTA(Data!$A:$A)-1)*RAND()+1,1)),"")</f>
        <v/>
      </c>
      <c r="B830" s="1" t="str">
        <f>IF(ROW()&lt;=Results!$C$1+1,VLOOKUP($A830,Data!$A$2:$C$117,2,TRUE),"")</f>
        <v/>
      </c>
      <c r="C830" s="14" t="str">
        <f>IF(ROW()&lt;=Results!$C$1+1,IF(B830&lt;=0,"",LN(B830)),"")</f>
        <v/>
      </c>
      <c r="D830" s="58" t="str">
        <f ca="1">IF(Results!$S$5,A830,IF(ROW()&lt;=Results!$C$1+1,INDEX(Data!$A:$A,CEILING((COUNTA(Data!$A:$A)-1)*RAND()+1,1)),""))</f>
        <v/>
      </c>
      <c r="E830" s="1" t="str">
        <f>IF(ROW()&lt;=Results!$C$1+1,VLOOKUP($D830,Data!$A$2:$C$117,3,TRUE),"")</f>
        <v/>
      </c>
      <c r="F830" s="14" t="str">
        <f>IF(ROW()&lt;=Results!$C$1+1,IF(E830&lt;=0,"",LN(E830)),"")</f>
        <v/>
      </c>
      <c r="G830" s="53" t="str">
        <f>IF(ROW()&lt;=Results!$C$1+1,IF(ISERROR(C830-F830),"",C830-F830),"")</f>
        <v/>
      </c>
    </row>
    <row r="831" spans="1:7" x14ac:dyDescent="0.25">
      <c r="A831" s="1" t="str">
        <f ca="1">IF(ROW()&lt;=Results!$C$1+1,INDEX(Data!$A:$A,CEILING((COUNTA(Data!$A:$A)-1)*RAND()+1,1)),"")</f>
        <v/>
      </c>
      <c r="B831" s="1" t="str">
        <f>IF(ROW()&lt;=Results!$C$1+1,VLOOKUP($A831,Data!$A$2:$C$117,2,TRUE),"")</f>
        <v/>
      </c>
      <c r="C831" s="14" t="str">
        <f>IF(ROW()&lt;=Results!$C$1+1,IF(B831&lt;=0,"",LN(B831)),"")</f>
        <v/>
      </c>
      <c r="D831" s="58" t="str">
        <f ca="1">IF(Results!$S$5,A831,IF(ROW()&lt;=Results!$C$1+1,INDEX(Data!$A:$A,CEILING((COUNTA(Data!$A:$A)-1)*RAND()+1,1)),""))</f>
        <v/>
      </c>
      <c r="E831" s="1" t="str">
        <f>IF(ROW()&lt;=Results!$C$1+1,VLOOKUP($D831,Data!$A$2:$C$117,3,TRUE),"")</f>
        <v/>
      </c>
      <c r="F831" s="14" t="str">
        <f>IF(ROW()&lt;=Results!$C$1+1,IF(E831&lt;=0,"",LN(E831)),"")</f>
        <v/>
      </c>
      <c r="G831" s="53" t="str">
        <f>IF(ROW()&lt;=Results!$C$1+1,IF(ISERROR(C831-F831),"",C831-F831),"")</f>
        <v/>
      </c>
    </row>
    <row r="832" spans="1:7" x14ac:dyDescent="0.25">
      <c r="A832" s="1" t="str">
        <f ca="1">IF(ROW()&lt;=Results!$C$1+1,INDEX(Data!$A:$A,CEILING((COUNTA(Data!$A:$A)-1)*RAND()+1,1)),"")</f>
        <v/>
      </c>
      <c r="B832" s="1" t="str">
        <f>IF(ROW()&lt;=Results!$C$1+1,VLOOKUP($A832,Data!$A$2:$C$117,2,TRUE),"")</f>
        <v/>
      </c>
      <c r="C832" s="14" t="str">
        <f>IF(ROW()&lt;=Results!$C$1+1,IF(B832&lt;=0,"",LN(B832)),"")</f>
        <v/>
      </c>
      <c r="D832" s="58" t="str">
        <f ca="1">IF(Results!$S$5,A832,IF(ROW()&lt;=Results!$C$1+1,INDEX(Data!$A:$A,CEILING((COUNTA(Data!$A:$A)-1)*RAND()+1,1)),""))</f>
        <v/>
      </c>
      <c r="E832" s="1" t="str">
        <f>IF(ROW()&lt;=Results!$C$1+1,VLOOKUP($D832,Data!$A$2:$C$117,3,TRUE),"")</f>
        <v/>
      </c>
      <c r="F832" s="14" t="str">
        <f>IF(ROW()&lt;=Results!$C$1+1,IF(E832&lt;=0,"",LN(E832)),"")</f>
        <v/>
      </c>
      <c r="G832" s="53" t="str">
        <f>IF(ROW()&lt;=Results!$C$1+1,IF(ISERROR(C832-F832),"",C832-F832),"")</f>
        <v/>
      </c>
    </row>
    <row r="833" spans="1:7" x14ac:dyDescent="0.25">
      <c r="A833" s="1" t="str">
        <f ca="1">IF(ROW()&lt;=Results!$C$1+1,INDEX(Data!$A:$A,CEILING((COUNTA(Data!$A:$A)-1)*RAND()+1,1)),"")</f>
        <v/>
      </c>
      <c r="B833" s="1" t="str">
        <f>IF(ROW()&lt;=Results!$C$1+1,VLOOKUP($A833,Data!$A$2:$C$117,2,TRUE),"")</f>
        <v/>
      </c>
      <c r="C833" s="14" t="str">
        <f>IF(ROW()&lt;=Results!$C$1+1,IF(B833&lt;=0,"",LN(B833)),"")</f>
        <v/>
      </c>
      <c r="D833" s="58" t="str">
        <f ca="1">IF(Results!$S$5,A833,IF(ROW()&lt;=Results!$C$1+1,INDEX(Data!$A:$A,CEILING((COUNTA(Data!$A:$A)-1)*RAND()+1,1)),""))</f>
        <v/>
      </c>
      <c r="E833" s="1" t="str">
        <f>IF(ROW()&lt;=Results!$C$1+1,VLOOKUP($D833,Data!$A$2:$C$117,3,TRUE),"")</f>
        <v/>
      </c>
      <c r="F833" s="14" t="str">
        <f>IF(ROW()&lt;=Results!$C$1+1,IF(E833&lt;=0,"",LN(E833)),"")</f>
        <v/>
      </c>
      <c r="G833" s="53" t="str">
        <f>IF(ROW()&lt;=Results!$C$1+1,IF(ISERROR(C833-F833),"",C833-F833),"")</f>
        <v/>
      </c>
    </row>
    <row r="834" spans="1:7" x14ac:dyDescent="0.25">
      <c r="A834" s="1" t="str">
        <f ca="1">IF(ROW()&lt;=Results!$C$1+1,INDEX(Data!$A:$A,CEILING((COUNTA(Data!$A:$A)-1)*RAND()+1,1)),"")</f>
        <v/>
      </c>
      <c r="B834" s="1" t="str">
        <f>IF(ROW()&lt;=Results!$C$1+1,VLOOKUP($A834,Data!$A$2:$C$117,2,TRUE),"")</f>
        <v/>
      </c>
      <c r="C834" s="14" t="str">
        <f>IF(ROW()&lt;=Results!$C$1+1,IF(B834&lt;=0,"",LN(B834)),"")</f>
        <v/>
      </c>
      <c r="D834" s="58" t="str">
        <f ca="1">IF(Results!$S$5,A834,IF(ROW()&lt;=Results!$C$1+1,INDEX(Data!$A:$A,CEILING((COUNTA(Data!$A:$A)-1)*RAND()+1,1)),""))</f>
        <v/>
      </c>
      <c r="E834" s="1" t="str">
        <f>IF(ROW()&lt;=Results!$C$1+1,VLOOKUP($D834,Data!$A$2:$C$117,3,TRUE),"")</f>
        <v/>
      </c>
      <c r="F834" s="14" t="str">
        <f>IF(ROW()&lt;=Results!$C$1+1,IF(E834&lt;=0,"",LN(E834)),"")</f>
        <v/>
      </c>
      <c r="G834" s="53" t="str">
        <f>IF(ROW()&lt;=Results!$C$1+1,IF(ISERROR(C834-F834),"",C834-F834),"")</f>
        <v/>
      </c>
    </row>
    <row r="835" spans="1:7" x14ac:dyDescent="0.25">
      <c r="A835" s="1" t="str">
        <f ca="1">IF(ROW()&lt;=Results!$C$1+1,INDEX(Data!$A:$A,CEILING((COUNTA(Data!$A:$A)-1)*RAND()+1,1)),"")</f>
        <v/>
      </c>
      <c r="B835" s="1" t="str">
        <f>IF(ROW()&lt;=Results!$C$1+1,VLOOKUP($A835,Data!$A$2:$C$117,2,TRUE),"")</f>
        <v/>
      </c>
      <c r="C835" s="14" t="str">
        <f>IF(ROW()&lt;=Results!$C$1+1,IF(B835&lt;=0,"",LN(B835)),"")</f>
        <v/>
      </c>
      <c r="D835" s="58" t="str">
        <f ca="1">IF(Results!$S$5,A835,IF(ROW()&lt;=Results!$C$1+1,INDEX(Data!$A:$A,CEILING((COUNTA(Data!$A:$A)-1)*RAND()+1,1)),""))</f>
        <v/>
      </c>
      <c r="E835" s="1" t="str">
        <f>IF(ROW()&lt;=Results!$C$1+1,VLOOKUP($D835,Data!$A$2:$C$117,3,TRUE),"")</f>
        <v/>
      </c>
      <c r="F835" s="14" t="str">
        <f>IF(ROW()&lt;=Results!$C$1+1,IF(E835&lt;=0,"",LN(E835)),"")</f>
        <v/>
      </c>
      <c r="G835" s="53" t="str">
        <f>IF(ROW()&lt;=Results!$C$1+1,IF(ISERROR(C835-F835),"",C835-F835),"")</f>
        <v/>
      </c>
    </row>
    <row r="836" spans="1:7" x14ac:dyDescent="0.25">
      <c r="A836" s="1" t="str">
        <f ca="1">IF(ROW()&lt;=Results!$C$1+1,INDEX(Data!$A:$A,CEILING((COUNTA(Data!$A:$A)-1)*RAND()+1,1)),"")</f>
        <v/>
      </c>
      <c r="B836" s="1" t="str">
        <f>IF(ROW()&lt;=Results!$C$1+1,VLOOKUP($A836,Data!$A$2:$C$117,2,TRUE),"")</f>
        <v/>
      </c>
      <c r="C836" s="14" t="str">
        <f>IF(ROW()&lt;=Results!$C$1+1,IF(B836&lt;=0,"",LN(B836)),"")</f>
        <v/>
      </c>
      <c r="D836" s="58" t="str">
        <f ca="1">IF(Results!$S$5,A836,IF(ROW()&lt;=Results!$C$1+1,INDEX(Data!$A:$A,CEILING((COUNTA(Data!$A:$A)-1)*RAND()+1,1)),""))</f>
        <v/>
      </c>
      <c r="E836" s="1" t="str">
        <f>IF(ROW()&lt;=Results!$C$1+1,VLOOKUP($D836,Data!$A$2:$C$117,3,TRUE),"")</f>
        <v/>
      </c>
      <c r="F836" s="14" t="str">
        <f>IF(ROW()&lt;=Results!$C$1+1,IF(E836&lt;=0,"",LN(E836)),"")</f>
        <v/>
      </c>
      <c r="G836" s="53" t="str">
        <f>IF(ROW()&lt;=Results!$C$1+1,IF(ISERROR(C836-F836),"",C836-F836),"")</f>
        <v/>
      </c>
    </row>
    <row r="837" spans="1:7" x14ac:dyDescent="0.25">
      <c r="A837" s="1" t="str">
        <f ca="1">IF(ROW()&lt;=Results!$C$1+1,INDEX(Data!$A:$A,CEILING((COUNTA(Data!$A:$A)-1)*RAND()+1,1)),"")</f>
        <v/>
      </c>
      <c r="B837" s="1" t="str">
        <f>IF(ROW()&lt;=Results!$C$1+1,VLOOKUP($A837,Data!$A$2:$C$117,2,TRUE),"")</f>
        <v/>
      </c>
      <c r="C837" s="14" t="str">
        <f>IF(ROW()&lt;=Results!$C$1+1,IF(B837&lt;=0,"",LN(B837)),"")</f>
        <v/>
      </c>
      <c r="D837" s="58" t="str">
        <f ca="1">IF(Results!$S$5,A837,IF(ROW()&lt;=Results!$C$1+1,INDEX(Data!$A:$A,CEILING((COUNTA(Data!$A:$A)-1)*RAND()+1,1)),""))</f>
        <v/>
      </c>
      <c r="E837" s="1" t="str">
        <f>IF(ROW()&lt;=Results!$C$1+1,VLOOKUP($D837,Data!$A$2:$C$117,3,TRUE),"")</f>
        <v/>
      </c>
      <c r="F837" s="14" t="str">
        <f>IF(ROW()&lt;=Results!$C$1+1,IF(E837&lt;=0,"",LN(E837)),"")</f>
        <v/>
      </c>
      <c r="G837" s="53" t="str">
        <f>IF(ROW()&lt;=Results!$C$1+1,IF(ISERROR(C837-F837),"",C837-F837),"")</f>
        <v/>
      </c>
    </row>
    <row r="838" spans="1:7" x14ac:dyDescent="0.25">
      <c r="A838" s="1" t="str">
        <f ca="1">IF(ROW()&lt;=Results!$C$1+1,INDEX(Data!$A:$A,CEILING((COUNTA(Data!$A:$A)-1)*RAND()+1,1)),"")</f>
        <v/>
      </c>
      <c r="B838" s="1" t="str">
        <f>IF(ROW()&lt;=Results!$C$1+1,VLOOKUP($A838,Data!$A$2:$C$117,2,TRUE),"")</f>
        <v/>
      </c>
      <c r="C838" s="14" t="str">
        <f>IF(ROW()&lt;=Results!$C$1+1,IF(B838&lt;=0,"",LN(B838)),"")</f>
        <v/>
      </c>
      <c r="D838" s="58" t="str">
        <f ca="1">IF(Results!$S$5,A838,IF(ROW()&lt;=Results!$C$1+1,INDEX(Data!$A:$A,CEILING((COUNTA(Data!$A:$A)-1)*RAND()+1,1)),""))</f>
        <v/>
      </c>
      <c r="E838" s="1" t="str">
        <f>IF(ROW()&lt;=Results!$C$1+1,VLOOKUP($D838,Data!$A$2:$C$117,3,TRUE),"")</f>
        <v/>
      </c>
      <c r="F838" s="14" t="str">
        <f>IF(ROW()&lt;=Results!$C$1+1,IF(E838&lt;=0,"",LN(E838)),"")</f>
        <v/>
      </c>
      <c r="G838" s="53" t="str">
        <f>IF(ROW()&lt;=Results!$C$1+1,IF(ISERROR(C838-F838),"",C838-F838),"")</f>
        <v/>
      </c>
    </row>
    <row r="839" spans="1:7" x14ac:dyDescent="0.25">
      <c r="A839" s="1" t="str">
        <f ca="1">IF(ROW()&lt;=Results!$C$1+1,INDEX(Data!$A:$A,CEILING((COUNTA(Data!$A:$A)-1)*RAND()+1,1)),"")</f>
        <v/>
      </c>
      <c r="B839" s="1" t="str">
        <f>IF(ROW()&lt;=Results!$C$1+1,VLOOKUP($A839,Data!$A$2:$C$117,2,TRUE),"")</f>
        <v/>
      </c>
      <c r="C839" s="14" t="str">
        <f>IF(ROW()&lt;=Results!$C$1+1,IF(B839&lt;=0,"",LN(B839)),"")</f>
        <v/>
      </c>
      <c r="D839" s="58" t="str">
        <f ca="1">IF(Results!$S$5,A839,IF(ROW()&lt;=Results!$C$1+1,INDEX(Data!$A:$A,CEILING((COUNTA(Data!$A:$A)-1)*RAND()+1,1)),""))</f>
        <v/>
      </c>
      <c r="E839" s="1" t="str">
        <f>IF(ROW()&lt;=Results!$C$1+1,VLOOKUP($D839,Data!$A$2:$C$117,3,TRUE),"")</f>
        <v/>
      </c>
      <c r="F839" s="14" t="str">
        <f>IF(ROW()&lt;=Results!$C$1+1,IF(E839&lt;=0,"",LN(E839)),"")</f>
        <v/>
      </c>
      <c r="G839" s="53" t="str">
        <f>IF(ROW()&lt;=Results!$C$1+1,IF(ISERROR(C839-F839),"",C839-F839),"")</f>
        <v/>
      </c>
    </row>
    <row r="840" spans="1:7" x14ac:dyDescent="0.25">
      <c r="A840" s="1" t="str">
        <f ca="1">IF(ROW()&lt;=Results!$C$1+1,INDEX(Data!$A:$A,CEILING((COUNTA(Data!$A:$A)-1)*RAND()+1,1)),"")</f>
        <v/>
      </c>
      <c r="B840" s="1" t="str">
        <f>IF(ROW()&lt;=Results!$C$1+1,VLOOKUP($A840,Data!$A$2:$C$117,2,TRUE),"")</f>
        <v/>
      </c>
      <c r="C840" s="14" t="str">
        <f>IF(ROW()&lt;=Results!$C$1+1,IF(B840&lt;=0,"",LN(B840)),"")</f>
        <v/>
      </c>
      <c r="D840" s="58" t="str">
        <f ca="1">IF(Results!$S$5,A840,IF(ROW()&lt;=Results!$C$1+1,INDEX(Data!$A:$A,CEILING((COUNTA(Data!$A:$A)-1)*RAND()+1,1)),""))</f>
        <v/>
      </c>
      <c r="E840" s="1" t="str">
        <f>IF(ROW()&lt;=Results!$C$1+1,VLOOKUP($D840,Data!$A$2:$C$117,3,TRUE),"")</f>
        <v/>
      </c>
      <c r="F840" s="14" t="str">
        <f>IF(ROW()&lt;=Results!$C$1+1,IF(E840&lt;=0,"",LN(E840)),"")</f>
        <v/>
      </c>
      <c r="G840" s="53" t="str">
        <f>IF(ROW()&lt;=Results!$C$1+1,IF(ISERROR(C840-F840),"",C840-F840),"")</f>
        <v/>
      </c>
    </row>
    <row r="841" spans="1:7" x14ac:dyDescent="0.25">
      <c r="A841" s="1" t="str">
        <f ca="1">IF(ROW()&lt;=Results!$C$1+1,INDEX(Data!$A:$A,CEILING((COUNTA(Data!$A:$A)-1)*RAND()+1,1)),"")</f>
        <v/>
      </c>
      <c r="B841" s="1" t="str">
        <f>IF(ROW()&lt;=Results!$C$1+1,VLOOKUP($A841,Data!$A$2:$C$117,2,TRUE),"")</f>
        <v/>
      </c>
      <c r="C841" s="14" t="str">
        <f>IF(ROW()&lt;=Results!$C$1+1,IF(B841&lt;=0,"",LN(B841)),"")</f>
        <v/>
      </c>
      <c r="D841" s="58" t="str">
        <f ca="1">IF(Results!$S$5,A841,IF(ROW()&lt;=Results!$C$1+1,INDEX(Data!$A:$A,CEILING((COUNTA(Data!$A:$A)-1)*RAND()+1,1)),""))</f>
        <v/>
      </c>
      <c r="E841" s="1" t="str">
        <f>IF(ROW()&lt;=Results!$C$1+1,VLOOKUP($D841,Data!$A$2:$C$117,3,TRUE),"")</f>
        <v/>
      </c>
      <c r="F841" s="14" t="str">
        <f>IF(ROW()&lt;=Results!$C$1+1,IF(E841&lt;=0,"",LN(E841)),"")</f>
        <v/>
      </c>
      <c r="G841" s="53" t="str">
        <f>IF(ROW()&lt;=Results!$C$1+1,IF(ISERROR(C841-F841),"",C841-F841),"")</f>
        <v/>
      </c>
    </row>
    <row r="842" spans="1:7" x14ac:dyDescent="0.25">
      <c r="A842" s="1" t="str">
        <f ca="1">IF(ROW()&lt;=Results!$C$1+1,INDEX(Data!$A:$A,CEILING((COUNTA(Data!$A:$A)-1)*RAND()+1,1)),"")</f>
        <v/>
      </c>
      <c r="B842" s="1" t="str">
        <f>IF(ROW()&lt;=Results!$C$1+1,VLOOKUP($A842,Data!$A$2:$C$117,2,TRUE),"")</f>
        <v/>
      </c>
      <c r="C842" s="14" t="str">
        <f>IF(ROW()&lt;=Results!$C$1+1,IF(B842&lt;=0,"",LN(B842)),"")</f>
        <v/>
      </c>
      <c r="D842" s="58" t="str">
        <f ca="1">IF(Results!$S$5,A842,IF(ROW()&lt;=Results!$C$1+1,INDEX(Data!$A:$A,CEILING((COUNTA(Data!$A:$A)-1)*RAND()+1,1)),""))</f>
        <v/>
      </c>
      <c r="E842" s="1" t="str">
        <f>IF(ROW()&lt;=Results!$C$1+1,VLOOKUP($D842,Data!$A$2:$C$117,3,TRUE),"")</f>
        <v/>
      </c>
      <c r="F842" s="14" t="str">
        <f>IF(ROW()&lt;=Results!$C$1+1,IF(E842&lt;=0,"",LN(E842)),"")</f>
        <v/>
      </c>
      <c r="G842" s="53" t="str">
        <f>IF(ROW()&lt;=Results!$C$1+1,IF(ISERROR(C842-F842),"",C842-F842),"")</f>
        <v/>
      </c>
    </row>
    <row r="843" spans="1:7" x14ac:dyDescent="0.25">
      <c r="A843" s="1" t="str">
        <f ca="1">IF(ROW()&lt;=Results!$C$1+1,INDEX(Data!$A:$A,CEILING((COUNTA(Data!$A:$A)-1)*RAND()+1,1)),"")</f>
        <v/>
      </c>
      <c r="B843" s="1" t="str">
        <f>IF(ROW()&lt;=Results!$C$1+1,VLOOKUP($A843,Data!$A$2:$C$117,2,TRUE),"")</f>
        <v/>
      </c>
      <c r="C843" s="14" t="str">
        <f>IF(ROW()&lt;=Results!$C$1+1,IF(B843&lt;=0,"",LN(B843)),"")</f>
        <v/>
      </c>
      <c r="D843" s="58" t="str">
        <f ca="1">IF(Results!$S$5,A843,IF(ROW()&lt;=Results!$C$1+1,INDEX(Data!$A:$A,CEILING((COUNTA(Data!$A:$A)-1)*RAND()+1,1)),""))</f>
        <v/>
      </c>
      <c r="E843" s="1" t="str">
        <f>IF(ROW()&lt;=Results!$C$1+1,VLOOKUP($D843,Data!$A$2:$C$117,3,TRUE),"")</f>
        <v/>
      </c>
      <c r="F843" s="14" t="str">
        <f>IF(ROW()&lt;=Results!$C$1+1,IF(E843&lt;=0,"",LN(E843)),"")</f>
        <v/>
      </c>
      <c r="G843" s="53" t="str">
        <f>IF(ROW()&lt;=Results!$C$1+1,IF(ISERROR(C843-F843),"",C843-F843),"")</f>
        <v/>
      </c>
    </row>
    <row r="844" spans="1:7" x14ac:dyDescent="0.25">
      <c r="A844" s="1" t="str">
        <f ca="1">IF(ROW()&lt;=Results!$C$1+1,INDEX(Data!$A:$A,CEILING((COUNTA(Data!$A:$A)-1)*RAND()+1,1)),"")</f>
        <v/>
      </c>
      <c r="B844" s="1" t="str">
        <f>IF(ROW()&lt;=Results!$C$1+1,VLOOKUP($A844,Data!$A$2:$C$117,2,TRUE),"")</f>
        <v/>
      </c>
      <c r="C844" s="14" t="str">
        <f>IF(ROW()&lt;=Results!$C$1+1,IF(B844&lt;=0,"",LN(B844)),"")</f>
        <v/>
      </c>
      <c r="D844" s="58" t="str">
        <f ca="1">IF(Results!$S$5,A844,IF(ROW()&lt;=Results!$C$1+1,INDEX(Data!$A:$A,CEILING((COUNTA(Data!$A:$A)-1)*RAND()+1,1)),""))</f>
        <v/>
      </c>
      <c r="E844" s="1" t="str">
        <f>IF(ROW()&lt;=Results!$C$1+1,VLOOKUP($D844,Data!$A$2:$C$117,3,TRUE),"")</f>
        <v/>
      </c>
      <c r="F844" s="14" t="str">
        <f>IF(ROW()&lt;=Results!$C$1+1,IF(E844&lt;=0,"",LN(E844)),"")</f>
        <v/>
      </c>
      <c r="G844" s="53" t="str">
        <f>IF(ROW()&lt;=Results!$C$1+1,IF(ISERROR(C844-F844),"",C844-F844),"")</f>
        <v/>
      </c>
    </row>
    <row r="845" spans="1:7" x14ac:dyDescent="0.25">
      <c r="A845" s="1" t="str">
        <f ca="1">IF(ROW()&lt;=Results!$C$1+1,INDEX(Data!$A:$A,CEILING((COUNTA(Data!$A:$A)-1)*RAND()+1,1)),"")</f>
        <v/>
      </c>
      <c r="B845" s="1" t="str">
        <f>IF(ROW()&lt;=Results!$C$1+1,VLOOKUP($A845,Data!$A$2:$C$117,2,TRUE),"")</f>
        <v/>
      </c>
      <c r="C845" s="14" t="str">
        <f>IF(ROW()&lt;=Results!$C$1+1,IF(B845&lt;=0,"",LN(B845)),"")</f>
        <v/>
      </c>
      <c r="D845" s="58" t="str">
        <f ca="1">IF(Results!$S$5,A845,IF(ROW()&lt;=Results!$C$1+1,INDEX(Data!$A:$A,CEILING((COUNTA(Data!$A:$A)-1)*RAND()+1,1)),""))</f>
        <v/>
      </c>
      <c r="E845" s="1" t="str">
        <f>IF(ROW()&lt;=Results!$C$1+1,VLOOKUP($D845,Data!$A$2:$C$117,3,TRUE),"")</f>
        <v/>
      </c>
      <c r="F845" s="14" t="str">
        <f>IF(ROW()&lt;=Results!$C$1+1,IF(E845&lt;=0,"",LN(E845)),"")</f>
        <v/>
      </c>
      <c r="G845" s="53" t="str">
        <f>IF(ROW()&lt;=Results!$C$1+1,IF(ISERROR(C845-F845),"",C845-F845),"")</f>
        <v/>
      </c>
    </row>
    <row r="846" spans="1:7" x14ac:dyDescent="0.25">
      <c r="A846" s="1" t="str">
        <f ca="1">IF(ROW()&lt;=Results!$C$1+1,INDEX(Data!$A:$A,CEILING((COUNTA(Data!$A:$A)-1)*RAND()+1,1)),"")</f>
        <v/>
      </c>
      <c r="B846" s="1" t="str">
        <f>IF(ROW()&lt;=Results!$C$1+1,VLOOKUP($A846,Data!$A$2:$C$117,2,TRUE),"")</f>
        <v/>
      </c>
      <c r="C846" s="14" t="str">
        <f>IF(ROW()&lt;=Results!$C$1+1,IF(B846&lt;=0,"",LN(B846)),"")</f>
        <v/>
      </c>
      <c r="D846" s="58" t="str">
        <f ca="1">IF(Results!$S$5,A846,IF(ROW()&lt;=Results!$C$1+1,INDEX(Data!$A:$A,CEILING((COUNTA(Data!$A:$A)-1)*RAND()+1,1)),""))</f>
        <v/>
      </c>
      <c r="E846" s="1" t="str">
        <f>IF(ROW()&lt;=Results!$C$1+1,VLOOKUP($D846,Data!$A$2:$C$117,3,TRUE),"")</f>
        <v/>
      </c>
      <c r="F846" s="14" t="str">
        <f>IF(ROW()&lt;=Results!$C$1+1,IF(E846&lt;=0,"",LN(E846)),"")</f>
        <v/>
      </c>
      <c r="G846" s="53" t="str">
        <f>IF(ROW()&lt;=Results!$C$1+1,IF(ISERROR(C846-F846),"",C846-F846),"")</f>
        <v/>
      </c>
    </row>
    <row r="847" spans="1:7" x14ac:dyDescent="0.25">
      <c r="A847" s="1" t="str">
        <f ca="1">IF(ROW()&lt;=Results!$C$1+1,INDEX(Data!$A:$A,CEILING((COUNTA(Data!$A:$A)-1)*RAND()+1,1)),"")</f>
        <v/>
      </c>
      <c r="B847" s="1" t="str">
        <f>IF(ROW()&lt;=Results!$C$1+1,VLOOKUP($A847,Data!$A$2:$C$117,2,TRUE),"")</f>
        <v/>
      </c>
      <c r="C847" s="14" t="str">
        <f>IF(ROW()&lt;=Results!$C$1+1,IF(B847&lt;=0,"",LN(B847)),"")</f>
        <v/>
      </c>
      <c r="D847" s="58" t="str">
        <f ca="1">IF(Results!$S$5,A847,IF(ROW()&lt;=Results!$C$1+1,INDEX(Data!$A:$A,CEILING((COUNTA(Data!$A:$A)-1)*RAND()+1,1)),""))</f>
        <v/>
      </c>
      <c r="E847" s="1" t="str">
        <f>IF(ROW()&lt;=Results!$C$1+1,VLOOKUP($D847,Data!$A$2:$C$117,3,TRUE),"")</f>
        <v/>
      </c>
      <c r="F847" s="14" t="str">
        <f>IF(ROW()&lt;=Results!$C$1+1,IF(E847&lt;=0,"",LN(E847)),"")</f>
        <v/>
      </c>
      <c r="G847" s="53" t="str">
        <f>IF(ROW()&lt;=Results!$C$1+1,IF(ISERROR(C847-F847),"",C847-F847),"")</f>
        <v/>
      </c>
    </row>
    <row r="848" spans="1:7" x14ac:dyDescent="0.25">
      <c r="A848" s="1" t="str">
        <f ca="1">IF(ROW()&lt;=Results!$C$1+1,INDEX(Data!$A:$A,CEILING((COUNTA(Data!$A:$A)-1)*RAND()+1,1)),"")</f>
        <v/>
      </c>
      <c r="B848" s="1" t="str">
        <f>IF(ROW()&lt;=Results!$C$1+1,VLOOKUP($A848,Data!$A$2:$C$117,2,TRUE),"")</f>
        <v/>
      </c>
      <c r="C848" s="14" t="str">
        <f>IF(ROW()&lt;=Results!$C$1+1,IF(B848&lt;=0,"",LN(B848)),"")</f>
        <v/>
      </c>
      <c r="D848" s="58" t="str">
        <f ca="1">IF(Results!$S$5,A848,IF(ROW()&lt;=Results!$C$1+1,INDEX(Data!$A:$A,CEILING((COUNTA(Data!$A:$A)-1)*RAND()+1,1)),""))</f>
        <v/>
      </c>
      <c r="E848" s="1" t="str">
        <f>IF(ROW()&lt;=Results!$C$1+1,VLOOKUP($D848,Data!$A$2:$C$117,3,TRUE),"")</f>
        <v/>
      </c>
      <c r="F848" s="14" t="str">
        <f>IF(ROW()&lt;=Results!$C$1+1,IF(E848&lt;=0,"",LN(E848)),"")</f>
        <v/>
      </c>
      <c r="G848" s="53" t="str">
        <f>IF(ROW()&lt;=Results!$C$1+1,IF(ISERROR(C848-F848),"",C848-F848),"")</f>
        <v/>
      </c>
    </row>
    <row r="849" spans="1:7" x14ac:dyDescent="0.25">
      <c r="A849" s="1" t="str">
        <f ca="1">IF(ROW()&lt;=Results!$C$1+1,INDEX(Data!$A:$A,CEILING((COUNTA(Data!$A:$A)-1)*RAND()+1,1)),"")</f>
        <v/>
      </c>
      <c r="B849" s="1" t="str">
        <f>IF(ROW()&lt;=Results!$C$1+1,VLOOKUP($A849,Data!$A$2:$C$117,2,TRUE),"")</f>
        <v/>
      </c>
      <c r="C849" s="14" t="str">
        <f>IF(ROW()&lt;=Results!$C$1+1,IF(B849&lt;=0,"",LN(B849)),"")</f>
        <v/>
      </c>
      <c r="D849" s="58" t="str">
        <f ca="1">IF(Results!$S$5,A849,IF(ROW()&lt;=Results!$C$1+1,INDEX(Data!$A:$A,CEILING((COUNTA(Data!$A:$A)-1)*RAND()+1,1)),""))</f>
        <v/>
      </c>
      <c r="E849" s="1" t="str">
        <f>IF(ROW()&lt;=Results!$C$1+1,VLOOKUP($D849,Data!$A$2:$C$117,3,TRUE),"")</f>
        <v/>
      </c>
      <c r="F849" s="14" t="str">
        <f>IF(ROW()&lt;=Results!$C$1+1,IF(E849&lt;=0,"",LN(E849)),"")</f>
        <v/>
      </c>
      <c r="G849" s="53" t="str">
        <f>IF(ROW()&lt;=Results!$C$1+1,IF(ISERROR(C849-F849),"",C849-F849),"")</f>
        <v/>
      </c>
    </row>
    <row r="850" spans="1:7" x14ac:dyDescent="0.25">
      <c r="A850" s="1" t="str">
        <f ca="1">IF(ROW()&lt;=Results!$C$1+1,INDEX(Data!$A:$A,CEILING((COUNTA(Data!$A:$A)-1)*RAND()+1,1)),"")</f>
        <v/>
      </c>
      <c r="B850" s="1" t="str">
        <f>IF(ROW()&lt;=Results!$C$1+1,VLOOKUP($A850,Data!$A$2:$C$117,2,TRUE),"")</f>
        <v/>
      </c>
      <c r="C850" s="14" t="str">
        <f>IF(ROW()&lt;=Results!$C$1+1,IF(B850&lt;=0,"",LN(B850)),"")</f>
        <v/>
      </c>
      <c r="D850" s="58" t="str">
        <f ca="1">IF(Results!$S$5,A850,IF(ROW()&lt;=Results!$C$1+1,INDEX(Data!$A:$A,CEILING((COUNTA(Data!$A:$A)-1)*RAND()+1,1)),""))</f>
        <v/>
      </c>
      <c r="E850" s="1" t="str">
        <f>IF(ROW()&lt;=Results!$C$1+1,VLOOKUP($D850,Data!$A$2:$C$117,3,TRUE),"")</f>
        <v/>
      </c>
      <c r="F850" s="14" t="str">
        <f>IF(ROW()&lt;=Results!$C$1+1,IF(E850&lt;=0,"",LN(E850)),"")</f>
        <v/>
      </c>
      <c r="G850" s="53" t="str">
        <f>IF(ROW()&lt;=Results!$C$1+1,IF(ISERROR(C850-F850),"",C850-F850),"")</f>
        <v/>
      </c>
    </row>
    <row r="851" spans="1:7" x14ac:dyDescent="0.25">
      <c r="A851" s="1" t="str">
        <f ca="1">IF(ROW()&lt;=Results!$C$1+1,INDEX(Data!$A:$A,CEILING((COUNTA(Data!$A:$A)-1)*RAND()+1,1)),"")</f>
        <v/>
      </c>
      <c r="B851" s="1" t="str">
        <f>IF(ROW()&lt;=Results!$C$1+1,VLOOKUP($A851,Data!$A$2:$C$117,2,TRUE),"")</f>
        <v/>
      </c>
      <c r="C851" s="14" t="str">
        <f>IF(ROW()&lt;=Results!$C$1+1,IF(B851&lt;=0,"",LN(B851)),"")</f>
        <v/>
      </c>
      <c r="D851" s="58" t="str">
        <f ca="1">IF(Results!$S$5,A851,IF(ROW()&lt;=Results!$C$1+1,INDEX(Data!$A:$A,CEILING((COUNTA(Data!$A:$A)-1)*RAND()+1,1)),""))</f>
        <v/>
      </c>
      <c r="E851" s="1" t="str">
        <f>IF(ROW()&lt;=Results!$C$1+1,VLOOKUP($D851,Data!$A$2:$C$117,3,TRUE),"")</f>
        <v/>
      </c>
      <c r="F851" s="14" t="str">
        <f>IF(ROW()&lt;=Results!$C$1+1,IF(E851&lt;=0,"",LN(E851)),"")</f>
        <v/>
      </c>
      <c r="G851" s="53" t="str">
        <f>IF(ROW()&lt;=Results!$C$1+1,IF(ISERROR(C851-F851),"",C851-F851),"")</f>
        <v/>
      </c>
    </row>
    <row r="852" spans="1:7" x14ac:dyDescent="0.25">
      <c r="A852" s="1" t="str">
        <f ca="1">IF(ROW()&lt;=Results!$C$1+1,INDEX(Data!$A:$A,CEILING((COUNTA(Data!$A:$A)-1)*RAND()+1,1)),"")</f>
        <v/>
      </c>
      <c r="B852" s="1" t="str">
        <f>IF(ROW()&lt;=Results!$C$1+1,VLOOKUP($A852,Data!$A$2:$C$117,2,TRUE),"")</f>
        <v/>
      </c>
      <c r="C852" s="14" t="str">
        <f>IF(ROW()&lt;=Results!$C$1+1,IF(B852&lt;=0,"",LN(B852)),"")</f>
        <v/>
      </c>
      <c r="D852" s="58" t="str">
        <f ca="1">IF(Results!$S$5,A852,IF(ROW()&lt;=Results!$C$1+1,INDEX(Data!$A:$A,CEILING((COUNTA(Data!$A:$A)-1)*RAND()+1,1)),""))</f>
        <v/>
      </c>
      <c r="E852" s="1" t="str">
        <f>IF(ROW()&lt;=Results!$C$1+1,VLOOKUP($D852,Data!$A$2:$C$117,3,TRUE),"")</f>
        <v/>
      </c>
      <c r="F852" s="14" t="str">
        <f>IF(ROW()&lt;=Results!$C$1+1,IF(E852&lt;=0,"",LN(E852)),"")</f>
        <v/>
      </c>
      <c r="G852" s="53" t="str">
        <f>IF(ROW()&lt;=Results!$C$1+1,IF(ISERROR(C852-F852),"",C852-F852),"")</f>
        <v/>
      </c>
    </row>
    <row r="853" spans="1:7" x14ac:dyDescent="0.25">
      <c r="A853" s="1" t="str">
        <f ca="1">IF(ROW()&lt;=Results!$C$1+1,INDEX(Data!$A:$A,CEILING((COUNTA(Data!$A:$A)-1)*RAND()+1,1)),"")</f>
        <v/>
      </c>
      <c r="B853" s="1" t="str">
        <f>IF(ROW()&lt;=Results!$C$1+1,VLOOKUP($A853,Data!$A$2:$C$117,2,TRUE),"")</f>
        <v/>
      </c>
      <c r="C853" s="14" t="str">
        <f>IF(ROW()&lt;=Results!$C$1+1,IF(B853&lt;=0,"",LN(B853)),"")</f>
        <v/>
      </c>
      <c r="D853" s="58" t="str">
        <f ca="1">IF(Results!$S$5,A853,IF(ROW()&lt;=Results!$C$1+1,INDEX(Data!$A:$A,CEILING((COUNTA(Data!$A:$A)-1)*RAND()+1,1)),""))</f>
        <v/>
      </c>
      <c r="E853" s="1" t="str">
        <f>IF(ROW()&lt;=Results!$C$1+1,VLOOKUP($D853,Data!$A$2:$C$117,3,TRUE),"")</f>
        <v/>
      </c>
      <c r="F853" s="14" t="str">
        <f>IF(ROW()&lt;=Results!$C$1+1,IF(E853&lt;=0,"",LN(E853)),"")</f>
        <v/>
      </c>
      <c r="G853" s="53" t="str">
        <f>IF(ROW()&lt;=Results!$C$1+1,IF(ISERROR(C853-F853),"",C853-F853),"")</f>
        <v/>
      </c>
    </row>
    <row r="854" spans="1:7" x14ac:dyDescent="0.25">
      <c r="A854" s="1" t="str">
        <f ca="1">IF(ROW()&lt;=Results!$C$1+1,INDEX(Data!$A:$A,CEILING((COUNTA(Data!$A:$A)-1)*RAND()+1,1)),"")</f>
        <v/>
      </c>
      <c r="B854" s="1" t="str">
        <f>IF(ROW()&lt;=Results!$C$1+1,VLOOKUP($A854,Data!$A$2:$C$117,2,TRUE),"")</f>
        <v/>
      </c>
      <c r="C854" s="14" t="str">
        <f>IF(ROW()&lt;=Results!$C$1+1,IF(B854&lt;=0,"",LN(B854)),"")</f>
        <v/>
      </c>
      <c r="D854" s="58" t="str">
        <f ca="1">IF(Results!$S$5,A854,IF(ROW()&lt;=Results!$C$1+1,INDEX(Data!$A:$A,CEILING((COUNTA(Data!$A:$A)-1)*RAND()+1,1)),""))</f>
        <v/>
      </c>
      <c r="E854" s="1" t="str">
        <f>IF(ROW()&lt;=Results!$C$1+1,VLOOKUP($D854,Data!$A$2:$C$117,3,TRUE),"")</f>
        <v/>
      </c>
      <c r="F854" s="14" t="str">
        <f>IF(ROW()&lt;=Results!$C$1+1,IF(E854&lt;=0,"",LN(E854)),"")</f>
        <v/>
      </c>
      <c r="G854" s="53" t="str">
        <f>IF(ROW()&lt;=Results!$C$1+1,IF(ISERROR(C854-F854),"",C854-F854),"")</f>
        <v/>
      </c>
    </row>
    <row r="855" spans="1:7" x14ac:dyDescent="0.25">
      <c r="A855" s="1" t="str">
        <f ca="1">IF(ROW()&lt;=Results!$C$1+1,INDEX(Data!$A:$A,CEILING((COUNTA(Data!$A:$A)-1)*RAND()+1,1)),"")</f>
        <v/>
      </c>
      <c r="B855" s="1" t="str">
        <f>IF(ROW()&lt;=Results!$C$1+1,VLOOKUP($A855,Data!$A$2:$C$117,2,TRUE),"")</f>
        <v/>
      </c>
      <c r="C855" s="14" t="str">
        <f>IF(ROW()&lt;=Results!$C$1+1,IF(B855&lt;=0,"",LN(B855)),"")</f>
        <v/>
      </c>
      <c r="D855" s="58" t="str">
        <f ca="1">IF(Results!$S$5,A855,IF(ROW()&lt;=Results!$C$1+1,INDEX(Data!$A:$A,CEILING((COUNTA(Data!$A:$A)-1)*RAND()+1,1)),""))</f>
        <v/>
      </c>
      <c r="E855" s="1" t="str">
        <f>IF(ROW()&lt;=Results!$C$1+1,VLOOKUP($D855,Data!$A$2:$C$117,3,TRUE),"")</f>
        <v/>
      </c>
      <c r="F855" s="14" t="str">
        <f>IF(ROW()&lt;=Results!$C$1+1,IF(E855&lt;=0,"",LN(E855)),"")</f>
        <v/>
      </c>
      <c r="G855" s="53" t="str">
        <f>IF(ROW()&lt;=Results!$C$1+1,IF(ISERROR(C855-F855),"",C855-F855),"")</f>
        <v/>
      </c>
    </row>
    <row r="856" spans="1:7" x14ac:dyDescent="0.25">
      <c r="A856" s="1" t="str">
        <f ca="1">IF(ROW()&lt;=Results!$C$1+1,INDEX(Data!$A:$A,CEILING((COUNTA(Data!$A:$A)-1)*RAND()+1,1)),"")</f>
        <v/>
      </c>
      <c r="B856" s="1" t="str">
        <f>IF(ROW()&lt;=Results!$C$1+1,VLOOKUP($A856,Data!$A$2:$C$117,2,TRUE),"")</f>
        <v/>
      </c>
      <c r="C856" s="14" t="str">
        <f>IF(ROW()&lt;=Results!$C$1+1,IF(B856&lt;=0,"",LN(B856)),"")</f>
        <v/>
      </c>
      <c r="D856" s="58" t="str">
        <f ca="1">IF(Results!$S$5,A856,IF(ROW()&lt;=Results!$C$1+1,INDEX(Data!$A:$A,CEILING((COUNTA(Data!$A:$A)-1)*RAND()+1,1)),""))</f>
        <v/>
      </c>
      <c r="E856" s="1" t="str">
        <f>IF(ROW()&lt;=Results!$C$1+1,VLOOKUP($D856,Data!$A$2:$C$117,3,TRUE),"")</f>
        <v/>
      </c>
      <c r="F856" s="14" t="str">
        <f>IF(ROW()&lt;=Results!$C$1+1,IF(E856&lt;=0,"",LN(E856)),"")</f>
        <v/>
      </c>
      <c r="G856" s="53" t="str">
        <f>IF(ROW()&lt;=Results!$C$1+1,IF(ISERROR(C856-F856),"",C856-F856),"")</f>
        <v/>
      </c>
    </row>
    <row r="857" spans="1:7" x14ac:dyDescent="0.25">
      <c r="A857" s="1" t="str">
        <f ca="1">IF(ROW()&lt;=Results!$C$1+1,INDEX(Data!$A:$A,CEILING((COUNTA(Data!$A:$A)-1)*RAND()+1,1)),"")</f>
        <v/>
      </c>
      <c r="B857" s="1" t="str">
        <f>IF(ROW()&lt;=Results!$C$1+1,VLOOKUP($A857,Data!$A$2:$C$117,2,TRUE),"")</f>
        <v/>
      </c>
      <c r="C857" s="14" t="str">
        <f>IF(ROW()&lt;=Results!$C$1+1,IF(B857&lt;=0,"",LN(B857)),"")</f>
        <v/>
      </c>
      <c r="D857" s="58" t="str">
        <f ca="1">IF(Results!$S$5,A857,IF(ROW()&lt;=Results!$C$1+1,INDEX(Data!$A:$A,CEILING((COUNTA(Data!$A:$A)-1)*RAND()+1,1)),""))</f>
        <v/>
      </c>
      <c r="E857" s="1" t="str">
        <f>IF(ROW()&lt;=Results!$C$1+1,VLOOKUP($D857,Data!$A$2:$C$117,3,TRUE),"")</f>
        <v/>
      </c>
      <c r="F857" s="14" t="str">
        <f>IF(ROW()&lt;=Results!$C$1+1,IF(E857&lt;=0,"",LN(E857)),"")</f>
        <v/>
      </c>
      <c r="G857" s="53" t="str">
        <f>IF(ROW()&lt;=Results!$C$1+1,IF(ISERROR(C857-F857),"",C857-F857),"")</f>
        <v/>
      </c>
    </row>
    <row r="858" spans="1:7" x14ac:dyDescent="0.25">
      <c r="A858" s="1" t="str">
        <f ca="1">IF(ROW()&lt;=Results!$C$1+1,INDEX(Data!$A:$A,CEILING((COUNTA(Data!$A:$A)-1)*RAND()+1,1)),"")</f>
        <v/>
      </c>
      <c r="B858" s="1" t="str">
        <f>IF(ROW()&lt;=Results!$C$1+1,VLOOKUP($A858,Data!$A$2:$C$117,2,TRUE),"")</f>
        <v/>
      </c>
      <c r="C858" s="14" t="str">
        <f>IF(ROW()&lt;=Results!$C$1+1,IF(B858&lt;=0,"",LN(B858)),"")</f>
        <v/>
      </c>
      <c r="D858" s="58" t="str">
        <f ca="1">IF(Results!$S$5,A858,IF(ROW()&lt;=Results!$C$1+1,INDEX(Data!$A:$A,CEILING((COUNTA(Data!$A:$A)-1)*RAND()+1,1)),""))</f>
        <v/>
      </c>
      <c r="E858" s="1" t="str">
        <f>IF(ROW()&lt;=Results!$C$1+1,VLOOKUP($D858,Data!$A$2:$C$117,3,TRUE),"")</f>
        <v/>
      </c>
      <c r="F858" s="14" t="str">
        <f>IF(ROW()&lt;=Results!$C$1+1,IF(E858&lt;=0,"",LN(E858)),"")</f>
        <v/>
      </c>
      <c r="G858" s="53" t="str">
        <f>IF(ROW()&lt;=Results!$C$1+1,IF(ISERROR(C858-F858),"",C858-F858),"")</f>
        <v/>
      </c>
    </row>
    <row r="859" spans="1:7" x14ac:dyDescent="0.25">
      <c r="A859" s="1" t="str">
        <f ca="1">IF(ROW()&lt;=Results!$C$1+1,INDEX(Data!$A:$A,CEILING((COUNTA(Data!$A:$A)-1)*RAND()+1,1)),"")</f>
        <v/>
      </c>
      <c r="B859" s="1" t="str">
        <f>IF(ROW()&lt;=Results!$C$1+1,VLOOKUP($A859,Data!$A$2:$C$117,2,TRUE),"")</f>
        <v/>
      </c>
      <c r="C859" s="14" t="str">
        <f>IF(ROW()&lt;=Results!$C$1+1,IF(B859&lt;=0,"",LN(B859)),"")</f>
        <v/>
      </c>
      <c r="D859" s="58" t="str">
        <f ca="1">IF(Results!$S$5,A859,IF(ROW()&lt;=Results!$C$1+1,INDEX(Data!$A:$A,CEILING((COUNTA(Data!$A:$A)-1)*RAND()+1,1)),""))</f>
        <v/>
      </c>
      <c r="E859" s="1" t="str">
        <f>IF(ROW()&lt;=Results!$C$1+1,VLOOKUP($D859,Data!$A$2:$C$117,3,TRUE),"")</f>
        <v/>
      </c>
      <c r="F859" s="14" t="str">
        <f>IF(ROW()&lt;=Results!$C$1+1,IF(E859&lt;=0,"",LN(E859)),"")</f>
        <v/>
      </c>
      <c r="G859" s="53" t="str">
        <f>IF(ROW()&lt;=Results!$C$1+1,IF(ISERROR(C859-F859),"",C859-F859),"")</f>
        <v/>
      </c>
    </row>
    <row r="860" spans="1:7" x14ac:dyDescent="0.25">
      <c r="A860" s="1" t="str">
        <f ca="1">IF(ROW()&lt;=Results!$C$1+1,INDEX(Data!$A:$A,CEILING((COUNTA(Data!$A:$A)-1)*RAND()+1,1)),"")</f>
        <v/>
      </c>
      <c r="B860" s="1" t="str">
        <f>IF(ROW()&lt;=Results!$C$1+1,VLOOKUP($A860,Data!$A$2:$C$117,2,TRUE),"")</f>
        <v/>
      </c>
      <c r="C860" s="14" t="str">
        <f>IF(ROW()&lt;=Results!$C$1+1,IF(B860&lt;=0,"",LN(B860)),"")</f>
        <v/>
      </c>
      <c r="D860" s="58" t="str">
        <f ca="1">IF(Results!$S$5,A860,IF(ROW()&lt;=Results!$C$1+1,INDEX(Data!$A:$A,CEILING((COUNTA(Data!$A:$A)-1)*RAND()+1,1)),""))</f>
        <v/>
      </c>
      <c r="E860" s="1" t="str">
        <f>IF(ROW()&lt;=Results!$C$1+1,VLOOKUP($D860,Data!$A$2:$C$117,3,TRUE),"")</f>
        <v/>
      </c>
      <c r="F860" s="14" t="str">
        <f>IF(ROW()&lt;=Results!$C$1+1,IF(E860&lt;=0,"",LN(E860)),"")</f>
        <v/>
      </c>
      <c r="G860" s="53" t="str">
        <f>IF(ROW()&lt;=Results!$C$1+1,IF(ISERROR(C860-F860),"",C860-F860),"")</f>
        <v/>
      </c>
    </row>
    <row r="861" spans="1:7" x14ac:dyDescent="0.25">
      <c r="A861" s="1" t="str">
        <f ca="1">IF(ROW()&lt;=Results!$C$1+1,INDEX(Data!$A:$A,CEILING((COUNTA(Data!$A:$A)-1)*RAND()+1,1)),"")</f>
        <v/>
      </c>
      <c r="B861" s="1" t="str">
        <f>IF(ROW()&lt;=Results!$C$1+1,VLOOKUP($A861,Data!$A$2:$C$117,2,TRUE),"")</f>
        <v/>
      </c>
      <c r="C861" s="14" t="str">
        <f>IF(ROW()&lt;=Results!$C$1+1,IF(B861&lt;=0,"",LN(B861)),"")</f>
        <v/>
      </c>
      <c r="D861" s="58" t="str">
        <f ca="1">IF(Results!$S$5,A861,IF(ROW()&lt;=Results!$C$1+1,INDEX(Data!$A:$A,CEILING((COUNTA(Data!$A:$A)-1)*RAND()+1,1)),""))</f>
        <v/>
      </c>
      <c r="E861" s="1" t="str">
        <f>IF(ROW()&lt;=Results!$C$1+1,VLOOKUP($D861,Data!$A$2:$C$117,3,TRUE),"")</f>
        <v/>
      </c>
      <c r="F861" s="14" t="str">
        <f>IF(ROW()&lt;=Results!$C$1+1,IF(E861&lt;=0,"",LN(E861)),"")</f>
        <v/>
      </c>
      <c r="G861" s="53" t="str">
        <f>IF(ROW()&lt;=Results!$C$1+1,IF(ISERROR(C861-F861),"",C861-F861),"")</f>
        <v/>
      </c>
    </row>
    <row r="862" spans="1:7" x14ac:dyDescent="0.25">
      <c r="A862" s="1" t="str">
        <f ca="1">IF(ROW()&lt;=Results!$C$1+1,INDEX(Data!$A:$A,CEILING((COUNTA(Data!$A:$A)-1)*RAND()+1,1)),"")</f>
        <v/>
      </c>
      <c r="B862" s="1" t="str">
        <f>IF(ROW()&lt;=Results!$C$1+1,VLOOKUP($A862,Data!$A$2:$C$117,2,TRUE),"")</f>
        <v/>
      </c>
      <c r="C862" s="14" t="str">
        <f>IF(ROW()&lt;=Results!$C$1+1,IF(B862&lt;=0,"",LN(B862)),"")</f>
        <v/>
      </c>
      <c r="D862" s="58" t="str">
        <f ca="1">IF(Results!$S$5,A862,IF(ROW()&lt;=Results!$C$1+1,INDEX(Data!$A:$A,CEILING((COUNTA(Data!$A:$A)-1)*RAND()+1,1)),""))</f>
        <v/>
      </c>
      <c r="E862" s="1" t="str">
        <f>IF(ROW()&lt;=Results!$C$1+1,VLOOKUP($D862,Data!$A$2:$C$117,3,TRUE),"")</f>
        <v/>
      </c>
      <c r="F862" s="14" t="str">
        <f>IF(ROW()&lt;=Results!$C$1+1,IF(E862&lt;=0,"",LN(E862)),"")</f>
        <v/>
      </c>
      <c r="G862" s="53" t="str">
        <f>IF(ROW()&lt;=Results!$C$1+1,IF(ISERROR(C862-F862),"",C862-F862),"")</f>
        <v/>
      </c>
    </row>
    <row r="863" spans="1:7" x14ac:dyDescent="0.25">
      <c r="A863" s="1" t="str">
        <f ca="1">IF(ROW()&lt;=Results!$C$1+1,INDEX(Data!$A:$A,CEILING((COUNTA(Data!$A:$A)-1)*RAND()+1,1)),"")</f>
        <v/>
      </c>
      <c r="B863" s="1" t="str">
        <f>IF(ROW()&lt;=Results!$C$1+1,VLOOKUP($A863,Data!$A$2:$C$117,2,TRUE),"")</f>
        <v/>
      </c>
      <c r="C863" s="14" t="str">
        <f>IF(ROW()&lt;=Results!$C$1+1,IF(B863&lt;=0,"",LN(B863)),"")</f>
        <v/>
      </c>
      <c r="D863" s="58" t="str">
        <f ca="1">IF(Results!$S$5,A863,IF(ROW()&lt;=Results!$C$1+1,INDEX(Data!$A:$A,CEILING((COUNTA(Data!$A:$A)-1)*RAND()+1,1)),""))</f>
        <v/>
      </c>
      <c r="E863" s="1" t="str">
        <f>IF(ROW()&lt;=Results!$C$1+1,VLOOKUP($D863,Data!$A$2:$C$117,3,TRUE),"")</f>
        <v/>
      </c>
      <c r="F863" s="14" t="str">
        <f>IF(ROW()&lt;=Results!$C$1+1,IF(E863&lt;=0,"",LN(E863)),"")</f>
        <v/>
      </c>
      <c r="G863" s="53" t="str">
        <f>IF(ROW()&lt;=Results!$C$1+1,IF(ISERROR(C863-F863),"",C863-F863),"")</f>
        <v/>
      </c>
    </row>
    <row r="864" spans="1:7" x14ac:dyDescent="0.25">
      <c r="A864" s="1" t="str">
        <f ca="1">IF(ROW()&lt;=Results!$C$1+1,INDEX(Data!$A:$A,CEILING((COUNTA(Data!$A:$A)-1)*RAND()+1,1)),"")</f>
        <v/>
      </c>
      <c r="B864" s="1" t="str">
        <f>IF(ROW()&lt;=Results!$C$1+1,VLOOKUP($A864,Data!$A$2:$C$117,2,TRUE),"")</f>
        <v/>
      </c>
      <c r="C864" s="14" t="str">
        <f>IF(ROW()&lt;=Results!$C$1+1,IF(B864&lt;=0,"",LN(B864)),"")</f>
        <v/>
      </c>
      <c r="D864" s="58" t="str">
        <f ca="1">IF(Results!$S$5,A864,IF(ROW()&lt;=Results!$C$1+1,INDEX(Data!$A:$A,CEILING((COUNTA(Data!$A:$A)-1)*RAND()+1,1)),""))</f>
        <v/>
      </c>
      <c r="E864" s="1" t="str">
        <f>IF(ROW()&lt;=Results!$C$1+1,VLOOKUP($D864,Data!$A$2:$C$117,3,TRUE),"")</f>
        <v/>
      </c>
      <c r="F864" s="14" t="str">
        <f>IF(ROW()&lt;=Results!$C$1+1,IF(E864&lt;=0,"",LN(E864)),"")</f>
        <v/>
      </c>
      <c r="G864" s="53" t="str">
        <f>IF(ROW()&lt;=Results!$C$1+1,IF(ISERROR(C864-F864),"",C864-F864),"")</f>
        <v/>
      </c>
    </row>
    <row r="865" spans="1:7" x14ac:dyDescent="0.25">
      <c r="A865" s="1" t="str">
        <f ca="1">IF(ROW()&lt;=Results!$C$1+1,INDEX(Data!$A:$A,CEILING((COUNTA(Data!$A:$A)-1)*RAND()+1,1)),"")</f>
        <v/>
      </c>
      <c r="B865" s="1" t="str">
        <f>IF(ROW()&lt;=Results!$C$1+1,VLOOKUP($A865,Data!$A$2:$C$117,2,TRUE),"")</f>
        <v/>
      </c>
      <c r="C865" s="14" t="str">
        <f>IF(ROW()&lt;=Results!$C$1+1,IF(B865&lt;=0,"",LN(B865)),"")</f>
        <v/>
      </c>
      <c r="D865" s="58" t="str">
        <f ca="1">IF(Results!$S$5,A865,IF(ROW()&lt;=Results!$C$1+1,INDEX(Data!$A:$A,CEILING((COUNTA(Data!$A:$A)-1)*RAND()+1,1)),""))</f>
        <v/>
      </c>
      <c r="E865" s="1" t="str">
        <f>IF(ROW()&lt;=Results!$C$1+1,VLOOKUP($D865,Data!$A$2:$C$117,3,TRUE),"")</f>
        <v/>
      </c>
      <c r="F865" s="14" t="str">
        <f>IF(ROW()&lt;=Results!$C$1+1,IF(E865&lt;=0,"",LN(E865)),"")</f>
        <v/>
      </c>
      <c r="G865" s="53" t="str">
        <f>IF(ROW()&lt;=Results!$C$1+1,IF(ISERROR(C865-F865),"",C865-F865),"")</f>
        <v/>
      </c>
    </row>
    <row r="866" spans="1:7" x14ac:dyDescent="0.25">
      <c r="A866" s="1" t="str">
        <f ca="1">IF(ROW()&lt;=Results!$C$1+1,INDEX(Data!$A:$A,CEILING((COUNTA(Data!$A:$A)-1)*RAND()+1,1)),"")</f>
        <v/>
      </c>
      <c r="B866" s="1" t="str">
        <f>IF(ROW()&lt;=Results!$C$1+1,VLOOKUP($A866,Data!$A$2:$C$117,2,TRUE),"")</f>
        <v/>
      </c>
      <c r="C866" s="14" t="str">
        <f>IF(ROW()&lt;=Results!$C$1+1,IF(B866&lt;=0,"",LN(B866)),"")</f>
        <v/>
      </c>
      <c r="D866" s="58" t="str">
        <f ca="1">IF(Results!$S$5,A866,IF(ROW()&lt;=Results!$C$1+1,INDEX(Data!$A:$A,CEILING((COUNTA(Data!$A:$A)-1)*RAND()+1,1)),""))</f>
        <v/>
      </c>
      <c r="E866" s="1" t="str">
        <f>IF(ROW()&lt;=Results!$C$1+1,VLOOKUP($D866,Data!$A$2:$C$117,3,TRUE),"")</f>
        <v/>
      </c>
      <c r="F866" s="14" t="str">
        <f>IF(ROW()&lt;=Results!$C$1+1,IF(E866&lt;=0,"",LN(E866)),"")</f>
        <v/>
      </c>
      <c r="G866" s="53" t="str">
        <f>IF(ROW()&lt;=Results!$C$1+1,IF(ISERROR(C866-F866),"",C866-F866),"")</f>
        <v/>
      </c>
    </row>
    <row r="867" spans="1:7" x14ac:dyDescent="0.25">
      <c r="A867" s="1" t="str">
        <f ca="1">IF(ROW()&lt;=Results!$C$1+1,INDEX(Data!$A:$A,CEILING((COUNTA(Data!$A:$A)-1)*RAND()+1,1)),"")</f>
        <v/>
      </c>
      <c r="B867" s="1" t="str">
        <f>IF(ROW()&lt;=Results!$C$1+1,VLOOKUP($A867,Data!$A$2:$C$117,2,TRUE),"")</f>
        <v/>
      </c>
      <c r="C867" s="14" t="str">
        <f>IF(ROW()&lt;=Results!$C$1+1,IF(B867&lt;=0,"",LN(B867)),"")</f>
        <v/>
      </c>
      <c r="D867" s="58" t="str">
        <f ca="1">IF(Results!$S$5,A867,IF(ROW()&lt;=Results!$C$1+1,INDEX(Data!$A:$A,CEILING((COUNTA(Data!$A:$A)-1)*RAND()+1,1)),""))</f>
        <v/>
      </c>
      <c r="E867" s="1" t="str">
        <f>IF(ROW()&lt;=Results!$C$1+1,VLOOKUP($D867,Data!$A$2:$C$117,3,TRUE),"")</f>
        <v/>
      </c>
      <c r="F867" s="14" t="str">
        <f>IF(ROW()&lt;=Results!$C$1+1,IF(E867&lt;=0,"",LN(E867)),"")</f>
        <v/>
      </c>
      <c r="G867" s="53" t="str">
        <f>IF(ROW()&lt;=Results!$C$1+1,IF(ISERROR(C867-F867),"",C867-F867),"")</f>
        <v/>
      </c>
    </row>
    <row r="868" spans="1:7" x14ac:dyDescent="0.25">
      <c r="A868" s="1" t="str">
        <f ca="1">IF(ROW()&lt;=Results!$C$1+1,INDEX(Data!$A:$A,CEILING((COUNTA(Data!$A:$A)-1)*RAND()+1,1)),"")</f>
        <v/>
      </c>
      <c r="B868" s="1" t="str">
        <f>IF(ROW()&lt;=Results!$C$1+1,VLOOKUP($A868,Data!$A$2:$C$117,2,TRUE),"")</f>
        <v/>
      </c>
      <c r="C868" s="14" t="str">
        <f>IF(ROW()&lt;=Results!$C$1+1,IF(B868&lt;=0,"",LN(B868)),"")</f>
        <v/>
      </c>
      <c r="D868" s="58" t="str">
        <f ca="1">IF(Results!$S$5,A868,IF(ROW()&lt;=Results!$C$1+1,INDEX(Data!$A:$A,CEILING((COUNTA(Data!$A:$A)-1)*RAND()+1,1)),""))</f>
        <v/>
      </c>
      <c r="E868" s="1" t="str">
        <f>IF(ROW()&lt;=Results!$C$1+1,VLOOKUP($D868,Data!$A$2:$C$117,3,TRUE),"")</f>
        <v/>
      </c>
      <c r="F868" s="14" t="str">
        <f>IF(ROW()&lt;=Results!$C$1+1,IF(E868&lt;=0,"",LN(E868)),"")</f>
        <v/>
      </c>
      <c r="G868" s="53" t="str">
        <f>IF(ROW()&lt;=Results!$C$1+1,IF(ISERROR(C868-F868),"",C868-F868),"")</f>
        <v/>
      </c>
    </row>
    <row r="869" spans="1:7" x14ac:dyDescent="0.25">
      <c r="A869" s="1" t="str">
        <f ca="1">IF(ROW()&lt;=Results!$C$1+1,INDEX(Data!$A:$A,CEILING((COUNTA(Data!$A:$A)-1)*RAND()+1,1)),"")</f>
        <v/>
      </c>
      <c r="B869" s="1" t="str">
        <f>IF(ROW()&lt;=Results!$C$1+1,VLOOKUP($A869,Data!$A$2:$C$117,2,TRUE),"")</f>
        <v/>
      </c>
      <c r="C869" s="14" t="str">
        <f>IF(ROW()&lt;=Results!$C$1+1,IF(B869&lt;=0,"",LN(B869)),"")</f>
        <v/>
      </c>
      <c r="D869" s="58" t="str">
        <f ca="1">IF(Results!$S$5,A869,IF(ROW()&lt;=Results!$C$1+1,INDEX(Data!$A:$A,CEILING((COUNTA(Data!$A:$A)-1)*RAND()+1,1)),""))</f>
        <v/>
      </c>
      <c r="E869" s="1" t="str">
        <f>IF(ROW()&lt;=Results!$C$1+1,VLOOKUP($D869,Data!$A$2:$C$117,3,TRUE),"")</f>
        <v/>
      </c>
      <c r="F869" s="14" t="str">
        <f>IF(ROW()&lt;=Results!$C$1+1,IF(E869&lt;=0,"",LN(E869)),"")</f>
        <v/>
      </c>
      <c r="G869" s="53" t="str">
        <f>IF(ROW()&lt;=Results!$C$1+1,IF(ISERROR(C869-F869),"",C869-F869),"")</f>
        <v/>
      </c>
    </row>
    <row r="870" spans="1:7" x14ac:dyDescent="0.25">
      <c r="A870" s="1" t="str">
        <f ca="1">IF(ROW()&lt;=Results!$C$1+1,INDEX(Data!$A:$A,CEILING((COUNTA(Data!$A:$A)-1)*RAND()+1,1)),"")</f>
        <v/>
      </c>
      <c r="B870" s="1" t="str">
        <f>IF(ROW()&lt;=Results!$C$1+1,VLOOKUP($A870,Data!$A$2:$C$117,2,TRUE),"")</f>
        <v/>
      </c>
      <c r="C870" s="14" t="str">
        <f>IF(ROW()&lt;=Results!$C$1+1,IF(B870&lt;=0,"",LN(B870)),"")</f>
        <v/>
      </c>
      <c r="D870" s="58" t="str">
        <f ca="1">IF(Results!$S$5,A870,IF(ROW()&lt;=Results!$C$1+1,INDEX(Data!$A:$A,CEILING((COUNTA(Data!$A:$A)-1)*RAND()+1,1)),""))</f>
        <v/>
      </c>
      <c r="E870" s="1" t="str">
        <f>IF(ROW()&lt;=Results!$C$1+1,VLOOKUP($D870,Data!$A$2:$C$117,3,TRUE),"")</f>
        <v/>
      </c>
      <c r="F870" s="14" t="str">
        <f>IF(ROW()&lt;=Results!$C$1+1,IF(E870&lt;=0,"",LN(E870)),"")</f>
        <v/>
      </c>
      <c r="G870" s="53" t="str">
        <f>IF(ROW()&lt;=Results!$C$1+1,IF(ISERROR(C870-F870),"",C870-F870),"")</f>
        <v/>
      </c>
    </row>
    <row r="871" spans="1:7" x14ac:dyDescent="0.25">
      <c r="A871" s="1" t="str">
        <f ca="1">IF(ROW()&lt;=Results!$C$1+1,INDEX(Data!$A:$A,CEILING((COUNTA(Data!$A:$A)-1)*RAND()+1,1)),"")</f>
        <v/>
      </c>
      <c r="B871" s="1" t="str">
        <f>IF(ROW()&lt;=Results!$C$1+1,VLOOKUP($A871,Data!$A$2:$C$117,2,TRUE),"")</f>
        <v/>
      </c>
      <c r="C871" s="14" t="str">
        <f>IF(ROW()&lt;=Results!$C$1+1,IF(B871&lt;=0,"",LN(B871)),"")</f>
        <v/>
      </c>
      <c r="D871" s="58" t="str">
        <f ca="1">IF(Results!$S$5,A871,IF(ROW()&lt;=Results!$C$1+1,INDEX(Data!$A:$A,CEILING((COUNTA(Data!$A:$A)-1)*RAND()+1,1)),""))</f>
        <v/>
      </c>
      <c r="E871" s="1" t="str">
        <f>IF(ROW()&lt;=Results!$C$1+1,VLOOKUP($D871,Data!$A$2:$C$117,3,TRUE),"")</f>
        <v/>
      </c>
      <c r="F871" s="14" t="str">
        <f>IF(ROW()&lt;=Results!$C$1+1,IF(E871&lt;=0,"",LN(E871)),"")</f>
        <v/>
      </c>
      <c r="G871" s="53" t="str">
        <f>IF(ROW()&lt;=Results!$C$1+1,IF(ISERROR(C871-F871),"",C871-F871),"")</f>
        <v/>
      </c>
    </row>
    <row r="872" spans="1:7" x14ac:dyDescent="0.25">
      <c r="A872" s="1" t="str">
        <f ca="1">IF(ROW()&lt;=Results!$C$1+1,INDEX(Data!$A:$A,CEILING((COUNTA(Data!$A:$A)-1)*RAND()+1,1)),"")</f>
        <v/>
      </c>
      <c r="B872" s="1" t="str">
        <f>IF(ROW()&lt;=Results!$C$1+1,VLOOKUP($A872,Data!$A$2:$C$117,2,TRUE),"")</f>
        <v/>
      </c>
      <c r="C872" s="14" t="str">
        <f>IF(ROW()&lt;=Results!$C$1+1,IF(B872&lt;=0,"",LN(B872)),"")</f>
        <v/>
      </c>
      <c r="D872" s="58" t="str">
        <f ca="1">IF(Results!$S$5,A872,IF(ROW()&lt;=Results!$C$1+1,INDEX(Data!$A:$A,CEILING((COUNTA(Data!$A:$A)-1)*RAND()+1,1)),""))</f>
        <v/>
      </c>
      <c r="E872" s="1" t="str">
        <f>IF(ROW()&lt;=Results!$C$1+1,VLOOKUP($D872,Data!$A$2:$C$117,3,TRUE),"")</f>
        <v/>
      </c>
      <c r="F872" s="14" t="str">
        <f>IF(ROW()&lt;=Results!$C$1+1,IF(E872&lt;=0,"",LN(E872)),"")</f>
        <v/>
      </c>
      <c r="G872" s="53" t="str">
        <f>IF(ROW()&lt;=Results!$C$1+1,IF(ISERROR(C872-F872),"",C872-F872),"")</f>
        <v/>
      </c>
    </row>
    <row r="873" spans="1:7" x14ac:dyDescent="0.25">
      <c r="A873" s="1" t="str">
        <f ca="1">IF(ROW()&lt;=Results!$C$1+1,INDEX(Data!$A:$A,CEILING((COUNTA(Data!$A:$A)-1)*RAND()+1,1)),"")</f>
        <v/>
      </c>
      <c r="B873" s="1" t="str">
        <f>IF(ROW()&lt;=Results!$C$1+1,VLOOKUP($A873,Data!$A$2:$C$117,2,TRUE),"")</f>
        <v/>
      </c>
      <c r="C873" s="14" t="str">
        <f>IF(ROW()&lt;=Results!$C$1+1,IF(B873&lt;=0,"",LN(B873)),"")</f>
        <v/>
      </c>
      <c r="D873" s="58" t="str">
        <f ca="1">IF(Results!$S$5,A873,IF(ROW()&lt;=Results!$C$1+1,INDEX(Data!$A:$A,CEILING((COUNTA(Data!$A:$A)-1)*RAND()+1,1)),""))</f>
        <v/>
      </c>
      <c r="E873" s="1" t="str">
        <f>IF(ROW()&lt;=Results!$C$1+1,VLOOKUP($D873,Data!$A$2:$C$117,3,TRUE),"")</f>
        <v/>
      </c>
      <c r="F873" s="14" t="str">
        <f>IF(ROW()&lt;=Results!$C$1+1,IF(E873&lt;=0,"",LN(E873)),"")</f>
        <v/>
      </c>
      <c r="G873" s="53" t="str">
        <f>IF(ROW()&lt;=Results!$C$1+1,IF(ISERROR(C873-F873),"",C873-F873),"")</f>
        <v/>
      </c>
    </row>
    <row r="874" spans="1:7" x14ac:dyDescent="0.25">
      <c r="A874" s="1" t="str">
        <f ca="1">IF(ROW()&lt;=Results!$C$1+1,INDEX(Data!$A:$A,CEILING((COUNTA(Data!$A:$A)-1)*RAND()+1,1)),"")</f>
        <v/>
      </c>
      <c r="B874" s="1" t="str">
        <f>IF(ROW()&lt;=Results!$C$1+1,VLOOKUP($A874,Data!$A$2:$C$117,2,TRUE),"")</f>
        <v/>
      </c>
      <c r="C874" s="14" t="str">
        <f>IF(ROW()&lt;=Results!$C$1+1,IF(B874&lt;=0,"",LN(B874)),"")</f>
        <v/>
      </c>
      <c r="D874" s="58" t="str">
        <f ca="1">IF(Results!$S$5,A874,IF(ROW()&lt;=Results!$C$1+1,INDEX(Data!$A:$A,CEILING((COUNTA(Data!$A:$A)-1)*RAND()+1,1)),""))</f>
        <v/>
      </c>
      <c r="E874" s="1" t="str">
        <f>IF(ROW()&lt;=Results!$C$1+1,VLOOKUP($D874,Data!$A$2:$C$117,3,TRUE),"")</f>
        <v/>
      </c>
      <c r="F874" s="14" t="str">
        <f>IF(ROW()&lt;=Results!$C$1+1,IF(E874&lt;=0,"",LN(E874)),"")</f>
        <v/>
      </c>
      <c r="G874" s="53" t="str">
        <f>IF(ROW()&lt;=Results!$C$1+1,IF(ISERROR(C874-F874),"",C874-F874),"")</f>
        <v/>
      </c>
    </row>
    <row r="875" spans="1:7" x14ac:dyDescent="0.25">
      <c r="A875" s="1" t="str">
        <f ca="1">IF(ROW()&lt;=Results!$C$1+1,INDEX(Data!$A:$A,CEILING((COUNTA(Data!$A:$A)-1)*RAND()+1,1)),"")</f>
        <v/>
      </c>
      <c r="B875" s="1" t="str">
        <f>IF(ROW()&lt;=Results!$C$1+1,VLOOKUP($A875,Data!$A$2:$C$117,2,TRUE),"")</f>
        <v/>
      </c>
      <c r="C875" s="14" t="str">
        <f>IF(ROW()&lt;=Results!$C$1+1,IF(B875&lt;=0,"",LN(B875)),"")</f>
        <v/>
      </c>
      <c r="D875" s="58" t="str">
        <f ca="1">IF(Results!$S$5,A875,IF(ROW()&lt;=Results!$C$1+1,INDEX(Data!$A:$A,CEILING((COUNTA(Data!$A:$A)-1)*RAND()+1,1)),""))</f>
        <v/>
      </c>
      <c r="E875" s="1" t="str">
        <f>IF(ROW()&lt;=Results!$C$1+1,VLOOKUP($D875,Data!$A$2:$C$117,3,TRUE),"")</f>
        <v/>
      </c>
      <c r="F875" s="14" t="str">
        <f>IF(ROW()&lt;=Results!$C$1+1,IF(E875&lt;=0,"",LN(E875)),"")</f>
        <v/>
      </c>
      <c r="G875" s="53" t="str">
        <f>IF(ROW()&lt;=Results!$C$1+1,IF(ISERROR(C875-F875),"",C875-F875),"")</f>
        <v/>
      </c>
    </row>
    <row r="876" spans="1:7" x14ac:dyDescent="0.25">
      <c r="A876" s="1" t="str">
        <f ca="1">IF(ROW()&lt;=Results!$C$1+1,INDEX(Data!$A:$A,CEILING((COUNTA(Data!$A:$A)-1)*RAND()+1,1)),"")</f>
        <v/>
      </c>
      <c r="B876" s="1" t="str">
        <f>IF(ROW()&lt;=Results!$C$1+1,VLOOKUP($A876,Data!$A$2:$C$117,2,TRUE),"")</f>
        <v/>
      </c>
      <c r="C876" s="14" t="str">
        <f>IF(ROW()&lt;=Results!$C$1+1,IF(B876&lt;=0,"",LN(B876)),"")</f>
        <v/>
      </c>
      <c r="D876" s="58" t="str">
        <f ca="1">IF(Results!$S$5,A876,IF(ROW()&lt;=Results!$C$1+1,INDEX(Data!$A:$A,CEILING((COUNTA(Data!$A:$A)-1)*RAND()+1,1)),""))</f>
        <v/>
      </c>
      <c r="E876" s="1" t="str">
        <f>IF(ROW()&lt;=Results!$C$1+1,VLOOKUP($D876,Data!$A$2:$C$117,3,TRUE),"")</f>
        <v/>
      </c>
      <c r="F876" s="14" t="str">
        <f>IF(ROW()&lt;=Results!$C$1+1,IF(E876&lt;=0,"",LN(E876)),"")</f>
        <v/>
      </c>
      <c r="G876" s="53" t="str">
        <f>IF(ROW()&lt;=Results!$C$1+1,IF(ISERROR(C876-F876),"",C876-F876),"")</f>
        <v/>
      </c>
    </row>
    <row r="877" spans="1:7" x14ac:dyDescent="0.25">
      <c r="A877" s="1" t="str">
        <f ca="1">IF(ROW()&lt;=Results!$C$1+1,INDEX(Data!$A:$A,CEILING((COUNTA(Data!$A:$A)-1)*RAND()+1,1)),"")</f>
        <v/>
      </c>
      <c r="B877" s="1" t="str">
        <f>IF(ROW()&lt;=Results!$C$1+1,VLOOKUP($A877,Data!$A$2:$C$117,2,TRUE),"")</f>
        <v/>
      </c>
      <c r="C877" s="14" t="str">
        <f>IF(ROW()&lt;=Results!$C$1+1,IF(B877&lt;=0,"",LN(B877)),"")</f>
        <v/>
      </c>
      <c r="D877" s="58" t="str">
        <f ca="1">IF(Results!$S$5,A877,IF(ROW()&lt;=Results!$C$1+1,INDEX(Data!$A:$A,CEILING((COUNTA(Data!$A:$A)-1)*RAND()+1,1)),""))</f>
        <v/>
      </c>
      <c r="E877" s="1" t="str">
        <f>IF(ROW()&lt;=Results!$C$1+1,VLOOKUP($D877,Data!$A$2:$C$117,3,TRUE),"")</f>
        <v/>
      </c>
      <c r="F877" s="14" t="str">
        <f>IF(ROW()&lt;=Results!$C$1+1,IF(E877&lt;=0,"",LN(E877)),"")</f>
        <v/>
      </c>
      <c r="G877" s="53" t="str">
        <f>IF(ROW()&lt;=Results!$C$1+1,IF(ISERROR(C877-F877),"",C877-F877),"")</f>
        <v/>
      </c>
    </row>
    <row r="878" spans="1:7" x14ac:dyDescent="0.25">
      <c r="A878" s="1" t="str">
        <f ca="1">IF(ROW()&lt;=Results!$C$1+1,INDEX(Data!$A:$A,CEILING((COUNTA(Data!$A:$A)-1)*RAND()+1,1)),"")</f>
        <v/>
      </c>
      <c r="B878" s="1" t="str">
        <f>IF(ROW()&lt;=Results!$C$1+1,VLOOKUP($A878,Data!$A$2:$C$117,2,TRUE),"")</f>
        <v/>
      </c>
      <c r="C878" s="14" t="str">
        <f>IF(ROW()&lt;=Results!$C$1+1,IF(B878&lt;=0,"",LN(B878)),"")</f>
        <v/>
      </c>
      <c r="D878" s="58" t="str">
        <f ca="1">IF(Results!$S$5,A878,IF(ROW()&lt;=Results!$C$1+1,INDEX(Data!$A:$A,CEILING((COUNTA(Data!$A:$A)-1)*RAND()+1,1)),""))</f>
        <v/>
      </c>
      <c r="E878" s="1" t="str">
        <f>IF(ROW()&lt;=Results!$C$1+1,VLOOKUP($D878,Data!$A$2:$C$117,3,TRUE),"")</f>
        <v/>
      </c>
      <c r="F878" s="14" t="str">
        <f>IF(ROW()&lt;=Results!$C$1+1,IF(E878&lt;=0,"",LN(E878)),"")</f>
        <v/>
      </c>
      <c r="G878" s="53" t="str">
        <f>IF(ROW()&lt;=Results!$C$1+1,IF(ISERROR(C878-F878),"",C878-F878),"")</f>
        <v/>
      </c>
    </row>
    <row r="879" spans="1:7" x14ac:dyDescent="0.25">
      <c r="A879" s="1" t="str">
        <f ca="1">IF(ROW()&lt;=Results!$C$1+1,INDEX(Data!$A:$A,CEILING((COUNTA(Data!$A:$A)-1)*RAND()+1,1)),"")</f>
        <v/>
      </c>
      <c r="B879" s="1" t="str">
        <f>IF(ROW()&lt;=Results!$C$1+1,VLOOKUP($A879,Data!$A$2:$C$117,2,TRUE),"")</f>
        <v/>
      </c>
      <c r="C879" s="14" t="str">
        <f>IF(ROW()&lt;=Results!$C$1+1,IF(B879&lt;=0,"",LN(B879)),"")</f>
        <v/>
      </c>
      <c r="D879" s="58" t="str">
        <f ca="1">IF(Results!$S$5,A879,IF(ROW()&lt;=Results!$C$1+1,INDEX(Data!$A:$A,CEILING((COUNTA(Data!$A:$A)-1)*RAND()+1,1)),""))</f>
        <v/>
      </c>
      <c r="E879" s="1" t="str">
        <f>IF(ROW()&lt;=Results!$C$1+1,VLOOKUP($D879,Data!$A$2:$C$117,3,TRUE),"")</f>
        <v/>
      </c>
      <c r="F879" s="14" t="str">
        <f>IF(ROW()&lt;=Results!$C$1+1,IF(E879&lt;=0,"",LN(E879)),"")</f>
        <v/>
      </c>
      <c r="G879" s="53" t="str">
        <f>IF(ROW()&lt;=Results!$C$1+1,IF(ISERROR(C879-F879),"",C879-F879),"")</f>
        <v/>
      </c>
    </row>
    <row r="880" spans="1:7" x14ac:dyDescent="0.25">
      <c r="A880" s="1" t="str">
        <f ca="1">IF(ROW()&lt;=Results!$C$1+1,INDEX(Data!$A:$A,CEILING((COUNTA(Data!$A:$A)-1)*RAND()+1,1)),"")</f>
        <v/>
      </c>
      <c r="B880" s="1" t="str">
        <f>IF(ROW()&lt;=Results!$C$1+1,VLOOKUP($A880,Data!$A$2:$C$117,2,TRUE),"")</f>
        <v/>
      </c>
      <c r="C880" s="14" t="str">
        <f>IF(ROW()&lt;=Results!$C$1+1,IF(B880&lt;=0,"",LN(B880)),"")</f>
        <v/>
      </c>
      <c r="D880" s="58" t="str">
        <f ca="1">IF(Results!$S$5,A880,IF(ROW()&lt;=Results!$C$1+1,INDEX(Data!$A:$A,CEILING((COUNTA(Data!$A:$A)-1)*RAND()+1,1)),""))</f>
        <v/>
      </c>
      <c r="E880" s="1" t="str">
        <f>IF(ROW()&lt;=Results!$C$1+1,VLOOKUP($D880,Data!$A$2:$C$117,3,TRUE),"")</f>
        <v/>
      </c>
      <c r="F880" s="14" t="str">
        <f>IF(ROW()&lt;=Results!$C$1+1,IF(E880&lt;=0,"",LN(E880)),"")</f>
        <v/>
      </c>
      <c r="G880" s="53" t="str">
        <f>IF(ROW()&lt;=Results!$C$1+1,IF(ISERROR(C880-F880),"",C880-F880),"")</f>
        <v/>
      </c>
    </row>
    <row r="881" spans="1:7" x14ac:dyDescent="0.25">
      <c r="A881" s="1" t="str">
        <f ca="1">IF(ROW()&lt;=Results!$C$1+1,INDEX(Data!$A:$A,CEILING((COUNTA(Data!$A:$A)-1)*RAND()+1,1)),"")</f>
        <v/>
      </c>
      <c r="B881" s="1" t="str">
        <f>IF(ROW()&lt;=Results!$C$1+1,VLOOKUP($A881,Data!$A$2:$C$117,2,TRUE),"")</f>
        <v/>
      </c>
      <c r="C881" s="14" t="str">
        <f>IF(ROW()&lt;=Results!$C$1+1,IF(B881&lt;=0,"",LN(B881)),"")</f>
        <v/>
      </c>
      <c r="D881" s="58" t="str">
        <f ca="1">IF(Results!$S$5,A881,IF(ROW()&lt;=Results!$C$1+1,INDEX(Data!$A:$A,CEILING((COUNTA(Data!$A:$A)-1)*RAND()+1,1)),""))</f>
        <v/>
      </c>
      <c r="E881" s="1" t="str">
        <f>IF(ROW()&lt;=Results!$C$1+1,VLOOKUP($D881,Data!$A$2:$C$117,3,TRUE),"")</f>
        <v/>
      </c>
      <c r="F881" s="14" t="str">
        <f>IF(ROW()&lt;=Results!$C$1+1,IF(E881&lt;=0,"",LN(E881)),"")</f>
        <v/>
      </c>
      <c r="G881" s="53" t="str">
        <f>IF(ROW()&lt;=Results!$C$1+1,IF(ISERROR(C881-F881),"",C881-F881),"")</f>
        <v/>
      </c>
    </row>
    <row r="882" spans="1:7" x14ac:dyDescent="0.25">
      <c r="A882" s="1" t="str">
        <f ca="1">IF(ROW()&lt;=Results!$C$1+1,INDEX(Data!$A:$A,CEILING((COUNTA(Data!$A:$A)-1)*RAND()+1,1)),"")</f>
        <v/>
      </c>
      <c r="B882" s="1" t="str">
        <f>IF(ROW()&lt;=Results!$C$1+1,VLOOKUP($A882,Data!$A$2:$C$117,2,TRUE),"")</f>
        <v/>
      </c>
      <c r="C882" s="14" t="str">
        <f>IF(ROW()&lt;=Results!$C$1+1,IF(B882&lt;=0,"",LN(B882)),"")</f>
        <v/>
      </c>
      <c r="D882" s="58" t="str">
        <f ca="1">IF(Results!$S$5,A882,IF(ROW()&lt;=Results!$C$1+1,INDEX(Data!$A:$A,CEILING((COUNTA(Data!$A:$A)-1)*RAND()+1,1)),""))</f>
        <v/>
      </c>
      <c r="E882" s="1" t="str">
        <f>IF(ROW()&lt;=Results!$C$1+1,VLOOKUP($D882,Data!$A$2:$C$117,3,TRUE),"")</f>
        <v/>
      </c>
      <c r="F882" s="14" t="str">
        <f>IF(ROW()&lt;=Results!$C$1+1,IF(E882&lt;=0,"",LN(E882)),"")</f>
        <v/>
      </c>
      <c r="G882" s="53" t="str">
        <f>IF(ROW()&lt;=Results!$C$1+1,IF(ISERROR(C882-F882),"",C882-F882),"")</f>
        <v/>
      </c>
    </row>
    <row r="883" spans="1:7" x14ac:dyDescent="0.25">
      <c r="A883" s="1" t="str">
        <f ca="1">IF(ROW()&lt;=Results!$C$1+1,INDEX(Data!$A:$A,CEILING((COUNTA(Data!$A:$A)-1)*RAND()+1,1)),"")</f>
        <v/>
      </c>
      <c r="B883" s="1" t="str">
        <f>IF(ROW()&lt;=Results!$C$1+1,VLOOKUP($A883,Data!$A$2:$C$117,2,TRUE),"")</f>
        <v/>
      </c>
      <c r="C883" s="14" t="str">
        <f>IF(ROW()&lt;=Results!$C$1+1,IF(B883&lt;=0,"",LN(B883)),"")</f>
        <v/>
      </c>
      <c r="D883" s="58" t="str">
        <f ca="1">IF(Results!$S$5,A883,IF(ROW()&lt;=Results!$C$1+1,INDEX(Data!$A:$A,CEILING((COUNTA(Data!$A:$A)-1)*RAND()+1,1)),""))</f>
        <v/>
      </c>
      <c r="E883" s="1" t="str">
        <f>IF(ROW()&lt;=Results!$C$1+1,VLOOKUP($D883,Data!$A$2:$C$117,3,TRUE),"")</f>
        <v/>
      </c>
      <c r="F883" s="14" t="str">
        <f>IF(ROW()&lt;=Results!$C$1+1,IF(E883&lt;=0,"",LN(E883)),"")</f>
        <v/>
      </c>
      <c r="G883" s="53" t="str">
        <f>IF(ROW()&lt;=Results!$C$1+1,IF(ISERROR(C883-F883),"",C883-F883),"")</f>
        <v/>
      </c>
    </row>
    <row r="884" spans="1:7" x14ac:dyDescent="0.25">
      <c r="A884" s="1" t="str">
        <f ca="1">IF(ROW()&lt;=Results!$C$1+1,INDEX(Data!$A:$A,CEILING((COUNTA(Data!$A:$A)-1)*RAND()+1,1)),"")</f>
        <v/>
      </c>
      <c r="B884" s="1" t="str">
        <f>IF(ROW()&lt;=Results!$C$1+1,VLOOKUP($A884,Data!$A$2:$C$117,2,TRUE),"")</f>
        <v/>
      </c>
      <c r="C884" s="14" t="str">
        <f>IF(ROW()&lt;=Results!$C$1+1,IF(B884&lt;=0,"",LN(B884)),"")</f>
        <v/>
      </c>
      <c r="D884" s="58" t="str">
        <f ca="1">IF(Results!$S$5,A884,IF(ROW()&lt;=Results!$C$1+1,INDEX(Data!$A:$A,CEILING((COUNTA(Data!$A:$A)-1)*RAND()+1,1)),""))</f>
        <v/>
      </c>
      <c r="E884" s="1" t="str">
        <f>IF(ROW()&lt;=Results!$C$1+1,VLOOKUP($D884,Data!$A$2:$C$117,3,TRUE),"")</f>
        <v/>
      </c>
      <c r="F884" s="14" t="str">
        <f>IF(ROW()&lt;=Results!$C$1+1,IF(E884&lt;=0,"",LN(E884)),"")</f>
        <v/>
      </c>
      <c r="G884" s="53" t="str">
        <f>IF(ROW()&lt;=Results!$C$1+1,IF(ISERROR(C884-F884),"",C884-F884),"")</f>
        <v/>
      </c>
    </row>
    <row r="885" spans="1:7" x14ac:dyDescent="0.25">
      <c r="A885" s="1" t="str">
        <f ca="1">IF(ROW()&lt;=Results!$C$1+1,INDEX(Data!$A:$A,CEILING((COUNTA(Data!$A:$A)-1)*RAND()+1,1)),"")</f>
        <v/>
      </c>
      <c r="B885" s="1" t="str">
        <f>IF(ROW()&lt;=Results!$C$1+1,VLOOKUP($A885,Data!$A$2:$C$117,2,TRUE),"")</f>
        <v/>
      </c>
      <c r="C885" s="14" t="str">
        <f>IF(ROW()&lt;=Results!$C$1+1,IF(B885&lt;=0,"",LN(B885)),"")</f>
        <v/>
      </c>
      <c r="D885" s="58" t="str">
        <f ca="1">IF(Results!$S$5,A885,IF(ROW()&lt;=Results!$C$1+1,INDEX(Data!$A:$A,CEILING((COUNTA(Data!$A:$A)-1)*RAND()+1,1)),""))</f>
        <v/>
      </c>
      <c r="E885" s="1" t="str">
        <f>IF(ROW()&lt;=Results!$C$1+1,VLOOKUP($D885,Data!$A$2:$C$117,3,TRUE),"")</f>
        <v/>
      </c>
      <c r="F885" s="14" t="str">
        <f>IF(ROW()&lt;=Results!$C$1+1,IF(E885&lt;=0,"",LN(E885)),"")</f>
        <v/>
      </c>
      <c r="G885" s="53" t="str">
        <f>IF(ROW()&lt;=Results!$C$1+1,IF(ISERROR(C885-F885),"",C885-F885),"")</f>
        <v/>
      </c>
    </row>
    <row r="886" spans="1:7" x14ac:dyDescent="0.25">
      <c r="A886" s="1" t="str">
        <f ca="1">IF(ROW()&lt;=Results!$C$1+1,INDEX(Data!$A:$A,CEILING((COUNTA(Data!$A:$A)-1)*RAND()+1,1)),"")</f>
        <v/>
      </c>
      <c r="B886" s="1" t="str">
        <f>IF(ROW()&lt;=Results!$C$1+1,VLOOKUP($A886,Data!$A$2:$C$117,2,TRUE),"")</f>
        <v/>
      </c>
      <c r="C886" s="14" t="str">
        <f>IF(ROW()&lt;=Results!$C$1+1,IF(B886&lt;=0,"",LN(B886)),"")</f>
        <v/>
      </c>
      <c r="D886" s="58" t="str">
        <f ca="1">IF(Results!$S$5,A886,IF(ROW()&lt;=Results!$C$1+1,INDEX(Data!$A:$A,CEILING((COUNTA(Data!$A:$A)-1)*RAND()+1,1)),""))</f>
        <v/>
      </c>
      <c r="E886" s="1" t="str">
        <f>IF(ROW()&lt;=Results!$C$1+1,VLOOKUP($D886,Data!$A$2:$C$117,3,TRUE),"")</f>
        <v/>
      </c>
      <c r="F886" s="14" t="str">
        <f>IF(ROW()&lt;=Results!$C$1+1,IF(E886&lt;=0,"",LN(E886)),"")</f>
        <v/>
      </c>
      <c r="G886" s="53" t="str">
        <f>IF(ROW()&lt;=Results!$C$1+1,IF(ISERROR(C886-F886),"",C886-F886),"")</f>
        <v/>
      </c>
    </row>
    <row r="887" spans="1:7" x14ac:dyDescent="0.25">
      <c r="A887" s="1" t="str">
        <f ca="1">IF(ROW()&lt;=Results!$C$1+1,INDEX(Data!$A:$A,CEILING((COUNTA(Data!$A:$A)-1)*RAND()+1,1)),"")</f>
        <v/>
      </c>
      <c r="B887" s="1" t="str">
        <f>IF(ROW()&lt;=Results!$C$1+1,VLOOKUP($A887,Data!$A$2:$C$117,2,TRUE),"")</f>
        <v/>
      </c>
      <c r="C887" s="14" t="str">
        <f>IF(ROW()&lt;=Results!$C$1+1,IF(B887&lt;=0,"",LN(B887)),"")</f>
        <v/>
      </c>
      <c r="D887" s="58" t="str">
        <f ca="1">IF(Results!$S$5,A887,IF(ROW()&lt;=Results!$C$1+1,INDEX(Data!$A:$A,CEILING((COUNTA(Data!$A:$A)-1)*RAND()+1,1)),""))</f>
        <v/>
      </c>
      <c r="E887" s="1" t="str">
        <f>IF(ROW()&lt;=Results!$C$1+1,VLOOKUP($D887,Data!$A$2:$C$117,3,TRUE),"")</f>
        <v/>
      </c>
      <c r="F887" s="14" t="str">
        <f>IF(ROW()&lt;=Results!$C$1+1,IF(E887&lt;=0,"",LN(E887)),"")</f>
        <v/>
      </c>
      <c r="G887" s="53" t="str">
        <f>IF(ROW()&lt;=Results!$C$1+1,IF(ISERROR(C887-F887),"",C887-F887),"")</f>
        <v/>
      </c>
    </row>
    <row r="888" spans="1:7" x14ac:dyDescent="0.25">
      <c r="A888" s="1" t="str">
        <f ca="1">IF(ROW()&lt;=Results!$C$1+1,INDEX(Data!$A:$A,CEILING((COUNTA(Data!$A:$A)-1)*RAND()+1,1)),"")</f>
        <v/>
      </c>
      <c r="B888" s="1" t="str">
        <f>IF(ROW()&lt;=Results!$C$1+1,VLOOKUP($A888,Data!$A$2:$C$117,2,TRUE),"")</f>
        <v/>
      </c>
      <c r="C888" s="14" t="str">
        <f>IF(ROW()&lt;=Results!$C$1+1,IF(B888&lt;=0,"",LN(B888)),"")</f>
        <v/>
      </c>
      <c r="D888" s="58" t="str">
        <f ca="1">IF(Results!$S$5,A888,IF(ROW()&lt;=Results!$C$1+1,INDEX(Data!$A:$A,CEILING((COUNTA(Data!$A:$A)-1)*RAND()+1,1)),""))</f>
        <v/>
      </c>
      <c r="E888" s="1" t="str">
        <f>IF(ROW()&lt;=Results!$C$1+1,VLOOKUP($D888,Data!$A$2:$C$117,3,TRUE),"")</f>
        <v/>
      </c>
      <c r="F888" s="14" t="str">
        <f>IF(ROW()&lt;=Results!$C$1+1,IF(E888&lt;=0,"",LN(E888)),"")</f>
        <v/>
      </c>
      <c r="G888" s="53" t="str">
        <f>IF(ROW()&lt;=Results!$C$1+1,IF(ISERROR(C888-F888),"",C888-F888),"")</f>
        <v/>
      </c>
    </row>
    <row r="889" spans="1:7" x14ac:dyDescent="0.25">
      <c r="A889" s="1" t="str">
        <f ca="1">IF(ROW()&lt;=Results!$C$1+1,INDEX(Data!$A:$A,CEILING((COUNTA(Data!$A:$A)-1)*RAND()+1,1)),"")</f>
        <v/>
      </c>
      <c r="B889" s="1" t="str">
        <f>IF(ROW()&lt;=Results!$C$1+1,VLOOKUP($A889,Data!$A$2:$C$117,2,TRUE),"")</f>
        <v/>
      </c>
      <c r="C889" s="14" t="str">
        <f>IF(ROW()&lt;=Results!$C$1+1,IF(B889&lt;=0,"",LN(B889)),"")</f>
        <v/>
      </c>
      <c r="D889" s="58" t="str">
        <f ca="1">IF(Results!$S$5,A889,IF(ROW()&lt;=Results!$C$1+1,INDEX(Data!$A:$A,CEILING((COUNTA(Data!$A:$A)-1)*RAND()+1,1)),""))</f>
        <v/>
      </c>
      <c r="E889" s="1" t="str">
        <f>IF(ROW()&lt;=Results!$C$1+1,VLOOKUP($D889,Data!$A$2:$C$117,3,TRUE),"")</f>
        <v/>
      </c>
      <c r="F889" s="14" t="str">
        <f>IF(ROW()&lt;=Results!$C$1+1,IF(E889&lt;=0,"",LN(E889)),"")</f>
        <v/>
      </c>
      <c r="G889" s="53" t="str">
        <f>IF(ROW()&lt;=Results!$C$1+1,IF(ISERROR(C889-F889),"",C889-F889),"")</f>
        <v/>
      </c>
    </row>
    <row r="890" spans="1:7" x14ac:dyDescent="0.25">
      <c r="A890" s="1" t="str">
        <f ca="1">IF(ROW()&lt;=Results!$C$1+1,INDEX(Data!$A:$A,CEILING((COUNTA(Data!$A:$A)-1)*RAND()+1,1)),"")</f>
        <v/>
      </c>
      <c r="B890" s="1" t="str">
        <f>IF(ROW()&lt;=Results!$C$1+1,VLOOKUP($A890,Data!$A$2:$C$117,2,TRUE),"")</f>
        <v/>
      </c>
      <c r="C890" s="14" t="str">
        <f>IF(ROW()&lt;=Results!$C$1+1,IF(B890&lt;=0,"",LN(B890)),"")</f>
        <v/>
      </c>
      <c r="D890" s="58" t="str">
        <f ca="1">IF(Results!$S$5,A890,IF(ROW()&lt;=Results!$C$1+1,INDEX(Data!$A:$A,CEILING((COUNTA(Data!$A:$A)-1)*RAND()+1,1)),""))</f>
        <v/>
      </c>
      <c r="E890" s="1" t="str">
        <f>IF(ROW()&lt;=Results!$C$1+1,VLOOKUP($D890,Data!$A$2:$C$117,3,TRUE),"")</f>
        <v/>
      </c>
      <c r="F890" s="14" t="str">
        <f>IF(ROW()&lt;=Results!$C$1+1,IF(E890&lt;=0,"",LN(E890)),"")</f>
        <v/>
      </c>
      <c r="G890" s="53" t="str">
        <f>IF(ROW()&lt;=Results!$C$1+1,IF(ISERROR(C890-F890),"",C890-F890),"")</f>
        <v/>
      </c>
    </row>
    <row r="891" spans="1:7" x14ac:dyDescent="0.25">
      <c r="A891" s="1" t="str">
        <f ca="1">IF(ROW()&lt;=Results!$C$1+1,INDEX(Data!$A:$A,CEILING((COUNTA(Data!$A:$A)-1)*RAND()+1,1)),"")</f>
        <v/>
      </c>
      <c r="B891" s="1" t="str">
        <f>IF(ROW()&lt;=Results!$C$1+1,VLOOKUP($A891,Data!$A$2:$C$117,2,TRUE),"")</f>
        <v/>
      </c>
      <c r="C891" s="14" t="str">
        <f>IF(ROW()&lt;=Results!$C$1+1,IF(B891&lt;=0,"",LN(B891)),"")</f>
        <v/>
      </c>
      <c r="D891" s="58" t="str">
        <f ca="1">IF(Results!$S$5,A891,IF(ROW()&lt;=Results!$C$1+1,INDEX(Data!$A:$A,CEILING((COUNTA(Data!$A:$A)-1)*RAND()+1,1)),""))</f>
        <v/>
      </c>
      <c r="E891" s="1" t="str">
        <f>IF(ROW()&lt;=Results!$C$1+1,VLOOKUP($D891,Data!$A$2:$C$117,3,TRUE),"")</f>
        <v/>
      </c>
      <c r="F891" s="14" t="str">
        <f>IF(ROW()&lt;=Results!$C$1+1,IF(E891&lt;=0,"",LN(E891)),"")</f>
        <v/>
      </c>
      <c r="G891" s="53" t="str">
        <f>IF(ROW()&lt;=Results!$C$1+1,IF(ISERROR(C891-F891),"",C891-F891),"")</f>
        <v/>
      </c>
    </row>
    <row r="892" spans="1:7" x14ac:dyDescent="0.25">
      <c r="A892" s="1" t="str">
        <f ca="1">IF(ROW()&lt;=Results!$C$1+1,INDEX(Data!$A:$A,CEILING((COUNTA(Data!$A:$A)-1)*RAND()+1,1)),"")</f>
        <v/>
      </c>
      <c r="B892" s="1" t="str">
        <f>IF(ROW()&lt;=Results!$C$1+1,VLOOKUP($A892,Data!$A$2:$C$117,2,TRUE),"")</f>
        <v/>
      </c>
      <c r="C892" s="14" t="str">
        <f>IF(ROW()&lt;=Results!$C$1+1,IF(B892&lt;=0,"",LN(B892)),"")</f>
        <v/>
      </c>
      <c r="D892" s="58" t="str">
        <f ca="1">IF(Results!$S$5,A892,IF(ROW()&lt;=Results!$C$1+1,INDEX(Data!$A:$A,CEILING((COUNTA(Data!$A:$A)-1)*RAND()+1,1)),""))</f>
        <v/>
      </c>
      <c r="E892" s="1" t="str">
        <f>IF(ROW()&lt;=Results!$C$1+1,VLOOKUP($D892,Data!$A$2:$C$117,3,TRUE),"")</f>
        <v/>
      </c>
      <c r="F892" s="14" t="str">
        <f>IF(ROW()&lt;=Results!$C$1+1,IF(E892&lt;=0,"",LN(E892)),"")</f>
        <v/>
      </c>
      <c r="G892" s="53" t="str">
        <f>IF(ROW()&lt;=Results!$C$1+1,IF(ISERROR(C892-F892),"",C892-F892),"")</f>
        <v/>
      </c>
    </row>
    <row r="893" spans="1:7" x14ac:dyDescent="0.25">
      <c r="A893" s="1" t="str">
        <f ca="1">IF(ROW()&lt;=Results!$C$1+1,INDEX(Data!$A:$A,CEILING((COUNTA(Data!$A:$A)-1)*RAND()+1,1)),"")</f>
        <v/>
      </c>
      <c r="B893" s="1" t="str">
        <f>IF(ROW()&lt;=Results!$C$1+1,VLOOKUP($A893,Data!$A$2:$C$117,2,TRUE),"")</f>
        <v/>
      </c>
      <c r="C893" s="14" t="str">
        <f>IF(ROW()&lt;=Results!$C$1+1,IF(B893&lt;=0,"",LN(B893)),"")</f>
        <v/>
      </c>
      <c r="D893" s="58" t="str">
        <f ca="1">IF(Results!$S$5,A893,IF(ROW()&lt;=Results!$C$1+1,INDEX(Data!$A:$A,CEILING((COUNTA(Data!$A:$A)-1)*RAND()+1,1)),""))</f>
        <v/>
      </c>
      <c r="E893" s="1" t="str">
        <f>IF(ROW()&lt;=Results!$C$1+1,VLOOKUP($D893,Data!$A$2:$C$117,3,TRUE),"")</f>
        <v/>
      </c>
      <c r="F893" s="14" t="str">
        <f>IF(ROW()&lt;=Results!$C$1+1,IF(E893&lt;=0,"",LN(E893)),"")</f>
        <v/>
      </c>
      <c r="G893" s="53" t="str">
        <f>IF(ROW()&lt;=Results!$C$1+1,IF(ISERROR(C893-F893),"",C893-F893),"")</f>
        <v/>
      </c>
    </row>
    <row r="894" spans="1:7" x14ac:dyDescent="0.25">
      <c r="A894" s="1" t="str">
        <f ca="1">IF(ROW()&lt;=Results!$C$1+1,INDEX(Data!$A:$A,CEILING((COUNTA(Data!$A:$A)-1)*RAND()+1,1)),"")</f>
        <v/>
      </c>
      <c r="B894" s="1" t="str">
        <f>IF(ROW()&lt;=Results!$C$1+1,VLOOKUP($A894,Data!$A$2:$C$117,2,TRUE),"")</f>
        <v/>
      </c>
      <c r="C894" s="14" t="str">
        <f>IF(ROW()&lt;=Results!$C$1+1,IF(B894&lt;=0,"",LN(B894)),"")</f>
        <v/>
      </c>
      <c r="D894" s="58" t="str">
        <f ca="1">IF(Results!$S$5,A894,IF(ROW()&lt;=Results!$C$1+1,INDEX(Data!$A:$A,CEILING((COUNTA(Data!$A:$A)-1)*RAND()+1,1)),""))</f>
        <v/>
      </c>
      <c r="E894" s="1" t="str">
        <f>IF(ROW()&lt;=Results!$C$1+1,VLOOKUP($D894,Data!$A$2:$C$117,3,TRUE),"")</f>
        <v/>
      </c>
      <c r="F894" s="14" t="str">
        <f>IF(ROW()&lt;=Results!$C$1+1,IF(E894&lt;=0,"",LN(E894)),"")</f>
        <v/>
      </c>
      <c r="G894" s="53" t="str">
        <f>IF(ROW()&lt;=Results!$C$1+1,IF(ISERROR(C894-F894),"",C894-F894),"")</f>
        <v/>
      </c>
    </row>
    <row r="895" spans="1:7" x14ac:dyDescent="0.25">
      <c r="A895" s="1" t="str">
        <f ca="1">IF(ROW()&lt;=Results!$C$1+1,INDEX(Data!$A:$A,CEILING((COUNTA(Data!$A:$A)-1)*RAND()+1,1)),"")</f>
        <v/>
      </c>
      <c r="B895" s="1" t="str">
        <f>IF(ROW()&lt;=Results!$C$1+1,VLOOKUP($A895,Data!$A$2:$C$117,2,TRUE),"")</f>
        <v/>
      </c>
      <c r="C895" s="14" t="str">
        <f>IF(ROW()&lt;=Results!$C$1+1,IF(B895&lt;=0,"",LN(B895)),"")</f>
        <v/>
      </c>
      <c r="D895" s="58" t="str">
        <f ca="1">IF(Results!$S$5,A895,IF(ROW()&lt;=Results!$C$1+1,INDEX(Data!$A:$A,CEILING((COUNTA(Data!$A:$A)-1)*RAND()+1,1)),""))</f>
        <v/>
      </c>
      <c r="E895" s="1" t="str">
        <f>IF(ROW()&lt;=Results!$C$1+1,VLOOKUP($D895,Data!$A$2:$C$117,3,TRUE),"")</f>
        <v/>
      </c>
      <c r="F895" s="14" t="str">
        <f>IF(ROW()&lt;=Results!$C$1+1,IF(E895&lt;=0,"",LN(E895)),"")</f>
        <v/>
      </c>
      <c r="G895" s="53" t="str">
        <f>IF(ROW()&lt;=Results!$C$1+1,IF(ISERROR(C895-F895),"",C895-F895),"")</f>
        <v/>
      </c>
    </row>
    <row r="896" spans="1:7" x14ac:dyDescent="0.25">
      <c r="A896" s="1" t="str">
        <f ca="1">IF(ROW()&lt;=Results!$C$1+1,INDEX(Data!$A:$A,CEILING((COUNTA(Data!$A:$A)-1)*RAND()+1,1)),"")</f>
        <v/>
      </c>
      <c r="B896" s="1" t="str">
        <f>IF(ROW()&lt;=Results!$C$1+1,VLOOKUP($A896,Data!$A$2:$C$117,2,TRUE),"")</f>
        <v/>
      </c>
      <c r="C896" s="14" t="str">
        <f>IF(ROW()&lt;=Results!$C$1+1,IF(B896&lt;=0,"",LN(B896)),"")</f>
        <v/>
      </c>
      <c r="D896" s="58" t="str">
        <f ca="1">IF(Results!$S$5,A896,IF(ROW()&lt;=Results!$C$1+1,INDEX(Data!$A:$A,CEILING((COUNTA(Data!$A:$A)-1)*RAND()+1,1)),""))</f>
        <v/>
      </c>
      <c r="E896" s="1" t="str">
        <f>IF(ROW()&lt;=Results!$C$1+1,VLOOKUP($D896,Data!$A$2:$C$117,3,TRUE),"")</f>
        <v/>
      </c>
      <c r="F896" s="14" t="str">
        <f>IF(ROW()&lt;=Results!$C$1+1,IF(E896&lt;=0,"",LN(E896)),"")</f>
        <v/>
      </c>
      <c r="G896" s="53" t="str">
        <f>IF(ROW()&lt;=Results!$C$1+1,IF(ISERROR(C896-F896),"",C896-F896),"")</f>
        <v/>
      </c>
    </row>
    <row r="897" spans="1:7" x14ac:dyDescent="0.25">
      <c r="A897" s="1" t="str">
        <f ca="1">IF(ROW()&lt;=Results!$C$1+1,INDEX(Data!$A:$A,CEILING((COUNTA(Data!$A:$A)-1)*RAND()+1,1)),"")</f>
        <v/>
      </c>
      <c r="B897" s="1" t="str">
        <f>IF(ROW()&lt;=Results!$C$1+1,VLOOKUP($A897,Data!$A$2:$C$117,2,TRUE),"")</f>
        <v/>
      </c>
      <c r="C897" s="14" t="str">
        <f>IF(ROW()&lt;=Results!$C$1+1,IF(B897&lt;=0,"",LN(B897)),"")</f>
        <v/>
      </c>
      <c r="D897" s="58" t="str">
        <f ca="1">IF(Results!$S$5,A897,IF(ROW()&lt;=Results!$C$1+1,INDEX(Data!$A:$A,CEILING((COUNTA(Data!$A:$A)-1)*RAND()+1,1)),""))</f>
        <v/>
      </c>
      <c r="E897" s="1" t="str">
        <f>IF(ROW()&lt;=Results!$C$1+1,VLOOKUP($D897,Data!$A$2:$C$117,3,TRUE),"")</f>
        <v/>
      </c>
      <c r="F897" s="14" t="str">
        <f>IF(ROW()&lt;=Results!$C$1+1,IF(E897&lt;=0,"",LN(E897)),"")</f>
        <v/>
      </c>
      <c r="G897" s="53" t="str">
        <f>IF(ROW()&lt;=Results!$C$1+1,IF(ISERROR(C897-F897),"",C897-F897),"")</f>
        <v/>
      </c>
    </row>
    <row r="898" spans="1:7" x14ac:dyDescent="0.25">
      <c r="A898" s="1" t="str">
        <f ca="1">IF(ROW()&lt;=Results!$C$1+1,INDEX(Data!$A:$A,CEILING((COUNTA(Data!$A:$A)-1)*RAND()+1,1)),"")</f>
        <v/>
      </c>
      <c r="B898" s="1" t="str">
        <f>IF(ROW()&lt;=Results!$C$1+1,VLOOKUP($A898,Data!$A$2:$C$117,2,TRUE),"")</f>
        <v/>
      </c>
      <c r="C898" s="14" t="str">
        <f>IF(ROW()&lt;=Results!$C$1+1,IF(B898&lt;=0,"",LN(B898)),"")</f>
        <v/>
      </c>
      <c r="D898" s="58" t="str">
        <f ca="1">IF(Results!$S$5,A898,IF(ROW()&lt;=Results!$C$1+1,INDEX(Data!$A:$A,CEILING((COUNTA(Data!$A:$A)-1)*RAND()+1,1)),""))</f>
        <v/>
      </c>
      <c r="E898" s="1" t="str">
        <f>IF(ROW()&lt;=Results!$C$1+1,VLOOKUP($D898,Data!$A$2:$C$117,3,TRUE),"")</f>
        <v/>
      </c>
      <c r="F898" s="14" t="str">
        <f>IF(ROW()&lt;=Results!$C$1+1,IF(E898&lt;=0,"",LN(E898)),"")</f>
        <v/>
      </c>
      <c r="G898" s="53" t="str">
        <f>IF(ROW()&lt;=Results!$C$1+1,IF(ISERROR(C898-F898),"",C898-F898),"")</f>
        <v/>
      </c>
    </row>
    <row r="899" spans="1:7" x14ac:dyDescent="0.25">
      <c r="A899" s="1" t="str">
        <f ca="1">IF(ROW()&lt;=Results!$C$1+1,INDEX(Data!$A:$A,CEILING((COUNTA(Data!$A:$A)-1)*RAND()+1,1)),"")</f>
        <v/>
      </c>
      <c r="B899" s="1" t="str">
        <f>IF(ROW()&lt;=Results!$C$1+1,VLOOKUP($A899,Data!$A$2:$C$117,2,TRUE),"")</f>
        <v/>
      </c>
      <c r="C899" s="14" t="str">
        <f>IF(ROW()&lt;=Results!$C$1+1,IF(B899&lt;=0,"",LN(B899)),"")</f>
        <v/>
      </c>
      <c r="D899" s="58" t="str">
        <f ca="1">IF(Results!$S$5,A899,IF(ROW()&lt;=Results!$C$1+1,INDEX(Data!$A:$A,CEILING((COUNTA(Data!$A:$A)-1)*RAND()+1,1)),""))</f>
        <v/>
      </c>
      <c r="E899" s="1" t="str">
        <f>IF(ROW()&lt;=Results!$C$1+1,VLOOKUP($D899,Data!$A$2:$C$117,3,TRUE),"")</f>
        <v/>
      </c>
      <c r="F899" s="14" t="str">
        <f>IF(ROW()&lt;=Results!$C$1+1,IF(E899&lt;=0,"",LN(E899)),"")</f>
        <v/>
      </c>
      <c r="G899" s="53" t="str">
        <f>IF(ROW()&lt;=Results!$C$1+1,IF(ISERROR(C899-F899),"",C899-F899),"")</f>
        <v/>
      </c>
    </row>
    <row r="900" spans="1:7" x14ac:dyDescent="0.25">
      <c r="A900" s="1" t="str">
        <f ca="1">IF(ROW()&lt;=Results!$C$1+1,INDEX(Data!$A:$A,CEILING((COUNTA(Data!$A:$A)-1)*RAND()+1,1)),"")</f>
        <v/>
      </c>
      <c r="B900" s="1" t="str">
        <f>IF(ROW()&lt;=Results!$C$1+1,VLOOKUP($A900,Data!$A$2:$C$117,2,TRUE),"")</f>
        <v/>
      </c>
      <c r="C900" s="14" t="str">
        <f>IF(ROW()&lt;=Results!$C$1+1,IF(B900&lt;=0,"",LN(B900)),"")</f>
        <v/>
      </c>
      <c r="D900" s="58" t="str">
        <f ca="1">IF(Results!$S$5,A900,IF(ROW()&lt;=Results!$C$1+1,INDEX(Data!$A:$A,CEILING((COUNTA(Data!$A:$A)-1)*RAND()+1,1)),""))</f>
        <v/>
      </c>
      <c r="E900" s="1" t="str">
        <f>IF(ROW()&lt;=Results!$C$1+1,VLOOKUP($D900,Data!$A$2:$C$117,3,TRUE),"")</f>
        <v/>
      </c>
      <c r="F900" s="14" t="str">
        <f>IF(ROW()&lt;=Results!$C$1+1,IF(E900&lt;=0,"",LN(E900)),"")</f>
        <v/>
      </c>
      <c r="G900" s="53" t="str">
        <f>IF(ROW()&lt;=Results!$C$1+1,IF(ISERROR(C900-F900),"",C900-F900),"")</f>
        <v/>
      </c>
    </row>
    <row r="901" spans="1:7" x14ac:dyDescent="0.25">
      <c r="A901" s="1" t="str">
        <f ca="1">IF(ROW()&lt;=Results!$C$1+1,INDEX(Data!$A:$A,CEILING((COUNTA(Data!$A:$A)-1)*RAND()+1,1)),"")</f>
        <v/>
      </c>
      <c r="B901" s="1" t="str">
        <f>IF(ROW()&lt;=Results!$C$1+1,VLOOKUP($A901,Data!$A$2:$C$117,2,TRUE),"")</f>
        <v/>
      </c>
      <c r="C901" s="14" t="str">
        <f>IF(ROW()&lt;=Results!$C$1+1,IF(B901&lt;=0,"",LN(B901)),"")</f>
        <v/>
      </c>
      <c r="D901" s="58" t="str">
        <f ca="1">IF(Results!$S$5,A901,IF(ROW()&lt;=Results!$C$1+1,INDEX(Data!$A:$A,CEILING((COUNTA(Data!$A:$A)-1)*RAND()+1,1)),""))</f>
        <v/>
      </c>
      <c r="E901" s="1" t="str">
        <f>IF(ROW()&lt;=Results!$C$1+1,VLOOKUP($D901,Data!$A$2:$C$117,3,TRUE),"")</f>
        <v/>
      </c>
      <c r="F901" s="14" t="str">
        <f>IF(ROW()&lt;=Results!$C$1+1,IF(E901&lt;=0,"",LN(E901)),"")</f>
        <v/>
      </c>
      <c r="G901" s="53" t="str">
        <f>IF(ROW()&lt;=Results!$C$1+1,IF(ISERROR(C901-F901),"",C901-F901),"")</f>
        <v/>
      </c>
    </row>
    <row r="902" spans="1:7" x14ac:dyDescent="0.25">
      <c r="A902" s="1" t="str">
        <f ca="1">IF(ROW()&lt;=Results!$C$1+1,INDEX(Data!$A:$A,CEILING((COUNTA(Data!$A:$A)-1)*RAND()+1,1)),"")</f>
        <v/>
      </c>
      <c r="B902" s="1" t="str">
        <f>IF(ROW()&lt;=Results!$C$1+1,VLOOKUP($A902,Data!$A$2:$C$117,2,TRUE),"")</f>
        <v/>
      </c>
      <c r="C902" s="14" t="str">
        <f>IF(ROW()&lt;=Results!$C$1+1,IF(B902&lt;=0,"",LN(B902)),"")</f>
        <v/>
      </c>
      <c r="D902" s="58" t="str">
        <f ca="1">IF(Results!$S$5,A902,IF(ROW()&lt;=Results!$C$1+1,INDEX(Data!$A:$A,CEILING((COUNTA(Data!$A:$A)-1)*RAND()+1,1)),""))</f>
        <v/>
      </c>
      <c r="E902" s="1" t="str">
        <f>IF(ROW()&lt;=Results!$C$1+1,VLOOKUP($D902,Data!$A$2:$C$117,3,TRUE),"")</f>
        <v/>
      </c>
      <c r="F902" s="14" t="str">
        <f>IF(ROW()&lt;=Results!$C$1+1,IF(E902&lt;=0,"",LN(E902)),"")</f>
        <v/>
      </c>
      <c r="G902" s="53" t="str">
        <f>IF(ROW()&lt;=Results!$C$1+1,IF(ISERROR(C902-F902),"",C902-F902),"")</f>
        <v/>
      </c>
    </row>
    <row r="903" spans="1:7" x14ac:dyDescent="0.25">
      <c r="A903" s="1" t="str">
        <f ca="1">IF(ROW()&lt;=Results!$C$1+1,INDEX(Data!$A:$A,CEILING((COUNTA(Data!$A:$A)-1)*RAND()+1,1)),"")</f>
        <v/>
      </c>
      <c r="B903" s="1" t="str">
        <f>IF(ROW()&lt;=Results!$C$1+1,VLOOKUP($A903,Data!$A$2:$C$117,2,TRUE),"")</f>
        <v/>
      </c>
      <c r="C903" s="14" t="str">
        <f>IF(ROW()&lt;=Results!$C$1+1,IF(B903&lt;=0,"",LN(B903)),"")</f>
        <v/>
      </c>
      <c r="D903" s="58" t="str">
        <f ca="1">IF(Results!$S$5,A903,IF(ROW()&lt;=Results!$C$1+1,INDEX(Data!$A:$A,CEILING((COUNTA(Data!$A:$A)-1)*RAND()+1,1)),""))</f>
        <v/>
      </c>
      <c r="E903" s="1" t="str">
        <f>IF(ROW()&lt;=Results!$C$1+1,VLOOKUP($D903,Data!$A$2:$C$117,3,TRUE),"")</f>
        <v/>
      </c>
      <c r="F903" s="14" t="str">
        <f>IF(ROW()&lt;=Results!$C$1+1,IF(E903&lt;=0,"",LN(E903)),"")</f>
        <v/>
      </c>
      <c r="G903" s="53" t="str">
        <f>IF(ROW()&lt;=Results!$C$1+1,IF(ISERROR(C903-F903),"",C903-F903),"")</f>
        <v/>
      </c>
    </row>
    <row r="904" spans="1:7" x14ac:dyDescent="0.25">
      <c r="A904" s="1" t="str">
        <f ca="1">IF(ROW()&lt;=Results!$C$1+1,INDEX(Data!$A:$A,CEILING((COUNTA(Data!$A:$A)-1)*RAND()+1,1)),"")</f>
        <v/>
      </c>
      <c r="B904" s="1" t="str">
        <f>IF(ROW()&lt;=Results!$C$1+1,VLOOKUP($A904,Data!$A$2:$C$117,2,TRUE),"")</f>
        <v/>
      </c>
      <c r="C904" s="14" t="str">
        <f>IF(ROW()&lt;=Results!$C$1+1,IF(B904&lt;=0,"",LN(B904)),"")</f>
        <v/>
      </c>
      <c r="D904" s="58" t="str">
        <f ca="1">IF(Results!$S$5,A904,IF(ROW()&lt;=Results!$C$1+1,INDEX(Data!$A:$A,CEILING((COUNTA(Data!$A:$A)-1)*RAND()+1,1)),""))</f>
        <v/>
      </c>
      <c r="E904" s="1" t="str">
        <f>IF(ROW()&lt;=Results!$C$1+1,VLOOKUP($D904,Data!$A$2:$C$117,3,TRUE),"")</f>
        <v/>
      </c>
      <c r="F904" s="14" t="str">
        <f>IF(ROW()&lt;=Results!$C$1+1,IF(E904&lt;=0,"",LN(E904)),"")</f>
        <v/>
      </c>
      <c r="G904" s="53" t="str">
        <f>IF(ROW()&lt;=Results!$C$1+1,IF(ISERROR(C904-F904),"",C904-F904),"")</f>
        <v/>
      </c>
    </row>
    <row r="905" spans="1:7" x14ac:dyDescent="0.25">
      <c r="A905" s="1" t="str">
        <f ca="1">IF(ROW()&lt;=Results!$C$1+1,INDEX(Data!$A:$A,CEILING((COUNTA(Data!$A:$A)-1)*RAND()+1,1)),"")</f>
        <v/>
      </c>
      <c r="B905" s="1" t="str">
        <f>IF(ROW()&lt;=Results!$C$1+1,VLOOKUP($A905,Data!$A$2:$C$117,2,TRUE),"")</f>
        <v/>
      </c>
      <c r="C905" s="14" t="str">
        <f>IF(ROW()&lt;=Results!$C$1+1,IF(B905&lt;=0,"",LN(B905)),"")</f>
        <v/>
      </c>
      <c r="D905" s="58" t="str">
        <f ca="1">IF(Results!$S$5,A905,IF(ROW()&lt;=Results!$C$1+1,INDEX(Data!$A:$A,CEILING((COUNTA(Data!$A:$A)-1)*RAND()+1,1)),""))</f>
        <v/>
      </c>
      <c r="E905" s="1" t="str">
        <f>IF(ROW()&lt;=Results!$C$1+1,VLOOKUP($D905,Data!$A$2:$C$117,3,TRUE),"")</f>
        <v/>
      </c>
      <c r="F905" s="14" t="str">
        <f>IF(ROW()&lt;=Results!$C$1+1,IF(E905&lt;=0,"",LN(E905)),"")</f>
        <v/>
      </c>
      <c r="G905" s="53" t="str">
        <f>IF(ROW()&lt;=Results!$C$1+1,IF(ISERROR(C905-F905),"",C905-F905),"")</f>
        <v/>
      </c>
    </row>
    <row r="906" spans="1:7" x14ac:dyDescent="0.25">
      <c r="A906" s="1" t="str">
        <f ca="1">IF(ROW()&lt;=Results!$C$1+1,INDEX(Data!$A:$A,CEILING((COUNTA(Data!$A:$A)-1)*RAND()+1,1)),"")</f>
        <v/>
      </c>
      <c r="B906" s="1" t="str">
        <f>IF(ROW()&lt;=Results!$C$1+1,VLOOKUP($A906,Data!$A$2:$C$117,2,TRUE),"")</f>
        <v/>
      </c>
      <c r="C906" s="14" t="str">
        <f>IF(ROW()&lt;=Results!$C$1+1,IF(B906&lt;=0,"",LN(B906)),"")</f>
        <v/>
      </c>
      <c r="D906" s="58" t="str">
        <f ca="1">IF(Results!$S$5,A906,IF(ROW()&lt;=Results!$C$1+1,INDEX(Data!$A:$A,CEILING((COUNTA(Data!$A:$A)-1)*RAND()+1,1)),""))</f>
        <v/>
      </c>
      <c r="E906" s="1" t="str">
        <f>IF(ROW()&lt;=Results!$C$1+1,VLOOKUP($D906,Data!$A$2:$C$117,3,TRUE),"")</f>
        <v/>
      </c>
      <c r="F906" s="14" t="str">
        <f>IF(ROW()&lt;=Results!$C$1+1,IF(E906&lt;=0,"",LN(E906)),"")</f>
        <v/>
      </c>
      <c r="G906" s="53" t="str">
        <f>IF(ROW()&lt;=Results!$C$1+1,IF(ISERROR(C906-F906),"",C906-F906),"")</f>
        <v/>
      </c>
    </row>
    <row r="907" spans="1:7" x14ac:dyDescent="0.25">
      <c r="A907" s="1" t="str">
        <f ca="1">IF(ROW()&lt;=Results!$C$1+1,INDEX(Data!$A:$A,CEILING((COUNTA(Data!$A:$A)-1)*RAND()+1,1)),"")</f>
        <v/>
      </c>
      <c r="B907" s="1" t="str">
        <f>IF(ROW()&lt;=Results!$C$1+1,VLOOKUP($A907,Data!$A$2:$C$117,2,TRUE),"")</f>
        <v/>
      </c>
      <c r="C907" s="14" t="str">
        <f>IF(ROW()&lt;=Results!$C$1+1,IF(B907&lt;=0,"",LN(B907)),"")</f>
        <v/>
      </c>
      <c r="D907" s="58" t="str">
        <f ca="1">IF(Results!$S$5,A907,IF(ROW()&lt;=Results!$C$1+1,INDEX(Data!$A:$A,CEILING((COUNTA(Data!$A:$A)-1)*RAND()+1,1)),""))</f>
        <v/>
      </c>
      <c r="E907" s="1" t="str">
        <f>IF(ROW()&lt;=Results!$C$1+1,VLOOKUP($D907,Data!$A$2:$C$117,3,TRUE),"")</f>
        <v/>
      </c>
      <c r="F907" s="14" t="str">
        <f>IF(ROW()&lt;=Results!$C$1+1,IF(E907&lt;=0,"",LN(E907)),"")</f>
        <v/>
      </c>
      <c r="G907" s="53" t="str">
        <f>IF(ROW()&lt;=Results!$C$1+1,IF(ISERROR(C907-F907),"",C907-F907),"")</f>
        <v/>
      </c>
    </row>
    <row r="908" spans="1:7" x14ac:dyDescent="0.25">
      <c r="A908" s="1" t="str">
        <f ca="1">IF(ROW()&lt;=Results!$C$1+1,INDEX(Data!$A:$A,CEILING((COUNTA(Data!$A:$A)-1)*RAND()+1,1)),"")</f>
        <v/>
      </c>
      <c r="B908" s="1" t="str">
        <f>IF(ROW()&lt;=Results!$C$1+1,VLOOKUP($A908,Data!$A$2:$C$117,2,TRUE),"")</f>
        <v/>
      </c>
      <c r="C908" s="14" t="str">
        <f>IF(ROW()&lt;=Results!$C$1+1,IF(B908&lt;=0,"",LN(B908)),"")</f>
        <v/>
      </c>
      <c r="D908" s="58" t="str">
        <f ca="1">IF(Results!$S$5,A908,IF(ROW()&lt;=Results!$C$1+1,INDEX(Data!$A:$A,CEILING((COUNTA(Data!$A:$A)-1)*RAND()+1,1)),""))</f>
        <v/>
      </c>
      <c r="E908" s="1" t="str">
        <f>IF(ROW()&lt;=Results!$C$1+1,VLOOKUP($D908,Data!$A$2:$C$117,3,TRUE),"")</f>
        <v/>
      </c>
      <c r="F908" s="14" t="str">
        <f>IF(ROW()&lt;=Results!$C$1+1,IF(E908&lt;=0,"",LN(E908)),"")</f>
        <v/>
      </c>
      <c r="G908" s="53" t="str">
        <f>IF(ROW()&lt;=Results!$C$1+1,IF(ISERROR(C908-F908),"",C908-F908),"")</f>
        <v/>
      </c>
    </row>
    <row r="909" spans="1:7" x14ac:dyDescent="0.25">
      <c r="A909" s="1" t="str">
        <f ca="1">IF(ROW()&lt;=Results!$C$1+1,INDEX(Data!$A:$A,CEILING((COUNTA(Data!$A:$A)-1)*RAND()+1,1)),"")</f>
        <v/>
      </c>
      <c r="B909" s="1" t="str">
        <f>IF(ROW()&lt;=Results!$C$1+1,VLOOKUP($A909,Data!$A$2:$C$117,2,TRUE),"")</f>
        <v/>
      </c>
      <c r="C909" s="14" t="str">
        <f>IF(ROW()&lt;=Results!$C$1+1,IF(B909&lt;=0,"",LN(B909)),"")</f>
        <v/>
      </c>
      <c r="D909" s="58" t="str">
        <f ca="1">IF(Results!$S$5,A909,IF(ROW()&lt;=Results!$C$1+1,INDEX(Data!$A:$A,CEILING((COUNTA(Data!$A:$A)-1)*RAND()+1,1)),""))</f>
        <v/>
      </c>
      <c r="E909" s="1" t="str">
        <f>IF(ROW()&lt;=Results!$C$1+1,VLOOKUP($D909,Data!$A$2:$C$117,3,TRUE),"")</f>
        <v/>
      </c>
      <c r="F909" s="14" t="str">
        <f>IF(ROW()&lt;=Results!$C$1+1,IF(E909&lt;=0,"",LN(E909)),"")</f>
        <v/>
      </c>
      <c r="G909" s="53" t="str">
        <f>IF(ROW()&lt;=Results!$C$1+1,IF(ISERROR(C909-F909),"",C909-F909),"")</f>
        <v/>
      </c>
    </row>
    <row r="910" spans="1:7" x14ac:dyDescent="0.25">
      <c r="A910" s="1" t="str">
        <f ca="1">IF(ROW()&lt;=Results!$C$1+1,INDEX(Data!$A:$A,CEILING((COUNTA(Data!$A:$A)-1)*RAND()+1,1)),"")</f>
        <v/>
      </c>
      <c r="B910" s="1" t="str">
        <f>IF(ROW()&lt;=Results!$C$1+1,VLOOKUP($A910,Data!$A$2:$C$117,2,TRUE),"")</f>
        <v/>
      </c>
      <c r="C910" s="14" t="str">
        <f>IF(ROW()&lt;=Results!$C$1+1,IF(B910&lt;=0,"",LN(B910)),"")</f>
        <v/>
      </c>
      <c r="D910" s="58" t="str">
        <f ca="1">IF(Results!$S$5,A910,IF(ROW()&lt;=Results!$C$1+1,INDEX(Data!$A:$A,CEILING((COUNTA(Data!$A:$A)-1)*RAND()+1,1)),""))</f>
        <v/>
      </c>
      <c r="E910" s="1" t="str">
        <f>IF(ROW()&lt;=Results!$C$1+1,VLOOKUP($D910,Data!$A$2:$C$117,3,TRUE),"")</f>
        <v/>
      </c>
      <c r="F910" s="14" t="str">
        <f>IF(ROW()&lt;=Results!$C$1+1,IF(E910&lt;=0,"",LN(E910)),"")</f>
        <v/>
      </c>
      <c r="G910" s="53" t="str">
        <f>IF(ROW()&lt;=Results!$C$1+1,IF(ISERROR(C910-F910),"",C910-F910),"")</f>
        <v/>
      </c>
    </row>
    <row r="911" spans="1:7" x14ac:dyDescent="0.25">
      <c r="A911" s="1" t="str">
        <f ca="1">IF(ROW()&lt;=Results!$C$1+1,INDEX(Data!$A:$A,CEILING((COUNTA(Data!$A:$A)-1)*RAND()+1,1)),"")</f>
        <v/>
      </c>
      <c r="B911" s="1" t="str">
        <f>IF(ROW()&lt;=Results!$C$1+1,VLOOKUP($A911,Data!$A$2:$C$117,2,TRUE),"")</f>
        <v/>
      </c>
      <c r="C911" s="14" t="str">
        <f>IF(ROW()&lt;=Results!$C$1+1,IF(B911&lt;=0,"",LN(B911)),"")</f>
        <v/>
      </c>
      <c r="D911" s="58" t="str">
        <f ca="1">IF(Results!$S$5,A911,IF(ROW()&lt;=Results!$C$1+1,INDEX(Data!$A:$A,CEILING((COUNTA(Data!$A:$A)-1)*RAND()+1,1)),""))</f>
        <v/>
      </c>
      <c r="E911" s="1" t="str">
        <f>IF(ROW()&lt;=Results!$C$1+1,VLOOKUP($D911,Data!$A$2:$C$117,3,TRUE),"")</f>
        <v/>
      </c>
      <c r="F911" s="14" t="str">
        <f>IF(ROW()&lt;=Results!$C$1+1,IF(E911&lt;=0,"",LN(E911)),"")</f>
        <v/>
      </c>
      <c r="G911" s="53" t="str">
        <f>IF(ROW()&lt;=Results!$C$1+1,IF(ISERROR(C911-F911),"",C911-F911),"")</f>
        <v/>
      </c>
    </row>
    <row r="912" spans="1:7" x14ac:dyDescent="0.25">
      <c r="A912" s="1" t="str">
        <f ca="1">IF(ROW()&lt;=Results!$C$1+1,INDEX(Data!$A:$A,CEILING((COUNTA(Data!$A:$A)-1)*RAND()+1,1)),"")</f>
        <v/>
      </c>
      <c r="B912" s="1" t="str">
        <f>IF(ROW()&lt;=Results!$C$1+1,VLOOKUP($A912,Data!$A$2:$C$117,2,TRUE),"")</f>
        <v/>
      </c>
      <c r="C912" s="14" t="str">
        <f>IF(ROW()&lt;=Results!$C$1+1,IF(B912&lt;=0,"",LN(B912)),"")</f>
        <v/>
      </c>
      <c r="D912" s="58" t="str">
        <f ca="1">IF(Results!$S$5,A912,IF(ROW()&lt;=Results!$C$1+1,INDEX(Data!$A:$A,CEILING((COUNTA(Data!$A:$A)-1)*RAND()+1,1)),""))</f>
        <v/>
      </c>
      <c r="E912" s="1" t="str">
        <f>IF(ROW()&lt;=Results!$C$1+1,VLOOKUP($D912,Data!$A$2:$C$117,3,TRUE),"")</f>
        <v/>
      </c>
      <c r="F912" s="14" t="str">
        <f>IF(ROW()&lt;=Results!$C$1+1,IF(E912&lt;=0,"",LN(E912)),"")</f>
        <v/>
      </c>
      <c r="G912" s="53" t="str">
        <f>IF(ROW()&lt;=Results!$C$1+1,IF(ISERROR(C912-F912),"",C912-F912),"")</f>
        <v/>
      </c>
    </row>
    <row r="913" spans="1:7" x14ac:dyDescent="0.25">
      <c r="A913" s="1" t="str">
        <f ca="1">IF(ROW()&lt;=Results!$C$1+1,INDEX(Data!$A:$A,CEILING((COUNTA(Data!$A:$A)-1)*RAND()+1,1)),"")</f>
        <v/>
      </c>
      <c r="B913" s="1" t="str">
        <f>IF(ROW()&lt;=Results!$C$1+1,VLOOKUP($A913,Data!$A$2:$C$117,2,TRUE),"")</f>
        <v/>
      </c>
      <c r="C913" s="14" t="str">
        <f>IF(ROW()&lt;=Results!$C$1+1,IF(B913&lt;=0,"",LN(B913)),"")</f>
        <v/>
      </c>
      <c r="D913" s="58" t="str">
        <f ca="1">IF(Results!$S$5,A913,IF(ROW()&lt;=Results!$C$1+1,INDEX(Data!$A:$A,CEILING((COUNTA(Data!$A:$A)-1)*RAND()+1,1)),""))</f>
        <v/>
      </c>
      <c r="E913" s="1" t="str">
        <f>IF(ROW()&lt;=Results!$C$1+1,VLOOKUP($D913,Data!$A$2:$C$117,3,TRUE),"")</f>
        <v/>
      </c>
      <c r="F913" s="14" t="str">
        <f>IF(ROW()&lt;=Results!$C$1+1,IF(E913&lt;=0,"",LN(E913)),"")</f>
        <v/>
      </c>
      <c r="G913" s="53" t="str">
        <f>IF(ROW()&lt;=Results!$C$1+1,IF(ISERROR(C913-F913),"",C913-F913),"")</f>
        <v/>
      </c>
    </row>
    <row r="914" spans="1:7" x14ac:dyDescent="0.25">
      <c r="A914" s="1" t="str">
        <f ca="1">IF(ROW()&lt;=Results!$C$1+1,INDEX(Data!$A:$A,CEILING((COUNTA(Data!$A:$A)-1)*RAND()+1,1)),"")</f>
        <v/>
      </c>
      <c r="B914" s="1" t="str">
        <f>IF(ROW()&lt;=Results!$C$1+1,VLOOKUP($A914,Data!$A$2:$C$117,2,TRUE),"")</f>
        <v/>
      </c>
      <c r="C914" s="14" t="str">
        <f>IF(ROW()&lt;=Results!$C$1+1,IF(B914&lt;=0,"",LN(B914)),"")</f>
        <v/>
      </c>
      <c r="D914" s="58" t="str">
        <f ca="1">IF(Results!$S$5,A914,IF(ROW()&lt;=Results!$C$1+1,INDEX(Data!$A:$A,CEILING((COUNTA(Data!$A:$A)-1)*RAND()+1,1)),""))</f>
        <v/>
      </c>
      <c r="E914" s="1" t="str">
        <f>IF(ROW()&lt;=Results!$C$1+1,VLOOKUP($D914,Data!$A$2:$C$117,3,TRUE),"")</f>
        <v/>
      </c>
      <c r="F914" s="14" t="str">
        <f>IF(ROW()&lt;=Results!$C$1+1,IF(E914&lt;=0,"",LN(E914)),"")</f>
        <v/>
      </c>
      <c r="G914" s="53" t="str">
        <f>IF(ROW()&lt;=Results!$C$1+1,IF(ISERROR(C914-F914),"",C914-F914),"")</f>
        <v/>
      </c>
    </row>
    <row r="915" spans="1:7" x14ac:dyDescent="0.25">
      <c r="A915" s="1" t="str">
        <f ca="1">IF(ROW()&lt;=Results!$C$1+1,INDEX(Data!$A:$A,CEILING((COUNTA(Data!$A:$A)-1)*RAND()+1,1)),"")</f>
        <v/>
      </c>
      <c r="B915" s="1" t="str">
        <f>IF(ROW()&lt;=Results!$C$1+1,VLOOKUP($A915,Data!$A$2:$C$117,2,TRUE),"")</f>
        <v/>
      </c>
      <c r="C915" s="14" t="str">
        <f>IF(ROW()&lt;=Results!$C$1+1,IF(B915&lt;=0,"",LN(B915)),"")</f>
        <v/>
      </c>
      <c r="D915" s="58" t="str">
        <f ca="1">IF(Results!$S$5,A915,IF(ROW()&lt;=Results!$C$1+1,INDEX(Data!$A:$A,CEILING((COUNTA(Data!$A:$A)-1)*RAND()+1,1)),""))</f>
        <v/>
      </c>
      <c r="E915" s="1" t="str">
        <f>IF(ROW()&lt;=Results!$C$1+1,VLOOKUP($D915,Data!$A$2:$C$117,3,TRUE),"")</f>
        <v/>
      </c>
      <c r="F915" s="14" t="str">
        <f>IF(ROW()&lt;=Results!$C$1+1,IF(E915&lt;=0,"",LN(E915)),"")</f>
        <v/>
      </c>
      <c r="G915" s="53" t="str">
        <f>IF(ROW()&lt;=Results!$C$1+1,IF(ISERROR(C915-F915),"",C915-F915),"")</f>
        <v/>
      </c>
    </row>
    <row r="916" spans="1:7" x14ac:dyDescent="0.25">
      <c r="A916" s="1" t="str">
        <f ca="1">IF(ROW()&lt;=Results!$C$1+1,INDEX(Data!$A:$A,CEILING((COUNTA(Data!$A:$A)-1)*RAND()+1,1)),"")</f>
        <v/>
      </c>
      <c r="B916" s="1" t="str">
        <f>IF(ROW()&lt;=Results!$C$1+1,VLOOKUP($A916,Data!$A$2:$C$117,2,TRUE),"")</f>
        <v/>
      </c>
      <c r="C916" s="14" t="str">
        <f>IF(ROW()&lt;=Results!$C$1+1,IF(B916&lt;=0,"",LN(B916)),"")</f>
        <v/>
      </c>
      <c r="D916" s="58" t="str">
        <f ca="1">IF(Results!$S$5,A916,IF(ROW()&lt;=Results!$C$1+1,INDEX(Data!$A:$A,CEILING((COUNTA(Data!$A:$A)-1)*RAND()+1,1)),""))</f>
        <v/>
      </c>
      <c r="E916" s="1" t="str">
        <f>IF(ROW()&lt;=Results!$C$1+1,VLOOKUP($D916,Data!$A$2:$C$117,3,TRUE),"")</f>
        <v/>
      </c>
      <c r="F916" s="14" t="str">
        <f>IF(ROW()&lt;=Results!$C$1+1,IF(E916&lt;=0,"",LN(E916)),"")</f>
        <v/>
      </c>
      <c r="G916" s="53" t="str">
        <f>IF(ROW()&lt;=Results!$C$1+1,IF(ISERROR(C916-F916),"",C916-F916),"")</f>
        <v/>
      </c>
    </row>
    <row r="917" spans="1:7" x14ac:dyDescent="0.25">
      <c r="A917" s="1" t="str">
        <f ca="1">IF(ROW()&lt;=Results!$C$1+1,INDEX(Data!$A:$A,CEILING((COUNTA(Data!$A:$A)-1)*RAND()+1,1)),"")</f>
        <v/>
      </c>
      <c r="B917" s="1" t="str">
        <f>IF(ROW()&lt;=Results!$C$1+1,VLOOKUP($A917,Data!$A$2:$C$117,2,TRUE),"")</f>
        <v/>
      </c>
      <c r="C917" s="14" t="str">
        <f>IF(ROW()&lt;=Results!$C$1+1,IF(B917&lt;=0,"",LN(B917)),"")</f>
        <v/>
      </c>
      <c r="D917" s="58" t="str">
        <f ca="1">IF(Results!$S$5,A917,IF(ROW()&lt;=Results!$C$1+1,INDEX(Data!$A:$A,CEILING((COUNTA(Data!$A:$A)-1)*RAND()+1,1)),""))</f>
        <v/>
      </c>
      <c r="E917" s="1" t="str">
        <f>IF(ROW()&lt;=Results!$C$1+1,VLOOKUP($D917,Data!$A$2:$C$117,3,TRUE),"")</f>
        <v/>
      </c>
      <c r="F917" s="14" t="str">
        <f>IF(ROW()&lt;=Results!$C$1+1,IF(E917&lt;=0,"",LN(E917)),"")</f>
        <v/>
      </c>
      <c r="G917" s="53" t="str">
        <f>IF(ROW()&lt;=Results!$C$1+1,IF(ISERROR(C917-F917),"",C917-F917),"")</f>
        <v/>
      </c>
    </row>
    <row r="918" spans="1:7" x14ac:dyDescent="0.25">
      <c r="A918" s="1" t="str">
        <f ca="1">IF(ROW()&lt;=Results!$C$1+1,INDEX(Data!$A:$A,CEILING((COUNTA(Data!$A:$A)-1)*RAND()+1,1)),"")</f>
        <v/>
      </c>
      <c r="B918" s="1" t="str">
        <f>IF(ROW()&lt;=Results!$C$1+1,VLOOKUP($A918,Data!$A$2:$C$117,2,TRUE),"")</f>
        <v/>
      </c>
      <c r="C918" s="14" t="str">
        <f>IF(ROW()&lt;=Results!$C$1+1,IF(B918&lt;=0,"",LN(B918)),"")</f>
        <v/>
      </c>
      <c r="D918" s="58" t="str">
        <f ca="1">IF(Results!$S$5,A918,IF(ROW()&lt;=Results!$C$1+1,INDEX(Data!$A:$A,CEILING((COUNTA(Data!$A:$A)-1)*RAND()+1,1)),""))</f>
        <v/>
      </c>
      <c r="E918" s="1" t="str">
        <f>IF(ROW()&lt;=Results!$C$1+1,VLOOKUP($D918,Data!$A$2:$C$117,3,TRUE),"")</f>
        <v/>
      </c>
      <c r="F918" s="14" t="str">
        <f>IF(ROW()&lt;=Results!$C$1+1,IF(E918&lt;=0,"",LN(E918)),"")</f>
        <v/>
      </c>
      <c r="G918" s="53" t="str">
        <f>IF(ROW()&lt;=Results!$C$1+1,IF(ISERROR(C918-F918),"",C918-F918),"")</f>
        <v/>
      </c>
    </row>
    <row r="919" spans="1:7" x14ac:dyDescent="0.25">
      <c r="A919" s="1" t="str">
        <f ca="1">IF(ROW()&lt;=Results!$C$1+1,INDEX(Data!$A:$A,CEILING((COUNTA(Data!$A:$A)-1)*RAND()+1,1)),"")</f>
        <v/>
      </c>
      <c r="B919" s="1" t="str">
        <f>IF(ROW()&lt;=Results!$C$1+1,VLOOKUP($A919,Data!$A$2:$C$117,2,TRUE),"")</f>
        <v/>
      </c>
      <c r="C919" s="14" t="str">
        <f>IF(ROW()&lt;=Results!$C$1+1,IF(B919&lt;=0,"",LN(B919)),"")</f>
        <v/>
      </c>
      <c r="D919" s="58" t="str">
        <f ca="1">IF(Results!$S$5,A919,IF(ROW()&lt;=Results!$C$1+1,INDEX(Data!$A:$A,CEILING((COUNTA(Data!$A:$A)-1)*RAND()+1,1)),""))</f>
        <v/>
      </c>
      <c r="E919" s="1" t="str">
        <f>IF(ROW()&lt;=Results!$C$1+1,VLOOKUP($D919,Data!$A$2:$C$117,3,TRUE),"")</f>
        <v/>
      </c>
      <c r="F919" s="14" t="str">
        <f>IF(ROW()&lt;=Results!$C$1+1,IF(E919&lt;=0,"",LN(E919)),"")</f>
        <v/>
      </c>
      <c r="G919" s="53" t="str">
        <f>IF(ROW()&lt;=Results!$C$1+1,IF(ISERROR(C919-F919),"",C919-F919),"")</f>
        <v/>
      </c>
    </row>
    <row r="920" spans="1:7" x14ac:dyDescent="0.25">
      <c r="A920" s="1" t="str">
        <f ca="1">IF(ROW()&lt;=Results!$C$1+1,INDEX(Data!$A:$A,CEILING((COUNTA(Data!$A:$A)-1)*RAND()+1,1)),"")</f>
        <v/>
      </c>
      <c r="B920" s="1" t="str">
        <f>IF(ROW()&lt;=Results!$C$1+1,VLOOKUP($A920,Data!$A$2:$C$117,2,TRUE),"")</f>
        <v/>
      </c>
      <c r="C920" s="14" t="str">
        <f>IF(ROW()&lt;=Results!$C$1+1,IF(B920&lt;=0,"",LN(B920)),"")</f>
        <v/>
      </c>
      <c r="D920" s="58" t="str">
        <f ca="1">IF(Results!$S$5,A920,IF(ROW()&lt;=Results!$C$1+1,INDEX(Data!$A:$A,CEILING((COUNTA(Data!$A:$A)-1)*RAND()+1,1)),""))</f>
        <v/>
      </c>
      <c r="E920" s="1" t="str">
        <f>IF(ROW()&lt;=Results!$C$1+1,VLOOKUP($D920,Data!$A$2:$C$117,3,TRUE),"")</f>
        <v/>
      </c>
      <c r="F920" s="14" t="str">
        <f>IF(ROW()&lt;=Results!$C$1+1,IF(E920&lt;=0,"",LN(E920)),"")</f>
        <v/>
      </c>
      <c r="G920" s="53" t="str">
        <f>IF(ROW()&lt;=Results!$C$1+1,IF(ISERROR(C920-F920),"",C920-F920),"")</f>
        <v/>
      </c>
    </row>
    <row r="921" spans="1:7" x14ac:dyDescent="0.25">
      <c r="A921" s="1" t="str">
        <f ca="1">IF(ROW()&lt;=Results!$C$1+1,INDEX(Data!$A:$A,CEILING((COUNTA(Data!$A:$A)-1)*RAND()+1,1)),"")</f>
        <v/>
      </c>
      <c r="B921" s="1" t="str">
        <f>IF(ROW()&lt;=Results!$C$1+1,VLOOKUP($A921,Data!$A$2:$C$117,2,TRUE),"")</f>
        <v/>
      </c>
      <c r="C921" s="14" t="str">
        <f>IF(ROW()&lt;=Results!$C$1+1,IF(B921&lt;=0,"",LN(B921)),"")</f>
        <v/>
      </c>
      <c r="D921" s="58" t="str">
        <f ca="1">IF(Results!$S$5,A921,IF(ROW()&lt;=Results!$C$1+1,INDEX(Data!$A:$A,CEILING((COUNTA(Data!$A:$A)-1)*RAND()+1,1)),""))</f>
        <v/>
      </c>
      <c r="E921" s="1" t="str">
        <f>IF(ROW()&lt;=Results!$C$1+1,VLOOKUP($D921,Data!$A$2:$C$117,3,TRUE),"")</f>
        <v/>
      </c>
      <c r="F921" s="14" t="str">
        <f>IF(ROW()&lt;=Results!$C$1+1,IF(E921&lt;=0,"",LN(E921)),"")</f>
        <v/>
      </c>
      <c r="G921" s="53" t="str">
        <f>IF(ROW()&lt;=Results!$C$1+1,IF(ISERROR(C921-F921),"",C921-F921),"")</f>
        <v/>
      </c>
    </row>
    <row r="922" spans="1:7" x14ac:dyDescent="0.25">
      <c r="A922" s="1" t="str">
        <f ca="1">IF(ROW()&lt;=Results!$C$1+1,INDEX(Data!$A:$A,CEILING((COUNTA(Data!$A:$A)-1)*RAND()+1,1)),"")</f>
        <v/>
      </c>
      <c r="B922" s="1" t="str">
        <f>IF(ROW()&lt;=Results!$C$1+1,VLOOKUP($A922,Data!$A$2:$C$117,2,TRUE),"")</f>
        <v/>
      </c>
      <c r="C922" s="14" t="str">
        <f>IF(ROW()&lt;=Results!$C$1+1,IF(B922&lt;=0,"",LN(B922)),"")</f>
        <v/>
      </c>
      <c r="D922" s="58" t="str">
        <f ca="1">IF(Results!$S$5,A922,IF(ROW()&lt;=Results!$C$1+1,INDEX(Data!$A:$A,CEILING((COUNTA(Data!$A:$A)-1)*RAND()+1,1)),""))</f>
        <v/>
      </c>
      <c r="E922" s="1" t="str">
        <f>IF(ROW()&lt;=Results!$C$1+1,VLOOKUP($D922,Data!$A$2:$C$117,3,TRUE),"")</f>
        <v/>
      </c>
      <c r="F922" s="14" t="str">
        <f>IF(ROW()&lt;=Results!$C$1+1,IF(E922&lt;=0,"",LN(E922)),"")</f>
        <v/>
      </c>
      <c r="G922" s="53" t="str">
        <f>IF(ROW()&lt;=Results!$C$1+1,IF(ISERROR(C922-F922),"",C922-F922),"")</f>
        <v/>
      </c>
    </row>
    <row r="923" spans="1:7" x14ac:dyDescent="0.25">
      <c r="A923" s="1" t="str">
        <f ca="1">IF(ROW()&lt;=Results!$C$1+1,INDEX(Data!$A:$A,CEILING((COUNTA(Data!$A:$A)-1)*RAND()+1,1)),"")</f>
        <v/>
      </c>
      <c r="B923" s="1" t="str">
        <f>IF(ROW()&lt;=Results!$C$1+1,VLOOKUP($A923,Data!$A$2:$C$117,2,TRUE),"")</f>
        <v/>
      </c>
      <c r="C923" s="14" t="str">
        <f>IF(ROW()&lt;=Results!$C$1+1,IF(B923&lt;=0,"",LN(B923)),"")</f>
        <v/>
      </c>
      <c r="D923" s="58" t="str">
        <f ca="1">IF(Results!$S$5,A923,IF(ROW()&lt;=Results!$C$1+1,INDEX(Data!$A:$A,CEILING((COUNTA(Data!$A:$A)-1)*RAND()+1,1)),""))</f>
        <v/>
      </c>
      <c r="E923" s="1" t="str">
        <f>IF(ROW()&lt;=Results!$C$1+1,VLOOKUP($D923,Data!$A$2:$C$117,3,TRUE),"")</f>
        <v/>
      </c>
      <c r="F923" s="14" t="str">
        <f>IF(ROW()&lt;=Results!$C$1+1,IF(E923&lt;=0,"",LN(E923)),"")</f>
        <v/>
      </c>
      <c r="G923" s="53" t="str">
        <f>IF(ROW()&lt;=Results!$C$1+1,IF(ISERROR(C923-F923),"",C923-F923),"")</f>
        <v/>
      </c>
    </row>
    <row r="924" spans="1:7" x14ac:dyDescent="0.25">
      <c r="A924" s="1" t="str">
        <f ca="1">IF(ROW()&lt;=Results!$C$1+1,INDEX(Data!$A:$A,CEILING((COUNTA(Data!$A:$A)-1)*RAND()+1,1)),"")</f>
        <v/>
      </c>
      <c r="B924" s="1" t="str">
        <f>IF(ROW()&lt;=Results!$C$1+1,VLOOKUP($A924,Data!$A$2:$C$117,2,TRUE),"")</f>
        <v/>
      </c>
      <c r="C924" s="14" t="str">
        <f>IF(ROW()&lt;=Results!$C$1+1,IF(B924&lt;=0,"",LN(B924)),"")</f>
        <v/>
      </c>
      <c r="D924" s="58" t="str">
        <f ca="1">IF(Results!$S$5,A924,IF(ROW()&lt;=Results!$C$1+1,INDEX(Data!$A:$A,CEILING((COUNTA(Data!$A:$A)-1)*RAND()+1,1)),""))</f>
        <v/>
      </c>
      <c r="E924" s="1" t="str">
        <f>IF(ROW()&lt;=Results!$C$1+1,VLOOKUP($D924,Data!$A$2:$C$117,3,TRUE),"")</f>
        <v/>
      </c>
      <c r="F924" s="14" t="str">
        <f>IF(ROW()&lt;=Results!$C$1+1,IF(E924&lt;=0,"",LN(E924)),"")</f>
        <v/>
      </c>
      <c r="G924" s="53" t="str">
        <f>IF(ROW()&lt;=Results!$C$1+1,IF(ISERROR(C924-F924),"",C924-F924),"")</f>
        <v/>
      </c>
    </row>
    <row r="925" spans="1:7" x14ac:dyDescent="0.25">
      <c r="A925" s="1" t="str">
        <f ca="1">IF(ROW()&lt;=Results!$C$1+1,INDEX(Data!$A:$A,CEILING((COUNTA(Data!$A:$A)-1)*RAND()+1,1)),"")</f>
        <v/>
      </c>
      <c r="B925" s="1" t="str">
        <f>IF(ROW()&lt;=Results!$C$1+1,VLOOKUP($A925,Data!$A$2:$C$117,2,TRUE),"")</f>
        <v/>
      </c>
      <c r="C925" s="14" t="str">
        <f>IF(ROW()&lt;=Results!$C$1+1,IF(B925&lt;=0,"",LN(B925)),"")</f>
        <v/>
      </c>
      <c r="D925" s="58" t="str">
        <f ca="1">IF(Results!$S$5,A925,IF(ROW()&lt;=Results!$C$1+1,INDEX(Data!$A:$A,CEILING((COUNTA(Data!$A:$A)-1)*RAND()+1,1)),""))</f>
        <v/>
      </c>
      <c r="E925" s="1" t="str">
        <f>IF(ROW()&lt;=Results!$C$1+1,VLOOKUP($D925,Data!$A$2:$C$117,3,TRUE),"")</f>
        <v/>
      </c>
      <c r="F925" s="14" t="str">
        <f>IF(ROW()&lt;=Results!$C$1+1,IF(E925&lt;=0,"",LN(E925)),"")</f>
        <v/>
      </c>
      <c r="G925" s="53" t="str">
        <f>IF(ROW()&lt;=Results!$C$1+1,IF(ISERROR(C925-F925),"",C925-F925),"")</f>
        <v/>
      </c>
    </row>
    <row r="926" spans="1:7" x14ac:dyDescent="0.25">
      <c r="A926" s="1" t="str">
        <f ca="1">IF(ROW()&lt;=Results!$C$1+1,INDEX(Data!$A:$A,CEILING((COUNTA(Data!$A:$A)-1)*RAND()+1,1)),"")</f>
        <v/>
      </c>
      <c r="B926" s="1" t="str">
        <f>IF(ROW()&lt;=Results!$C$1+1,VLOOKUP($A926,Data!$A$2:$C$117,2,TRUE),"")</f>
        <v/>
      </c>
      <c r="C926" s="14" t="str">
        <f>IF(ROW()&lt;=Results!$C$1+1,IF(B926&lt;=0,"",LN(B926)),"")</f>
        <v/>
      </c>
      <c r="D926" s="58" t="str">
        <f ca="1">IF(Results!$S$5,A926,IF(ROW()&lt;=Results!$C$1+1,INDEX(Data!$A:$A,CEILING((COUNTA(Data!$A:$A)-1)*RAND()+1,1)),""))</f>
        <v/>
      </c>
      <c r="E926" s="1" t="str">
        <f>IF(ROW()&lt;=Results!$C$1+1,VLOOKUP($D926,Data!$A$2:$C$117,3,TRUE),"")</f>
        <v/>
      </c>
      <c r="F926" s="14" t="str">
        <f>IF(ROW()&lt;=Results!$C$1+1,IF(E926&lt;=0,"",LN(E926)),"")</f>
        <v/>
      </c>
      <c r="G926" s="53" t="str">
        <f>IF(ROW()&lt;=Results!$C$1+1,IF(ISERROR(C926-F926),"",C926-F926),"")</f>
        <v/>
      </c>
    </row>
    <row r="927" spans="1:7" x14ac:dyDescent="0.25">
      <c r="A927" s="1" t="str">
        <f ca="1">IF(ROW()&lt;=Results!$C$1+1,INDEX(Data!$A:$A,CEILING((COUNTA(Data!$A:$A)-1)*RAND()+1,1)),"")</f>
        <v/>
      </c>
      <c r="B927" s="1" t="str">
        <f>IF(ROW()&lt;=Results!$C$1+1,VLOOKUP($A927,Data!$A$2:$C$117,2,TRUE),"")</f>
        <v/>
      </c>
      <c r="C927" s="14" t="str">
        <f>IF(ROW()&lt;=Results!$C$1+1,IF(B927&lt;=0,"",LN(B927)),"")</f>
        <v/>
      </c>
      <c r="D927" s="58" t="str">
        <f ca="1">IF(Results!$S$5,A927,IF(ROW()&lt;=Results!$C$1+1,INDEX(Data!$A:$A,CEILING((COUNTA(Data!$A:$A)-1)*RAND()+1,1)),""))</f>
        <v/>
      </c>
      <c r="E927" s="1" t="str">
        <f>IF(ROW()&lt;=Results!$C$1+1,VLOOKUP($D927,Data!$A$2:$C$117,3,TRUE),"")</f>
        <v/>
      </c>
      <c r="F927" s="14" t="str">
        <f>IF(ROW()&lt;=Results!$C$1+1,IF(E927&lt;=0,"",LN(E927)),"")</f>
        <v/>
      </c>
      <c r="G927" s="53" t="str">
        <f>IF(ROW()&lt;=Results!$C$1+1,IF(ISERROR(C927-F927),"",C927-F927),"")</f>
        <v/>
      </c>
    </row>
    <row r="928" spans="1:7" x14ac:dyDescent="0.25">
      <c r="A928" s="1" t="str">
        <f ca="1">IF(ROW()&lt;=Results!$C$1+1,INDEX(Data!$A:$A,CEILING((COUNTA(Data!$A:$A)-1)*RAND()+1,1)),"")</f>
        <v/>
      </c>
      <c r="B928" s="1" t="str">
        <f>IF(ROW()&lt;=Results!$C$1+1,VLOOKUP($A928,Data!$A$2:$C$117,2,TRUE),"")</f>
        <v/>
      </c>
      <c r="C928" s="14" t="str">
        <f>IF(ROW()&lt;=Results!$C$1+1,IF(B928&lt;=0,"",LN(B928)),"")</f>
        <v/>
      </c>
      <c r="D928" s="58" t="str">
        <f ca="1">IF(Results!$S$5,A928,IF(ROW()&lt;=Results!$C$1+1,INDEX(Data!$A:$A,CEILING((COUNTA(Data!$A:$A)-1)*RAND()+1,1)),""))</f>
        <v/>
      </c>
      <c r="E928" s="1" t="str">
        <f>IF(ROW()&lt;=Results!$C$1+1,VLOOKUP($D928,Data!$A$2:$C$117,3,TRUE),"")</f>
        <v/>
      </c>
      <c r="F928" s="14" t="str">
        <f>IF(ROW()&lt;=Results!$C$1+1,IF(E928&lt;=0,"",LN(E928)),"")</f>
        <v/>
      </c>
      <c r="G928" s="53" t="str">
        <f>IF(ROW()&lt;=Results!$C$1+1,IF(ISERROR(C928-F928),"",C928-F928),"")</f>
        <v/>
      </c>
    </row>
    <row r="929" spans="1:7" x14ac:dyDescent="0.25">
      <c r="A929" s="1" t="str">
        <f ca="1">IF(ROW()&lt;=Results!$C$1+1,INDEX(Data!$A:$A,CEILING((COUNTA(Data!$A:$A)-1)*RAND()+1,1)),"")</f>
        <v/>
      </c>
      <c r="B929" s="1" t="str">
        <f>IF(ROW()&lt;=Results!$C$1+1,VLOOKUP($A929,Data!$A$2:$C$117,2,TRUE),"")</f>
        <v/>
      </c>
      <c r="C929" s="14" t="str">
        <f>IF(ROW()&lt;=Results!$C$1+1,IF(B929&lt;=0,"",LN(B929)),"")</f>
        <v/>
      </c>
      <c r="D929" s="58" t="str">
        <f ca="1">IF(Results!$S$5,A929,IF(ROW()&lt;=Results!$C$1+1,INDEX(Data!$A:$A,CEILING((COUNTA(Data!$A:$A)-1)*RAND()+1,1)),""))</f>
        <v/>
      </c>
      <c r="E929" s="1" t="str">
        <f>IF(ROW()&lt;=Results!$C$1+1,VLOOKUP($D929,Data!$A$2:$C$117,3,TRUE),"")</f>
        <v/>
      </c>
      <c r="F929" s="14" t="str">
        <f>IF(ROW()&lt;=Results!$C$1+1,IF(E929&lt;=0,"",LN(E929)),"")</f>
        <v/>
      </c>
      <c r="G929" s="53" t="str">
        <f>IF(ROW()&lt;=Results!$C$1+1,IF(ISERROR(C929-F929),"",C929-F929),"")</f>
        <v/>
      </c>
    </row>
    <row r="930" spans="1:7" x14ac:dyDescent="0.25">
      <c r="A930" s="1" t="str">
        <f ca="1">IF(ROW()&lt;=Results!$C$1+1,INDEX(Data!$A:$A,CEILING((COUNTA(Data!$A:$A)-1)*RAND()+1,1)),"")</f>
        <v/>
      </c>
      <c r="B930" s="1" t="str">
        <f>IF(ROW()&lt;=Results!$C$1+1,VLOOKUP($A930,Data!$A$2:$C$117,2,TRUE),"")</f>
        <v/>
      </c>
      <c r="C930" s="14" t="str">
        <f>IF(ROW()&lt;=Results!$C$1+1,IF(B930&lt;=0,"",LN(B930)),"")</f>
        <v/>
      </c>
      <c r="D930" s="58" t="str">
        <f ca="1">IF(Results!$S$5,A930,IF(ROW()&lt;=Results!$C$1+1,INDEX(Data!$A:$A,CEILING((COUNTA(Data!$A:$A)-1)*RAND()+1,1)),""))</f>
        <v/>
      </c>
      <c r="E930" s="1" t="str">
        <f>IF(ROW()&lt;=Results!$C$1+1,VLOOKUP($D930,Data!$A$2:$C$117,3,TRUE),"")</f>
        <v/>
      </c>
      <c r="F930" s="14" t="str">
        <f>IF(ROW()&lt;=Results!$C$1+1,IF(E930&lt;=0,"",LN(E930)),"")</f>
        <v/>
      </c>
      <c r="G930" s="53" t="str">
        <f>IF(ROW()&lt;=Results!$C$1+1,IF(ISERROR(C930-F930),"",C930-F930),"")</f>
        <v/>
      </c>
    </row>
    <row r="931" spans="1:7" x14ac:dyDescent="0.25">
      <c r="A931" s="1" t="str">
        <f ca="1">IF(ROW()&lt;=Results!$C$1+1,INDEX(Data!$A:$A,CEILING((COUNTA(Data!$A:$A)-1)*RAND()+1,1)),"")</f>
        <v/>
      </c>
      <c r="B931" s="1" t="str">
        <f>IF(ROW()&lt;=Results!$C$1+1,VLOOKUP($A931,Data!$A$2:$C$117,2,TRUE),"")</f>
        <v/>
      </c>
      <c r="C931" s="14" t="str">
        <f>IF(ROW()&lt;=Results!$C$1+1,IF(B931&lt;=0,"",LN(B931)),"")</f>
        <v/>
      </c>
      <c r="D931" s="58" t="str">
        <f ca="1">IF(Results!$S$5,A931,IF(ROW()&lt;=Results!$C$1+1,INDEX(Data!$A:$A,CEILING((COUNTA(Data!$A:$A)-1)*RAND()+1,1)),""))</f>
        <v/>
      </c>
      <c r="E931" s="1" t="str">
        <f>IF(ROW()&lt;=Results!$C$1+1,VLOOKUP($D931,Data!$A$2:$C$117,3,TRUE),"")</f>
        <v/>
      </c>
      <c r="F931" s="14" t="str">
        <f>IF(ROW()&lt;=Results!$C$1+1,IF(E931&lt;=0,"",LN(E931)),"")</f>
        <v/>
      </c>
      <c r="G931" s="53" t="str">
        <f>IF(ROW()&lt;=Results!$C$1+1,IF(ISERROR(C931-F931),"",C931-F931),"")</f>
        <v/>
      </c>
    </row>
    <row r="932" spans="1:7" x14ac:dyDescent="0.25">
      <c r="A932" s="1" t="str">
        <f ca="1">IF(ROW()&lt;=Results!$C$1+1,INDEX(Data!$A:$A,CEILING((COUNTA(Data!$A:$A)-1)*RAND()+1,1)),"")</f>
        <v/>
      </c>
      <c r="B932" s="1" t="str">
        <f>IF(ROW()&lt;=Results!$C$1+1,VLOOKUP($A932,Data!$A$2:$C$117,2,TRUE),"")</f>
        <v/>
      </c>
      <c r="C932" s="14" t="str">
        <f>IF(ROW()&lt;=Results!$C$1+1,IF(B932&lt;=0,"",LN(B932)),"")</f>
        <v/>
      </c>
      <c r="D932" s="58" t="str">
        <f ca="1">IF(Results!$S$5,A932,IF(ROW()&lt;=Results!$C$1+1,INDEX(Data!$A:$A,CEILING((COUNTA(Data!$A:$A)-1)*RAND()+1,1)),""))</f>
        <v/>
      </c>
      <c r="E932" s="1" t="str">
        <f>IF(ROW()&lt;=Results!$C$1+1,VLOOKUP($D932,Data!$A$2:$C$117,3,TRUE),"")</f>
        <v/>
      </c>
      <c r="F932" s="14" t="str">
        <f>IF(ROW()&lt;=Results!$C$1+1,IF(E932&lt;=0,"",LN(E932)),"")</f>
        <v/>
      </c>
      <c r="G932" s="53" t="str">
        <f>IF(ROW()&lt;=Results!$C$1+1,IF(ISERROR(C932-F932),"",C932-F932),"")</f>
        <v/>
      </c>
    </row>
    <row r="933" spans="1:7" x14ac:dyDescent="0.25">
      <c r="A933" s="1" t="str">
        <f ca="1">IF(ROW()&lt;=Results!$C$1+1,INDEX(Data!$A:$A,CEILING((COUNTA(Data!$A:$A)-1)*RAND()+1,1)),"")</f>
        <v/>
      </c>
      <c r="B933" s="1" t="str">
        <f>IF(ROW()&lt;=Results!$C$1+1,VLOOKUP($A933,Data!$A$2:$C$117,2,TRUE),"")</f>
        <v/>
      </c>
      <c r="C933" s="14" t="str">
        <f>IF(ROW()&lt;=Results!$C$1+1,IF(B933&lt;=0,"",LN(B933)),"")</f>
        <v/>
      </c>
      <c r="D933" s="58" t="str">
        <f ca="1">IF(Results!$S$5,A933,IF(ROW()&lt;=Results!$C$1+1,INDEX(Data!$A:$A,CEILING((COUNTA(Data!$A:$A)-1)*RAND()+1,1)),""))</f>
        <v/>
      </c>
      <c r="E933" s="1" t="str">
        <f>IF(ROW()&lt;=Results!$C$1+1,VLOOKUP($D933,Data!$A$2:$C$117,3,TRUE),"")</f>
        <v/>
      </c>
      <c r="F933" s="14" t="str">
        <f>IF(ROW()&lt;=Results!$C$1+1,IF(E933&lt;=0,"",LN(E933)),"")</f>
        <v/>
      </c>
      <c r="G933" s="53" t="str">
        <f>IF(ROW()&lt;=Results!$C$1+1,IF(ISERROR(C933-F933),"",C933-F933),"")</f>
        <v/>
      </c>
    </row>
    <row r="934" spans="1:7" x14ac:dyDescent="0.25">
      <c r="A934" s="1" t="str">
        <f ca="1">IF(ROW()&lt;=Results!$C$1+1,INDEX(Data!$A:$A,CEILING((COUNTA(Data!$A:$A)-1)*RAND()+1,1)),"")</f>
        <v/>
      </c>
      <c r="B934" s="1" t="str">
        <f>IF(ROW()&lt;=Results!$C$1+1,VLOOKUP($A934,Data!$A$2:$C$117,2,TRUE),"")</f>
        <v/>
      </c>
      <c r="C934" s="14" t="str">
        <f>IF(ROW()&lt;=Results!$C$1+1,IF(B934&lt;=0,"",LN(B934)),"")</f>
        <v/>
      </c>
      <c r="D934" s="58" t="str">
        <f ca="1">IF(Results!$S$5,A934,IF(ROW()&lt;=Results!$C$1+1,INDEX(Data!$A:$A,CEILING((COUNTA(Data!$A:$A)-1)*RAND()+1,1)),""))</f>
        <v/>
      </c>
      <c r="E934" s="1" t="str">
        <f>IF(ROW()&lt;=Results!$C$1+1,VLOOKUP($D934,Data!$A$2:$C$117,3,TRUE),"")</f>
        <v/>
      </c>
      <c r="F934" s="14" t="str">
        <f>IF(ROW()&lt;=Results!$C$1+1,IF(E934&lt;=0,"",LN(E934)),"")</f>
        <v/>
      </c>
      <c r="G934" s="53" t="str">
        <f>IF(ROW()&lt;=Results!$C$1+1,IF(ISERROR(C934-F934),"",C934-F934),"")</f>
        <v/>
      </c>
    </row>
    <row r="935" spans="1:7" x14ac:dyDescent="0.25">
      <c r="A935" s="1" t="str">
        <f ca="1">IF(ROW()&lt;=Results!$C$1+1,INDEX(Data!$A:$A,CEILING((COUNTA(Data!$A:$A)-1)*RAND()+1,1)),"")</f>
        <v/>
      </c>
      <c r="B935" s="1" t="str">
        <f>IF(ROW()&lt;=Results!$C$1+1,VLOOKUP($A935,Data!$A$2:$C$117,2,TRUE),"")</f>
        <v/>
      </c>
      <c r="C935" s="14" t="str">
        <f>IF(ROW()&lt;=Results!$C$1+1,IF(B935&lt;=0,"",LN(B935)),"")</f>
        <v/>
      </c>
      <c r="D935" s="58" t="str">
        <f ca="1">IF(Results!$S$5,A935,IF(ROW()&lt;=Results!$C$1+1,INDEX(Data!$A:$A,CEILING((COUNTA(Data!$A:$A)-1)*RAND()+1,1)),""))</f>
        <v/>
      </c>
      <c r="E935" s="1" t="str">
        <f>IF(ROW()&lt;=Results!$C$1+1,VLOOKUP($D935,Data!$A$2:$C$117,3,TRUE),"")</f>
        <v/>
      </c>
      <c r="F935" s="14" t="str">
        <f>IF(ROW()&lt;=Results!$C$1+1,IF(E935&lt;=0,"",LN(E935)),"")</f>
        <v/>
      </c>
      <c r="G935" s="53" t="str">
        <f>IF(ROW()&lt;=Results!$C$1+1,IF(ISERROR(C935-F935),"",C935-F935),"")</f>
        <v/>
      </c>
    </row>
    <row r="936" spans="1:7" x14ac:dyDescent="0.25">
      <c r="A936" s="1" t="str">
        <f ca="1">IF(ROW()&lt;=Results!$C$1+1,INDEX(Data!$A:$A,CEILING((COUNTA(Data!$A:$A)-1)*RAND()+1,1)),"")</f>
        <v/>
      </c>
      <c r="B936" s="1" t="str">
        <f>IF(ROW()&lt;=Results!$C$1+1,VLOOKUP($A936,Data!$A$2:$C$117,2,TRUE),"")</f>
        <v/>
      </c>
      <c r="C936" s="14" t="str">
        <f>IF(ROW()&lt;=Results!$C$1+1,IF(B936&lt;=0,"",LN(B936)),"")</f>
        <v/>
      </c>
      <c r="D936" s="58" t="str">
        <f ca="1">IF(Results!$S$5,A936,IF(ROW()&lt;=Results!$C$1+1,INDEX(Data!$A:$A,CEILING((COUNTA(Data!$A:$A)-1)*RAND()+1,1)),""))</f>
        <v/>
      </c>
      <c r="E936" s="1" t="str">
        <f>IF(ROW()&lt;=Results!$C$1+1,VLOOKUP($D936,Data!$A$2:$C$117,3,TRUE),"")</f>
        <v/>
      </c>
      <c r="F936" s="14" t="str">
        <f>IF(ROW()&lt;=Results!$C$1+1,IF(E936&lt;=0,"",LN(E936)),"")</f>
        <v/>
      </c>
      <c r="G936" s="53" t="str">
        <f>IF(ROW()&lt;=Results!$C$1+1,IF(ISERROR(C936-F936),"",C936-F936),"")</f>
        <v/>
      </c>
    </row>
    <row r="937" spans="1:7" x14ac:dyDescent="0.25">
      <c r="A937" s="1" t="str">
        <f ca="1">IF(ROW()&lt;=Results!$C$1+1,INDEX(Data!$A:$A,CEILING((COUNTA(Data!$A:$A)-1)*RAND()+1,1)),"")</f>
        <v/>
      </c>
      <c r="B937" s="1" t="str">
        <f>IF(ROW()&lt;=Results!$C$1+1,VLOOKUP($A937,Data!$A$2:$C$117,2,TRUE),"")</f>
        <v/>
      </c>
      <c r="C937" s="14" t="str">
        <f>IF(ROW()&lt;=Results!$C$1+1,IF(B937&lt;=0,"",LN(B937)),"")</f>
        <v/>
      </c>
      <c r="D937" s="58" t="str">
        <f ca="1">IF(Results!$S$5,A937,IF(ROW()&lt;=Results!$C$1+1,INDEX(Data!$A:$A,CEILING((COUNTA(Data!$A:$A)-1)*RAND()+1,1)),""))</f>
        <v/>
      </c>
      <c r="E937" s="1" t="str">
        <f>IF(ROW()&lt;=Results!$C$1+1,VLOOKUP($D937,Data!$A$2:$C$117,3,TRUE),"")</f>
        <v/>
      </c>
      <c r="F937" s="14" t="str">
        <f>IF(ROW()&lt;=Results!$C$1+1,IF(E937&lt;=0,"",LN(E937)),"")</f>
        <v/>
      </c>
      <c r="G937" s="53" t="str">
        <f>IF(ROW()&lt;=Results!$C$1+1,IF(ISERROR(C937-F937),"",C937-F937),"")</f>
        <v/>
      </c>
    </row>
    <row r="938" spans="1:7" x14ac:dyDescent="0.25">
      <c r="A938" s="1" t="str">
        <f ca="1">IF(ROW()&lt;=Results!$C$1+1,INDEX(Data!$A:$A,CEILING((COUNTA(Data!$A:$A)-1)*RAND()+1,1)),"")</f>
        <v/>
      </c>
      <c r="B938" s="1" t="str">
        <f>IF(ROW()&lt;=Results!$C$1+1,VLOOKUP($A938,Data!$A$2:$C$117,2,TRUE),"")</f>
        <v/>
      </c>
      <c r="C938" s="14" t="str">
        <f>IF(ROW()&lt;=Results!$C$1+1,IF(B938&lt;=0,"",LN(B938)),"")</f>
        <v/>
      </c>
      <c r="D938" s="58" t="str">
        <f ca="1">IF(Results!$S$5,A938,IF(ROW()&lt;=Results!$C$1+1,INDEX(Data!$A:$A,CEILING((COUNTA(Data!$A:$A)-1)*RAND()+1,1)),""))</f>
        <v/>
      </c>
      <c r="E938" s="1" t="str">
        <f>IF(ROW()&lt;=Results!$C$1+1,VLOOKUP($D938,Data!$A$2:$C$117,3,TRUE),"")</f>
        <v/>
      </c>
      <c r="F938" s="14" t="str">
        <f>IF(ROW()&lt;=Results!$C$1+1,IF(E938&lt;=0,"",LN(E938)),"")</f>
        <v/>
      </c>
      <c r="G938" s="53" t="str">
        <f>IF(ROW()&lt;=Results!$C$1+1,IF(ISERROR(C938-F938),"",C938-F938),"")</f>
        <v/>
      </c>
    </row>
    <row r="939" spans="1:7" x14ac:dyDescent="0.25">
      <c r="A939" s="1" t="str">
        <f ca="1">IF(ROW()&lt;=Results!$C$1+1,INDEX(Data!$A:$A,CEILING((COUNTA(Data!$A:$A)-1)*RAND()+1,1)),"")</f>
        <v/>
      </c>
      <c r="B939" s="1" t="str">
        <f>IF(ROW()&lt;=Results!$C$1+1,VLOOKUP($A939,Data!$A$2:$C$117,2,TRUE),"")</f>
        <v/>
      </c>
      <c r="C939" s="14" t="str">
        <f>IF(ROW()&lt;=Results!$C$1+1,IF(B939&lt;=0,"",LN(B939)),"")</f>
        <v/>
      </c>
      <c r="D939" s="58" t="str">
        <f ca="1">IF(Results!$S$5,A939,IF(ROW()&lt;=Results!$C$1+1,INDEX(Data!$A:$A,CEILING((COUNTA(Data!$A:$A)-1)*RAND()+1,1)),""))</f>
        <v/>
      </c>
      <c r="E939" s="1" t="str">
        <f>IF(ROW()&lt;=Results!$C$1+1,VLOOKUP($D939,Data!$A$2:$C$117,3,TRUE),"")</f>
        <v/>
      </c>
      <c r="F939" s="14" t="str">
        <f>IF(ROW()&lt;=Results!$C$1+1,IF(E939&lt;=0,"",LN(E939)),"")</f>
        <v/>
      </c>
      <c r="G939" s="53" t="str">
        <f>IF(ROW()&lt;=Results!$C$1+1,IF(ISERROR(C939-F939),"",C939-F939),"")</f>
        <v/>
      </c>
    </row>
    <row r="940" spans="1:7" x14ac:dyDescent="0.25">
      <c r="A940" s="1" t="str">
        <f ca="1">IF(ROW()&lt;=Results!$C$1+1,INDEX(Data!$A:$A,CEILING((COUNTA(Data!$A:$A)-1)*RAND()+1,1)),"")</f>
        <v/>
      </c>
      <c r="B940" s="1" t="str">
        <f>IF(ROW()&lt;=Results!$C$1+1,VLOOKUP($A940,Data!$A$2:$C$117,2,TRUE),"")</f>
        <v/>
      </c>
      <c r="C940" s="14" t="str">
        <f>IF(ROW()&lt;=Results!$C$1+1,IF(B940&lt;=0,"",LN(B940)),"")</f>
        <v/>
      </c>
      <c r="D940" s="58" t="str">
        <f ca="1">IF(Results!$S$5,A940,IF(ROW()&lt;=Results!$C$1+1,INDEX(Data!$A:$A,CEILING((COUNTA(Data!$A:$A)-1)*RAND()+1,1)),""))</f>
        <v/>
      </c>
      <c r="E940" s="1" t="str">
        <f>IF(ROW()&lt;=Results!$C$1+1,VLOOKUP($D940,Data!$A$2:$C$117,3,TRUE),"")</f>
        <v/>
      </c>
      <c r="F940" s="14" t="str">
        <f>IF(ROW()&lt;=Results!$C$1+1,IF(E940&lt;=0,"",LN(E940)),"")</f>
        <v/>
      </c>
      <c r="G940" s="53" t="str">
        <f>IF(ROW()&lt;=Results!$C$1+1,IF(ISERROR(C940-F940),"",C940-F940),"")</f>
        <v/>
      </c>
    </row>
    <row r="941" spans="1:7" x14ac:dyDescent="0.25">
      <c r="A941" s="1" t="str">
        <f ca="1">IF(ROW()&lt;=Results!$C$1+1,INDEX(Data!$A:$A,CEILING((COUNTA(Data!$A:$A)-1)*RAND()+1,1)),"")</f>
        <v/>
      </c>
      <c r="B941" s="1" t="str">
        <f>IF(ROW()&lt;=Results!$C$1+1,VLOOKUP($A941,Data!$A$2:$C$117,2,TRUE),"")</f>
        <v/>
      </c>
      <c r="C941" s="14" t="str">
        <f>IF(ROW()&lt;=Results!$C$1+1,IF(B941&lt;=0,"",LN(B941)),"")</f>
        <v/>
      </c>
      <c r="D941" s="58" t="str">
        <f ca="1">IF(Results!$S$5,A941,IF(ROW()&lt;=Results!$C$1+1,INDEX(Data!$A:$A,CEILING((COUNTA(Data!$A:$A)-1)*RAND()+1,1)),""))</f>
        <v/>
      </c>
      <c r="E941" s="1" t="str">
        <f>IF(ROW()&lt;=Results!$C$1+1,VLOOKUP($D941,Data!$A$2:$C$117,3,TRUE),"")</f>
        <v/>
      </c>
      <c r="F941" s="14" t="str">
        <f>IF(ROW()&lt;=Results!$C$1+1,IF(E941&lt;=0,"",LN(E941)),"")</f>
        <v/>
      </c>
      <c r="G941" s="53" t="str">
        <f>IF(ROW()&lt;=Results!$C$1+1,IF(ISERROR(C941-F941),"",C941-F941),"")</f>
        <v/>
      </c>
    </row>
    <row r="942" spans="1:7" x14ac:dyDescent="0.25">
      <c r="A942" s="1" t="str">
        <f ca="1">IF(ROW()&lt;=Results!$C$1+1,INDEX(Data!$A:$A,CEILING((COUNTA(Data!$A:$A)-1)*RAND()+1,1)),"")</f>
        <v/>
      </c>
      <c r="B942" s="1" t="str">
        <f>IF(ROW()&lt;=Results!$C$1+1,VLOOKUP($A942,Data!$A$2:$C$117,2,TRUE),"")</f>
        <v/>
      </c>
      <c r="C942" s="14" t="str">
        <f>IF(ROW()&lt;=Results!$C$1+1,IF(B942&lt;=0,"",LN(B942)),"")</f>
        <v/>
      </c>
      <c r="D942" s="58" t="str">
        <f ca="1">IF(Results!$S$5,A942,IF(ROW()&lt;=Results!$C$1+1,INDEX(Data!$A:$A,CEILING((COUNTA(Data!$A:$A)-1)*RAND()+1,1)),""))</f>
        <v/>
      </c>
      <c r="E942" s="1" t="str">
        <f>IF(ROW()&lt;=Results!$C$1+1,VLOOKUP($D942,Data!$A$2:$C$117,3,TRUE),"")</f>
        <v/>
      </c>
      <c r="F942" s="14" t="str">
        <f>IF(ROW()&lt;=Results!$C$1+1,IF(E942&lt;=0,"",LN(E942)),"")</f>
        <v/>
      </c>
      <c r="G942" s="53" t="str">
        <f>IF(ROW()&lt;=Results!$C$1+1,IF(ISERROR(C942-F942),"",C942-F942),"")</f>
        <v/>
      </c>
    </row>
    <row r="943" spans="1:7" x14ac:dyDescent="0.25">
      <c r="A943" s="1" t="str">
        <f ca="1">IF(ROW()&lt;=Results!$C$1+1,INDEX(Data!$A:$A,CEILING((COUNTA(Data!$A:$A)-1)*RAND()+1,1)),"")</f>
        <v/>
      </c>
      <c r="B943" s="1" t="str">
        <f>IF(ROW()&lt;=Results!$C$1+1,VLOOKUP($A943,Data!$A$2:$C$117,2,TRUE),"")</f>
        <v/>
      </c>
      <c r="C943" s="14" t="str">
        <f>IF(ROW()&lt;=Results!$C$1+1,IF(B943&lt;=0,"",LN(B943)),"")</f>
        <v/>
      </c>
      <c r="D943" s="58" t="str">
        <f ca="1">IF(Results!$S$5,A943,IF(ROW()&lt;=Results!$C$1+1,INDEX(Data!$A:$A,CEILING((COUNTA(Data!$A:$A)-1)*RAND()+1,1)),""))</f>
        <v/>
      </c>
      <c r="E943" s="1" t="str">
        <f>IF(ROW()&lt;=Results!$C$1+1,VLOOKUP($D943,Data!$A$2:$C$117,3,TRUE),"")</f>
        <v/>
      </c>
      <c r="F943" s="14" t="str">
        <f>IF(ROW()&lt;=Results!$C$1+1,IF(E943&lt;=0,"",LN(E943)),"")</f>
        <v/>
      </c>
      <c r="G943" s="53" t="str">
        <f>IF(ROW()&lt;=Results!$C$1+1,IF(ISERROR(C943-F943),"",C943-F943),"")</f>
        <v/>
      </c>
    </row>
    <row r="944" spans="1:7" x14ac:dyDescent="0.25">
      <c r="A944" s="1" t="str">
        <f ca="1">IF(ROW()&lt;=Results!$C$1+1,INDEX(Data!$A:$A,CEILING((COUNTA(Data!$A:$A)-1)*RAND()+1,1)),"")</f>
        <v/>
      </c>
      <c r="B944" s="1" t="str">
        <f>IF(ROW()&lt;=Results!$C$1+1,VLOOKUP($A944,Data!$A$2:$C$117,2,TRUE),"")</f>
        <v/>
      </c>
      <c r="C944" s="14" t="str">
        <f>IF(ROW()&lt;=Results!$C$1+1,IF(B944&lt;=0,"",LN(B944)),"")</f>
        <v/>
      </c>
      <c r="D944" s="58" t="str">
        <f ca="1">IF(Results!$S$5,A944,IF(ROW()&lt;=Results!$C$1+1,INDEX(Data!$A:$A,CEILING((COUNTA(Data!$A:$A)-1)*RAND()+1,1)),""))</f>
        <v/>
      </c>
      <c r="E944" s="1" t="str">
        <f>IF(ROW()&lt;=Results!$C$1+1,VLOOKUP($D944,Data!$A$2:$C$117,3,TRUE),"")</f>
        <v/>
      </c>
      <c r="F944" s="14" t="str">
        <f>IF(ROW()&lt;=Results!$C$1+1,IF(E944&lt;=0,"",LN(E944)),"")</f>
        <v/>
      </c>
      <c r="G944" s="53" t="str">
        <f>IF(ROW()&lt;=Results!$C$1+1,IF(ISERROR(C944-F944),"",C944-F944),"")</f>
        <v/>
      </c>
    </row>
    <row r="945" spans="1:7" x14ac:dyDescent="0.25">
      <c r="A945" s="1" t="str">
        <f ca="1">IF(ROW()&lt;=Results!$C$1+1,INDEX(Data!$A:$A,CEILING((COUNTA(Data!$A:$A)-1)*RAND()+1,1)),"")</f>
        <v/>
      </c>
      <c r="B945" s="1" t="str">
        <f>IF(ROW()&lt;=Results!$C$1+1,VLOOKUP($A945,Data!$A$2:$C$117,2,TRUE),"")</f>
        <v/>
      </c>
      <c r="C945" s="14" t="str">
        <f>IF(ROW()&lt;=Results!$C$1+1,IF(B945&lt;=0,"",LN(B945)),"")</f>
        <v/>
      </c>
      <c r="D945" s="58" t="str">
        <f ca="1">IF(Results!$S$5,A945,IF(ROW()&lt;=Results!$C$1+1,INDEX(Data!$A:$A,CEILING((COUNTA(Data!$A:$A)-1)*RAND()+1,1)),""))</f>
        <v/>
      </c>
      <c r="E945" s="1" t="str">
        <f>IF(ROW()&lt;=Results!$C$1+1,VLOOKUP($D945,Data!$A$2:$C$117,3,TRUE),"")</f>
        <v/>
      </c>
      <c r="F945" s="14" t="str">
        <f>IF(ROW()&lt;=Results!$C$1+1,IF(E945&lt;=0,"",LN(E945)),"")</f>
        <v/>
      </c>
      <c r="G945" s="53" t="str">
        <f>IF(ROW()&lt;=Results!$C$1+1,IF(ISERROR(C945-F945),"",C945-F945),"")</f>
        <v/>
      </c>
    </row>
    <row r="946" spans="1:7" x14ac:dyDescent="0.25">
      <c r="A946" s="1" t="str">
        <f ca="1">IF(ROW()&lt;=Results!$C$1+1,INDEX(Data!$A:$A,CEILING((COUNTA(Data!$A:$A)-1)*RAND()+1,1)),"")</f>
        <v/>
      </c>
      <c r="B946" s="1" t="str">
        <f>IF(ROW()&lt;=Results!$C$1+1,VLOOKUP($A946,Data!$A$2:$C$117,2,TRUE),"")</f>
        <v/>
      </c>
      <c r="C946" s="14" t="str">
        <f>IF(ROW()&lt;=Results!$C$1+1,IF(B946&lt;=0,"",LN(B946)),"")</f>
        <v/>
      </c>
      <c r="D946" s="58" t="str">
        <f ca="1">IF(Results!$S$5,A946,IF(ROW()&lt;=Results!$C$1+1,INDEX(Data!$A:$A,CEILING((COUNTA(Data!$A:$A)-1)*RAND()+1,1)),""))</f>
        <v/>
      </c>
      <c r="E946" s="1" t="str">
        <f>IF(ROW()&lt;=Results!$C$1+1,VLOOKUP($D946,Data!$A$2:$C$117,3,TRUE),"")</f>
        <v/>
      </c>
      <c r="F946" s="14" t="str">
        <f>IF(ROW()&lt;=Results!$C$1+1,IF(E946&lt;=0,"",LN(E946)),"")</f>
        <v/>
      </c>
      <c r="G946" s="53" t="str">
        <f>IF(ROW()&lt;=Results!$C$1+1,IF(ISERROR(C946-F946),"",C946-F946),"")</f>
        <v/>
      </c>
    </row>
    <row r="947" spans="1:7" x14ac:dyDescent="0.25">
      <c r="A947" s="1" t="str">
        <f ca="1">IF(ROW()&lt;=Results!$C$1+1,INDEX(Data!$A:$A,CEILING((COUNTA(Data!$A:$A)-1)*RAND()+1,1)),"")</f>
        <v/>
      </c>
      <c r="B947" s="1" t="str">
        <f>IF(ROW()&lt;=Results!$C$1+1,VLOOKUP($A947,Data!$A$2:$C$117,2,TRUE),"")</f>
        <v/>
      </c>
      <c r="C947" s="14" t="str">
        <f>IF(ROW()&lt;=Results!$C$1+1,IF(B947&lt;=0,"",LN(B947)),"")</f>
        <v/>
      </c>
      <c r="D947" s="58" t="str">
        <f ca="1">IF(Results!$S$5,A947,IF(ROW()&lt;=Results!$C$1+1,INDEX(Data!$A:$A,CEILING((COUNTA(Data!$A:$A)-1)*RAND()+1,1)),""))</f>
        <v/>
      </c>
      <c r="E947" s="1" t="str">
        <f>IF(ROW()&lt;=Results!$C$1+1,VLOOKUP($D947,Data!$A$2:$C$117,3,TRUE),"")</f>
        <v/>
      </c>
      <c r="F947" s="14" t="str">
        <f>IF(ROW()&lt;=Results!$C$1+1,IF(E947&lt;=0,"",LN(E947)),"")</f>
        <v/>
      </c>
      <c r="G947" s="53" t="str">
        <f>IF(ROW()&lt;=Results!$C$1+1,IF(ISERROR(C947-F947),"",C947-F947),"")</f>
        <v/>
      </c>
    </row>
    <row r="948" spans="1:7" x14ac:dyDescent="0.25">
      <c r="A948" s="1" t="str">
        <f ca="1">IF(ROW()&lt;=Results!$C$1+1,INDEX(Data!$A:$A,CEILING((COUNTA(Data!$A:$A)-1)*RAND()+1,1)),"")</f>
        <v/>
      </c>
      <c r="B948" s="1" t="str">
        <f>IF(ROW()&lt;=Results!$C$1+1,VLOOKUP($A948,Data!$A$2:$C$117,2,TRUE),"")</f>
        <v/>
      </c>
      <c r="C948" s="14" t="str">
        <f>IF(ROW()&lt;=Results!$C$1+1,IF(B948&lt;=0,"",LN(B948)),"")</f>
        <v/>
      </c>
      <c r="D948" s="58" t="str">
        <f ca="1">IF(Results!$S$5,A948,IF(ROW()&lt;=Results!$C$1+1,INDEX(Data!$A:$A,CEILING((COUNTA(Data!$A:$A)-1)*RAND()+1,1)),""))</f>
        <v/>
      </c>
      <c r="E948" s="1" t="str">
        <f>IF(ROW()&lt;=Results!$C$1+1,VLOOKUP($D948,Data!$A$2:$C$117,3,TRUE),"")</f>
        <v/>
      </c>
      <c r="F948" s="14" t="str">
        <f>IF(ROW()&lt;=Results!$C$1+1,IF(E948&lt;=0,"",LN(E948)),"")</f>
        <v/>
      </c>
      <c r="G948" s="53" t="str">
        <f>IF(ROW()&lt;=Results!$C$1+1,IF(ISERROR(C948-F948),"",C948-F948),"")</f>
        <v/>
      </c>
    </row>
    <row r="949" spans="1:7" x14ac:dyDescent="0.25">
      <c r="A949" s="1" t="str">
        <f ca="1">IF(ROW()&lt;=Results!$C$1+1,INDEX(Data!$A:$A,CEILING((COUNTA(Data!$A:$A)-1)*RAND()+1,1)),"")</f>
        <v/>
      </c>
      <c r="B949" s="1" t="str">
        <f>IF(ROW()&lt;=Results!$C$1+1,VLOOKUP($A949,Data!$A$2:$C$117,2,TRUE),"")</f>
        <v/>
      </c>
      <c r="C949" s="14" t="str">
        <f>IF(ROW()&lt;=Results!$C$1+1,IF(B949&lt;=0,"",LN(B949)),"")</f>
        <v/>
      </c>
      <c r="D949" s="58" t="str">
        <f ca="1">IF(Results!$S$5,A949,IF(ROW()&lt;=Results!$C$1+1,INDEX(Data!$A:$A,CEILING((COUNTA(Data!$A:$A)-1)*RAND()+1,1)),""))</f>
        <v/>
      </c>
      <c r="E949" s="1" t="str">
        <f>IF(ROW()&lt;=Results!$C$1+1,VLOOKUP($D949,Data!$A$2:$C$117,3,TRUE),"")</f>
        <v/>
      </c>
      <c r="F949" s="14" t="str">
        <f>IF(ROW()&lt;=Results!$C$1+1,IF(E949&lt;=0,"",LN(E949)),"")</f>
        <v/>
      </c>
      <c r="G949" s="53" t="str">
        <f>IF(ROW()&lt;=Results!$C$1+1,IF(ISERROR(C949-F949),"",C949-F949),"")</f>
        <v/>
      </c>
    </row>
    <row r="950" spans="1:7" x14ac:dyDescent="0.25">
      <c r="A950" s="1" t="str">
        <f ca="1">IF(ROW()&lt;=Results!$C$1+1,INDEX(Data!$A:$A,CEILING((COUNTA(Data!$A:$A)-1)*RAND()+1,1)),"")</f>
        <v/>
      </c>
      <c r="B950" s="1" t="str">
        <f>IF(ROW()&lt;=Results!$C$1+1,VLOOKUP($A950,Data!$A$2:$C$117,2,TRUE),"")</f>
        <v/>
      </c>
      <c r="C950" s="14" t="str">
        <f>IF(ROW()&lt;=Results!$C$1+1,IF(B950&lt;=0,"",LN(B950)),"")</f>
        <v/>
      </c>
      <c r="D950" s="58" t="str">
        <f ca="1">IF(Results!$S$5,A950,IF(ROW()&lt;=Results!$C$1+1,INDEX(Data!$A:$A,CEILING((COUNTA(Data!$A:$A)-1)*RAND()+1,1)),""))</f>
        <v/>
      </c>
      <c r="E950" s="1" t="str">
        <f>IF(ROW()&lt;=Results!$C$1+1,VLOOKUP($D950,Data!$A$2:$C$117,3,TRUE),"")</f>
        <v/>
      </c>
      <c r="F950" s="14" t="str">
        <f>IF(ROW()&lt;=Results!$C$1+1,IF(E950&lt;=0,"",LN(E950)),"")</f>
        <v/>
      </c>
      <c r="G950" s="53" t="str">
        <f>IF(ROW()&lt;=Results!$C$1+1,IF(ISERROR(C950-F950),"",C950-F950),"")</f>
        <v/>
      </c>
    </row>
    <row r="951" spans="1:7" x14ac:dyDescent="0.25">
      <c r="A951" s="1" t="str">
        <f ca="1">IF(ROW()&lt;=Results!$C$1+1,INDEX(Data!$A:$A,CEILING((COUNTA(Data!$A:$A)-1)*RAND()+1,1)),"")</f>
        <v/>
      </c>
      <c r="B951" s="1" t="str">
        <f>IF(ROW()&lt;=Results!$C$1+1,VLOOKUP($A951,Data!$A$2:$C$117,2,TRUE),"")</f>
        <v/>
      </c>
      <c r="C951" s="14" t="str">
        <f>IF(ROW()&lt;=Results!$C$1+1,IF(B951&lt;=0,"",LN(B951)),"")</f>
        <v/>
      </c>
      <c r="D951" s="58" t="str">
        <f ca="1">IF(Results!$S$5,A951,IF(ROW()&lt;=Results!$C$1+1,INDEX(Data!$A:$A,CEILING((COUNTA(Data!$A:$A)-1)*RAND()+1,1)),""))</f>
        <v/>
      </c>
      <c r="E951" s="1" t="str">
        <f>IF(ROW()&lt;=Results!$C$1+1,VLOOKUP($D951,Data!$A$2:$C$117,3,TRUE),"")</f>
        <v/>
      </c>
      <c r="F951" s="14" t="str">
        <f>IF(ROW()&lt;=Results!$C$1+1,IF(E951&lt;=0,"",LN(E951)),"")</f>
        <v/>
      </c>
      <c r="G951" s="53" t="str">
        <f>IF(ROW()&lt;=Results!$C$1+1,IF(ISERROR(C951-F951),"",C951-F951),"")</f>
        <v/>
      </c>
    </row>
    <row r="952" spans="1:7" x14ac:dyDescent="0.25">
      <c r="A952" s="1" t="str">
        <f ca="1">IF(ROW()&lt;=Results!$C$1+1,INDEX(Data!$A:$A,CEILING((COUNTA(Data!$A:$A)-1)*RAND()+1,1)),"")</f>
        <v/>
      </c>
      <c r="B952" s="1" t="str">
        <f>IF(ROW()&lt;=Results!$C$1+1,VLOOKUP($A952,Data!$A$2:$C$117,2,TRUE),"")</f>
        <v/>
      </c>
      <c r="C952" s="14" t="str">
        <f>IF(ROW()&lt;=Results!$C$1+1,IF(B952&lt;=0,"",LN(B952)),"")</f>
        <v/>
      </c>
      <c r="D952" s="58" t="str">
        <f ca="1">IF(Results!$S$5,A952,IF(ROW()&lt;=Results!$C$1+1,INDEX(Data!$A:$A,CEILING((COUNTA(Data!$A:$A)-1)*RAND()+1,1)),""))</f>
        <v/>
      </c>
      <c r="E952" s="1" t="str">
        <f>IF(ROW()&lt;=Results!$C$1+1,VLOOKUP($D952,Data!$A$2:$C$117,3,TRUE),"")</f>
        <v/>
      </c>
      <c r="F952" s="14" t="str">
        <f>IF(ROW()&lt;=Results!$C$1+1,IF(E952&lt;=0,"",LN(E952)),"")</f>
        <v/>
      </c>
      <c r="G952" s="53" t="str">
        <f>IF(ROW()&lt;=Results!$C$1+1,IF(ISERROR(C952-F952),"",C952-F952),"")</f>
        <v/>
      </c>
    </row>
    <row r="953" spans="1:7" x14ac:dyDescent="0.25">
      <c r="A953" s="1" t="str">
        <f ca="1">IF(ROW()&lt;=Results!$C$1+1,INDEX(Data!$A:$A,CEILING((COUNTA(Data!$A:$A)-1)*RAND()+1,1)),"")</f>
        <v/>
      </c>
      <c r="B953" s="1" t="str">
        <f>IF(ROW()&lt;=Results!$C$1+1,VLOOKUP($A953,Data!$A$2:$C$117,2,TRUE),"")</f>
        <v/>
      </c>
      <c r="C953" s="14" t="str">
        <f>IF(ROW()&lt;=Results!$C$1+1,IF(B953&lt;=0,"",LN(B953)),"")</f>
        <v/>
      </c>
      <c r="D953" s="58" t="str">
        <f ca="1">IF(Results!$S$5,A953,IF(ROW()&lt;=Results!$C$1+1,INDEX(Data!$A:$A,CEILING((COUNTA(Data!$A:$A)-1)*RAND()+1,1)),""))</f>
        <v/>
      </c>
      <c r="E953" s="1" t="str">
        <f>IF(ROW()&lt;=Results!$C$1+1,VLOOKUP($D953,Data!$A$2:$C$117,3,TRUE),"")</f>
        <v/>
      </c>
      <c r="F953" s="14" t="str">
        <f>IF(ROW()&lt;=Results!$C$1+1,IF(E953&lt;=0,"",LN(E953)),"")</f>
        <v/>
      </c>
      <c r="G953" s="53" t="str">
        <f>IF(ROW()&lt;=Results!$C$1+1,IF(ISERROR(C953-F953),"",C953-F953),"")</f>
        <v/>
      </c>
    </row>
    <row r="954" spans="1:7" x14ac:dyDescent="0.25">
      <c r="A954" s="1" t="str">
        <f ca="1">IF(ROW()&lt;=Results!$C$1+1,INDEX(Data!$A:$A,CEILING((COUNTA(Data!$A:$A)-1)*RAND()+1,1)),"")</f>
        <v/>
      </c>
      <c r="B954" s="1" t="str">
        <f>IF(ROW()&lt;=Results!$C$1+1,VLOOKUP($A954,Data!$A$2:$C$117,2,TRUE),"")</f>
        <v/>
      </c>
      <c r="C954" s="14" t="str">
        <f>IF(ROW()&lt;=Results!$C$1+1,IF(B954&lt;=0,"",LN(B954)),"")</f>
        <v/>
      </c>
      <c r="D954" s="58" t="str">
        <f ca="1">IF(Results!$S$5,A954,IF(ROW()&lt;=Results!$C$1+1,INDEX(Data!$A:$A,CEILING((COUNTA(Data!$A:$A)-1)*RAND()+1,1)),""))</f>
        <v/>
      </c>
      <c r="E954" s="1" t="str">
        <f>IF(ROW()&lt;=Results!$C$1+1,VLOOKUP($D954,Data!$A$2:$C$117,3,TRUE),"")</f>
        <v/>
      </c>
      <c r="F954" s="14" t="str">
        <f>IF(ROW()&lt;=Results!$C$1+1,IF(E954&lt;=0,"",LN(E954)),"")</f>
        <v/>
      </c>
      <c r="G954" s="53" t="str">
        <f>IF(ROW()&lt;=Results!$C$1+1,IF(ISERROR(C954-F954),"",C954-F954),"")</f>
        <v/>
      </c>
    </row>
    <row r="955" spans="1:7" x14ac:dyDescent="0.25">
      <c r="A955" s="1" t="str">
        <f ca="1">IF(ROW()&lt;=Results!$C$1+1,INDEX(Data!$A:$A,CEILING((COUNTA(Data!$A:$A)-1)*RAND()+1,1)),"")</f>
        <v/>
      </c>
      <c r="B955" s="1" t="str">
        <f>IF(ROW()&lt;=Results!$C$1+1,VLOOKUP($A955,Data!$A$2:$C$117,2,TRUE),"")</f>
        <v/>
      </c>
      <c r="C955" s="14" t="str">
        <f>IF(ROW()&lt;=Results!$C$1+1,IF(B955&lt;=0,"",LN(B955)),"")</f>
        <v/>
      </c>
      <c r="D955" s="58" t="str">
        <f ca="1">IF(Results!$S$5,A955,IF(ROW()&lt;=Results!$C$1+1,INDEX(Data!$A:$A,CEILING((COUNTA(Data!$A:$A)-1)*RAND()+1,1)),""))</f>
        <v/>
      </c>
      <c r="E955" s="1" t="str">
        <f>IF(ROW()&lt;=Results!$C$1+1,VLOOKUP($D955,Data!$A$2:$C$117,3,TRUE),"")</f>
        <v/>
      </c>
      <c r="F955" s="14" t="str">
        <f>IF(ROW()&lt;=Results!$C$1+1,IF(E955&lt;=0,"",LN(E955)),"")</f>
        <v/>
      </c>
      <c r="G955" s="53" t="str">
        <f>IF(ROW()&lt;=Results!$C$1+1,IF(ISERROR(C955-F955),"",C955-F955),"")</f>
        <v/>
      </c>
    </row>
    <row r="956" spans="1:7" x14ac:dyDescent="0.25">
      <c r="A956" s="1" t="str">
        <f ca="1">IF(ROW()&lt;=Results!$C$1+1,INDEX(Data!$A:$A,CEILING((COUNTA(Data!$A:$A)-1)*RAND()+1,1)),"")</f>
        <v/>
      </c>
      <c r="B956" s="1" t="str">
        <f>IF(ROW()&lt;=Results!$C$1+1,VLOOKUP($A956,Data!$A$2:$C$117,2,TRUE),"")</f>
        <v/>
      </c>
      <c r="C956" s="14" t="str">
        <f>IF(ROW()&lt;=Results!$C$1+1,IF(B956&lt;=0,"",LN(B956)),"")</f>
        <v/>
      </c>
      <c r="D956" s="58" t="str">
        <f ca="1">IF(Results!$S$5,A956,IF(ROW()&lt;=Results!$C$1+1,INDEX(Data!$A:$A,CEILING((COUNTA(Data!$A:$A)-1)*RAND()+1,1)),""))</f>
        <v/>
      </c>
      <c r="E956" s="1" t="str">
        <f>IF(ROW()&lt;=Results!$C$1+1,VLOOKUP($D956,Data!$A$2:$C$117,3,TRUE),"")</f>
        <v/>
      </c>
      <c r="F956" s="14" t="str">
        <f>IF(ROW()&lt;=Results!$C$1+1,IF(E956&lt;=0,"",LN(E956)),"")</f>
        <v/>
      </c>
      <c r="G956" s="53" t="str">
        <f>IF(ROW()&lt;=Results!$C$1+1,IF(ISERROR(C956-F956),"",C956-F956),"")</f>
        <v/>
      </c>
    </row>
    <row r="957" spans="1:7" x14ac:dyDescent="0.25">
      <c r="A957" s="1" t="str">
        <f ca="1">IF(ROW()&lt;=Results!$C$1+1,INDEX(Data!$A:$A,CEILING((COUNTA(Data!$A:$A)-1)*RAND()+1,1)),"")</f>
        <v/>
      </c>
      <c r="B957" s="1" t="str">
        <f>IF(ROW()&lt;=Results!$C$1+1,VLOOKUP($A957,Data!$A$2:$C$117,2,TRUE),"")</f>
        <v/>
      </c>
      <c r="C957" s="14" t="str">
        <f>IF(ROW()&lt;=Results!$C$1+1,IF(B957&lt;=0,"",LN(B957)),"")</f>
        <v/>
      </c>
      <c r="D957" s="58" t="str">
        <f ca="1">IF(Results!$S$5,A957,IF(ROW()&lt;=Results!$C$1+1,INDEX(Data!$A:$A,CEILING((COUNTA(Data!$A:$A)-1)*RAND()+1,1)),""))</f>
        <v/>
      </c>
      <c r="E957" s="1" t="str">
        <f>IF(ROW()&lt;=Results!$C$1+1,VLOOKUP($D957,Data!$A$2:$C$117,3,TRUE),"")</f>
        <v/>
      </c>
      <c r="F957" s="14" t="str">
        <f>IF(ROW()&lt;=Results!$C$1+1,IF(E957&lt;=0,"",LN(E957)),"")</f>
        <v/>
      </c>
      <c r="G957" s="53" t="str">
        <f>IF(ROW()&lt;=Results!$C$1+1,IF(ISERROR(C957-F957),"",C957-F957),"")</f>
        <v/>
      </c>
    </row>
    <row r="958" spans="1:7" x14ac:dyDescent="0.25">
      <c r="A958" s="1" t="str">
        <f ca="1">IF(ROW()&lt;=Results!$C$1+1,INDEX(Data!$A:$A,CEILING((COUNTA(Data!$A:$A)-1)*RAND()+1,1)),"")</f>
        <v/>
      </c>
      <c r="B958" s="1" t="str">
        <f>IF(ROW()&lt;=Results!$C$1+1,VLOOKUP($A958,Data!$A$2:$C$117,2,TRUE),"")</f>
        <v/>
      </c>
      <c r="C958" s="14" t="str">
        <f>IF(ROW()&lt;=Results!$C$1+1,IF(B958&lt;=0,"",LN(B958)),"")</f>
        <v/>
      </c>
      <c r="D958" s="58" t="str">
        <f ca="1">IF(Results!$S$5,A958,IF(ROW()&lt;=Results!$C$1+1,INDEX(Data!$A:$A,CEILING((COUNTA(Data!$A:$A)-1)*RAND()+1,1)),""))</f>
        <v/>
      </c>
      <c r="E958" s="1" t="str">
        <f>IF(ROW()&lt;=Results!$C$1+1,VLOOKUP($D958,Data!$A$2:$C$117,3,TRUE),"")</f>
        <v/>
      </c>
      <c r="F958" s="14" t="str">
        <f>IF(ROW()&lt;=Results!$C$1+1,IF(E958&lt;=0,"",LN(E958)),"")</f>
        <v/>
      </c>
      <c r="G958" s="53" t="str">
        <f>IF(ROW()&lt;=Results!$C$1+1,IF(ISERROR(C958-F958),"",C958-F958),"")</f>
        <v/>
      </c>
    </row>
    <row r="959" spans="1:7" x14ac:dyDescent="0.25">
      <c r="A959" s="1" t="str">
        <f ca="1">IF(ROW()&lt;=Results!$C$1+1,INDEX(Data!$A:$A,CEILING((COUNTA(Data!$A:$A)-1)*RAND()+1,1)),"")</f>
        <v/>
      </c>
      <c r="B959" s="1" t="str">
        <f>IF(ROW()&lt;=Results!$C$1+1,VLOOKUP($A959,Data!$A$2:$C$117,2,TRUE),"")</f>
        <v/>
      </c>
      <c r="C959" s="14" t="str">
        <f>IF(ROW()&lt;=Results!$C$1+1,IF(B959&lt;=0,"",LN(B959)),"")</f>
        <v/>
      </c>
      <c r="D959" s="58" t="str">
        <f ca="1">IF(Results!$S$5,A959,IF(ROW()&lt;=Results!$C$1+1,INDEX(Data!$A:$A,CEILING((COUNTA(Data!$A:$A)-1)*RAND()+1,1)),""))</f>
        <v/>
      </c>
      <c r="E959" s="1" t="str">
        <f>IF(ROW()&lt;=Results!$C$1+1,VLOOKUP($D959,Data!$A$2:$C$117,3,TRUE),"")</f>
        <v/>
      </c>
      <c r="F959" s="14" t="str">
        <f>IF(ROW()&lt;=Results!$C$1+1,IF(E959&lt;=0,"",LN(E959)),"")</f>
        <v/>
      </c>
      <c r="G959" s="53" t="str">
        <f>IF(ROW()&lt;=Results!$C$1+1,IF(ISERROR(C959-F959),"",C959-F959),"")</f>
        <v/>
      </c>
    </row>
    <row r="960" spans="1:7" x14ac:dyDescent="0.25">
      <c r="A960" s="1" t="str">
        <f ca="1">IF(ROW()&lt;=Results!$C$1+1,INDEX(Data!$A:$A,CEILING((COUNTA(Data!$A:$A)-1)*RAND()+1,1)),"")</f>
        <v/>
      </c>
      <c r="B960" s="1" t="str">
        <f>IF(ROW()&lt;=Results!$C$1+1,VLOOKUP($A960,Data!$A$2:$C$117,2,TRUE),"")</f>
        <v/>
      </c>
      <c r="C960" s="14" t="str">
        <f>IF(ROW()&lt;=Results!$C$1+1,IF(B960&lt;=0,"",LN(B960)),"")</f>
        <v/>
      </c>
      <c r="D960" s="58" t="str">
        <f ca="1">IF(Results!$S$5,A960,IF(ROW()&lt;=Results!$C$1+1,INDEX(Data!$A:$A,CEILING((COUNTA(Data!$A:$A)-1)*RAND()+1,1)),""))</f>
        <v/>
      </c>
      <c r="E960" s="1" t="str">
        <f>IF(ROW()&lt;=Results!$C$1+1,VLOOKUP($D960,Data!$A$2:$C$117,3,TRUE),"")</f>
        <v/>
      </c>
      <c r="F960" s="14" t="str">
        <f>IF(ROW()&lt;=Results!$C$1+1,IF(E960&lt;=0,"",LN(E960)),"")</f>
        <v/>
      </c>
      <c r="G960" s="53" t="str">
        <f>IF(ROW()&lt;=Results!$C$1+1,IF(ISERROR(C960-F960),"",C960-F960),"")</f>
        <v/>
      </c>
    </row>
    <row r="961" spans="1:7" x14ac:dyDescent="0.25">
      <c r="A961" s="1" t="str">
        <f ca="1">IF(ROW()&lt;=Results!$C$1+1,INDEX(Data!$A:$A,CEILING((COUNTA(Data!$A:$A)-1)*RAND()+1,1)),"")</f>
        <v/>
      </c>
      <c r="B961" s="1" t="str">
        <f>IF(ROW()&lt;=Results!$C$1+1,VLOOKUP($A961,Data!$A$2:$C$117,2,TRUE),"")</f>
        <v/>
      </c>
      <c r="C961" s="14" t="str">
        <f>IF(ROW()&lt;=Results!$C$1+1,IF(B961&lt;=0,"",LN(B961)),"")</f>
        <v/>
      </c>
      <c r="D961" s="58" t="str">
        <f ca="1">IF(Results!$S$5,A961,IF(ROW()&lt;=Results!$C$1+1,INDEX(Data!$A:$A,CEILING((COUNTA(Data!$A:$A)-1)*RAND()+1,1)),""))</f>
        <v/>
      </c>
      <c r="E961" s="1" t="str">
        <f>IF(ROW()&lt;=Results!$C$1+1,VLOOKUP($D961,Data!$A$2:$C$117,3,TRUE),"")</f>
        <v/>
      </c>
      <c r="F961" s="14" t="str">
        <f>IF(ROW()&lt;=Results!$C$1+1,IF(E961&lt;=0,"",LN(E961)),"")</f>
        <v/>
      </c>
      <c r="G961" s="53" t="str">
        <f>IF(ROW()&lt;=Results!$C$1+1,IF(ISERROR(C961-F961),"",C961-F961),"")</f>
        <v/>
      </c>
    </row>
    <row r="962" spans="1:7" x14ac:dyDescent="0.25">
      <c r="A962" s="1" t="str">
        <f ca="1">IF(ROW()&lt;=Results!$C$1+1,INDEX(Data!$A:$A,CEILING((COUNTA(Data!$A:$A)-1)*RAND()+1,1)),"")</f>
        <v/>
      </c>
      <c r="B962" s="1" t="str">
        <f>IF(ROW()&lt;=Results!$C$1+1,VLOOKUP($A962,Data!$A$2:$C$117,2,TRUE),"")</f>
        <v/>
      </c>
      <c r="C962" s="14" t="str">
        <f>IF(ROW()&lt;=Results!$C$1+1,IF(B962&lt;=0,"",LN(B962)),"")</f>
        <v/>
      </c>
      <c r="D962" s="58" t="str">
        <f ca="1">IF(Results!$S$5,A962,IF(ROW()&lt;=Results!$C$1+1,INDEX(Data!$A:$A,CEILING((COUNTA(Data!$A:$A)-1)*RAND()+1,1)),""))</f>
        <v/>
      </c>
      <c r="E962" s="1" t="str">
        <f>IF(ROW()&lt;=Results!$C$1+1,VLOOKUP($D962,Data!$A$2:$C$117,3,TRUE),"")</f>
        <v/>
      </c>
      <c r="F962" s="14" t="str">
        <f>IF(ROW()&lt;=Results!$C$1+1,IF(E962&lt;=0,"",LN(E962)),"")</f>
        <v/>
      </c>
      <c r="G962" s="53" t="str">
        <f>IF(ROW()&lt;=Results!$C$1+1,IF(ISERROR(C962-F962),"",C962-F962),"")</f>
        <v/>
      </c>
    </row>
    <row r="963" spans="1:7" x14ac:dyDescent="0.25">
      <c r="A963" s="1" t="str">
        <f ca="1">IF(ROW()&lt;=Results!$C$1+1,INDEX(Data!$A:$A,CEILING((COUNTA(Data!$A:$A)-1)*RAND()+1,1)),"")</f>
        <v/>
      </c>
      <c r="B963" s="1" t="str">
        <f>IF(ROW()&lt;=Results!$C$1+1,VLOOKUP($A963,Data!$A$2:$C$117,2,TRUE),"")</f>
        <v/>
      </c>
      <c r="C963" s="14" t="str">
        <f>IF(ROW()&lt;=Results!$C$1+1,IF(B963&lt;=0,"",LN(B963)),"")</f>
        <v/>
      </c>
      <c r="D963" s="58" t="str">
        <f ca="1">IF(Results!$S$5,A963,IF(ROW()&lt;=Results!$C$1+1,INDEX(Data!$A:$A,CEILING((COUNTA(Data!$A:$A)-1)*RAND()+1,1)),""))</f>
        <v/>
      </c>
      <c r="E963" s="1" t="str">
        <f>IF(ROW()&lt;=Results!$C$1+1,VLOOKUP($D963,Data!$A$2:$C$117,3,TRUE),"")</f>
        <v/>
      </c>
      <c r="F963" s="14" t="str">
        <f>IF(ROW()&lt;=Results!$C$1+1,IF(E963&lt;=0,"",LN(E963)),"")</f>
        <v/>
      </c>
      <c r="G963" s="53" t="str">
        <f>IF(ROW()&lt;=Results!$C$1+1,IF(ISERROR(C963-F963),"",C963-F963),"")</f>
        <v/>
      </c>
    </row>
    <row r="964" spans="1:7" x14ac:dyDescent="0.25">
      <c r="A964" s="1" t="str">
        <f ca="1">IF(ROW()&lt;=Results!$C$1+1,INDEX(Data!$A:$A,CEILING((COUNTA(Data!$A:$A)-1)*RAND()+1,1)),"")</f>
        <v/>
      </c>
      <c r="B964" s="1" t="str">
        <f>IF(ROW()&lt;=Results!$C$1+1,VLOOKUP($A964,Data!$A$2:$C$117,2,TRUE),"")</f>
        <v/>
      </c>
      <c r="C964" s="14" t="str">
        <f>IF(ROW()&lt;=Results!$C$1+1,IF(B964&lt;=0,"",LN(B964)),"")</f>
        <v/>
      </c>
      <c r="D964" s="58" t="str">
        <f ca="1">IF(Results!$S$5,A964,IF(ROW()&lt;=Results!$C$1+1,INDEX(Data!$A:$A,CEILING((COUNTA(Data!$A:$A)-1)*RAND()+1,1)),""))</f>
        <v/>
      </c>
      <c r="E964" s="1" t="str">
        <f>IF(ROW()&lt;=Results!$C$1+1,VLOOKUP($D964,Data!$A$2:$C$117,3,TRUE),"")</f>
        <v/>
      </c>
      <c r="F964" s="14" t="str">
        <f>IF(ROW()&lt;=Results!$C$1+1,IF(E964&lt;=0,"",LN(E964)),"")</f>
        <v/>
      </c>
      <c r="G964" s="53" t="str">
        <f>IF(ROW()&lt;=Results!$C$1+1,IF(ISERROR(C964-F964),"",C964-F964),"")</f>
        <v/>
      </c>
    </row>
    <row r="965" spans="1:7" x14ac:dyDescent="0.25">
      <c r="A965" s="1" t="str">
        <f ca="1">IF(ROW()&lt;=Results!$C$1+1,INDEX(Data!$A:$A,CEILING((COUNTA(Data!$A:$A)-1)*RAND()+1,1)),"")</f>
        <v/>
      </c>
      <c r="B965" s="1" t="str">
        <f>IF(ROW()&lt;=Results!$C$1+1,VLOOKUP($A965,Data!$A$2:$C$117,2,TRUE),"")</f>
        <v/>
      </c>
      <c r="C965" s="14" t="str">
        <f>IF(ROW()&lt;=Results!$C$1+1,IF(B965&lt;=0,"",LN(B965)),"")</f>
        <v/>
      </c>
      <c r="D965" s="58" t="str">
        <f ca="1">IF(Results!$S$5,A965,IF(ROW()&lt;=Results!$C$1+1,INDEX(Data!$A:$A,CEILING((COUNTA(Data!$A:$A)-1)*RAND()+1,1)),""))</f>
        <v/>
      </c>
      <c r="E965" s="1" t="str">
        <f>IF(ROW()&lt;=Results!$C$1+1,VLOOKUP($D965,Data!$A$2:$C$117,3,TRUE),"")</f>
        <v/>
      </c>
      <c r="F965" s="14" t="str">
        <f>IF(ROW()&lt;=Results!$C$1+1,IF(E965&lt;=0,"",LN(E965)),"")</f>
        <v/>
      </c>
      <c r="G965" s="53" t="str">
        <f>IF(ROW()&lt;=Results!$C$1+1,IF(ISERROR(C965-F965),"",C965-F965),"")</f>
        <v/>
      </c>
    </row>
    <row r="966" spans="1:7" x14ac:dyDescent="0.25">
      <c r="A966" s="1" t="str">
        <f ca="1">IF(ROW()&lt;=Results!$C$1+1,INDEX(Data!$A:$A,CEILING((COUNTA(Data!$A:$A)-1)*RAND()+1,1)),"")</f>
        <v/>
      </c>
      <c r="B966" s="1" t="str">
        <f>IF(ROW()&lt;=Results!$C$1+1,VLOOKUP($A966,Data!$A$2:$C$117,2,TRUE),"")</f>
        <v/>
      </c>
      <c r="C966" s="14" t="str">
        <f>IF(ROW()&lt;=Results!$C$1+1,IF(B966&lt;=0,"",LN(B966)),"")</f>
        <v/>
      </c>
      <c r="D966" s="58" t="str">
        <f ca="1">IF(Results!$S$5,A966,IF(ROW()&lt;=Results!$C$1+1,INDEX(Data!$A:$A,CEILING((COUNTA(Data!$A:$A)-1)*RAND()+1,1)),""))</f>
        <v/>
      </c>
      <c r="E966" s="1" t="str">
        <f>IF(ROW()&lt;=Results!$C$1+1,VLOOKUP($D966,Data!$A$2:$C$117,3,TRUE),"")</f>
        <v/>
      </c>
      <c r="F966" s="14" t="str">
        <f>IF(ROW()&lt;=Results!$C$1+1,IF(E966&lt;=0,"",LN(E966)),"")</f>
        <v/>
      </c>
      <c r="G966" s="53" t="str">
        <f>IF(ROW()&lt;=Results!$C$1+1,IF(ISERROR(C966-F966),"",C966-F966),"")</f>
        <v/>
      </c>
    </row>
    <row r="967" spans="1:7" x14ac:dyDescent="0.25">
      <c r="A967" s="1" t="str">
        <f ca="1">IF(ROW()&lt;=Results!$C$1+1,INDEX(Data!$A:$A,CEILING((COUNTA(Data!$A:$A)-1)*RAND()+1,1)),"")</f>
        <v/>
      </c>
      <c r="B967" s="1" t="str">
        <f>IF(ROW()&lt;=Results!$C$1+1,VLOOKUP($A967,Data!$A$2:$C$117,2,TRUE),"")</f>
        <v/>
      </c>
      <c r="C967" s="14" t="str">
        <f>IF(ROW()&lt;=Results!$C$1+1,IF(B967&lt;=0,"",LN(B967)),"")</f>
        <v/>
      </c>
      <c r="D967" s="58" t="str">
        <f ca="1">IF(Results!$S$5,A967,IF(ROW()&lt;=Results!$C$1+1,INDEX(Data!$A:$A,CEILING((COUNTA(Data!$A:$A)-1)*RAND()+1,1)),""))</f>
        <v/>
      </c>
      <c r="E967" s="1" t="str">
        <f>IF(ROW()&lt;=Results!$C$1+1,VLOOKUP($D967,Data!$A$2:$C$117,3,TRUE),"")</f>
        <v/>
      </c>
      <c r="F967" s="14" t="str">
        <f>IF(ROW()&lt;=Results!$C$1+1,IF(E967&lt;=0,"",LN(E967)),"")</f>
        <v/>
      </c>
      <c r="G967" s="53" t="str">
        <f>IF(ROW()&lt;=Results!$C$1+1,IF(ISERROR(C967-F967),"",C967-F967),"")</f>
        <v/>
      </c>
    </row>
    <row r="968" spans="1:7" x14ac:dyDescent="0.25">
      <c r="A968" s="1" t="str">
        <f ca="1">IF(ROW()&lt;=Results!$C$1+1,INDEX(Data!$A:$A,CEILING((COUNTA(Data!$A:$A)-1)*RAND()+1,1)),"")</f>
        <v/>
      </c>
      <c r="B968" s="1" t="str">
        <f>IF(ROW()&lt;=Results!$C$1+1,VLOOKUP($A968,Data!$A$2:$C$117,2,TRUE),"")</f>
        <v/>
      </c>
      <c r="C968" s="14" t="str">
        <f>IF(ROW()&lt;=Results!$C$1+1,IF(B968&lt;=0,"",LN(B968)),"")</f>
        <v/>
      </c>
      <c r="D968" s="58" t="str">
        <f ca="1">IF(Results!$S$5,A968,IF(ROW()&lt;=Results!$C$1+1,INDEX(Data!$A:$A,CEILING((COUNTA(Data!$A:$A)-1)*RAND()+1,1)),""))</f>
        <v/>
      </c>
      <c r="E968" s="1" t="str">
        <f>IF(ROW()&lt;=Results!$C$1+1,VLOOKUP($D968,Data!$A$2:$C$117,3,TRUE),"")</f>
        <v/>
      </c>
      <c r="F968" s="14" t="str">
        <f>IF(ROW()&lt;=Results!$C$1+1,IF(E968&lt;=0,"",LN(E968)),"")</f>
        <v/>
      </c>
      <c r="G968" s="53" t="str">
        <f>IF(ROW()&lt;=Results!$C$1+1,IF(ISERROR(C968-F968),"",C968-F968),"")</f>
        <v/>
      </c>
    </row>
    <row r="969" spans="1:7" x14ac:dyDescent="0.25">
      <c r="A969" s="1" t="str">
        <f ca="1">IF(ROW()&lt;=Results!$C$1+1,INDEX(Data!$A:$A,CEILING((COUNTA(Data!$A:$A)-1)*RAND()+1,1)),"")</f>
        <v/>
      </c>
      <c r="B969" s="1" t="str">
        <f>IF(ROW()&lt;=Results!$C$1+1,VLOOKUP($A969,Data!$A$2:$C$117,2,TRUE),"")</f>
        <v/>
      </c>
      <c r="C969" s="14" t="str">
        <f>IF(ROW()&lt;=Results!$C$1+1,IF(B969&lt;=0,"",LN(B969)),"")</f>
        <v/>
      </c>
      <c r="D969" s="58" t="str">
        <f ca="1">IF(Results!$S$5,A969,IF(ROW()&lt;=Results!$C$1+1,INDEX(Data!$A:$A,CEILING((COUNTA(Data!$A:$A)-1)*RAND()+1,1)),""))</f>
        <v/>
      </c>
      <c r="E969" s="1" t="str">
        <f>IF(ROW()&lt;=Results!$C$1+1,VLOOKUP($D969,Data!$A$2:$C$117,3,TRUE),"")</f>
        <v/>
      </c>
      <c r="F969" s="14" t="str">
        <f>IF(ROW()&lt;=Results!$C$1+1,IF(E969&lt;=0,"",LN(E969)),"")</f>
        <v/>
      </c>
      <c r="G969" s="53" t="str">
        <f>IF(ROW()&lt;=Results!$C$1+1,IF(ISERROR(C969-F969),"",C969-F969),"")</f>
        <v/>
      </c>
    </row>
    <row r="970" spans="1:7" x14ac:dyDescent="0.25">
      <c r="A970" s="1" t="str">
        <f ca="1">IF(ROW()&lt;=Results!$C$1+1,INDEX(Data!$A:$A,CEILING((COUNTA(Data!$A:$A)-1)*RAND()+1,1)),"")</f>
        <v/>
      </c>
      <c r="B970" s="1" t="str">
        <f>IF(ROW()&lt;=Results!$C$1+1,VLOOKUP($A970,Data!$A$2:$C$117,2,TRUE),"")</f>
        <v/>
      </c>
      <c r="C970" s="14" t="str">
        <f>IF(ROW()&lt;=Results!$C$1+1,IF(B970&lt;=0,"",LN(B970)),"")</f>
        <v/>
      </c>
      <c r="D970" s="58" t="str">
        <f ca="1">IF(Results!$S$5,A970,IF(ROW()&lt;=Results!$C$1+1,INDEX(Data!$A:$A,CEILING((COUNTA(Data!$A:$A)-1)*RAND()+1,1)),""))</f>
        <v/>
      </c>
      <c r="E970" s="1" t="str">
        <f>IF(ROW()&lt;=Results!$C$1+1,VLOOKUP($D970,Data!$A$2:$C$117,3,TRUE),"")</f>
        <v/>
      </c>
      <c r="F970" s="14" t="str">
        <f>IF(ROW()&lt;=Results!$C$1+1,IF(E970&lt;=0,"",LN(E970)),"")</f>
        <v/>
      </c>
      <c r="G970" s="53" t="str">
        <f>IF(ROW()&lt;=Results!$C$1+1,IF(ISERROR(C970-F970),"",C970-F970),"")</f>
        <v/>
      </c>
    </row>
    <row r="971" spans="1:7" x14ac:dyDescent="0.25">
      <c r="A971" s="1" t="str">
        <f ca="1">IF(ROW()&lt;=Results!$C$1+1,INDEX(Data!$A:$A,CEILING((COUNTA(Data!$A:$A)-1)*RAND()+1,1)),"")</f>
        <v/>
      </c>
      <c r="B971" s="1" t="str">
        <f>IF(ROW()&lt;=Results!$C$1+1,VLOOKUP($A971,Data!$A$2:$C$117,2,TRUE),"")</f>
        <v/>
      </c>
      <c r="C971" s="14" t="str">
        <f>IF(ROW()&lt;=Results!$C$1+1,IF(B971&lt;=0,"",LN(B971)),"")</f>
        <v/>
      </c>
      <c r="D971" s="58" t="str">
        <f ca="1">IF(Results!$S$5,A971,IF(ROW()&lt;=Results!$C$1+1,INDEX(Data!$A:$A,CEILING((COUNTA(Data!$A:$A)-1)*RAND()+1,1)),""))</f>
        <v/>
      </c>
      <c r="E971" s="1" t="str">
        <f>IF(ROW()&lt;=Results!$C$1+1,VLOOKUP($D971,Data!$A$2:$C$117,3,TRUE),"")</f>
        <v/>
      </c>
      <c r="F971" s="14" t="str">
        <f>IF(ROW()&lt;=Results!$C$1+1,IF(E971&lt;=0,"",LN(E971)),"")</f>
        <v/>
      </c>
      <c r="G971" s="53" t="str">
        <f>IF(ROW()&lt;=Results!$C$1+1,IF(ISERROR(C971-F971),"",C971-F971),"")</f>
        <v/>
      </c>
    </row>
    <row r="972" spans="1:7" x14ac:dyDescent="0.25">
      <c r="A972" s="1" t="str">
        <f ca="1">IF(ROW()&lt;=Results!$C$1+1,INDEX(Data!$A:$A,CEILING((COUNTA(Data!$A:$A)-1)*RAND()+1,1)),"")</f>
        <v/>
      </c>
      <c r="B972" s="1" t="str">
        <f>IF(ROW()&lt;=Results!$C$1+1,VLOOKUP($A972,Data!$A$2:$C$117,2,TRUE),"")</f>
        <v/>
      </c>
      <c r="C972" s="14" t="str">
        <f>IF(ROW()&lt;=Results!$C$1+1,IF(B972&lt;=0,"",LN(B972)),"")</f>
        <v/>
      </c>
      <c r="D972" s="58" t="str">
        <f ca="1">IF(Results!$S$5,A972,IF(ROW()&lt;=Results!$C$1+1,INDEX(Data!$A:$A,CEILING((COUNTA(Data!$A:$A)-1)*RAND()+1,1)),""))</f>
        <v/>
      </c>
      <c r="E972" s="1" t="str">
        <f>IF(ROW()&lt;=Results!$C$1+1,VLOOKUP($D972,Data!$A$2:$C$117,3,TRUE),"")</f>
        <v/>
      </c>
      <c r="F972" s="14" t="str">
        <f>IF(ROW()&lt;=Results!$C$1+1,IF(E972&lt;=0,"",LN(E972)),"")</f>
        <v/>
      </c>
      <c r="G972" s="53" t="str">
        <f>IF(ROW()&lt;=Results!$C$1+1,IF(ISERROR(C972-F972),"",C972-F972),"")</f>
        <v/>
      </c>
    </row>
    <row r="973" spans="1:7" x14ac:dyDescent="0.25">
      <c r="A973" s="1" t="str">
        <f ca="1">IF(ROW()&lt;=Results!$C$1+1,INDEX(Data!$A:$A,CEILING((COUNTA(Data!$A:$A)-1)*RAND()+1,1)),"")</f>
        <v/>
      </c>
      <c r="B973" s="1" t="str">
        <f>IF(ROW()&lt;=Results!$C$1+1,VLOOKUP($A973,Data!$A$2:$C$117,2,TRUE),"")</f>
        <v/>
      </c>
      <c r="C973" s="14" t="str">
        <f>IF(ROW()&lt;=Results!$C$1+1,IF(B973&lt;=0,"",LN(B973)),"")</f>
        <v/>
      </c>
      <c r="D973" s="58" t="str">
        <f ca="1">IF(Results!$S$5,A973,IF(ROW()&lt;=Results!$C$1+1,INDEX(Data!$A:$A,CEILING((COUNTA(Data!$A:$A)-1)*RAND()+1,1)),""))</f>
        <v/>
      </c>
      <c r="E973" s="1" t="str">
        <f>IF(ROW()&lt;=Results!$C$1+1,VLOOKUP($D973,Data!$A$2:$C$117,3,TRUE),"")</f>
        <v/>
      </c>
      <c r="F973" s="14" t="str">
        <f>IF(ROW()&lt;=Results!$C$1+1,IF(E973&lt;=0,"",LN(E973)),"")</f>
        <v/>
      </c>
      <c r="G973" s="53" t="str">
        <f>IF(ROW()&lt;=Results!$C$1+1,IF(ISERROR(C973-F973),"",C973-F973),"")</f>
        <v/>
      </c>
    </row>
    <row r="974" spans="1:7" x14ac:dyDescent="0.25">
      <c r="A974" s="1" t="str">
        <f ca="1">IF(ROW()&lt;=Results!$C$1+1,INDEX(Data!$A:$A,CEILING((COUNTA(Data!$A:$A)-1)*RAND()+1,1)),"")</f>
        <v/>
      </c>
      <c r="B974" s="1" t="str">
        <f>IF(ROW()&lt;=Results!$C$1+1,VLOOKUP($A974,Data!$A$2:$C$117,2,TRUE),"")</f>
        <v/>
      </c>
      <c r="C974" s="14" t="str">
        <f>IF(ROW()&lt;=Results!$C$1+1,IF(B974&lt;=0,"",LN(B974)),"")</f>
        <v/>
      </c>
      <c r="D974" s="58" t="str">
        <f ca="1">IF(Results!$S$5,A974,IF(ROW()&lt;=Results!$C$1+1,INDEX(Data!$A:$A,CEILING((COUNTA(Data!$A:$A)-1)*RAND()+1,1)),""))</f>
        <v/>
      </c>
      <c r="E974" s="1" t="str">
        <f>IF(ROW()&lt;=Results!$C$1+1,VLOOKUP($D974,Data!$A$2:$C$117,3,TRUE),"")</f>
        <v/>
      </c>
      <c r="F974" s="14" t="str">
        <f>IF(ROW()&lt;=Results!$C$1+1,IF(E974&lt;=0,"",LN(E974)),"")</f>
        <v/>
      </c>
      <c r="G974" s="53" t="str">
        <f>IF(ROW()&lt;=Results!$C$1+1,IF(ISERROR(C974-F974),"",C974-F974),"")</f>
        <v/>
      </c>
    </row>
    <row r="975" spans="1:7" x14ac:dyDescent="0.25">
      <c r="A975" s="1" t="str">
        <f ca="1">IF(ROW()&lt;=Results!$C$1+1,INDEX(Data!$A:$A,CEILING((COUNTA(Data!$A:$A)-1)*RAND()+1,1)),"")</f>
        <v/>
      </c>
      <c r="B975" s="1" t="str">
        <f>IF(ROW()&lt;=Results!$C$1+1,VLOOKUP($A975,Data!$A$2:$C$117,2,TRUE),"")</f>
        <v/>
      </c>
      <c r="C975" s="14" t="str">
        <f>IF(ROW()&lt;=Results!$C$1+1,IF(B975&lt;=0,"",LN(B975)),"")</f>
        <v/>
      </c>
      <c r="D975" s="58" t="str">
        <f ca="1">IF(Results!$S$5,A975,IF(ROW()&lt;=Results!$C$1+1,INDEX(Data!$A:$A,CEILING((COUNTA(Data!$A:$A)-1)*RAND()+1,1)),""))</f>
        <v/>
      </c>
      <c r="E975" s="1" t="str">
        <f>IF(ROW()&lt;=Results!$C$1+1,VLOOKUP($D975,Data!$A$2:$C$117,3,TRUE),"")</f>
        <v/>
      </c>
      <c r="F975" s="14" t="str">
        <f>IF(ROW()&lt;=Results!$C$1+1,IF(E975&lt;=0,"",LN(E975)),"")</f>
        <v/>
      </c>
      <c r="G975" s="53" t="str">
        <f>IF(ROW()&lt;=Results!$C$1+1,IF(ISERROR(C975-F975),"",C975-F975),"")</f>
        <v/>
      </c>
    </row>
    <row r="976" spans="1:7" x14ac:dyDescent="0.25">
      <c r="A976" s="1" t="str">
        <f ca="1">IF(ROW()&lt;=Results!$C$1+1,INDEX(Data!$A:$A,CEILING((COUNTA(Data!$A:$A)-1)*RAND()+1,1)),"")</f>
        <v/>
      </c>
      <c r="B976" s="1" t="str">
        <f>IF(ROW()&lt;=Results!$C$1+1,VLOOKUP($A976,Data!$A$2:$C$117,2,TRUE),"")</f>
        <v/>
      </c>
      <c r="C976" s="14" t="str">
        <f>IF(ROW()&lt;=Results!$C$1+1,IF(B976&lt;=0,"",LN(B976)),"")</f>
        <v/>
      </c>
      <c r="D976" s="58" t="str">
        <f ca="1">IF(Results!$S$5,A976,IF(ROW()&lt;=Results!$C$1+1,INDEX(Data!$A:$A,CEILING((COUNTA(Data!$A:$A)-1)*RAND()+1,1)),""))</f>
        <v/>
      </c>
      <c r="E976" s="1" t="str">
        <f>IF(ROW()&lt;=Results!$C$1+1,VLOOKUP($D976,Data!$A$2:$C$117,3,TRUE),"")</f>
        <v/>
      </c>
      <c r="F976" s="14" t="str">
        <f>IF(ROW()&lt;=Results!$C$1+1,IF(E976&lt;=0,"",LN(E976)),"")</f>
        <v/>
      </c>
      <c r="G976" s="53" t="str">
        <f>IF(ROW()&lt;=Results!$C$1+1,IF(ISERROR(C976-F976),"",C976-F976),"")</f>
        <v/>
      </c>
    </row>
    <row r="977" spans="1:7" x14ac:dyDescent="0.25">
      <c r="A977" s="1" t="str">
        <f ca="1">IF(ROW()&lt;=Results!$C$1+1,INDEX(Data!$A:$A,CEILING((COUNTA(Data!$A:$A)-1)*RAND()+1,1)),"")</f>
        <v/>
      </c>
      <c r="B977" s="1" t="str">
        <f>IF(ROW()&lt;=Results!$C$1+1,VLOOKUP($A977,Data!$A$2:$C$117,2,TRUE),"")</f>
        <v/>
      </c>
      <c r="C977" s="14" t="str">
        <f>IF(ROW()&lt;=Results!$C$1+1,IF(B977&lt;=0,"",LN(B977)),"")</f>
        <v/>
      </c>
      <c r="D977" s="58" t="str">
        <f ca="1">IF(Results!$S$5,A977,IF(ROW()&lt;=Results!$C$1+1,INDEX(Data!$A:$A,CEILING((COUNTA(Data!$A:$A)-1)*RAND()+1,1)),""))</f>
        <v/>
      </c>
      <c r="E977" s="1" t="str">
        <f>IF(ROW()&lt;=Results!$C$1+1,VLOOKUP($D977,Data!$A$2:$C$117,3,TRUE),"")</f>
        <v/>
      </c>
      <c r="F977" s="14" t="str">
        <f>IF(ROW()&lt;=Results!$C$1+1,IF(E977&lt;=0,"",LN(E977)),"")</f>
        <v/>
      </c>
      <c r="G977" s="53" t="str">
        <f>IF(ROW()&lt;=Results!$C$1+1,IF(ISERROR(C977-F977),"",C977-F977),"")</f>
        <v/>
      </c>
    </row>
    <row r="978" spans="1:7" x14ac:dyDescent="0.25">
      <c r="A978" s="1" t="str">
        <f ca="1">IF(ROW()&lt;=Results!$C$1+1,INDEX(Data!$A:$A,CEILING((COUNTA(Data!$A:$A)-1)*RAND()+1,1)),"")</f>
        <v/>
      </c>
      <c r="B978" s="1" t="str">
        <f>IF(ROW()&lt;=Results!$C$1+1,VLOOKUP($A978,Data!$A$2:$C$117,2,TRUE),"")</f>
        <v/>
      </c>
      <c r="C978" s="14" t="str">
        <f>IF(ROW()&lt;=Results!$C$1+1,IF(B978&lt;=0,"",LN(B978)),"")</f>
        <v/>
      </c>
      <c r="D978" s="58" t="str">
        <f ca="1">IF(Results!$S$5,A978,IF(ROW()&lt;=Results!$C$1+1,INDEX(Data!$A:$A,CEILING((COUNTA(Data!$A:$A)-1)*RAND()+1,1)),""))</f>
        <v/>
      </c>
      <c r="E978" s="1" t="str">
        <f>IF(ROW()&lt;=Results!$C$1+1,VLOOKUP($D978,Data!$A$2:$C$117,3,TRUE),"")</f>
        <v/>
      </c>
      <c r="F978" s="14" t="str">
        <f>IF(ROW()&lt;=Results!$C$1+1,IF(E978&lt;=0,"",LN(E978)),"")</f>
        <v/>
      </c>
      <c r="G978" s="53" t="str">
        <f>IF(ROW()&lt;=Results!$C$1+1,IF(ISERROR(C978-F978),"",C978-F978),"")</f>
        <v/>
      </c>
    </row>
    <row r="979" spans="1:7" x14ac:dyDescent="0.25">
      <c r="A979" s="1" t="str">
        <f ca="1">IF(ROW()&lt;=Results!$C$1+1,INDEX(Data!$A:$A,CEILING((COUNTA(Data!$A:$A)-1)*RAND()+1,1)),"")</f>
        <v/>
      </c>
      <c r="B979" s="1" t="str">
        <f>IF(ROW()&lt;=Results!$C$1+1,VLOOKUP($A979,Data!$A$2:$C$117,2,TRUE),"")</f>
        <v/>
      </c>
      <c r="C979" s="14" t="str">
        <f>IF(ROW()&lt;=Results!$C$1+1,IF(B979&lt;=0,"",LN(B979)),"")</f>
        <v/>
      </c>
      <c r="D979" s="58" t="str">
        <f ca="1">IF(Results!$S$5,A979,IF(ROW()&lt;=Results!$C$1+1,INDEX(Data!$A:$A,CEILING((COUNTA(Data!$A:$A)-1)*RAND()+1,1)),""))</f>
        <v/>
      </c>
      <c r="E979" s="1" t="str">
        <f>IF(ROW()&lt;=Results!$C$1+1,VLOOKUP($D979,Data!$A$2:$C$117,3,TRUE),"")</f>
        <v/>
      </c>
      <c r="F979" s="14" t="str">
        <f>IF(ROW()&lt;=Results!$C$1+1,IF(E979&lt;=0,"",LN(E979)),"")</f>
        <v/>
      </c>
      <c r="G979" s="53" t="str">
        <f>IF(ROW()&lt;=Results!$C$1+1,IF(ISERROR(C979-F979),"",C979-F979),"")</f>
        <v/>
      </c>
    </row>
    <row r="980" spans="1:7" x14ac:dyDescent="0.25">
      <c r="A980" s="1" t="str">
        <f ca="1">IF(ROW()&lt;=Results!$C$1+1,INDEX(Data!$A:$A,CEILING((COUNTA(Data!$A:$A)-1)*RAND()+1,1)),"")</f>
        <v/>
      </c>
      <c r="B980" s="1" t="str">
        <f>IF(ROW()&lt;=Results!$C$1+1,VLOOKUP($A980,Data!$A$2:$C$117,2,TRUE),"")</f>
        <v/>
      </c>
      <c r="C980" s="14" t="str">
        <f>IF(ROW()&lt;=Results!$C$1+1,IF(B980&lt;=0,"",LN(B980)),"")</f>
        <v/>
      </c>
      <c r="D980" s="58" t="str">
        <f ca="1">IF(Results!$S$5,A980,IF(ROW()&lt;=Results!$C$1+1,INDEX(Data!$A:$A,CEILING((COUNTA(Data!$A:$A)-1)*RAND()+1,1)),""))</f>
        <v/>
      </c>
      <c r="E980" s="1" t="str">
        <f>IF(ROW()&lt;=Results!$C$1+1,VLOOKUP($D980,Data!$A$2:$C$117,3,TRUE),"")</f>
        <v/>
      </c>
      <c r="F980" s="14" t="str">
        <f>IF(ROW()&lt;=Results!$C$1+1,IF(E980&lt;=0,"",LN(E980)),"")</f>
        <v/>
      </c>
      <c r="G980" s="53" t="str">
        <f>IF(ROW()&lt;=Results!$C$1+1,IF(ISERROR(C980-F980),"",C980-F980),"")</f>
        <v/>
      </c>
    </row>
    <row r="981" spans="1:7" x14ac:dyDescent="0.25">
      <c r="A981" s="1" t="str">
        <f ca="1">IF(ROW()&lt;=Results!$C$1+1,INDEX(Data!$A:$A,CEILING((COUNTA(Data!$A:$A)-1)*RAND()+1,1)),"")</f>
        <v/>
      </c>
      <c r="B981" s="1" t="str">
        <f>IF(ROW()&lt;=Results!$C$1+1,VLOOKUP($A981,Data!$A$2:$C$117,2,TRUE),"")</f>
        <v/>
      </c>
      <c r="C981" s="14" t="str">
        <f>IF(ROW()&lt;=Results!$C$1+1,IF(B981&lt;=0,"",LN(B981)),"")</f>
        <v/>
      </c>
      <c r="D981" s="58" t="str">
        <f ca="1">IF(Results!$S$5,A981,IF(ROW()&lt;=Results!$C$1+1,INDEX(Data!$A:$A,CEILING((COUNTA(Data!$A:$A)-1)*RAND()+1,1)),""))</f>
        <v/>
      </c>
      <c r="E981" s="1" t="str">
        <f>IF(ROW()&lt;=Results!$C$1+1,VLOOKUP($D981,Data!$A$2:$C$117,3,TRUE),"")</f>
        <v/>
      </c>
      <c r="F981" s="14" t="str">
        <f>IF(ROW()&lt;=Results!$C$1+1,IF(E981&lt;=0,"",LN(E981)),"")</f>
        <v/>
      </c>
      <c r="G981" s="53" t="str">
        <f>IF(ROW()&lt;=Results!$C$1+1,IF(ISERROR(C981-F981),"",C981-F981),"")</f>
        <v/>
      </c>
    </row>
    <row r="982" spans="1:7" x14ac:dyDescent="0.25">
      <c r="A982" s="1" t="str">
        <f ca="1">IF(ROW()&lt;=Results!$C$1+1,INDEX(Data!$A:$A,CEILING((COUNTA(Data!$A:$A)-1)*RAND()+1,1)),"")</f>
        <v/>
      </c>
      <c r="B982" s="1" t="str">
        <f>IF(ROW()&lt;=Results!$C$1+1,VLOOKUP($A982,Data!$A$2:$C$117,2,TRUE),"")</f>
        <v/>
      </c>
      <c r="C982" s="14" t="str">
        <f>IF(ROW()&lt;=Results!$C$1+1,IF(B982&lt;=0,"",LN(B982)),"")</f>
        <v/>
      </c>
      <c r="D982" s="58" t="str">
        <f ca="1">IF(Results!$S$5,A982,IF(ROW()&lt;=Results!$C$1+1,INDEX(Data!$A:$A,CEILING((COUNTA(Data!$A:$A)-1)*RAND()+1,1)),""))</f>
        <v/>
      </c>
      <c r="E982" s="1" t="str">
        <f>IF(ROW()&lt;=Results!$C$1+1,VLOOKUP($D982,Data!$A$2:$C$117,3,TRUE),"")</f>
        <v/>
      </c>
      <c r="F982" s="14" t="str">
        <f>IF(ROW()&lt;=Results!$C$1+1,IF(E982&lt;=0,"",LN(E982)),"")</f>
        <v/>
      </c>
      <c r="G982" s="53" t="str">
        <f>IF(ROW()&lt;=Results!$C$1+1,IF(ISERROR(C982-F982),"",C982-F982),"")</f>
        <v/>
      </c>
    </row>
    <row r="983" spans="1:7" x14ac:dyDescent="0.25">
      <c r="A983" s="1" t="str">
        <f ca="1">IF(ROW()&lt;=Results!$C$1+1,INDEX(Data!$A:$A,CEILING((COUNTA(Data!$A:$A)-1)*RAND()+1,1)),"")</f>
        <v/>
      </c>
      <c r="B983" s="1" t="str">
        <f>IF(ROW()&lt;=Results!$C$1+1,VLOOKUP($A983,Data!$A$2:$C$117,2,TRUE),"")</f>
        <v/>
      </c>
      <c r="C983" s="14" t="str">
        <f>IF(ROW()&lt;=Results!$C$1+1,IF(B983&lt;=0,"",LN(B983)),"")</f>
        <v/>
      </c>
      <c r="D983" s="58" t="str">
        <f ca="1">IF(Results!$S$5,A983,IF(ROW()&lt;=Results!$C$1+1,INDEX(Data!$A:$A,CEILING((COUNTA(Data!$A:$A)-1)*RAND()+1,1)),""))</f>
        <v/>
      </c>
      <c r="E983" s="1" t="str">
        <f>IF(ROW()&lt;=Results!$C$1+1,VLOOKUP($D983,Data!$A$2:$C$117,3,TRUE),"")</f>
        <v/>
      </c>
      <c r="F983" s="14" t="str">
        <f>IF(ROW()&lt;=Results!$C$1+1,IF(E983&lt;=0,"",LN(E983)),"")</f>
        <v/>
      </c>
      <c r="G983" s="53" t="str">
        <f>IF(ROW()&lt;=Results!$C$1+1,IF(ISERROR(C983-F983),"",C983-F983),"")</f>
        <v/>
      </c>
    </row>
    <row r="984" spans="1:7" x14ac:dyDescent="0.25">
      <c r="A984" s="1" t="str">
        <f ca="1">IF(ROW()&lt;=Results!$C$1+1,INDEX(Data!$A:$A,CEILING((COUNTA(Data!$A:$A)-1)*RAND()+1,1)),"")</f>
        <v/>
      </c>
      <c r="B984" s="1" t="str">
        <f>IF(ROW()&lt;=Results!$C$1+1,VLOOKUP($A984,Data!$A$2:$C$117,2,TRUE),"")</f>
        <v/>
      </c>
      <c r="C984" s="14" t="str">
        <f>IF(ROW()&lt;=Results!$C$1+1,IF(B984&lt;=0,"",LN(B984)),"")</f>
        <v/>
      </c>
      <c r="D984" s="58" t="str">
        <f ca="1">IF(Results!$S$5,A984,IF(ROW()&lt;=Results!$C$1+1,INDEX(Data!$A:$A,CEILING((COUNTA(Data!$A:$A)-1)*RAND()+1,1)),""))</f>
        <v/>
      </c>
      <c r="E984" s="1" t="str">
        <f>IF(ROW()&lt;=Results!$C$1+1,VLOOKUP($D984,Data!$A$2:$C$117,3,TRUE),"")</f>
        <v/>
      </c>
      <c r="F984" s="14" t="str">
        <f>IF(ROW()&lt;=Results!$C$1+1,IF(E984&lt;=0,"",LN(E984)),"")</f>
        <v/>
      </c>
      <c r="G984" s="53" t="str">
        <f>IF(ROW()&lt;=Results!$C$1+1,IF(ISERROR(C984-F984),"",C984-F984),"")</f>
        <v/>
      </c>
    </row>
    <row r="985" spans="1:7" x14ac:dyDescent="0.25">
      <c r="A985" s="1" t="str">
        <f ca="1">IF(ROW()&lt;=Results!$C$1+1,INDEX(Data!$A:$A,CEILING((COUNTA(Data!$A:$A)-1)*RAND()+1,1)),"")</f>
        <v/>
      </c>
      <c r="B985" s="1" t="str">
        <f>IF(ROW()&lt;=Results!$C$1+1,VLOOKUP($A985,Data!$A$2:$C$117,2,TRUE),"")</f>
        <v/>
      </c>
      <c r="C985" s="14" t="str">
        <f>IF(ROW()&lt;=Results!$C$1+1,IF(B985&lt;=0,"",LN(B985)),"")</f>
        <v/>
      </c>
      <c r="D985" s="58" t="str">
        <f ca="1">IF(Results!$S$5,A985,IF(ROW()&lt;=Results!$C$1+1,INDEX(Data!$A:$A,CEILING((COUNTA(Data!$A:$A)-1)*RAND()+1,1)),""))</f>
        <v/>
      </c>
      <c r="E985" s="1" t="str">
        <f>IF(ROW()&lt;=Results!$C$1+1,VLOOKUP($D985,Data!$A$2:$C$117,3,TRUE),"")</f>
        <v/>
      </c>
      <c r="F985" s="14" t="str">
        <f>IF(ROW()&lt;=Results!$C$1+1,IF(E985&lt;=0,"",LN(E985)),"")</f>
        <v/>
      </c>
      <c r="G985" s="53" t="str">
        <f>IF(ROW()&lt;=Results!$C$1+1,IF(ISERROR(C985-F985),"",C985-F985),"")</f>
        <v/>
      </c>
    </row>
    <row r="986" spans="1:7" x14ac:dyDescent="0.25">
      <c r="A986" s="1" t="str">
        <f ca="1">IF(ROW()&lt;=Results!$C$1+1,INDEX(Data!$A:$A,CEILING((COUNTA(Data!$A:$A)-1)*RAND()+1,1)),"")</f>
        <v/>
      </c>
      <c r="B986" s="1" t="str">
        <f>IF(ROW()&lt;=Results!$C$1+1,VLOOKUP($A986,Data!$A$2:$C$117,2,TRUE),"")</f>
        <v/>
      </c>
      <c r="C986" s="14" t="str">
        <f>IF(ROW()&lt;=Results!$C$1+1,IF(B986&lt;=0,"",LN(B986)),"")</f>
        <v/>
      </c>
      <c r="D986" s="58" t="str">
        <f ca="1">IF(Results!$S$5,A986,IF(ROW()&lt;=Results!$C$1+1,INDEX(Data!$A:$A,CEILING((COUNTA(Data!$A:$A)-1)*RAND()+1,1)),""))</f>
        <v/>
      </c>
      <c r="E986" s="1" t="str">
        <f>IF(ROW()&lt;=Results!$C$1+1,VLOOKUP($D986,Data!$A$2:$C$117,3,TRUE),"")</f>
        <v/>
      </c>
      <c r="F986" s="14" t="str">
        <f>IF(ROW()&lt;=Results!$C$1+1,IF(E986&lt;=0,"",LN(E986)),"")</f>
        <v/>
      </c>
      <c r="G986" s="53" t="str">
        <f>IF(ROW()&lt;=Results!$C$1+1,IF(ISERROR(C986-F986),"",C986-F986),"")</f>
        <v/>
      </c>
    </row>
    <row r="987" spans="1:7" x14ac:dyDescent="0.25">
      <c r="A987" s="1" t="str">
        <f ca="1">IF(ROW()&lt;=Results!$C$1+1,INDEX(Data!$A:$A,CEILING((COUNTA(Data!$A:$A)-1)*RAND()+1,1)),"")</f>
        <v/>
      </c>
      <c r="B987" s="1" t="str">
        <f>IF(ROW()&lt;=Results!$C$1+1,VLOOKUP($A987,Data!$A$2:$C$117,2,TRUE),"")</f>
        <v/>
      </c>
      <c r="C987" s="14" t="str">
        <f>IF(ROW()&lt;=Results!$C$1+1,IF(B987&lt;=0,"",LN(B987)),"")</f>
        <v/>
      </c>
      <c r="D987" s="58" t="str">
        <f ca="1">IF(Results!$S$5,A987,IF(ROW()&lt;=Results!$C$1+1,INDEX(Data!$A:$A,CEILING((COUNTA(Data!$A:$A)-1)*RAND()+1,1)),""))</f>
        <v/>
      </c>
      <c r="E987" s="1" t="str">
        <f>IF(ROW()&lt;=Results!$C$1+1,VLOOKUP($D987,Data!$A$2:$C$117,3,TRUE),"")</f>
        <v/>
      </c>
      <c r="F987" s="14" t="str">
        <f>IF(ROW()&lt;=Results!$C$1+1,IF(E987&lt;=0,"",LN(E987)),"")</f>
        <v/>
      </c>
      <c r="G987" s="53" t="str">
        <f>IF(ROW()&lt;=Results!$C$1+1,IF(ISERROR(C987-F987),"",C987-F987),"")</f>
        <v/>
      </c>
    </row>
    <row r="988" spans="1:7" x14ac:dyDescent="0.25">
      <c r="A988" s="1" t="str">
        <f ca="1">IF(ROW()&lt;=Results!$C$1+1,INDEX(Data!$A:$A,CEILING((COUNTA(Data!$A:$A)-1)*RAND()+1,1)),"")</f>
        <v/>
      </c>
      <c r="B988" s="1" t="str">
        <f>IF(ROW()&lt;=Results!$C$1+1,VLOOKUP($A988,Data!$A$2:$C$117,2,TRUE),"")</f>
        <v/>
      </c>
      <c r="C988" s="14" t="str">
        <f>IF(ROW()&lt;=Results!$C$1+1,IF(B988&lt;=0,"",LN(B988)),"")</f>
        <v/>
      </c>
      <c r="D988" s="58" t="str">
        <f ca="1">IF(Results!$S$5,A988,IF(ROW()&lt;=Results!$C$1+1,INDEX(Data!$A:$A,CEILING((COUNTA(Data!$A:$A)-1)*RAND()+1,1)),""))</f>
        <v/>
      </c>
      <c r="E988" s="1" t="str">
        <f>IF(ROW()&lt;=Results!$C$1+1,VLOOKUP($D988,Data!$A$2:$C$117,3,TRUE),"")</f>
        <v/>
      </c>
      <c r="F988" s="14" t="str">
        <f>IF(ROW()&lt;=Results!$C$1+1,IF(E988&lt;=0,"",LN(E988)),"")</f>
        <v/>
      </c>
      <c r="G988" s="53" t="str">
        <f>IF(ROW()&lt;=Results!$C$1+1,IF(ISERROR(C988-F988),"",C988-F988),"")</f>
        <v/>
      </c>
    </row>
    <row r="989" spans="1:7" x14ac:dyDescent="0.25">
      <c r="A989" s="1" t="str">
        <f ca="1">IF(ROW()&lt;=Results!$C$1+1,INDEX(Data!$A:$A,CEILING((COUNTA(Data!$A:$A)-1)*RAND()+1,1)),"")</f>
        <v/>
      </c>
      <c r="B989" s="1" t="str">
        <f>IF(ROW()&lt;=Results!$C$1+1,VLOOKUP($A989,Data!$A$2:$C$117,2,TRUE),"")</f>
        <v/>
      </c>
      <c r="C989" s="14" t="str">
        <f>IF(ROW()&lt;=Results!$C$1+1,IF(B989&lt;=0,"",LN(B989)),"")</f>
        <v/>
      </c>
      <c r="D989" s="58" t="str">
        <f ca="1">IF(Results!$S$5,A989,IF(ROW()&lt;=Results!$C$1+1,INDEX(Data!$A:$A,CEILING((COUNTA(Data!$A:$A)-1)*RAND()+1,1)),""))</f>
        <v/>
      </c>
      <c r="E989" s="1" t="str">
        <f>IF(ROW()&lt;=Results!$C$1+1,VLOOKUP($D989,Data!$A$2:$C$117,3,TRUE),"")</f>
        <v/>
      </c>
      <c r="F989" s="14" t="str">
        <f>IF(ROW()&lt;=Results!$C$1+1,IF(E989&lt;=0,"",LN(E989)),"")</f>
        <v/>
      </c>
      <c r="G989" s="53" t="str">
        <f>IF(ROW()&lt;=Results!$C$1+1,IF(ISERROR(C989-F989),"",C989-F989),"")</f>
        <v/>
      </c>
    </row>
    <row r="990" spans="1:7" x14ac:dyDescent="0.25">
      <c r="A990" s="1" t="str">
        <f ca="1">IF(ROW()&lt;=Results!$C$1+1,INDEX(Data!$A:$A,CEILING((COUNTA(Data!$A:$A)-1)*RAND()+1,1)),"")</f>
        <v/>
      </c>
      <c r="B990" s="1" t="str">
        <f>IF(ROW()&lt;=Results!$C$1+1,VLOOKUP($A990,Data!$A$2:$C$117,2,TRUE),"")</f>
        <v/>
      </c>
      <c r="C990" s="14" t="str">
        <f>IF(ROW()&lt;=Results!$C$1+1,IF(B990&lt;=0,"",LN(B990)),"")</f>
        <v/>
      </c>
      <c r="D990" s="58" t="str">
        <f ca="1">IF(Results!$S$5,A990,IF(ROW()&lt;=Results!$C$1+1,INDEX(Data!$A:$A,CEILING((COUNTA(Data!$A:$A)-1)*RAND()+1,1)),""))</f>
        <v/>
      </c>
      <c r="E990" s="1" t="str">
        <f>IF(ROW()&lt;=Results!$C$1+1,VLOOKUP($D990,Data!$A$2:$C$117,3,TRUE),"")</f>
        <v/>
      </c>
      <c r="F990" s="14" t="str">
        <f>IF(ROW()&lt;=Results!$C$1+1,IF(E990&lt;=0,"",LN(E990)),"")</f>
        <v/>
      </c>
      <c r="G990" s="53" t="str">
        <f>IF(ROW()&lt;=Results!$C$1+1,IF(ISERROR(C990-F990),"",C990-F990),"")</f>
        <v/>
      </c>
    </row>
    <row r="991" spans="1:7" x14ac:dyDescent="0.25">
      <c r="A991" s="1" t="str">
        <f ca="1">IF(ROW()&lt;=Results!$C$1+1,INDEX(Data!$A:$A,CEILING((COUNTA(Data!$A:$A)-1)*RAND()+1,1)),"")</f>
        <v/>
      </c>
      <c r="B991" s="1" t="str">
        <f>IF(ROW()&lt;=Results!$C$1+1,VLOOKUP($A991,Data!$A$2:$C$117,2,TRUE),"")</f>
        <v/>
      </c>
      <c r="C991" s="14" t="str">
        <f>IF(ROW()&lt;=Results!$C$1+1,IF(B991&lt;=0,"",LN(B991)),"")</f>
        <v/>
      </c>
      <c r="D991" s="58" t="str">
        <f ca="1">IF(Results!$S$5,A991,IF(ROW()&lt;=Results!$C$1+1,INDEX(Data!$A:$A,CEILING((COUNTA(Data!$A:$A)-1)*RAND()+1,1)),""))</f>
        <v/>
      </c>
      <c r="E991" s="1" t="str">
        <f>IF(ROW()&lt;=Results!$C$1+1,VLOOKUP($D991,Data!$A$2:$C$117,3,TRUE),"")</f>
        <v/>
      </c>
      <c r="F991" s="14" t="str">
        <f>IF(ROW()&lt;=Results!$C$1+1,IF(E991&lt;=0,"",LN(E991)),"")</f>
        <v/>
      </c>
      <c r="G991" s="53" t="str">
        <f>IF(ROW()&lt;=Results!$C$1+1,IF(ISERROR(C991-F991),"",C991-F991),"")</f>
        <v/>
      </c>
    </row>
    <row r="992" spans="1:7" x14ac:dyDescent="0.25">
      <c r="A992" s="1" t="str">
        <f ca="1">IF(ROW()&lt;=Results!$C$1+1,INDEX(Data!$A:$A,CEILING((COUNTA(Data!$A:$A)-1)*RAND()+1,1)),"")</f>
        <v/>
      </c>
      <c r="B992" s="1" t="str">
        <f>IF(ROW()&lt;=Results!$C$1+1,VLOOKUP($A992,Data!$A$2:$C$117,2,TRUE),"")</f>
        <v/>
      </c>
      <c r="C992" s="14" t="str">
        <f>IF(ROW()&lt;=Results!$C$1+1,IF(B992&lt;=0,"",LN(B992)),"")</f>
        <v/>
      </c>
      <c r="D992" s="58" t="str">
        <f ca="1">IF(Results!$S$5,A992,IF(ROW()&lt;=Results!$C$1+1,INDEX(Data!$A:$A,CEILING((COUNTA(Data!$A:$A)-1)*RAND()+1,1)),""))</f>
        <v/>
      </c>
      <c r="E992" s="1" t="str">
        <f>IF(ROW()&lt;=Results!$C$1+1,VLOOKUP($D992,Data!$A$2:$C$117,3,TRUE),"")</f>
        <v/>
      </c>
      <c r="F992" s="14" t="str">
        <f>IF(ROW()&lt;=Results!$C$1+1,IF(E992&lt;=0,"",LN(E992)),"")</f>
        <v/>
      </c>
      <c r="G992" s="53" t="str">
        <f>IF(ROW()&lt;=Results!$C$1+1,IF(ISERROR(C992-F992),"",C992-F992),"")</f>
        <v/>
      </c>
    </row>
    <row r="993" spans="1:7" x14ac:dyDescent="0.25">
      <c r="A993" s="1" t="str">
        <f ca="1">IF(ROW()&lt;=Results!$C$1+1,INDEX(Data!$A:$A,CEILING((COUNTA(Data!$A:$A)-1)*RAND()+1,1)),"")</f>
        <v/>
      </c>
      <c r="B993" s="1" t="str">
        <f>IF(ROW()&lt;=Results!$C$1+1,VLOOKUP($A993,Data!$A$2:$C$117,2,TRUE),"")</f>
        <v/>
      </c>
      <c r="C993" s="14" t="str">
        <f>IF(ROW()&lt;=Results!$C$1+1,IF(B993&lt;=0,"",LN(B993)),"")</f>
        <v/>
      </c>
      <c r="D993" s="58" t="str">
        <f ca="1">IF(Results!$S$5,A993,IF(ROW()&lt;=Results!$C$1+1,INDEX(Data!$A:$A,CEILING((COUNTA(Data!$A:$A)-1)*RAND()+1,1)),""))</f>
        <v/>
      </c>
      <c r="E993" s="1" t="str">
        <f>IF(ROW()&lt;=Results!$C$1+1,VLOOKUP($D993,Data!$A$2:$C$117,3,TRUE),"")</f>
        <v/>
      </c>
      <c r="F993" s="14" t="str">
        <f>IF(ROW()&lt;=Results!$C$1+1,IF(E993&lt;=0,"",LN(E993)),"")</f>
        <v/>
      </c>
      <c r="G993" s="53" t="str">
        <f>IF(ROW()&lt;=Results!$C$1+1,IF(ISERROR(C993-F993),"",C993-F993),"")</f>
        <v/>
      </c>
    </row>
    <row r="994" spans="1:7" x14ac:dyDescent="0.25">
      <c r="A994" s="1" t="str">
        <f ca="1">IF(ROW()&lt;=Results!$C$1+1,INDEX(Data!$A:$A,CEILING((COUNTA(Data!$A:$A)-1)*RAND()+1,1)),"")</f>
        <v/>
      </c>
      <c r="B994" s="1" t="str">
        <f>IF(ROW()&lt;=Results!$C$1+1,VLOOKUP($A994,Data!$A$2:$C$117,2,TRUE),"")</f>
        <v/>
      </c>
      <c r="C994" s="14" t="str">
        <f>IF(ROW()&lt;=Results!$C$1+1,IF(B994&lt;=0,"",LN(B994)),"")</f>
        <v/>
      </c>
      <c r="D994" s="58" t="str">
        <f ca="1">IF(Results!$S$5,A994,IF(ROW()&lt;=Results!$C$1+1,INDEX(Data!$A:$A,CEILING((COUNTA(Data!$A:$A)-1)*RAND()+1,1)),""))</f>
        <v/>
      </c>
      <c r="E994" s="1" t="str">
        <f>IF(ROW()&lt;=Results!$C$1+1,VLOOKUP($D994,Data!$A$2:$C$117,3,TRUE),"")</f>
        <v/>
      </c>
      <c r="F994" s="14" t="str">
        <f>IF(ROW()&lt;=Results!$C$1+1,IF(E994&lt;=0,"",LN(E994)),"")</f>
        <v/>
      </c>
      <c r="G994" s="53" t="str">
        <f>IF(ROW()&lt;=Results!$C$1+1,IF(ISERROR(C994-F994),"",C994-F994),"")</f>
        <v/>
      </c>
    </row>
    <row r="995" spans="1:7" x14ac:dyDescent="0.25">
      <c r="A995" s="1" t="str">
        <f ca="1">IF(ROW()&lt;=Results!$C$1+1,INDEX(Data!$A:$A,CEILING((COUNTA(Data!$A:$A)-1)*RAND()+1,1)),"")</f>
        <v/>
      </c>
      <c r="B995" s="1" t="str">
        <f>IF(ROW()&lt;=Results!$C$1+1,VLOOKUP($A995,Data!$A$2:$C$117,2,TRUE),"")</f>
        <v/>
      </c>
      <c r="C995" s="14" t="str">
        <f>IF(ROW()&lt;=Results!$C$1+1,IF(B995&lt;=0,"",LN(B995)),"")</f>
        <v/>
      </c>
      <c r="D995" s="58" t="str">
        <f ca="1">IF(Results!$S$5,A995,IF(ROW()&lt;=Results!$C$1+1,INDEX(Data!$A:$A,CEILING((COUNTA(Data!$A:$A)-1)*RAND()+1,1)),""))</f>
        <v/>
      </c>
      <c r="E995" s="1" t="str">
        <f>IF(ROW()&lt;=Results!$C$1+1,VLOOKUP($D995,Data!$A$2:$C$117,3,TRUE),"")</f>
        <v/>
      </c>
      <c r="F995" s="14" t="str">
        <f>IF(ROW()&lt;=Results!$C$1+1,IF(E995&lt;=0,"",LN(E995)),"")</f>
        <v/>
      </c>
      <c r="G995" s="53" t="str">
        <f>IF(ROW()&lt;=Results!$C$1+1,IF(ISERROR(C995-F995),"",C995-F995),"")</f>
        <v/>
      </c>
    </row>
    <row r="996" spans="1:7" x14ac:dyDescent="0.25">
      <c r="A996" s="1" t="str">
        <f ca="1">IF(ROW()&lt;=Results!$C$1+1,INDEX(Data!$A:$A,CEILING((COUNTA(Data!$A:$A)-1)*RAND()+1,1)),"")</f>
        <v/>
      </c>
      <c r="B996" s="1" t="str">
        <f>IF(ROW()&lt;=Results!$C$1+1,VLOOKUP($A996,Data!$A$2:$C$117,2,TRUE),"")</f>
        <v/>
      </c>
      <c r="C996" s="14" t="str">
        <f>IF(ROW()&lt;=Results!$C$1+1,IF(B996&lt;=0,"",LN(B996)),"")</f>
        <v/>
      </c>
      <c r="D996" s="58" t="str">
        <f ca="1">IF(Results!$S$5,A996,IF(ROW()&lt;=Results!$C$1+1,INDEX(Data!$A:$A,CEILING((COUNTA(Data!$A:$A)-1)*RAND()+1,1)),""))</f>
        <v/>
      </c>
      <c r="E996" s="1" t="str">
        <f>IF(ROW()&lt;=Results!$C$1+1,VLOOKUP($D996,Data!$A$2:$C$117,3,TRUE),"")</f>
        <v/>
      </c>
      <c r="F996" s="14" t="str">
        <f>IF(ROW()&lt;=Results!$C$1+1,IF(E996&lt;=0,"",LN(E996)),"")</f>
        <v/>
      </c>
      <c r="G996" s="53" t="str">
        <f>IF(ROW()&lt;=Results!$C$1+1,IF(ISERROR(C996-F996),"",C996-F996),"")</f>
        <v/>
      </c>
    </row>
    <row r="997" spans="1:7" x14ac:dyDescent="0.25">
      <c r="A997" s="1" t="str">
        <f ca="1">IF(ROW()&lt;=Results!$C$1+1,INDEX(Data!$A:$A,CEILING((COUNTA(Data!$A:$A)-1)*RAND()+1,1)),"")</f>
        <v/>
      </c>
      <c r="B997" s="1" t="str">
        <f>IF(ROW()&lt;=Results!$C$1+1,VLOOKUP($A997,Data!$A$2:$C$117,2,TRUE),"")</f>
        <v/>
      </c>
      <c r="C997" s="14" t="str">
        <f>IF(ROW()&lt;=Results!$C$1+1,IF(B997&lt;=0,"",LN(B997)),"")</f>
        <v/>
      </c>
      <c r="D997" s="58" t="str">
        <f ca="1">IF(Results!$S$5,A997,IF(ROW()&lt;=Results!$C$1+1,INDEX(Data!$A:$A,CEILING((COUNTA(Data!$A:$A)-1)*RAND()+1,1)),""))</f>
        <v/>
      </c>
      <c r="E997" s="1" t="str">
        <f>IF(ROW()&lt;=Results!$C$1+1,VLOOKUP($D997,Data!$A$2:$C$117,3,TRUE),"")</f>
        <v/>
      </c>
      <c r="F997" s="14" t="str">
        <f>IF(ROW()&lt;=Results!$C$1+1,IF(E997&lt;=0,"",LN(E997)),"")</f>
        <v/>
      </c>
      <c r="G997" s="53" t="str">
        <f>IF(ROW()&lt;=Results!$C$1+1,IF(ISERROR(C997-F997),"",C997-F997),"")</f>
        <v/>
      </c>
    </row>
    <row r="998" spans="1:7" x14ac:dyDescent="0.25">
      <c r="A998" s="1" t="str">
        <f ca="1">IF(ROW()&lt;=Results!$C$1+1,INDEX(Data!$A:$A,CEILING((COUNTA(Data!$A:$A)-1)*RAND()+1,1)),"")</f>
        <v/>
      </c>
      <c r="B998" s="1" t="str">
        <f>IF(ROW()&lt;=Results!$C$1+1,VLOOKUP($A998,Data!$A$2:$C$117,2,TRUE),"")</f>
        <v/>
      </c>
      <c r="C998" s="14" t="str">
        <f>IF(ROW()&lt;=Results!$C$1+1,IF(B998&lt;=0,"",LN(B998)),"")</f>
        <v/>
      </c>
      <c r="D998" s="58" t="str">
        <f ca="1">IF(Results!$S$5,A998,IF(ROW()&lt;=Results!$C$1+1,INDEX(Data!$A:$A,CEILING((COUNTA(Data!$A:$A)-1)*RAND()+1,1)),""))</f>
        <v/>
      </c>
      <c r="E998" s="1" t="str">
        <f>IF(ROW()&lt;=Results!$C$1+1,VLOOKUP($D998,Data!$A$2:$C$117,3,TRUE),"")</f>
        <v/>
      </c>
      <c r="F998" s="14" t="str">
        <f>IF(ROW()&lt;=Results!$C$1+1,IF(E998&lt;=0,"",LN(E998)),"")</f>
        <v/>
      </c>
      <c r="G998" s="53" t="str">
        <f>IF(ROW()&lt;=Results!$C$1+1,IF(ISERROR(C998-F998),"",C998-F998),"")</f>
        <v/>
      </c>
    </row>
    <row r="999" spans="1:7" x14ac:dyDescent="0.25">
      <c r="A999" s="1" t="str">
        <f ca="1">IF(ROW()&lt;=Results!$C$1+1,INDEX(Data!$A:$A,CEILING((COUNTA(Data!$A:$A)-1)*RAND()+1,1)),"")</f>
        <v/>
      </c>
      <c r="B999" s="1" t="str">
        <f>IF(ROW()&lt;=Results!$C$1+1,VLOOKUP($A999,Data!$A$2:$C$117,2,TRUE),"")</f>
        <v/>
      </c>
      <c r="C999" s="14" t="str">
        <f>IF(ROW()&lt;=Results!$C$1+1,IF(B999&lt;=0,"",LN(B999)),"")</f>
        <v/>
      </c>
      <c r="D999" s="58" t="str">
        <f ca="1">IF(Results!$S$5,A999,IF(ROW()&lt;=Results!$C$1+1,INDEX(Data!$A:$A,CEILING((COUNTA(Data!$A:$A)-1)*RAND()+1,1)),""))</f>
        <v/>
      </c>
      <c r="E999" s="1" t="str">
        <f>IF(ROW()&lt;=Results!$C$1+1,VLOOKUP($D999,Data!$A$2:$C$117,3,TRUE),"")</f>
        <v/>
      </c>
      <c r="F999" s="14" t="str">
        <f>IF(ROW()&lt;=Results!$C$1+1,IF(E999&lt;=0,"",LN(E999)),"")</f>
        <v/>
      </c>
      <c r="G999" s="53" t="str">
        <f>IF(ROW()&lt;=Results!$C$1+1,IF(ISERROR(C999-F999),"",C999-F999),"")</f>
        <v/>
      </c>
    </row>
    <row r="1000" spans="1:7" x14ac:dyDescent="0.25">
      <c r="A1000" s="1" t="str">
        <f ca="1">IF(ROW()&lt;=Results!$C$1+1,INDEX(Data!$A:$A,CEILING((COUNTA(Data!$A:$A)-1)*RAND()+1,1)),"")</f>
        <v/>
      </c>
      <c r="B1000" s="1" t="str">
        <f>IF(ROW()&lt;=Results!$C$1+1,VLOOKUP($A1000,Data!$A$2:$C$117,2,TRUE),"")</f>
        <v/>
      </c>
      <c r="C1000" s="14" t="str">
        <f>IF(ROW()&lt;=Results!$C$1+1,IF(B1000&lt;=0,"",LN(B1000)),"")</f>
        <v/>
      </c>
      <c r="D1000" s="58" t="str">
        <f ca="1">IF(Results!$S$5,A1000,IF(ROW()&lt;=Results!$C$1+1,INDEX(Data!$A:$A,CEILING((COUNTA(Data!$A:$A)-1)*RAND()+1,1)),""))</f>
        <v/>
      </c>
      <c r="E1000" s="1" t="str">
        <f>IF(ROW()&lt;=Results!$C$1+1,VLOOKUP($D1000,Data!$A$2:$C$117,3,TRUE),"")</f>
        <v/>
      </c>
      <c r="F1000" s="14" t="str">
        <f>IF(ROW()&lt;=Results!$C$1+1,IF(E1000&lt;=0,"",LN(E1000)),"")</f>
        <v/>
      </c>
      <c r="G1000" s="53" t="str">
        <f>IF(ROW()&lt;=Results!$C$1+1,IF(ISERROR(C1000-F1000),"",C1000-F1000),"")</f>
        <v/>
      </c>
    </row>
    <row r="1001" spans="1:7" x14ac:dyDescent="0.25">
      <c r="A1001" s="1" t="str">
        <f ca="1">IF(ROW()&lt;=Results!$C$1+1,INDEX(Data!$A:$A,CEILING((COUNTA(Data!$A:$A)-1)*RAND()+1,1)),"")</f>
        <v/>
      </c>
      <c r="B1001" s="1" t="str">
        <f>IF(ROW()&lt;=Results!$C$1+1,VLOOKUP($A1001,Data!$A$2:$C$117,2,TRUE),"")</f>
        <v/>
      </c>
      <c r="C1001" s="14" t="str">
        <f>IF(ROW()&lt;=Results!$C$1+1,IF(B1001&lt;=0,"",LN(B1001)),"")</f>
        <v/>
      </c>
      <c r="D1001" s="58" t="str">
        <f ca="1">IF(Results!$S$5,A1001,IF(ROW()&lt;=Results!$C$1+1,INDEX(Data!$A:$A,CEILING((COUNTA(Data!$A:$A)-1)*RAND()+1,1)),""))</f>
        <v/>
      </c>
      <c r="E1001" s="1" t="str">
        <f>IF(ROW()&lt;=Results!$C$1+1,VLOOKUP($D1001,Data!$A$2:$C$117,3,TRUE),"")</f>
        <v/>
      </c>
      <c r="F1001" s="14" t="str">
        <f>IF(ROW()&lt;=Results!$C$1+1,IF(E1001&lt;=0,"",LN(E1001)),"")</f>
        <v/>
      </c>
      <c r="G1001" s="53" t="str">
        <f>IF(ROW()&lt;=Results!$C$1+1,IF(ISERROR(C1001-F1001),"",C1001-F1001),"")</f>
        <v/>
      </c>
    </row>
    <row r="1002" spans="1:7" x14ac:dyDescent="0.25">
      <c r="A1002" s="1" t="str">
        <f ca="1">IF(ROW()&lt;=Results!$C$1+1,INDEX(Data!$A:$A,CEILING((COUNTA(Data!$A:$A)-1)*RAND()+1,1)),"")</f>
        <v/>
      </c>
      <c r="B1002" s="1" t="str">
        <f>IF(ROW()&lt;=Results!$C$1+1,VLOOKUP($A1002,Data!$A$2:$C$117,2,TRUE),"")</f>
        <v/>
      </c>
      <c r="C1002" s="14" t="str">
        <f>IF(ROW()&lt;=Results!$C$1+1,IF(B1002&lt;=0,"",LN(B1002)),"")</f>
        <v/>
      </c>
      <c r="D1002" s="58" t="str">
        <f ca="1">IF(Results!$S$5,A1002,IF(ROW()&lt;=Results!$C$1+1,INDEX(Data!$A:$A,CEILING((COUNTA(Data!$A:$A)-1)*RAND()+1,1)),""))</f>
        <v/>
      </c>
      <c r="E1002" s="1" t="str">
        <f>IF(ROW()&lt;=Results!$C$1+1,VLOOKUP($D1002,Data!$A$2:$C$117,3,TRUE),"")</f>
        <v/>
      </c>
      <c r="F1002" s="14" t="str">
        <f>IF(ROW()&lt;=Results!$C$1+1,IF(E1002&lt;=0,"",LN(E1002)),"")</f>
        <v/>
      </c>
      <c r="G1002" s="53" t="str">
        <f>IF(ROW()&lt;=Results!$C$1+1,IF(ISERROR(C1002-F1002),"",C1002-F1002),"")</f>
        <v/>
      </c>
    </row>
    <row r="1003" spans="1:7" x14ac:dyDescent="0.25">
      <c r="A1003" s="1" t="str">
        <f ca="1">IF(ROW()&lt;=Results!$C$1+1,INDEX(Data!$A:$A,CEILING((COUNTA(Data!$A:$A)-1)*RAND()+1,1)),"")</f>
        <v/>
      </c>
      <c r="B1003" s="1" t="str">
        <f>IF(ROW()&lt;=Results!$C$1+1,VLOOKUP($A1003,Data!$A$2:$C$117,2,TRUE),"")</f>
        <v/>
      </c>
      <c r="C1003" s="14" t="str">
        <f>IF(ROW()&lt;=Results!$C$1+1,IF(B1003&lt;=0,"",LN(B1003)),"")</f>
        <v/>
      </c>
      <c r="D1003" s="58" t="str">
        <f ca="1">IF(Results!$S$5,A1003,IF(ROW()&lt;=Results!$C$1+1,INDEX(Data!$A:$A,CEILING((COUNTA(Data!$A:$A)-1)*RAND()+1,1)),""))</f>
        <v/>
      </c>
      <c r="E1003" s="1" t="str">
        <f>IF(ROW()&lt;=Results!$C$1+1,VLOOKUP($D1003,Data!$A$2:$C$117,3,TRUE),"")</f>
        <v/>
      </c>
      <c r="F1003" s="14" t="str">
        <f>IF(ROW()&lt;=Results!$C$1+1,IF(E1003&lt;=0,"",LN(E1003)),"")</f>
        <v/>
      </c>
      <c r="G1003" s="53" t="str">
        <f>IF(ROW()&lt;=Results!$C$1+1,IF(ISERROR(C1003-F1003),"",C1003-F1003),"")</f>
        <v/>
      </c>
    </row>
    <row r="1004" spans="1:7" x14ac:dyDescent="0.25">
      <c r="A1004" s="1" t="str">
        <f ca="1">IF(ROW()&lt;=Results!$C$1+1,INDEX(Data!$A:$A,CEILING((COUNTA(Data!$A:$A)-1)*RAND()+1,1)),"")</f>
        <v/>
      </c>
      <c r="B1004" s="1" t="str">
        <f>IF(ROW()&lt;=Results!$C$1+1,VLOOKUP($A1004,Data!$A$2:$C$117,2,TRUE),"")</f>
        <v/>
      </c>
      <c r="C1004" s="14" t="str">
        <f>IF(ROW()&lt;=Results!$C$1+1,IF(B1004&lt;=0,"",LN(B1004)),"")</f>
        <v/>
      </c>
      <c r="D1004" s="58" t="str">
        <f ca="1">IF(Results!$S$5,A1004,IF(ROW()&lt;=Results!$C$1+1,INDEX(Data!$A:$A,CEILING((COUNTA(Data!$A:$A)-1)*RAND()+1,1)),""))</f>
        <v/>
      </c>
      <c r="E1004" s="1" t="str">
        <f>IF(ROW()&lt;=Results!$C$1+1,VLOOKUP($D1004,Data!$A$2:$C$117,3,TRUE),"")</f>
        <v/>
      </c>
      <c r="F1004" s="14" t="str">
        <f>IF(ROW()&lt;=Results!$C$1+1,IF(E1004&lt;=0,"",LN(E1004)),"")</f>
        <v/>
      </c>
      <c r="G1004" s="53" t="str">
        <f>IF(ROW()&lt;=Results!$C$1+1,IF(ISERROR(C1004-F1004),"",C1004-F1004),"")</f>
        <v/>
      </c>
    </row>
    <row r="1005" spans="1:7" x14ac:dyDescent="0.25">
      <c r="A1005" s="1" t="str">
        <f ca="1">IF(ROW()&lt;=Results!$C$1+1,INDEX(Data!$A:$A,CEILING((COUNTA(Data!$A:$A)-1)*RAND()+1,1)),"")</f>
        <v/>
      </c>
      <c r="B1005" s="1" t="str">
        <f>IF(ROW()&lt;=Results!$C$1+1,VLOOKUP($A1005,Data!$A$2:$C$117,2,TRUE),"")</f>
        <v/>
      </c>
      <c r="C1005" s="14" t="str">
        <f>IF(ROW()&lt;=Results!$C$1+1,IF(B1005&lt;=0,"",LN(B1005)),"")</f>
        <v/>
      </c>
      <c r="D1005" s="58" t="str">
        <f ca="1">IF(Results!$S$5,A1005,IF(ROW()&lt;=Results!$C$1+1,INDEX(Data!$A:$A,CEILING((COUNTA(Data!$A:$A)-1)*RAND()+1,1)),""))</f>
        <v/>
      </c>
      <c r="E1005" s="1" t="str">
        <f>IF(ROW()&lt;=Results!$C$1+1,VLOOKUP($D1005,Data!$A$2:$C$117,3,TRUE),"")</f>
        <v/>
      </c>
      <c r="F1005" s="14" t="str">
        <f>IF(ROW()&lt;=Results!$C$1+1,IF(E1005&lt;=0,"",LN(E1005)),"")</f>
        <v/>
      </c>
      <c r="G1005" s="53" t="str">
        <f>IF(ROW()&lt;=Results!$C$1+1,IF(ISERROR(C1005-F1005),"",C1005-F1005),"")</f>
        <v/>
      </c>
    </row>
    <row r="1006" spans="1:7" x14ac:dyDescent="0.25">
      <c r="A1006" s="1" t="str">
        <f ca="1">IF(ROW()&lt;=Results!$C$1+1,INDEX(Data!$A:$A,CEILING((COUNTA(Data!$A:$A)-1)*RAND()+1,1)),"")</f>
        <v/>
      </c>
      <c r="B1006" s="1" t="str">
        <f>IF(ROW()&lt;=Results!$C$1+1,VLOOKUP($A1006,Data!$A$2:$C$117,2,TRUE),"")</f>
        <v/>
      </c>
      <c r="C1006" s="14" t="str">
        <f>IF(ROW()&lt;=Results!$C$1+1,IF(B1006&lt;=0,"",LN(B1006)),"")</f>
        <v/>
      </c>
      <c r="D1006" s="58" t="str">
        <f ca="1">IF(Results!$S$5,A1006,IF(ROW()&lt;=Results!$C$1+1,INDEX(Data!$A:$A,CEILING((COUNTA(Data!$A:$A)-1)*RAND()+1,1)),""))</f>
        <v/>
      </c>
      <c r="E1006" s="1" t="str">
        <f>IF(ROW()&lt;=Results!$C$1+1,VLOOKUP($D1006,Data!$A$2:$C$117,3,TRUE),"")</f>
        <v/>
      </c>
      <c r="F1006" s="14" t="str">
        <f>IF(ROW()&lt;=Results!$C$1+1,IF(E1006&lt;=0,"",LN(E1006)),"")</f>
        <v/>
      </c>
      <c r="G1006" s="53" t="str">
        <f>IF(ROW()&lt;=Results!$C$1+1,IF(ISERROR(C1006-F1006),"",C1006-F1006),"")</f>
        <v/>
      </c>
    </row>
    <row r="1007" spans="1:7" x14ac:dyDescent="0.25">
      <c r="A1007" s="1" t="str">
        <f ca="1">IF(ROW()&lt;=Results!$C$1+1,INDEX(Data!$A:$A,CEILING((COUNTA(Data!$A:$A)-1)*RAND()+1,1)),"")</f>
        <v/>
      </c>
      <c r="B1007" s="1" t="str">
        <f>IF(ROW()&lt;=Results!$C$1+1,VLOOKUP($A1007,Data!$A$2:$C$117,2,TRUE),"")</f>
        <v/>
      </c>
      <c r="C1007" s="14" t="str">
        <f>IF(ROW()&lt;=Results!$C$1+1,IF(B1007&lt;=0,"",LN(B1007)),"")</f>
        <v/>
      </c>
      <c r="D1007" s="58" t="str">
        <f ca="1">IF(Results!$S$5,A1007,IF(ROW()&lt;=Results!$C$1+1,INDEX(Data!$A:$A,CEILING((COUNTA(Data!$A:$A)-1)*RAND()+1,1)),""))</f>
        <v/>
      </c>
      <c r="E1007" s="1" t="str">
        <f>IF(ROW()&lt;=Results!$C$1+1,VLOOKUP($D1007,Data!$A$2:$C$117,3,TRUE),"")</f>
        <v/>
      </c>
      <c r="F1007" s="14" t="str">
        <f>IF(ROW()&lt;=Results!$C$1+1,IF(E1007&lt;=0,"",LN(E1007)),"")</f>
        <v/>
      </c>
      <c r="G1007" s="53" t="str">
        <f>IF(ROW()&lt;=Results!$C$1+1,IF(ISERROR(C1007-F1007),"",C1007-F1007),"")</f>
        <v/>
      </c>
    </row>
    <row r="1008" spans="1:7" x14ac:dyDescent="0.25">
      <c r="A1008" s="1" t="str">
        <f ca="1">IF(ROW()&lt;=Results!$C$1+1,INDEX(Data!$A:$A,CEILING((COUNTA(Data!$A:$A)-1)*RAND()+1,1)),"")</f>
        <v/>
      </c>
      <c r="B1008" s="1" t="str">
        <f>IF(ROW()&lt;=Results!$C$1+1,VLOOKUP($A1008,Data!$A$2:$C$117,2,TRUE),"")</f>
        <v/>
      </c>
      <c r="C1008" s="14" t="str">
        <f>IF(ROW()&lt;=Results!$C$1+1,IF(B1008&lt;=0,"",LN(B1008)),"")</f>
        <v/>
      </c>
      <c r="D1008" s="58" t="str">
        <f ca="1">IF(Results!$S$5,A1008,IF(ROW()&lt;=Results!$C$1+1,INDEX(Data!$A:$A,CEILING((COUNTA(Data!$A:$A)-1)*RAND()+1,1)),""))</f>
        <v/>
      </c>
      <c r="E1008" s="1" t="str">
        <f>IF(ROW()&lt;=Results!$C$1+1,VLOOKUP($D1008,Data!$A$2:$C$117,3,TRUE),"")</f>
        <v/>
      </c>
      <c r="F1008" s="14" t="str">
        <f>IF(ROW()&lt;=Results!$C$1+1,IF(E1008&lt;=0,"",LN(E1008)),"")</f>
        <v/>
      </c>
      <c r="G1008" s="53" t="str">
        <f>IF(ROW()&lt;=Results!$C$1+1,IF(ISERROR(C1008-F1008),"",C1008-F1008),"")</f>
        <v/>
      </c>
    </row>
    <row r="1009" spans="1:7" x14ac:dyDescent="0.25">
      <c r="A1009" s="1" t="str">
        <f ca="1">IF(ROW()&lt;=Results!$C$1+1,INDEX(Data!$A:$A,CEILING((COUNTA(Data!$A:$A)-1)*RAND()+1,1)),"")</f>
        <v/>
      </c>
      <c r="B1009" s="1" t="str">
        <f>IF(ROW()&lt;=Results!$C$1+1,VLOOKUP($A1009,Data!$A$2:$C$117,2,TRUE),"")</f>
        <v/>
      </c>
      <c r="C1009" s="14" t="str">
        <f>IF(ROW()&lt;=Results!$C$1+1,IF(B1009&lt;=0,"",LN(B1009)),"")</f>
        <v/>
      </c>
      <c r="D1009" s="58" t="str">
        <f ca="1">IF(Results!$S$5,A1009,IF(ROW()&lt;=Results!$C$1+1,INDEX(Data!$A:$A,CEILING((COUNTA(Data!$A:$A)-1)*RAND()+1,1)),""))</f>
        <v/>
      </c>
      <c r="E1009" s="1" t="str">
        <f>IF(ROW()&lt;=Results!$C$1+1,VLOOKUP($D1009,Data!$A$2:$C$117,3,TRUE),"")</f>
        <v/>
      </c>
      <c r="F1009" s="14" t="str">
        <f>IF(ROW()&lt;=Results!$C$1+1,IF(E1009&lt;=0,"",LN(E1009)),"")</f>
        <v/>
      </c>
      <c r="G1009" s="53" t="str">
        <f>IF(ROW()&lt;=Results!$C$1+1,IF(ISERROR(C1009-F1009),"",C1009-F1009),"")</f>
        <v/>
      </c>
    </row>
    <row r="1010" spans="1:7" x14ac:dyDescent="0.25">
      <c r="A1010" s="1" t="str">
        <f ca="1">IF(ROW()&lt;=Results!$C$1+1,INDEX(Data!$A:$A,CEILING((COUNTA(Data!$A:$A)-1)*RAND()+1,1)),"")</f>
        <v/>
      </c>
      <c r="B1010" s="1" t="str">
        <f>IF(ROW()&lt;=Results!$C$1+1,VLOOKUP($A1010,Data!$A$2:$C$117,2,TRUE),"")</f>
        <v/>
      </c>
      <c r="C1010" s="14" t="str">
        <f>IF(ROW()&lt;=Results!$C$1+1,IF(B1010&lt;=0,"",LN(B1010)),"")</f>
        <v/>
      </c>
      <c r="D1010" s="58" t="str">
        <f ca="1">IF(Results!$S$5,A1010,IF(ROW()&lt;=Results!$C$1+1,INDEX(Data!$A:$A,CEILING((COUNTA(Data!$A:$A)-1)*RAND()+1,1)),""))</f>
        <v/>
      </c>
      <c r="E1010" s="1" t="str">
        <f>IF(ROW()&lt;=Results!$C$1+1,VLOOKUP($D1010,Data!$A$2:$C$117,3,TRUE),"")</f>
        <v/>
      </c>
      <c r="F1010" s="14" t="str">
        <f>IF(ROW()&lt;=Results!$C$1+1,IF(E1010&lt;=0,"",LN(E1010)),"")</f>
        <v/>
      </c>
      <c r="G1010" s="53" t="str">
        <f>IF(ROW()&lt;=Results!$C$1+1,IF(ISERROR(C1010-F1010),"",C1010-F1010),"")</f>
        <v/>
      </c>
    </row>
    <row r="1011" spans="1:7" x14ac:dyDescent="0.25">
      <c r="A1011" s="1" t="str">
        <f ca="1">IF(ROW()&lt;=Results!$C$1+1,INDEX(Data!$A:$A,CEILING((COUNTA(Data!$A:$A)-1)*RAND()+1,1)),"")</f>
        <v/>
      </c>
      <c r="B1011" s="1" t="str">
        <f>IF(ROW()&lt;=Results!$C$1+1,VLOOKUP($A1011,Data!$A$2:$C$117,2,TRUE),"")</f>
        <v/>
      </c>
      <c r="C1011" s="14" t="str">
        <f>IF(ROW()&lt;=Results!$C$1+1,IF(B1011&lt;=0,"",LN(B1011)),"")</f>
        <v/>
      </c>
      <c r="D1011" s="58" t="str">
        <f ca="1">IF(Results!$S$5,A1011,IF(ROW()&lt;=Results!$C$1+1,INDEX(Data!$A:$A,CEILING((COUNTA(Data!$A:$A)-1)*RAND()+1,1)),""))</f>
        <v/>
      </c>
      <c r="E1011" s="1" t="str">
        <f>IF(ROW()&lt;=Results!$C$1+1,VLOOKUP($D1011,Data!$A$2:$C$117,3,TRUE),"")</f>
        <v/>
      </c>
      <c r="F1011" s="14" t="str">
        <f>IF(ROW()&lt;=Results!$C$1+1,IF(E1011&lt;=0,"",LN(E1011)),"")</f>
        <v/>
      </c>
      <c r="G1011" s="53" t="str">
        <f>IF(ROW()&lt;=Results!$C$1+1,IF(ISERROR(C1011-F1011),"",C1011-F1011),"")</f>
        <v/>
      </c>
    </row>
    <row r="1012" spans="1:7" x14ac:dyDescent="0.25">
      <c r="A1012" s="1" t="str">
        <f ca="1">IF(ROW()&lt;=Results!$C$1+1,INDEX(Data!$A:$A,CEILING((COUNTA(Data!$A:$A)-1)*RAND()+1,1)),"")</f>
        <v/>
      </c>
      <c r="B1012" s="1" t="str">
        <f>IF(ROW()&lt;=Results!$C$1+1,VLOOKUP($A1012,Data!$A$2:$C$117,2,TRUE),"")</f>
        <v/>
      </c>
      <c r="C1012" s="14" t="str">
        <f>IF(ROW()&lt;=Results!$C$1+1,IF(B1012&lt;=0,"",LN(B1012)),"")</f>
        <v/>
      </c>
      <c r="D1012" s="58" t="str">
        <f ca="1">IF(Results!$S$5,A1012,IF(ROW()&lt;=Results!$C$1+1,INDEX(Data!$A:$A,CEILING((COUNTA(Data!$A:$A)-1)*RAND()+1,1)),""))</f>
        <v/>
      </c>
      <c r="E1012" s="1" t="str">
        <f>IF(ROW()&lt;=Results!$C$1+1,VLOOKUP($D1012,Data!$A$2:$C$117,3,TRUE),"")</f>
        <v/>
      </c>
      <c r="F1012" s="14" t="str">
        <f>IF(ROW()&lt;=Results!$C$1+1,IF(E1012&lt;=0,"",LN(E1012)),"")</f>
        <v/>
      </c>
      <c r="G1012" s="53" t="str">
        <f>IF(ROW()&lt;=Results!$C$1+1,IF(ISERROR(C1012-F1012),"",C1012-F1012),"")</f>
        <v/>
      </c>
    </row>
    <row r="1013" spans="1:7" x14ac:dyDescent="0.25">
      <c r="A1013" s="1" t="str">
        <f ca="1">IF(ROW()&lt;=Results!$C$1+1,INDEX(Data!$A:$A,CEILING((COUNTA(Data!$A:$A)-1)*RAND()+1,1)),"")</f>
        <v/>
      </c>
      <c r="B1013" s="1" t="str">
        <f>IF(ROW()&lt;=Results!$C$1+1,VLOOKUP($A1013,Data!$A$2:$C$117,2,TRUE),"")</f>
        <v/>
      </c>
      <c r="C1013" s="14" t="str">
        <f>IF(ROW()&lt;=Results!$C$1+1,IF(B1013&lt;=0,"",LN(B1013)),"")</f>
        <v/>
      </c>
      <c r="D1013" s="58" t="str">
        <f ca="1">IF(Results!$S$5,A1013,IF(ROW()&lt;=Results!$C$1+1,INDEX(Data!$A:$A,CEILING((COUNTA(Data!$A:$A)-1)*RAND()+1,1)),""))</f>
        <v/>
      </c>
      <c r="E1013" s="1" t="str">
        <f>IF(ROW()&lt;=Results!$C$1+1,VLOOKUP($D1013,Data!$A$2:$C$117,3,TRUE),"")</f>
        <v/>
      </c>
      <c r="F1013" s="14" t="str">
        <f>IF(ROW()&lt;=Results!$C$1+1,IF(E1013&lt;=0,"",LN(E1013)),"")</f>
        <v/>
      </c>
      <c r="G1013" s="53" t="str">
        <f>IF(ROW()&lt;=Results!$C$1+1,IF(ISERROR(C1013-F1013),"",C1013-F1013),"")</f>
        <v/>
      </c>
    </row>
    <row r="1014" spans="1:7" x14ac:dyDescent="0.25">
      <c r="A1014" s="1" t="str">
        <f ca="1">IF(ROW()&lt;=Results!$C$1+1,INDEX(Data!$A:$A,CEILING((COUNTA(Data!$A:$A)-1)*RAND()+1,1)),"")</f>
        <v/>
      </c>
      <c r="B1014" s="1" t="str">
        <f>IF(ROW()&lt;=Results!$C$1+1,VLOOKUP($A1014,Data!$A$2:$C$117,2,TRUE),"")</f>
        <v/>
      </c>
      <c r="C1014" s="14" t="str">
        <f>IF(ROW()&lt;=Results!$C$1+1,IF(B1014&lt;=0,"",LN(B1014)),"")</f>
        <v/>
      </c>
      <c r="D1014" s="58" t="str">
        <f ca="1">IF(Results!$S$5,A1014,IF(ROW()&lt;=Results!$C$1+1,INDEX(Data!$A:$A,CEILING((COUNTA(Data!$A:$A)-1)*RAND()+1,1)),""))</f>
        <v/>
      </c>
      <c r="E1014" s="1" t="str">
        <f>IF(ROW()&lt;=Results!$C$1+1,VLOOKUP($D1014,Data!$A$2:$C$117,3,TRUE),"")</f>
        <v/>
      </c>
      <c r="F1014" s="14" t="str">
        <f>IF(ROW()&lt;=Results!$C$1+1,IF(E1014&lt;=0,"",LN(E1014)),"")</f>
        <v/>
      </c>
      <c r="G1014" s="53" t="str">
        <f>IF(ROW()&lt;=Results!$C$1+1,IF(ISERROR(C1014-F1014),"",C1014-F1014),"")</f>
        <v/>
      </c>
    </row>
    <row r="1015" spans="1:7" x14ac:dyDescent="0.25">
      <c r="A1015" s="1" t="str">
        <f ca="1">IF(ROW()&lt;=Results!$C$1+1,INDEX(Data!$A:$A,CEILING((COUNTA(Data!$A:$A)-1)*RAND()+1,1)),"")</f>
        <v/>
      </c>
      <c r="B1015" s="1" t="str">
        <f>IF(ROW()&lt;=Results!$C$1+1,VLOOKUP($A1015,Data!$A$2:$C$117,2,TRUE),"")</f>
        <v/>
      </c>
      <c r="C1015" s="14" t="str">
        <f>IF(ROW()&lt;=Results!$C$1+1,IF(B1015&lt;=0,"",LN(B1015)),"")</f>
        <v/>
      </c>
      <c r="D1015" s="58" t="str">
        <f ca="1">IF(Results!$S$5,A1015,IF(ROW()&lt;=Results!$C$1+1,INDEX(Data!$A:$A,CEILING((COUNTA(Data!$A:$A)-1)*RAND()+1,1)),""))</f>
        <v/>
      </c>
      <c r="E1015" s="1" t="str">
        <f>IF(ROW()&lt;=Results!$C$1+1,VLOOKUP($D1015,Data!$A$2:$C$117,3,TRUE),"")</f>
        <v/>
      </c>
      <c r="F1015" s="14" t="str">
        <f>IF(ROW()&lt;=Results!$C$1+1,IF(E1015&lt;=0,"",LN(E1015)),"")</f>
        <v/>
      </c>
      <c r="G1015" s="53" t="str">
        <f>IF(ROW()&lt;=Results!$C$1+1,IF(ISERROR(C1015-F1015),"",C1015-F1015),"")</f>
        <v/>
      </c>
    </row>
    <row r="1016" spans="1:7" x14ac:dyDescent="0.25">
      <c r="A1016" s="1" t="str">
        <f ca="1">IF(ROW()&lt;=Results!$C$1+1,INDEX(Data!$A:$A,CEILING((COUNTA(Data!$A:$A)-1)*RAND()+1,1)),"")</f>
        <v/>
      </c>
      <c r="B1016" s="1" t="str">
        <f>IF(ROW()&lt;=Results!$C$1+1,VLOOKUP($A1016,Data!$A$2:$C$117,2,TRUE),"")</f>
        <v/>
      </c>
      <c r="C1016" s="14" t="str">
        <f>IF(ROW()&lt;=Results!$C$1+1,IF(B1016&lt;=0,"",LN(B1016)),"")</f>
        <v/>
      </c>
      <c r="D1016" s="58" t="str">
        <f ca="1">IF(Results!$S$5,A1016,IF(ROW()&lt;=Results!$C$1+1,INDEX(Data!$A:$A,CEILING((COUNTA(Data!$A:$A)-1)*RAND()+1,1)),""))</f>
        <v/>
      </c>
      <c r="E1016" s="1" t="str">
        <f>IF(ROW()&lt;=Results!$C$1+1,VLOOKUP($D1016,Data!$A$2:$C$117,3,TRUE),"")</f>
        <v/>
      </c>
      <c r="F1016" s="14" t="str">
        <f>IF(ROW()&lt;=Results!$C$1+1,IF(E1016&lt;=0,"",LN(E1016)),"")</f>
        <v/>
      </c>
      <c r="G1016" s="53" t="str">
        <f>IF(ROW()&lt;=Results!$C$1+1,IF(ISERROR(C1016-F1016),"",C1016-F1016),"")</f>
        <v/>
      </c>
    </row>
    <row r="1017" spans="1:7" x14ac:dyDescent="0.25">
      <c r="A1017" s="1" t="str">
        <f ca="1">IF(ROW()&lt;=Results!$C$1+1,INDEX(Data!$A:$A,CEILING((COUNTA(Data!$A:$A)-1)*RAND()+1,1)),"")</f>
        <v/>
      </c>
      <c r="B1017" s="1" t="str">
        <f>IF(ROW()&lt;=Results!$C$1+1,VLOOKUP($A1017,Data!$A$2:$C$117,2,TRUE),"")</f>
        <v/>
      </c>
      <c r="C1017" s="14" t="str">
        <f>IF(ROW()&lt;=Results!$C$1+1,IF(B1017&lt;=0,"",LN(B1017)),"")</f>
        <v/>
      </c>
      <c r="D1017" s="58" t="str">
        <f ca="1">IF(Results!$S$5,A1017,IF(ROW()&lt;=Results!$C$1+1,INDEX(Data!$A:$A,CEILING((COUNTA(Data!$A:$A)-1)*RAND()+1,1)),""))</f>
        <v/>
      </c>
      <c r="E1017" s="1" t="str">
        <f>IF(ROW()&lt;=Results!$C$1+1,VLOOKUP($D1017,Data!$A$2:$C$117,3,TRUE),"")</f>
        <v/>
      </c>
      <c r="F1017" s="14" t="str">
        <f>IF(ROW()&lt;=Results!$C$1+1,IF(E1017&lt;=0,"",LN(E1017)),"")</f>
        <v/>
      </c>
      <c r="G1017" s="53" t="str">
        <f>IF(ROW()&lt;=Results!$C$1+1,IF(ISERROR(C1017-F1017),"",C1017-F1017),"")</f>
        <v/>
      </c>
    </row>
    <row r="1018" spans="1:7" x14ac:dyDescent="0.25">
      <c r="A1018" s="1" t="str">
        <f ca="1">IF(ROW()&lt;=Results!$C$1+1,INDEX(Data!$A:$A,CEILING((COUNTA(Data!$A:$A)-1)*RAND()+1,1)),"")</f>
        <v/>
      </c>
      <c r="B1018" s="1" t="str">
        <f>IF(ROW()&lt;=Results!$C$1+1,VLOOKUP($A1018,Data!$A$2:$C$117,2,TRUE),"")</f>
        <v/>
      </c>
      <c r="C1018" s="14" t="str">
        <f>IF(ROW()&lt;=Results!$C$1+1,IF(B1018&lt;=0,"",LN(B1018)),"")</f>
        <v/>
      </c>
      <c r="D1018" s="58" t="str">
        <f ca="1">IF(Results!$S$5,A1018,IF(ROW()&lt;=Results!$C$1+1,INDEX(Data!$A:$A,CEILING((COUNTA(Data!$A:$A)-1)*RAND()+1,1)),""))</f>
        <v/>
      </c>
      <c r="E1018" s="1" t="str">
        <f>IF(ROW()&lt;=Results!$C$1+1,VLOOKUP($D1018,Data!$A$2:$C$117,3,TRUE),"")</f>
        <v/>
      </c>
      <c r="F1018" s="14" t="str">
        <f>IF(ROW()&lt;=Results!$C$1+1,IF(E1018&lt;=0,"",LN(E1018)),"")</f>
        <v/>
      </c>
      <c r="G1018" s="53" t="str">
        <f>IF(ROW()&lt;=Results!$C$1+1,IF(ISERROR(C1018-F1018),"",C1018-F1018),"")</f>
        <v/>
      </c>
    </row>
    <row r="1019" spans="1:7" x14ac:dyDescent="0.25">
      <c r="A1019" s="1" t="str">
        <f ca="1">IF(ROW()&lt;=Results!$C$1+1,INDEX(Data!$A:$A,CEILING((COUNTA(Data!$A:$A)-1)*RAND()+1,1)),"")</f>
        <v/>
      </c>
      <c r="B1019" s="1" t="str">
        <f>IF(ROW()&lt;=Results!$C$1+1,VLOOKUP($A1019,Data!$A$2:$C$117,2,TRUE),"")</f>
        <v/>
      </c>
      <c r="C1019" s="14" t="str">
        <f>IF(ROW()&lt;=Results!$C$1+1,IF(B1019&lt;=0,"",LN(B1019)),"")</f>
        <v/>
      </c>
      <c r="D1019" s="58" t="str">
        <f ca="1">IF(Results!$S$5,A1019,IF(ROW()&lt;=Results!$C$1+1,INDEX(Data!$A:$A,CEILING((COUNTA(Data!$A:$A)-1)*RAND()+1,1)),""))</f>
        <v/>
      </c>
      <c r="E1019" s="1" t="str">
        <f>IF(ROW()&lt;=Results!$C$1+1,VLOOKUP($D1019,Data!$A$2:$C$117,3,TRUE),"")</f>
        <v/>
      </c>
      <c r="F1019" s="14" t="str">
        <f>IF(ROW()&lt;=Results!$C$1+1,IF(E1019&lt;=0,"",LN(E1019)),"")</f>
        <v/>
      </c>
      <c r="G1019" s="53" t="str">
        <f>IF(ROW()&lt;=Results!$C$1+1,IF(ISERROR(C1019-F1019),"",C1019-F1019),"")</f>
        <v/>
      </c>
    </row>
    <row r="1020" spans="1:7" x14ac:dyDescent="0.25">
      <c r="A1020" s="1" t="str">
        <f ca="1">IF(ROW()&lt;=Results!$C$1+1,INDEX(Data!$A:$A,CEILING((COUNTA(Data!$A:$A)-1)*RAND()+1,1)),"")</f>
        <v/>
      </c>
      <c r="B1020" s="1" t="str">
        <f>IF(ROW()&lt;=Results!$C$1+1,VLOOKUP($A1020,Data!$A$2:$C$117,2,TRUE),"")</f>
        <v/>
      </c>
      <c r="C1020" s="14" t="str">
        <f>IF(ROW()&lt;=Results!$C$1+1,IF(B1020&lt;=0,"",LN(B1020)),"")</f>
        <v/>
      </c>
      <c r="D1020" s="58" t="str">
        <f ca="1">IF(Results!$S$5,A1020,IF(ROW()&lt;=Results!$C$1+1,INDEX(Data!$A:$A,CEILING((COUNTA(Data!$A:$A)-1)*RAND()+1,1)),""))</f>
        <v/>
      </c>
      <c r="E1020" s="1" t="str">
        <f>IF(ROW()&lt;=Results!$C$1+1,VLOOKUP($D1020,Data!$A$2:$C$117,3,TRUE),"")</f>
        <v/>
      </c>
      <c r="F1020" s="14" t="str">
        <f>IF(ROW()&lt;=Results!$C$1+1,IF(E1020&lt;=0,"",LN(E1020)),"")</f>
        <v/>
      </c>
      <c r="G1020" s="53" t="str">
        <f>IF(ROW()&lt;=Results!$C$1+1,IF(ISERROR(C1020-F1020),"",C1020-F1020),"")</f>
        <v/>
      </c>
    </row>
    <row r="1021" spans="1:7" x14ac:dyDescent="0.25">
      <c r="A1021" s="1" t="str">
        <f ca="1">IF(ROW()&lt;=Results!$C$1+1,INDEX(Data!$A:$A,CEILING((COUNTA(Data!$A:$A)-1)*RAND()+1,1)),"")</f>
        <v/>
      </c>
      <c r="B1021" s="1" t="str">
        <f>IF(ROW()&lt;=Results!$C$1+1,VLOOKUP($A1021,Data!$A$2:$C$117,2,TRUE),"")</f>
        <v/>
      </c>
      <c r="C1021" s="14" t="str">
        <f>IF(ROW()&lt;=Results!$C$1+1,IF(B1021&lt;=0,"",LN(B1021)),"")</f>
        <v/>
      </c>
      <c r="D1021" s="58" t="str">
        <f ca="1">IF(Results!$S$5,A1021,IF(ROW()&lt;=Results!$C$1+1,INDEX(Data!$A:$A,CEILING((COUNTA(Data!$A:$A)-1)*RAND()+1,1)),""))</f>
        <v/>
      </c>
      <c r="E1021" s="1" t="str">
        <f>IF(ROW()&lt;=Results!$C$1+1,VLOOKUP($D1021,Data!$A$2:$C$117,3,TRUE),"")</f>
        <v/>
      </c>
      <c r="F1021" s="14" t="str">
        <f>IF(ROW()&lt;=Results!$C$1+1,IF(E1021&lt;=0,"",LN(E1021)),"")</f>
        <v/>
      </c>
      <c r="G1021" s="53" t="str">
        <f>IF(ROW()&lt;=Results!$C$1+1,IF(ISERROR(C1021-F1021),"",C1021-F1021),"")</f>
        <v/>
      </c>
    </row>
    <row r="1022" spans="1:7" x14ac:dyDescent="0.25">
      <c r="A1022" s="1" t="str">
        <f ca="1">IF(ROW()&lt;=Results!$C$1+1,INDEX(Data!$A:$A,CEILING((COUNTA(Data!$A:$A)-1)*RAND()+1,1)),"")</f>
        <v/>
      </c>
      <c r="B1022" s="1" t="str">
        <f>IF(ROW()&lt;=Results!$C$1+1,VLOOKUP($A1022,Data!$A$2:$C$117,2,TRUE),"")</f>
        <v/>
      </c>
      <c r="C1022" s="14" t="str">
        <f>IF(ROW()&lt;=Results!$C$1+1,IF(B1022&lt;=0,"",LN(B1022)),"")</f>
        <v/>
      </c>
      <c r="D1022" s="58" t="str">
        <f ca="1">IF(Results!$S$5,A1022,IF(ROW()&lt;=Results!$C$1+1,INDEX(Data!$A:$A,CEILING((COUNTA(Data!$A:$A)-1)*RAND()+1,1)),""))</f>
        <v/>
      </c>
      <c r="E1022" s="1" t="str">
        <f>IF(ROW()&lt;=Results!$C$1+1,VLOOKUP($D1022,Data!$A$2:$C$117,3,TRUE),"")</f>
        <v/>
      </c>
      <c r="F1022" s="14" t="str">
        <f>IF(ROW()&lt;=Results!$C$1+1,IF(E1022&lt;=0,"",LN(E1022)),"")</f>
        <v/>
      </c>
      <c r="G1022" s="53" t="str">
        <f>IF(ROW()&lt;=Results!$C$1+1,IF(ISERROR(C1022-F1022),"",C1022-F1022),"")</f>
        <v/>
      </c>
    </row>
    <row r="1023" spans="1:7" x14ac:dyDescent="0.25">
      <c r="A1023" s="1" t="str">
        <f ca="1">IF(ROW()&lt;=Results!$C$1+1,INDEX(Data!$A:$A,CEILING((COUNTA(Data!$A:$A)-1)*RAND()+1,1)),"")</f>
        <v/>
      </c>
      <c r="B1023" s="1" t="str">
        <f>IF(ROW()&lt;=Results!$C$1+1,VLOOKUP($A1023,Data!$A$2:$C$117,2,TRUE),"")</f>
        <v/>
      </c>
      <c r="C1023" s="14" t="str">
        <f>IF(ROW()&lt;=Results!$C$1+1,IF(B1023&lt;=0,"",LN(B1023)),"")</f>
        <v/>
      </c>
      <c r="D1023" s="58" t="str">
        <f ca="1">IF(Results!$S$5,A1023,IF(ROW()&lt;=Results!$C$1+1,INDEX(Data!$A:$A,CEILING((COUNTA(Data!$A:$A)-1)*RAND()+1,1)),""))</f>
        <v/>
      </c>
      <c r="E1023" s="1" t="str">
        <f>IF(ROW()&lt;=Results!$C$1+1,VLOOKUP($D1023,Data!$A$2:$C$117,3,TRUE),"")</f>
        <v/>
      </c>
      <c r="F1023" s="14" t="str">
        <f>IF(ROW()&lt;=Results!$C$1+1,IF(E1023&lt;=0,"",LN(E1023)),"")</f>
        <v/>
      </c>
      <c r="G1023" s="53" t="str">
        <f>IF(ROW()&lt;=Results!$C$1+1,IF(ISERROR(C1023-F1023),"",C1023-F1023),"")</f>
        <v/>
      </c>
    </row>
    <row r="1024" spans="1:7" x14ac:dyDescent="0.25">
      <c r="A1024" s="1" t="str">
        <f ca="1">IF(ROW()&lt;=Results!$C$1+1,INDEX(Data!$A:$A,CEILING((COUNTA(Data!$A:$A)-1)*RAND()+1,1)),"")</f>
        <v/>
      </c>
      <c r="B1024" s="1" t="str">
        <f>IF(ROW()&lt;=Results!$C$1+1,VLOOKUP($A1024,Data!$A$2:$C$117,2,TRUE),"")</f>
        <v/>
      </c>
      <c r="C1024" s="14" t="str">
        <f>IF(ROW()&lt;=Results!$C$1+1,IF(B1024&lt;=0,"",LN(B1024)),"")</f>
        <v/>
      </c>
      <c r="D1024" s="58" t="str">
        <f ca="1">IF(Results!$S$5,A1024,IF(ROW()&lt;=Results!$C$1+1,INDEX(Data!$A:$A,CEILING((COUNTA(Data!$A:$A)-1)*RAND()+1,1)),""))</f>
        <v/>
      </c>
      <c r="E1024" s="1" t="str">
        <f>IF(ROW()&lt;=Results!$C$1+1,VLOOKUP($D1024,Data!$A$2:$C$117,3,TRUE),"")</f>
        <v/>
      </c>
      <c r="F1024" s="14" t="str">
        <f>IF(ROW()&lt;=Results!$C$1+1,IF(E1024&lt;=0,"",LN(E1024)),"")</f>
        <v/>
      </c>
      <c r="G1024" s="53" t="str">
        <f>IF(ROW()&lt;=Results!$C$1+1,IF(ISERROR(C1024-F1024),"",C1024-F1024),"")</f>
        <v/>
      </c>
    </row>
    <row r="1025" spans="1:7" x14ac:dyDescent="0.25">
      <c r="A1025" s="1" t="str">
        <f ca="1">IF(ROW()&lt;=Results!$C$1+1,INDEX(Data!$A:$A,CEILING((COUNTA(Data!$A:$A)-1)*RAND()+1,1)),"")</f>
        <v/>
      </c>
      <c r="B1025" s="1" t="str">
        <f>IF(ROW()&lt;=Results!$C$1+1,VLOOKUP($A1025,Data!$A$2:$C$117,2,TRUE),"")</f>
        <v/>
      </c>
      <c r="C1025" s="14" t="str">
        <f>IF(ROW()&lt;=Results!$C$1+1,IF(B1025&lt;=0,"",LN(B1025)),"")</f>
        <v/>
      </c>
      <c r="D1025" s="58" t="str">
        <f ca="1">IF(Results!$S$5,A1025,IF(ROW()&lt;=Results!$C$1+1,INDEX(Data!$A:$A,CEILING((COUNTA(Data!$A:$A)-1)*RAND()+1,1)),""))</f>
        <v/>
      </c>
      <c r="E1025" s="1" t="str">
        <f>IF(ROW()&lt;=Results!$C$1+1,VLOOKUP($D1025,Data!$A$2:$C$117,3,TRUE),"")</f>
        <v/>
      </c>
      <c r="F1025" s="14" t="str">
        <f>IF(ROW()&lt;=Results!$C$1+1,IF(E1025&lt;=0,"",LN(E1025)),"")</f>
        <v/>
      </c>
      <c r="G1025" s="53" t="str">
        <f>IF(ROW()&lt;=Results!$C$1+1,IF(ISERROR(C1025-F1025),"",C1025-F1025),"")</f>
        <v/>
      </c>
    </row>
    <row r="1026" spans="1:7" x14ac:dyDescent="0.25">
      <c r="A1026" s="1" t="str">
        <f ca="1">IF(ROW()&lt;=Results!$C$1+1,INDEX(Data!$A:$A,CEILING((COUNTA(Data!$A:$A)-1)*RAND()+1,1)),"")</f>
        <v/>
      </c>
      <c r="B1026" s="1" t="str">
        <f>IF(ROW()&lt;=Results!$C$1+1,VLOOKUP($A1026,Data!$A$2:$C$117,2,TRUE),"")</f>
        <v/>
      </c>
      <c r="C1026" s="14" t="str">
        <f>IF(ROW()&lt;=Results!$C$1+1,IF(B1026&lt;=0,"",LN(B1026)),"")</f>
        <v/>
      </c>
      <c r="D1026" s="58" t="str">
        <f ca="1">IF(Results!$S$5,A1026,IF(ROW()&lt;=Results!$C$1+1,INDEX(Data!$A:$A,CEILING((COUNTA(Data!$A:$A)-1)*RAND()+1,1)),""))</f>
        <v/>
      </c>
      <c r="E1026" s="1" t="str">
        <f>IF(ROW()&lt;=Results!$C$1+1,VLOOKUP($D1026,Data!$A$2:$C$117,3,TRUE),"")</f>
        <v/>
      </c>
      <c r="F1026" s="14" t="str">
        <f>IF(ROW()&lt;=Results!$C$1+1,IF(E1026&lt;=0,"",LN(E1026)),"")</f>
        <v/>
      </c>
      <c r="G1026" s="53" t="str">
        <f>IF(ROW()&lt;=Results!$C$1+1,IF(ISERROR(C1026-F1026),"",C1026-F1026),"")</f>
        <v/>
      </c>
    </row>
    <row r="1027" spans="1:7" x14ac:dyDescent="0.25">
      <c r="A1027" s="1" t="str">
        <f ca="1">IF(ROW()&lt;=Results!$C$1+1,INDEX(Data!$A:$A,CEILING((COUNTA(Data!$A:$A)-1)*RAND()+1,1)),"")</f>
        <v/>
      </c>
      <c r="B1027" s="1" t="str">
        <f>IF(ROW()&lt;=Results!$C$1+1,VLOOKUP($A1027,Data!$A$2:$C$117,2,TRUE),"")</f>
        <v/>
      </c>
      <c r="C1027" s="14" t="str">
        <f>IF(ROW()&lt;=Results!$C$1+1,IF(B1027&lt;=0,"",LN(B1027)),"")</f>
        <v/>
      </c>
      <c r="D1027" s="58" t="str">
        <f ca="1">IF(Results!$S$5,A1027,IF(ROW()&lt;=Results!$C$1+1,INDEX(Data!$A:$A,CEILING((COUNTA(Data!$A:$A)-1)*RAND()+1,1)),""))</f>
        <v/>
      </c>
      <c r="E1027" s="1" t="str">
        <f>IF(ROW()&lt;=Results!$C$1+1,VLOOKUP($D1027,Data!$A$2:$C$117,3,TRUE),"")</f>
        <v/>
      </c>
      <c r="F1027" s="14" t="str">
        <f>IF(ROW()&lt;=Results!$C$1+1,IF(E1027&lt;=0,"",LN(E1027)),"")</f>
        <v/>
      </c>
      <c r="G1027" s="53" t="str">
        <f>IF(ROW()&lt;=Results!$C$1+1,IF(ISERROR(C1027-F1027),"",C1027-F1027),"")</f>
        <v/>
      </c>
    </row>
    <row r="1028" spans="1:7" x14ac:dyDescent="0.25">
      <c r="A1028" s="1" t="str">
        <f ca="1">IF(ROW()&lt;=Results!$C$1+1,INDEX(Data!$A:$A,CEILING((COUNTA(Data!$A:$A)-1)*RAND()+1,1)),"")</f>
        <v/>
      </c>
      <c r="B1028" s="1" t="str">
        <f>IF(ROW()&lt;=Results!$C$1+1,VLOOKUP($A1028,Data!$A$2:$C$117,2,TRUE),"")</f>
        <v/>
      </c>
      <c r="C1028" s="14" t="str">
        <f>IF(ROW()&lt;=Results!$C$1+1,IF(B1028&lt;=0,"",LN(B1028)),"")</f>
        <v/>
      </c>
      <c r="D1028" s="58" t="str">
        <f ca="1">IF(Results!$S$5,A1028,IF(ROW()&lt;=Results!$C$1+1,INDEX(Data!$A:$A,CEILING((COUNTA(Data!$A:$A)-1)*RAND()+1,1)),""))</f>
        <v/>
      </c>
      <c r="E1028" s="1" t="str">
        <f>IF(ROW()&lt;=Results!$C$1+1,VLOOKUP($D1028,Data!$A$2:$C$117,3,TRUE),"")</f>
        <v/>
      </c>
      <c r="F1028" s="14" t="str">
        <f>IF(ROW()&lt;=Results!$C$1+1,IF(E1028&lt;=0,"",LN(E1028)),"")</f>
        <v/>
      </c>
      <c r="G1028" s="53" t="str">
        <f>IF(ROW()&lt;=Results!$C$1+1,IF(ISERROR(C1028-F1028),"",C1028-F1028),"")</f>
        <v/>
      </c>
    </row>
    <row r="1029" spans="1:7" x14ac:dyDescent="0.25">
      <c r="A1029" s="1" t="str">
        <f ca="1">IF(ROW()&lt;=Results!$C$1+1,INDEX(Data!$A:$A,CEILING((COUNTA(Data!$A:$A)-1)*RAND()+1,1)),"")</f>
        <v/>
      </c>
      <c r="B1029" s="1" t="str">
        <f>IF(ROW()&lt;=Results!$C$1+1,VLOOKUP($A1029,Data!$A$2:$C$117,2,TRUE),"")</f>
        <v/>
      </c>
      <c r="C1029" s="14" t="str">
        <f>IF(ROW()&lt;=Results!$C$1+1,IF(B1029&lt;=0,"",LN(B1029)),"")</f>
        <v/>
      </c>
      <c r="D1029" s="58" t="str">
        <f ca="1">IF(Results!$S$5,A1029,IF(ROW()&lt;=Results!$C$1+1,INDEX(Data!$A:$A,CEILING((COUNTA(Data!$A:$A)-1)*RAND()+1,1)),""))</f>
        <v/>
      </c>
      <c r="E1029" s="1" t="str">
        <f>IF(ROW()&lt;=Results!$C$1+1,VLOOKUP($D1029,Data!$A$2:$C$117,3,TRUE),"")</f>
        <v/>
      </c>
      <c r="F1029" s="14" t="str">
        <f>IF(ROW()&lt;=Results!$C$1+1,IF(E1029&lt;=0,"",LN(E1029)),"")</f>
        <v/>
      </c>
      <c r="G1029" s="53" t="str">
        <f>IF(ROW()&lt;=Results!$C$1+1,IF(ISERROR(C1029-F1029),"",C1029-F1029),"")</f>
        <v/>
      </c>
    </row>
    <row r="1030" spans="1:7" x14ac:dyDescent="0.25">
      <c r="A1030" s="1" t="str">
        <f ca="1">IF(ROW()&lt;=Results!$C$1+1,INDEX(Data!$A:$A,CEILING((COUNTA(Data!$A:$A)-1)*RAND()+1,1)),"")</f>
        <v/>
      </c>
      <c r="B1030" s="1" t="str">
        <f>IF(ROW()&lt;=Results!$C$1+1,VLOOKUP($A1030,Data!$A$2:$C$117,2,TRUE),"")</f>
        <v/>
      </c>
      <c r="C1030" s="14" t="str">
        <f>IF(ROW()&lt;=Results!$C$1+1,IF(B1030&lt;=0,"",LN(B1030)),"")</f>
        <v/>
      </c>
      <c r="D1030" s="58" t="str">
        <f ca="1">IF(Results!$S$5,A1030,IF(ROW()&lt;=Results!$C$1+1,INDEX(Data!$A:$A,CEILING((COUNTA(Data!$A:$A)-1)*RAND()+1,1)),""))</f>
        <v/>
      </c>
      <c r="E1030" s="1" t="str">
        <f>IF(ROW()&lt;=Results!$C$1+1,VLOOKUP($D1030,Data!$A$2:$C$117,3,TRUE),"")</f>
        <v/>
      </c>
      <c r="F1030" s="14" t="str">
        <f>IF(ROW()&lt;=Results!$C$1+1,IF(E1030&lt;=0,"",LN(E1030)),"")</f>
        <v/>
      </c>
      <c r="G1030" s="53" t="str">
        <f>IF(ROW()&lt;=Results!$C$1+1,IF(ISERROR(C1030-F1030),"",C1030-F1030),"")</f>
        <v/>
      </c>
    </row>
    <row r="1031" spans="1:7" x14ac:dyDescent="0.25">
      <c r="A1031" s="1" t="str">
        <f ca="1">IF(ROW()&lt;=Results!$C$1+1,INDEX(Data!$A:$A,CEILING((COUNTA(Data!$A:$A)-1)*RAND()+1,1)),"")</f>
        <v/>
      </c>
      <c r="B1031" s="1" t="str">
        <f>IF(ROW()&lt;=Results!$C$1+1,VLOOKUP($A1031,Data!$A$2:$C$117,2,TRUE),"")</f>
        <v/>
      </c>
      <c r="C1031" s="14" t="str">
        <f>IF(ROW()&lt;=Results!$C$1+1,IF(B1031&lt;=0,"",LN(B1031)),"")</f>
        <v/>
      </c>
      <c r="D1031" s="58" t="str">
        <f ca="1">IF(Results!$S$5,A1031,IF(ROW()&lt;=Results!$C$1+1,INDEX(Data!$A:$A,CEILING((COUNTA(Data!$A:$A)-1)*RAND()+1,1)),""))</f>
        <v/>
      </c>
      <c r="E1031" s="1" t="str">
        <f>IF(ROW()&lt;=Results!$C$1+1,VLOOKUP($D1031,Data!$A$2:$C$117,3,TRUE),"")</f>
        <v/>
      </c>
      <c r="F1031" s="14" t="str">
        <f>IF(ROW()&lt;=Results!$C$1+1,IF(E1031&lt;=0,"",LN(E1031)),"")</f>
        <v/>
      </c>
      <c r="G1031" s="53" t="str">
        <f>IF(ROW()&lt;=Results!$C$1+1,IF(ISERROR(C1031-F1031),"",C1031-F1031),"")</f>
        <v/>
      </c>
    </row>
    <row r="1032" spans="1:7" x14ac:dyDescent="0.25">
      <c r="A1032" s="1" t="str">
        <f ca="1">IF(ROW()&lt;=Results!$C$1+1,INDEX(Data!$A:$A,CEILING((COUNTA(Data!$A:$A)-1)*RAND()+1,1)),"")</f>
        <v/>
      </c>
      <c r="B1032" s="1" t="str">
        <f>IF(ROW()&lt;=Results!$C$1+1,VLOOKUP($A1032,Data!$A$2:$C$117,2,TRUE),"")</f>
        <v/>
      </c>
      <c r="C1032" s="14" t="str">
        <f>IF(ROW()&lt;=Results!$C$1+1,IF(B1032&lt;=0,"",LN(B1032)),"")</f>
        <v/>
      </c>
      <c r="D1032" s="58" t="str">
        <f ca="1">IF(Results!$S$5,A1032,IF(ROW()&lt;=Results!$C$1+1,INDEX(Data!$A:$A,CEILING((COUNTA(Data!$A:$A)-1)*RAND()+1,1)),""))</f>
        <v/>
      </c>
      <c r="E1032" s="1" t="str">
        <f>IF(ROW()&lt;=Results!$C$1+1,VLOOKUP($D1032,Data!$A$2:$C$117,3,TRUE),"")</f>
        <v/>
      </c>
      <c r="F1032" s="14" t="str">
        <f>IF(ROW()&lt;=Results!$C$1+1,IF(E1032&lt;=0,"",LN(E1032)),"")</f>
        <v/>
      </c>
      <c r="G1032" s="53" t="str">
        <f>IF(ROW()&lt;=Results!$C$1+1,IF(ISERROR(C1032-F1032),"",C1032-F1032),"")</f>
        <v/>
      </c>
    </row>
    <row r="1033" spans="1:7" x14ac:dyDescent="0.25">
      <c r="A1033" s="1" t="str">
        <f ca="1">IF(ROW()&lt;=Results!$C$1+1,INDEX(Data!$A:$A,CEILING((COUNTA(Data!$A:$A)-1)*RAND()+1,1)),"")</f>
        <v/>
      </c>
      <c r="B1033" s="1" t="str">
        <f>IF(ROW()&lt;=Results!$C$1+1,VLOOKUP($A1033,Data!$A$2:$C$117,2,TRUE),"")</f>
        <v/>
      </c>
      <c r="C1033" s="14" t="str">
        <f>IF(ROW()&lt;=Results!$C$1+1,IF(B1033&lt;=0,"",LN(B1033)),"")</f>
        <v/>
      </c>
      <c r="D1033" s="58" t="str">
        <f ca="1">IF(Results!$S$5,A1033,IF(ROW()&lt;=Results!$C$1+1,INDEX(Data!$A:$A,CEILING((COUNTA(Data!$A:$A)-1)*RAND()+1,1)),""))</f>
        <v/>
      </c>
      <c r="E1033" s="1" t="str">
        <f>IF(ROW()&lt;=Results!$C$1+1,VLOOKUP($D1033,Data!$A$2:$C$117,3,TRUE),"")</f>
        <v/>
      </c>
      <c r="F1033" s="14" t="str">
        <f>IF(ROW()&lt;=Results!$C$1+1,IF(E1033&lt;=0,"",LN(E1033)),"")</f>
        <v/>
      </c>
      <c r="G1033" s="53" t="str">
        <f>IF(ROW()&lt;=Results!$C$1+1,IF(ISERROR(C1033-F1033),"",C1033-F1033),"")</f>
        <v/>
      </c>
    </row>
    <row r="1034" spans="1:7" x14ac:dyDescent="0.25">
      <c r="A1034" s="1" t="str">
        <f ca="1">IF(ROW()&lt;=Results!$C$1+1,INDEX(Data!$A:$A,CEILING((COUNTA(Data!$A:$A)-1)*RAND()+1,1)),"")</f>
        <v/>
      </c>
      <c r="B1034" s="1" t="str">
        <f>IF(ROW()&lt;=Results!$C$1+1,VLOOKUP($A1034,Data!$A$2:$C$117,2,TRUE),"")</f>
        <v/>
      </c>
      <c r="C1034" s="14" t="str">
        <f>IF(ROW()&lt;=Results!$C$1+1,IF(B1034&lt;=0,"",LN(B1034)),"")</f>
        <v/>
      </c>
      <c r="D1034" s="58" t="str">
        <f ca="1">IF(Results!$S$5,A1034,IF(ROW()&lt;=Results!$C$1+1,INDEX(Data!$A:$A,CEILING((COUNTA(Data!$A:$A)-1)*RAND()+1,1)),""))</f>
        <v/>
      </c>
      <c r="E1034" s="1" t="str">
        <f>IF(ROW()&lt;=Results!$C$1+1,VLOOKUP($D1034,Data!$A$2:$C$117,3,TRUE),"")</f>
        <v/>
      </c>
      <c r="F1034" s="14" t="str">
        <f>IF(ROW()&lt;=Results!$C$1+1,IF(E1034&lt;=0,"",LN(E1034)),"")</f>
        <v/>
      </c>
      <c r="G1034" s="53" t="str">
        <f>IF(ROW()&lt;=Results!$C$1+1,IF(ISERROR(C1034-F1034),"",C1034-F1034),"")</f>
        <v/>
      </c>
    </row>
    <row r="1035" spans="1:7" x14ac:dyDescent="0.25">
      <c r="A1035" s="1" t="str">
        <f ca="1">IF(ROW()&lt;=Results!$C$1+1,INDEX(Data!$A:$A,CEILING((COUNTA(Data!$A:$A)-1)*RAND()+1,1)),"")</f>
        <v/>
      </c>
      <c r="B1035" s="1" t="str">
        <f>IF(ROW()&lt;=Results!$C$1+1,VLOOKUP($A1035,Data!$A$2:$C$117,2,TRUE),"")</f>
        <v/>
      </c>
      <c r="C1035" s="14" t="str">
        <f>IF(ROW()&lt;=Results!$C$1+1,IF(B1035&lt;=0,"",LN(B1035)),"")</f>
        <v/>
      </c>
      <c r="D1035" s="58" t="str">
        <f ca="1">IF(Results!$S$5,A1035,IF(ROW()&lt;=Results!$C$1+1,INDEX(Data!$A:$A,CEILING((COUNTA(Data!$A:$A)-1)*RAND()+1,1)),""))</f>
        <v/>
      </c>
      <c r="E1035" s="1" t="str">
        <f>IF(ROW()&lt;=Results!$C$1+1,VLOOKUP($D1035,Data!$A$2:$C$117,3,TRUE),"")</f>
        <v/>
      </c>
      <c r="F1035" s="14" t="str">
        <f>IF(ROW()&lt;=Results!$C$1+1,IF(E1035&lt;=0,"",LN(E1035)),"")</f>
        <v/>
      </c>
      <c r="G1035" s="53" t="str">
        <f>IF(ROW()&lt;=Results!$C$1+1,IF(ISERROR(C1035-F1035),"",C1035-F1035),"")</f>
        <v/>
      </c>
    </row>
    <row r="1036" spans="1:7" x14ac:dyDescent="0.25">
      <c r="A1036" s="1" t="str">
        <f ca="1">IF(ROW()&lt;=Results!$C$1+1,INDEX(Data!$A:$A,CEILING((COUNTA(Data!$A:$A)-1)*RAND()+1,1)),"")</f>
        <v/>
      </c>
      <c r="B1036" s="1" t="str">
        <f>IF(ROW()&lt;=Results!$C$1+1,VLOOKUP($A1036,Data!$A$2:$C$117,2,TRUE),"")</f>
        <v/>
      </c>
      <c r="C1036" s="14" t="str">
        <f>IF(ROW()&lt;=Results!$C$1+1,IF(B1036&lt;=0,"",LN(B1036)),"")</f>
        <v/>
      </c>
      <c r="D1036" s="58" t="str">
        <f ca="1">IF(Results!$S$5,A1036,IF(ROW()&lt;=Results!$C$1+1,INDEX(Data!$A:$A,CEILING((COUNTA(Data!$A:$A)-1)*RAND()+1,1)),""))</f>
        <v/>
      </c>
      <c r="E1036" s="1" t="str">
        <f>IF(ROW()&lt;=Results!$C$1+1,VLOOKUP($D1036,Data!$A$2:$C$117,3,TRUE),"")</f>
        <v/>
      </c>
      <c r="F1036" s="14" t="str">
        <f>IF(ROW()&lt;=Results!$C$1+1,IF(E1036&lt;=0,"",LN(E1036)),"")</f>
        <v/>
      </c>
      <c r="G1036" s="53" t="str">
        <f>IF(ROW()&lt;=Results!$C$1+1,IF(ISERROR(C1036-F1036),"",C1036-F1036),"")</f>
        <v/>
      </c>
    </row>
    <row r="1037" spans="1:7" x14ac:dyDescent="0.25">
      <c r="A1037" s="1" t="str">
        <f ca="1">IF(ROW()&lt;=Results!$C$1+1,INDEX(Data!$A:$A,CEILING((COUNTA(Data!$A:$A)-1)*RAND()+1,1)),"")</f>
        <v/>
      </c>
      <c r="B1037" s="1" t="str">
        <f>IF(ROW()&lt;=Results!$C$1+1,VLOOKUP($A1037,Data!$A$2:$C$117,2,TRUE),"")</f>
        <v/>
      </c>
      <c r="C1037" s="14" t="str">
        <f>IF(ROW()&lt;=Results!$C$1+1,IF(B1037&lt;=0,"",LN(B1037)),"")</f>
        <v/>
      </c>
      <c r="D1037" s="58" t="str">
        <f ca="1">IF(Results!$S$5,A1037,IF(ROW()&lt;=Results!$C$1+1,INDEX(Data!$A:$A,CEILING((COUNTA(Data!$A:$A)-1)*RAND()+1,1)),""))</f>
        <v/>
      </c>
      <c r="E1037" s="1" t="str">
        <f>IF(ROW()&lt;=Results!$C$1+1,VLOOKUP($D1037,Data!$A$2:$C$117,3,TRUE),"")</f>
        <v/>
      </c>
      <c r="F1037" s="14" t="str">
        <f>IF(ROW()&lt;=Results!$C$1+1,IF(E1037&lt;=0,"",LN(E1037)),"")</f>
        <v/>
      </c>
      <c r="G1037" s="53" t="str">
        <f>IF(ROW()&lt;=Results!$C$1+1,IF(ISERROR(C1037-F1037),"",C1037-F1037),"")</f>
        <v/>
      </c>
    </row>
    <row r="1038" spans="1:7" x14ac:dyDescent="0.25">
      <c r="A1038" s="1" t="str">
        <f ca="1">IF(ROW()&lt;=Results!$C$1+1,INDEX(Data!$A:$A,CEILING((COUNTA(Data!$A:$A)-1)*RAND()+1,1)),"")</f>
        <v/>
      </c>
      <c r="B1038" s="1" t="str">
        <f>IF(ROW()&lt;=Results!$C$1+1,VLOOKUP($A1038,Data!$A$2:$C$117,2,TRUE),"")</f>
        <v/>
      </c>
      <c r="C1038" s="14" t="str">
        <f>IF(ROW()&lt;=Results!$C$1+1,IF(B1038&lt;=0,"",LN(B1038)),"")</f>
        <v/>
      </c>
      <c r="D1038" s="58" t="str">
        <f ca="1">IF(Results!$S$5,A1038,IF(ROW()&lt;=Results!$C$1+1,INDEX(Data!$A:$A,CEILING((COUNTA(Data!$A:$A)-1)*RAND()+1,1)),""))</f>
        <v/>
      </c>
      <c r="E1038" s="1" t="str">
        <f>IF(ROW()&lt;=Results!$C$1+1,VLOOKUP($D1038,Data!$A$2:$C$117,3,TRUE),"")</f>
        <v/>
      </c>
      <c r="F1038" s="14" t="str">
        <f>IF(ROW()&lt;=Results!$C$1+1,IF(E1038&lt;=0,"",LN(E1038)),"")</f>
        <v/>
      </c>
      <c r="G1038" s="53" t="str">
        <f>IF(ROW()&lt;=Results!$C$1+1,IF(ISERROR(C1038-F1038),"",C1038-F1038),"")</f>
        <v/>
      </c>
    </row>
    <row r="1039" spans="1:7" x14ac:dyDescent="0.25">
      <c r="A1039" s="1" t="str">
        <f ca="1">IF(ROW()&lt;=Results!$C$1+1,INDEX(Data!$A:$A,CEILING((COUNTA(Data!$A:$A)-1)*RAND()+1,1)),"")</f>
        <v/>
      </c>
      <c r="B1039" s="1" t="str">
        <f>IF(ROW()&lt;=Results!$C$1+1,VLOOKUP($A1039,Data!$A$2:$C$117,2,TRUE),"")</f>
        <v/>
      </c>
      <c r="C1039" s="14" t="str">
        <f>IF(ROW()&lt;=Results!$C$1+1,IF(B1039&lt;=0,"",LN(B1039)),"")</f>
        <v/>
      </c>
      <c r="D1039" s="58" t="str">
        <f ca="1">IF(Results!$S$5,A1039,IF(ROW()&lt;=Results!$C$1+1,INDEX(Data!$A:$A,CEILING((COUNTA(Data!$A:$A)-1)*RAND()+1,1)),""))</f>
        <v/>
      </c>
      <c r="E1039" s="1" t="str">
        <f>IF(ROW()&lt;=Results!$C$1+1,VLOOKUP($D1039,Data!$A$2:$C$117,3,TRUE),"")</f>
        <v/>
      </c>
      <c r="F1039" s="14" t="str">
        <f>IF(ROW()&lt;=Results!$C$1+1,IF(E1039&lt;=0,"",LN(E1039)),"")</f>
        <v/>
      </c>
      <c r="G1039" s="53" t="str">
        <f>IF(ROW()&lt;=Results!$C$1+1,IF(ISERROR(C1039-F1039),"",C1039-F1039),"")</f>
        <v/>
      </c>
    </row>
    <row r="1040" spans="1:7" x14ac:dyDescent="0.25">
      <c r="A1040" s="1" t="str">
        <f ca="1">IF(ROW()&lt;=Results!$C$1+1,INDEX(Data!$A:$A,CEILING((COUNTA(Data!$A:$A)-1)*RAND()+1,1)),"")</f>
        <v/>
      </c>
      <c r="B1040" s="1" t="str">
        <f>IF(ROW()&lt;=Results!$C$1+1,VLOOKUP($A1040,Data!$A$2:$C$117,2,TRUE),"")</f>
        <v/>
      </c>
      <c r="C1040" s="14" t="str">
        <f>IF(ROW()&lt;=Results!$C$1+1,IF(B1040&lt;=0,"",LN(B1040)),"")</f>
        <v/>
      </c>
      <c r="D1040" s="58" t="str">
        <f ca="1">IF(Results!$S$5,A1040,IF(ROW()&lt;=Results!$C$1+1,INDEX(Data!$A:$A,CEILING((COUNTA(Data!$A:$A)-1)*RAND()+1,1)),""))</f>
        <v/>
      </c>
      <c r="E1040" s="1" t="str">
        <f>IF(ROW()&lt;=Results!$C$1+1,VLOOKUP($D1040,Data!$A$2:$C$117,3,TRUE),"")</f>
        <v/>
      </c>
      <c r="F1040" s="14" t="str">
        <f>IF(ROW()&lt;=Results!$C$1+1,IF(E1040&lt;=0,"",LN(E1040)),"")</f>
        <v/>
      </c>
      <c r="G1040" s="53" t="str">
        <f>IF(ROW()&lt;=Results!$C$1+1,IF(ISERROR(C1040-F1040),"",C1040-F1040),"")</f>
        <v/>
      </c>
    </row>
    <row r="1041" spans="1:7" x14ac:dyDescent="0.25">
      <c r="A1041" s="1" t="str">
        <f ca="1">IF(ROW()&lt;=Results!$C$1+1,INDEX(Data!$A:$A,CEILING((COUNTA(Data!$A:$A)-1)*RAND()+1,1)),"")</f>
        <v/>
      </c>
      <c r="B1041" s="1" t="str">
        <f>IF(ROW()&lt;=Results!$C$1+1,VLOOKUP($A1041,Data!$A$2:$C$117,2,TRUE),"")</f>
        <v/>
      </c>
      <c r="C1041" s="14" t="str">
        <f>IF(ROW()&lt;=Results!$C$1+1,IF(B1041&lt;=0,"",LN(B1041)),"")</f>
        <v/>
      </c>
      <c r="D1041" s="58" t="str">
        <f ca="1">IF(Results!$S$5,A1041,IF(ROW()&lt;=Results!$C$1+1,INDEX(Data!$A:$A,CEILING((COUNTA(Data!$A:$A)-1)*RAND()+1,1)),""))</f>
        <v/>
      </c>
      <c r="E1041" s="1" t="str">
        <f>IF(ROW()&lt;=Results!$C$1+1,VLOOKUP($D1041,Data!$A$2:$C$117,3,TRUE),"")</f>
        <v/>
      </c>
      <c r="F1041" s="14" t="str">
        <f>IF(ROW()&lt;=Results!$C$1+1,IF(E1041&lt;=0,"",LN(E1041)),"")</f>
        <v/>
      </c>
      <c r="G1041" s="53" t="str">
        <f>IF(ROW()&lt;=Results!$C$1+1,IF(ISERROR(C1041-F1041),"",C1041-F1041),"")</f>
        <v/>
      </c>
    </row>
    <row r="1042" spans="1:7" x14ac:dyDescent="0.25">
      <c r="A1042" s="1" t="str">
        <f ca="1">IF(ROW()&lt;=Results!$C$1+1,INDEX(Data!$A:$A,CEILING((COUNTA(Data!$A:$A)-1)*RAND()+1,1)),"")</f>
        <v/>
      </c>
      <c r="B1042" s="1" t="str">
        <f>IF(ROW()&lt;=Results!$C$1+1,VLOOKUP($A1042,Data!$A$2:$C$117,2,TRUE),"")</f>
        <v/>
      </c>
      <c r="C1042" s="14" t="str">
        <f>IF(ROW()&lt;=Results!$C$1+1,IF(B1042&lt;=0,"",LN(B1042)),"")</f>
        <v/>
      </c>
      <c r="D1042" s="58" t="str">
        <f ca="1">IF(Results!$S$5,A1042,IF(ROW()&lt;=Results!$C$1+1,INDEX(Data!$A:$A,CEILING((COUNTA(Data!$A:$A)-1)*RAND()+1,1)),""))</f>
        <v/>
      </c>
      <c r="E1042" s="1" t="str">
        <f>IF(ROW()&lt;=Results!$C$1+1,VLOOKUP($D1042,Data!$A$2:$C$117,3,TRUE),"")</f>
        <v/>
      </c>
      <c r="F1042" s="14" t="str">
        <f>IF(ROW()&lt;=Results!$C$1+1,IF(E1042&lt;=0,"",LN(E1042)),"")</f>
        <v/>
      </c>
      <c r="G1042" s="53" t="str">
        <f>IF(ROW()&lt;=Results!$C$1+1,IF(ISERROR(C1042-F1042),"",C1042-F1042),"")</f>
        <v/>
      </c>
    </row>
    <row r="1043" spans="1:7" x14ac:dyDescent="0.25">
      <c r="A1043" s="1" t="str">
        <f ca="1">IF(ROW()&lt;=Results!$C$1+1,INDEX(Data!$A:$A,CEILING((COUNTA(Data!$A:$A)-1)*RAND()+1,1)),"")</f>
        <v/>
      </c>
      <c r="B1043" s="1" t="str">
        <f>IF(ROW()&lt;=Results!$C$1+1,VLOOKUP($A1043,Data!$A$2:$C$117,2,TRUE),"")</f>
        <v/>
      </c>
      <c r="C1043" s="14" t="str">
        <f>IF(ROW()&lt;=Results!$C$1+1,IF(B1043&lt;=0,"",LN(B1043)),"")</f>
        <v/>
      </c>
      <c r="D1043" s="58" t="str">
        <f ca="1">IF(Results!$S$5,A1043,IF(ROW()&lt;=Results!$C$1+1,INDEX(Data!$A:$A,CEILING((COUNTA(Data!$A:$A)-1)*RAND()+1,1)),""))</f>
        <v/>
      </c>
      <c r="E1043" s="1" t="str">
        <f>IF(ROW()&lt;=Results!$C$1+1,VLOOKUP($D1043,Data!$A$2:$C$117,3,TRUE),"")</f>
        <v/>
      </c>
      <c r="F1043" s="14" t="str">
        <f>IF(ROW()&lt;=Results!$C$1+1,IF(E1043&lt;=0,"",LN(E1043)),"")</f>
        <v/>
      </c>
      <c r="G1043" s="53" t="str">
        <f>IF(ROW()&lt;=Results!$C$1+1,IF(ISERROR(C1043-F1043),"",C1043-F1043),"")</f>
        <v/>
      </c>
    </row>
    <row r="1044" spans="1:7" x14ac:dyDescent="0.25">
      <c r="A1044" s="1" t="str">
        <f ca="1">IF(ROW()&lt;=Results!$C$1+1,INDEX(Data!$A:$A,CEILING((COUNTA(Data!$A:$A)-1)*RAND()+1,1)),"")</f>
        <v/>
      </c>
      <c r="B1044" s="1" t="str">
        <f>IF(ROW()&lt;=Results!$C$1+1,VLOOKUP($A1044,Data!$A$2:$C$117,2,TRUE),"")</f>
        <v/>
      </c>
      <c r="C1044" s="14" t="str">
        <f>IF(ROW()&lt;=Results!$C$1+1,IF(B1044&lt;=0,"",LN(B1044)),"")</f>
        <v/>
      </c>
      <c r="D1044" s="58" t="str">
        <f ca="1">IF(Results!$S$5,A1044,IF(ROW()&lt;=Results!$C$1+1,INDEX(Data!$A:$A,CEILING((COUNTA(Data!$A:$A)-1)*RAND()+1,1)),""))</f>
        <v/>
      </c>
      <c r="E1044" s="1" t="str">
        <f>IF(ROW()&lt;=Results!$C$1+1,VLOOKUP($D1044,Data!$A$2:$C$117,3,TRUE),"")</f>
        <v/>
      </c>
      <c r="F1044" s="14" t="str">
        <f>IF(ROW()&lt;=Results!$C$1+1,IF(E1044&lt;=0,"",LN(E1044)),"")</f>
        <v/>
      </c>
      <c r="G1044" s="53" t="str">
        <f>IF(ROW()&lt;=Results!$C$1+1,IF(ISERROR(C1044-F1044),"",C1044-F1044),"")</f>
        <v/>
      </c>
    </row>
    <row r="1045" spans="1:7" x14ac:dyDescent="0.25">
      <c r="A1045" s="1" t="str">
        <f ca="1">IF(ROW()&lt;=Results!$C$1+1,INDEX(Data!$A:$A,CEILING((COUNTA(Data!$A:$A)-1)*RAND()+1,1)),"")</f>
        <v/>
      </c>
      <c r="B1045" s="1" t="str">
        <f>IF(ROW()&lt;=Results!$C$1+1,VLOOKUP($A1045,Data!$A$2:$C$117,2,TRUE),"")</f>
        <v/>
      </c>
      <c r="C1045" s="14" t="str">
        <f>IF(ROW()&lt;=Results!$C$1+1,IF(B1045&lt;=0,"",LN(B1045)),"")</f>
        <v/>
      </c>
      <c r="D1045" s="58" t="str">
        <f ca="1">IF(Results!$S$5,A1045,IF(ROW()&lt;=Results!$C$1+1,INDEX(Data!$A:$A,CEILING((COUNTA(Data!$A:$A)-1)*RAND()+1,1)),""))</f>
        <v/>
      </c>
      <c r="E1045" s="1" t="str">
        <f>IF(ROW()&lt;=Results!$C$1+1,VLOOKUP($D1045,Data!$A$2:$C$117,3,TRUE),"")</f>
        <v/>
      </c>
      <c r="F1045" s="14" t="str">
        <f>IF(ROW()&lt;=Results!$C$1+1,IF(E1045&lt;=0,"",LN(E1045)),"")</f>
        <v/>
      </c>
      <c r="G1045" s="53" t="str">
        <f>IF(ROW()&lt;=Results!$C$1+1,IF(ISERROR(C1045-F1045),"",C1045-F1045),"")</f>
        <v/>
      </c>
    </row>
    <row r="1046" spans="1:7" x14ac:dyDescent="0.25">
      <c r="A1046" s="1" t="str">
        <f ca="1">IF(ROW()&lt;=Results!$C$1+1,INDEX(Data!$A:$A,CEILING((COUNTA(Data!$A:$A)-1)*RAND()+1,1)),"")</f>
        <v/>
      </c>
      <c r="B1046" s="1" t="str">
        <f>IF(ROW()&lt;=Results!$C$1+1,VLOOKUP($A1046,Data!$A$2:$C$117,2,TRUE),"")</f>
        <v/>
      </c>
      <c r="C1046" s="14" t="str">
        <f>IF(ROW()&lt;=Results!$C$1+1,IF(B1046&lt;=0,"",LN(B1046)),"")</f>
        <v/>
      </c>
      <c r="D1046" s="58" t="str">
        <f ca="1">IF(Results!$S$5,A1046,IF(ROW()&lt;=Results!$C$1+1,INDEX(Data!$A:$A,CEILING((COUNTA(Data!$A:$A)-1)*RAND()+1,1)),""))</f>
        <v/>
      </c>
      <c r="E1046" s="1" t="str">
        <f>IF(ROW()&lt;=Results!$C$1+1,VLOOKUP($D1046,Data!$A$2:$C$117,3,TRUE),"")</f>
        <v/>
      </c>
      <c r="F1046" s="14" t="str">
        <f>IF(ROW()&lt;=Results!$C$1+1,IF(E1046&lt;=0,"",LN(E1046)),"")</f>
        <v/>
      </c>
      <c r="G1046" s="53" t="str">
        <f>IF(ROW()&lt;=Results!$C$1+1,IF(ISERROR(C1046-F1046),"",C1046-F1046),"")</f>
        <v/>
      </c>
    </row>
    <row r="1047" spans="1:7" x14ac:dyDescent="0.25">
      <c r="A1047" s="1" t="str">
        <f ca="1">IF(ROW()&lt;=Results!$C$1+1,INDEX(Data!$A:$A,CEILING((COUNTA(Data!$A:$A)-1)*RAND()+1,1)),"")</f>
        <v/>
      </c>
      <c r="B1047" s="1" t="str">
        <f>IF(ROW()&lt;=Results!$C$1+1,VLOOKUP($A1047,Data!$A$2:$C$117,2,TRUE),"")</f>
        <v/>
      </c>
      <c r="C1047" s="14" t="str">
        <f>IF(ROW()&lt;=Results!$C$1+1,IF(B1047&lt;=0,"",LN(B1047)),"")</f>
        <v/>
      </c>
      <c r="D1047" s="58" t="str">
        <f ca="1">IF(Results!$S$5,A1047,IF(ROW()&lt;=Results!$C$1+1,INDEX(Data!$A:$A,CEILING((COUNTA(Data!$A:$A)-1)*RAND()+1,1)),""))</f>
        <v/>
      </c>
      <c r="E1047" s="1" t="str">
        <f>IF(ROW()&lt;=Results!$C$1+1,VLOOKUP($D1047,Data!$A$2:$C$117,3,TRUE),"")</f>
        <v/>
      </c>
      <c r="F1047" s="14" t="str">
        <f>IF(ROW()&lt;=Results!$C$1+1,IF(E1047&lt;=0,"",LN(E1047)),"")</f>
        <v/>
      </c>
      <c r="G1047" s="53" t="str">
        <f>IF(ROW()&lt;=Results!$C$1+1,IF(ISERROR(C1047-F1047),"",C1047-F1047),"")</f>
        <v/>
      </c>
    </row>
    <row r="1048" spans="1:7" x14ac:dyDescent="0.25">
      <c r="A1048" s="1" t="str">
        <f ca="1">IF(ROW()&lt;=Results!$C$1+1,INDEX(Data!$A:$A,CEILING((COUNTA(Data!$A:$A)-1)*RAND()+1,1)),"")</f>
        <v/>
      </c>
      <c r="B1048" s="1" t="str">
        <f>IF(ROW()&lt;=Results!$C$1+1,VLOOKUP($A1048,Data!$A$2:$C$117,2,TRUE),"")</f>
        <v/>
      </c>
      <c r="C1048" s="14" t="str">
        <f>IF(ROW()&lt;=Results!$C$1+1,IF(B1048&lt;=0,"",LN(B1048)),"")</f>
        <v/>
      </c>
      <c r="D1048" s="58" t="str">
        <f ca="1">IF(Results!$S$5,A1048,IF(ROW()&lt;=Results!$C$1+1,INDEX(Data!$A:$A,CEILING((COUNTA(Data!$A:$A)-1)*RAND()+1,1)),""))</f>
        <v/>
      </c>
      <c r="E1048" s="1" t="str">
        <f>IF(ROW()&lt;=Results!$C$1+1,VLOOKUP($D1048,Data!$A$2:$C$117,3,TRUE),"")</f>
        <v/>
      </c>
      <c r="F1048" s="14" t="str">
        <f>IF(ROW()&lt;=Results!$C$1+1,IF(E1048&lt;=0,"",LN(E1048)),"")</f>
        <v/>
      </c>
      <c r="G1048" s="53" t="str">
        <f>IF(ROW()&lt;=Results!$C$1+1,IF(ISERROR(C1048-F1048),"",C1048-F1048),"")</f>
        <v/>
      </c>
    </row>
    <row r="1049" spans="1:7" x14ac:dyDescent="0.25">
      <c r="A1049" s="1" t="str">
        <f ca="1">IF(ROW()&lt;=Results!$C$1+1,INDEX(Data!$A:$A,CEILING((COUNTA(Data!$A:$A)-1)*RAND()+1,1)),"")</f>
        <v/>
      </c>
      <c r="B1049" s="1" t="str">
        <f>IF(ROW()&lt;=Results!$C$1+1,VLOOKUP($A1049,Data!$A$2:$C$117,2,TRUE),"")</f>
        <v/>
      </c>
      <c r="C1049" s="14" t="str">
        <f>IF(ROW()&lt;=Results!$C$1+1,IF(B1049&lt;=0,"",LN(B1049)),"")</f>
        <v/>
      </c>
      <c r="D1049" s="58" t="str">
        <f ca="1">IF(Results!$S$5,A1049,IF(ROW()&lt;=Results!$C$1+1,INDEX(Data!$A:$A,CEILING((COUNTA(Data!$A:$A)-1)*RAND()+1,1)),""))</f>
        <v/>
      </c>
      <c r="E1049" s="1" t="str">
        <f>IF(ROW()&lt;=Results!$C$1+1,VLOOKUP($D1049,Data!$A$2:$C$117,3,TRUE),"")</f>
        <v/>
      </c>
      <c r="F1049" s="14" t="str">
        <f>IF(ROW()&lt;=Results!$C$1+1,IF(E1049&lt;=0,"",LN(E1049)),"")</f>
        <v/>
      </c>
      <c r="G1049" s="53" t="str">
        <f>IF(ROW()&lt;=Results!$C$1+1,IF(ISERROR(C1049-F1049),"",C1049-F1049),"")</f>
        <v/>
      </c>
    </row>
    <row r="1050" spans="1:7" x14ac:dyDescent="0.25">
      <c r="A1050" s="1" t="str">
        <f ca="1">IF(ROW()&lt;=Results!$C$1+1,INDEX(Data!$A:$A,CEILING((COUNTA(Data!$A:$A)-1)*RAND()+1,1)),"")</f>
        <v/>
      </c>
      <c r="B1050" s="1" t="str">
        <f>IF(ROW()&lt;=Results!$C$1+1,VLOOKUP($A1050,Data!$A$2:$C$117,2,TRUE),"")</f>
        <v/>
      </c>
      <c r="C1050" s="14" t="str">
        <f>IF(ROW()&lt;=Results!$C$1+1,IF(B1050&lt;=0,"",LN(B1050)),"")</f>
        <v/>
      </c>
      <c r="D1050" s="58" t="str">
        <f ca="1">IF(Results!$S$5,A1050,IF(ROW()&lt;=Results!$C$1+1,INDEX(Data!$A:$A,CEILING((COUNTA(Data!$A:$A)-1)*RAND()+1,1)),""))</f>
        <v/>
      </c>
      <c r="E1050" s="1" t="str">
        <f>IF(ROW()&lt;=Results!$C$1+1,VLOOKUP($D1050,Data!$A$2:$C$117,3,TRUE),"")</f>
        <v/>
      </c>
      <c r="F1050" s="14" t="str">
        <f>IF(ROW()&lt;=Results!$C$1+1,IF(E1050&lt;=0,"",LN(E1050)),"")</f>
        <v/>
      </c>
      <c r="G1050" s="53" t="str">
        <f>IF(ROW()&lt;=Results!$C$1+1,IF(ISERROR(C1050-F1050),"",C1050-F1050),"")</f>
        <v/>
      </c>
    </row>
    <row r="1051" spans="1:7" x14ac:dyDescent="0.25">
      <c r="A1051" s="1" t="str">
        <f ca="1">IF(ROW()&lt;=Results!$C$1+1,INDEX(Data!$A:$A,CEILING((COUNTA(Data!$A:$A)-1)*RAND()+1,1)),"")</f>
        <v/>
      </c>
      <c r="B1051" s="1" t="str">
        <f>IF(ROW()&lt;=Results!$C$1+1,VLOOKUP($A1051,Data!$A$2:$C$117,2,TRUE),"")</f>
        <v/>
      </c>
      <c r="C1051" s="14" t="str">
        <f>IF(ROW()&lt;=Results!$C$1+1,IF(B1051&lt;=0,"",LN(B1051)),"")</f>
        <v/>
      </c>
      <c r="D1051" s="58" t="str">
        <f ca="1">IF(Results!$S$5,A1051,IF(ROW()&lt;=Results!$C$1+1,INDEX(Data!$A:$A,CEILING((COUNTA(Data!$A:$A)-1)*RAND()+1,1)),""))</f>
        <v/>
      </c>
      <c r="E1051" s="1" t="str">
        <f>IF(ROW()&lt;=Results!$C$1+1,VLOOKUP($D1051,Data!$A$2:$C$117,3,TRUE),"")</f>
        <v/>
      </c>
      <c r="F1051" s="14" t="str">
        <f>IF(ROW()&lt;=Results!$C$1+1,IF(E1051&lt;=0,"",LN(E1051)),"")</f>
        <v/>
      </c>
      <c r="G1051" s="53" t="str">
        <f>IF(ROW()&lt;=Results!$C$1+1,IF(ISERROR(C1051-F1051),"",C1051-F1051),"")</f>
        <v/>
      </c>
    </row>
    <row r="1052" spans="1:7" x14ac:dyDescent="0.25">
      <c r="A1052" s="1" t="str">
        <f ca="1">IF(ROW()&lt;=Results!$C$1+1,INDEX(Data!$A:$A,CEILING((COUNTA(Data!$A:$A)-1)*RAND()+1,1)),"")</f>
        <v/>
      </c>
      <c r="B1052" s="1" t="str">
        <f>IF(ROW()&lt;=Results!$C$1+1,VLOOKUP($A1052,Data!$A$2:$C$117,2,TRUE),"")</f>
        <v/>
      </c>
      <c r="C1052" s="14" t="str">
        <f>IF(ROW()&lt;=Results!$C$1+1,IF(B1052&lt;=0,"",LN(B1052)),"")</f>
        <v/>
      </c>
      <c r="D1052" s="58" t="str">
        <f ca="1">IF(Results!$S$5,A1052,IF(ROW()&lt;=Results!$C$1+1,INDEX(Data!$A:$A,CEILING((COUNTA(Data!$A:$A)-1)*RAND()+1,1)),""))</f>
        <v/>
      </c>
      <c r="E1052" s="1" t="str">
        <f>IF(ROW()&lt;=Results!$C$1+1,VLOOKUP($D1052,Data!$A$2:$C$117,3,TRUE),"")</f>
        <v/>
      </c>
      <c r="F1052" s="14" t="str">
        <f>IF(ROW()&lt;=Results!$C$1+1,IF(E1052&lt;=0,"",LN(E1052)),"")</f>
        <v/>
      </c>
      <c r="G1052" s="53" t="str">
        <f>IF(ROW()&lt;=Results!$C$1+1,IF(ISERROR(C1052-F1052),"",C1052-F1052),"")</f>
        <v/>
      </c>
    </row>
    <row r="1053" spans="1:7" x14ac:dyDescent="0.25">
      <c r="A1053" s="1" t="str">
        <f ca="1">IF(ROW()&lt;=Results!$C$1+1,INDEX(Data!$A:$A,CEILING((COUNTA(Data!$A:$A)-1)*RAND()+1,1)),"")</f>
        <v/>
      </c>
      <c r="B1053" s="1" t="str">
        <f>IF(ROW()&lt;=Results!$C$1+1,VLOOKUP($A1053,Data!$A$2:$C$117,2,TRUE),"")</f>
        <v/>
      </c>
      <c r="C1053" s="14" t="str">
        <f>IF(ROW()&lt;=Results!$C$1+1,IF(B1053&lt;=0,"",LN(B1053)),"")</f>
        <v/>
      </c>
      <c r="D1053" s="58" t="str">
        <f ca="1">IF(Results!$S$5,A1053,IF(ROW()&lt;=Results!$C$1+1,INDEX(Data!$A:$A,CEILING((COUNTA(Data!$A:$A)-1)*RAND()+1,1)),""))</f>
        <v/>
      </c>
      <c r="E1053" s="1" t="str">
        <f>IF(ROW()&lt;=Results!$C$1+1,VLOOKUP($D1053,Data!$A$2:$C$117,3,TRUE),"")</f>
        <v/>
      </c>
      <c r="F1053" s="14" t="str">
        <f>IF(ROW()&lt;=Results!$C$1+1,IF(E1053&lt;=0,"",LN(E1053)),"")</f>
        <v/>
      </c>
      <c r="G1053" s="53" t="str">
        <f>IF(ROW()&lt;=Results!$C$1+1,IF(ISERROR(C1053-F1053),"",C1053-F1053),"")</f>
        <v/>
      </c>
    </row>
    <row r="1054" spans="1:7" x14ac:dyDescent="0.25">
      <c r="A1054" s="1" t="str">
        <f ca="1">IF(ROW()&lt;=Results!$C$1+1,INDEX(Data!$A:$A,CEILING((COUNTA(Data!$A:$A)-1)*RAND()+1,1)),"")</f>
        <v/>
      </c>
      <c r="B1054" s="1" t="str">
        <f>IF(ROW()&lt;=Results!$C$1+1,VLOOKUP($A1054,Data!$A$2:$C$117,2,TRUE),"")</f>
        <v/>
      </c>
      <c r="C1054" s="14" t="str">
        <f>IF(ROW()&lt;=Results!$C$1+1,IF(B1054&lt;=0,"",LN(B1054)),"")</f>
        <v/>
      </c>
      <c r="D1054" s="58" t="str">
        <f ca="1">IF(Results!$S$5,A1054,IF(ROW()&lt;=Results!$C$1+1,INDEX(Data!$A:$A,CEILING((COUNTA(Data!$A:$A)-1)*RAND()+1,1)),""))</f>
        <v/>
      </c>
      <c r="E1054" s="1" t="str">
        <f>IF(ROW()&lt;=Results!$C$1+1,VLOOKUP($D1054,Data!$A$2:$C$117,3,TRUE),"")</f>
        <v/>
      </c>
      <c r="F1054" s="14" t="str">
        <f>IF(ROW()&lt;=Results!$C$1+1,IF(E1054&lt;=0,"",LN(E1054)),"")</f>
        <v/>
      </c>
      <c r="G1054" s="53" t="str">
        <f>IF(ROW()&lt;=Results!$C$1+1,IF(ISERROR(C1054-F1054),"",C1054-F1054),"")</f>
        <v/>
      </c>
    </row>
    <row r="1055" spans="1:7" x14ac:dyDescent="0.25">
      <c r="A1055" s="1" t="str">
        <f ca="1">IF(ROW()&lt;=Results!$C$1+1,INDEX(Data!$A:$A,CEILING((COUNTA(Data!$A:$A)-1)*RAND()+1,1)),"")</f>
        <v/>
      </c>
      <c r="B1055" s="1" t="str">
        <f>IF(ROW()&lt;=Results!$C$1+1,VLOOKUP($A1055,Data!$A$2:$C$117,2,TRUE),"")</f>
        <v/>
      </c>
      <c r="C1055" s="14" t="str">
        <f>IF(ROW()&lt;=Results!$C$1+1,IF(B1055&lt;=0,"",LN(B1055)),"")</f>
        <v/>
      </c>
      <c r="D1055" s="58" t="str">
        <f ca="1">IF(Results!$S$5,A1055,IF(ROW()&lt;=Results!$C$1+1,INDEX(Data!$A:$A,CEILING((COUNTA(Data!$A:$A)-1)*RAND()+1,1)),""))</f>
        <v/>
      </c>
      <c r="E1055" s="1" t="str">
        <f>IF(ROW()&lt;=Results!$C$1+1,VLOOKUP($D1055,Data!$A$2:$C$117,3,TRUE),"")</f>
        <v/>
      </c>
      <c r="F1055" s="14" t="str">
        <f>IF(ROW()&lt;=Results!$C$1+1,IF(E1055&lt;=0,"",LN(E1055)),"")</f>
        <v/>
      </c>
      <c r="G1055" s="53" t="str">
        <f>IF(ROW()&lt;=Results!$C$1+1,IF(ISERROR(C1055-F1055),"",C1055-F1055),"")</f>
        <v/>
      </c>
    </row>
    <row r="1056" spans="1:7" x14ac:dyDescent="0.25">
      <c r="A1056" s="1" t="str">
        <f ca="1">IF(ROW()&lt;=Results!$C$1+1,INDEX(Data!$A:$A,CEILING((COUNTA(Data!$A:$A)-1)*RAND()+1,1)),"")</f>
        <v/>
      </c>
      <c r="B1056" s="1" t="str">
        <f>IF(ROW()&lt;=Results!$C$1+1,VLOOKUP($A1056,Data!$A$2:$C$117,2,TRUE),"")</f>
        <v/>
      </c>
      <c r="C1056" s="14" t="str">
        <f>IF(ROW()&lt;=Results!$C$1+1,IF(B1056&lt;=0,"",LN(B1056)),"")</f>
        <v/>
      </c>
      <c r="D1056" s="58" t="str">
        <f ca="1">IF(Results!$S$5,A1056,IF(ROW()&lt;=Results!$C$1+1,INDEX(Data!$A:$A,CEILING((COUNTA(Data!$A:$A)-1)*RAND()+1,1)),""))</f>
        <v/>
      </c>
      <c r="E1056" s="1" t="str">
        <f>IF(ROW()&lt;=Results!$C$1+1,VLOOKUP($D1056,Data!$A$2:$C$117,3,TRUE),"")</f>
        <v/>
      </c>
      <c r="F1056" s="14" t="str">
        <f>IF(ROW()&lt;=Results!$C$1+1,IF(E1056&lt;=0,"",LN(E1056)),"")</f>
        <v/>
      </c>
      <c r="G1056" s="53" t="str">
        <f>IF(ROW()&lt;=Results!$C$1+1,IF(ISERROR(C1056-F1056),"",C1056-F1056),"")</f>
        <v/>
      </c>
    </row>
    <row r="1057" spans="1:7" x14ac:dyDescent="0.25">
      <c r="A1057" s="1" t="str">
        <f ca="1">IF(ROW()&lt;=Results!$C$1+1,INDEX(Data!$A:$A,CEILING((COUNTA(Data!$A:$A)-1)*RAND()+1,1)),"")</f>
        <v/>
      </c>
      <c r="B1057" s="1" t="str">
        <f>IF(ROW()&lt;=Results!$C$1+1,VLOOKUP($A1057,Data!$A$2:$C$117,2,TRUE),"")</f>
        <v/>
      </c>
      <c r="C1057" s="14" t="str">
        <f>IF(ROW()&lt;=Results!$C$1+1,IF(B1057&lt;=0,"",LN(B1057)),"")</f>
        <v/>
      </c>
      <c r="D1057" s="58" t="str">
        <f ca="1">IF(Results!$S$5,A1057,IF(ROW()&lt;=Results!$C$1+1,INDEX(Data!$A:$A,CEILING((COUNTA(Data!$A:$A)-1)*RAND()+1,1)),""))</f>
        <v/>
      </c>
      <c r="E1057" s="1" t="str">
        <f>IF(ROW()&lt;=Results!$C$1+1,VLOOKUP($D1057,Data!$A$2:$C$117,3,TRUE),"")</f>
        <v/>
      </c>
      <c r="F1057" s="14" t="str">
        <f>IF(ROW()&lt;=Results!$C$1+1,IF(E1057&lt;=0,"",LN(E1057)),"")</f>
        <v/>
      </c>
      <c r="G1057" s="53" t="str">
        <f>IF(ROW()&lt;=Results!$C$1+1,IF(ISERROR(C1057-F1057),"",C1057-F1057),"")</f>
        <v/>
      </c>
    </row>
    <row r="1058" spans="1:7" x14ac:dyDescent="0.25">
      <c r="A1058" s="1" t="str">
        <f ca="1">IF(ROW()&lt;=Results!$C$1+1,INDEX(Data!$A:$A,CEILING((COUNTA(Data!$A:$A)-1)*RAND()+1,1)),"")</f>
        <v/>
      </c>
      <c r="B1058" s="1" t="str">
        <f>IF(ROW()&lt;=Results!$C$1+1,VLOOKUP($A1058,Data!$A$2:$C$117,2,TRUE),"")</f>
        <v/>
      </c>
      <c r="C1058" s="14" t="str">
        <f>IF(ROW()&lt;=Results!$C$1+1,IF(B1058&lt;=0,"",LN(B1058)),"")</f>
        <v/>
      </c>
      <c r="D1058" s="58" t="str">
        <f ca="1">IF(Results!$S$5,A1058,IF(ROW()&lt;=Results!$C$1+1,INDEX(Data!$A:$A,CEILING((COUNTA(Data!$A:$A)-1)*RAND()+1,1)),""))</f>
        <v/>
      </c>
      <c r="E1058" s="1" t="str">
        <f>IF(ROW()&lt;=Results!$C$1+1,VLOOKUP($D1058,Data!$A$2:$C$117,3,TRUE),"")</f>
        <v/>
      </c>
      <c r="F1058" s="14" t="str">
        <f>IF(ROW()&lt;=Results!$C$1+1,IF(E1058&lt;=0,"",LN(E1058)),"")</f>
        <v/>
      </c>
      <c r="G1058" s="53" t="str">
        <f>IF(ROW()&lt;=Results!$C$1+1,IF(ISERROR(C1058-F1058),"",C1058-F1058),"")</f>
        <v/>
      </c>
    </row>
    <row r="1059" spans="1:7" x14ac:dyDescent="0.25">
      <c r="A1059" s="1" t="str">
        <f ca="1">IF(ROW()&lt;=Results!$C$1+1,INDEX(Data!$A:$A,CEILING((COUNTA(Data!$A:$A)-1)*RAND()+1,1)),"")</f>
        <v/>
      </c>
      <c r="B1059" s="1" t="str">
        <f>IF(ROW()&lt;=Results!$C$1+1,VLOOKUP($A1059,Data!$A$2:$C$117,2,TRUE),"")</f>
        <v/>
      </c>
      <c r="C1059" s="14" t="str">
        <f>IF(ROW()&lt;=Results!$C$1+1,IF(B1059&lt;=0,"",LN(B1059)),"")</f>
        <v/>
      </c>
      <c r="D1059" s="58" t="str">
        <f ca="1">IF(Results!$S$5,A1059,IF(ROW()&lt;=Results!$C$1+1,INDEX(Data!$A:$A,CEILING((COUNTA(Data!$A:$A)-1)*RAND()+1,1)),""))</f>
        <v/>
      </c>
      <c r="E1059" s="1" t="str">
        <f>IF(ROW()&lt;=Results!$C$1+1,VLOOKUP($D1059,Data!$A$2:$C$117,3,TRUE),"")</f>
        <v/>
      </c>
      <c r="F1059" s="14" t="str">
        <f>IF(ROW()&lt;=Results!$C$1+1,IF(E1059&lt;=0,"",LN(E1059)),"")</f>
        <v/>
      </c>
      <c r="G1059" s="53" t="str">
        <f>IF(ROW()&lt;=Results!$C$1+1,IF(ISERROR(C1059-F1059),"",C1059-F1059),"")</f>
        <v/>
      </c>
    </row>
    <row r="1060" spans="1:7" x14ac:dyDescent="0.25">
      <c r="A1060" s="1" t="str">
        <f ca="1">IF(ROW()&lt;=Results!$C$1+1,INDEX(Data!$A:$A,CEILING((COUNTA(Data!$A:$A)-1)*RAND()+1,1)),"")</f>
        <v/>
      </c>
      <c r="B1060" s="1" t="str">
        <f>IF(ROW()&lt;=Results!$C$1+1,VLOOKUP($A1060,Data!$A$2:$C$117,2,TRUE),"")</f>
        <v/>
      </c>
      <c r="C1060" s="14" t="str">
        <f>IF(ROW()&lt;=Results!$C$1+1,IF(B1060&lt;=0,"",LN(B1060)),"")</f>
        <v/>
      </c>
      <c r="D1060" s="58" t="str">
        <f ca="1">IF(Results!$S$5,A1060,IF(ROW()&lt;=Results!$C$1+1,INDEX(Data!$A:$A,CEILING((COUNTA(Data!$A:$A)-1)*RAND()+1,1)),""))</f>
        <v/>
      </c>
      <c r="E1060" s="1" t="str">
        <f>IF(ROW()&lt;=Results!$C$1+1,VLOOKUP($D1060,Data!$A$2:$C$117,3,TRUE),"")</f>
        <v/>
      </c>
      <c r="F1060" s="14" t="str">
        <f>IF(ROW()&lt;=Results!$C$1+1,IF(E1060&lt;=0,"",LN(E1060)),"")</f>
        <v/>
      </c>
      <c r="G1060" s="53" t="str">
        <f>IF(ROW()&lt;=Results!$C$1+1,IF(ISERROR(C1060-F1060),"",C1060-F1060),"")</f>
        <v/>
      </c>
    </row>
    <row r="1061" spans="1:7" x14ac:dyDescent="0.25">
      <c r="A1061" s="1" t="str">
        <f ca="1">IF(ROW()&lt;=Results!$C$1+1,INDEX(Data!$A:$A,CEILING((COUNTA(Data!$A:$A)-1)*RAND()+1,1)),"")</f>
        <v/>
      </c>
      <c r="B1061" s="1" t="str">
        <f>IF(ROW()&lt;=Results!$C$1+1,VLOOKUP($A1061,Data!$A$2:$C$117,2,TRUE),"")</f>
        <v/>
      </c>
      <c r="C1061" s="14" t="str">
        <f>IF(ROW()&lt;=Results!$C$1+1,IF(B1061&lt;=0,"",LN(B1061)),"")</f>
        <v/>
      </c>
      <c r="D1061" s="58" t="str">
        <f ca="1">IF(Results!$S$5,A1061,IF(ROW()&lt;=Results!$C$1+1,INDEX(Data!$A:$A,CEILING((COUNTA(Data!$A:$A)-1)*RAND()+1,1)),""))</f>
        <v/>
      </c>
      <c r="E1061" s="1" t="str">
        <f>IF(ROW()&lt;=Results!$C$1+1,VLOOKUP($D1061,Data!$A$2:$C$117,3,TRUE),"")</f>
        <v/>
      </c>
      <c r="F1061" s="14" t="str">
        <f>IF(ROW()&lt;=Results!$C$1+1,IF(E1061&lt;=0,"",LN(E1061)),"")</f>
        <v/>
      </c>
      <c r="G1061" s="53" t="str">
        <f>IF(ROW()&lt;=Results!$C$1+1,IF(ISERROR(C1061-F1061),"",C1061-F1061),"")</f>
        <v/>
      </c>
    </row>
    <row r="1062" spans="1:7" x14ac:dyDescent="0.25">
      <c r="A1062" s="1" t="str">
        <f ca="1">IF(ROW()&lt;=Results!$C$1+1,INDEX(Data!$A:$A,CEILING((COUNTA(Data!$A:$A)-1)*RAND()+1,1)),"")</f>
        <v/>
      </c>
      <c r="B1062" s="1" t="str">
        <f>IF(ROW()&lt;=Results!$C$1+1,VLOOKUP($A1062,Data!$A$2:$C$117,2,TRUE),"")</f>
        <v/>
      </c>
      <c r="C1062" s="14" t="str">
        <f>IF(ROW()&lt;=Results!$C$1+1,IF(B1062&lt;=0,"",LN(B1062)),"")</f>
        <v/>
      </c>
      <c r="D1062" s="58" t="str">
        <f ca="1">IF(Results!$S$5,A1062,IF(ROW()&lt;=Results!$C$1+1,INDEX(Data!$A:$A,CEILING((COUNTA(Data!$A:$A)-1)*RAND()+1,1)),""))</f>
        <v/>
      </c>
      <c r="E1062" s="1" t="str">
        <f>IF(ROW()&lt;=Results!$C$1+1,VLOOKUP($D1062,Data!$A$2:$C$117,3,TRUE),"")</f>
        <v/>
      </c>
      <c r="F1062" s="14" t="str">
        <f>IF(ROW()&lt;=Results!$C$1+1,IF(E1062&lt;=0,"",LN(E1062)),"")</f>
        <v/>
      </c>
      <c r="G1062" s="53" t="str">
        <f>IF(ROW()&lt;=Results!$C$1+1,IF(ISERROR(C1062-F1062),"",C1062-F1062),"")</f>
        <v/>
      </c>
    </row>
    <row r="1063" spans="1:7" x14ac:dyDescent="0.25">
      <c r="A1063" s="1" t="str">
        <f ca="1">IF(ROW()&lt;=Results!$C$1+1,INDEX(Data!$A:$A,CEILING((COUNTA(Data!$A:$A)-1)*RAND()+1,1)),"")</f>
        <v/>
      </c>
      <c r="B1063" s="1" t="str">
        <f>IF(ROW()&lt;=Results!$C$1+1,VLOOKUP($A1063,Data!$A$2:$C$117,2,TRUE),"")</f>
        <v/>
      </c>
      <c r="C1063" s="14" t="str">
        <f>IF(ROW()&lt;=Results!$C$1+1,IF(B1063&lt;=0,"",LN(B1063)),"")</f>
        <v/>
      </c>
      <c r="D1063" s="58" t="str">
        <f ca="1">IF(Results!$S$5,A1063,IF(ROW()&lt;=Results!$C$1+1,INDEX(Data!$A:$A,CEILING((COUNTA(Data!$A:$A)-1)*RAND()+1,1)),""))</f>
        <v/>
      </c>
      <c r="E1063" s="1" t="str">
        <f>IF(ROW()&lt;=Results!$C$1+1,VLOOKUP($D1063,Data!$A$2:$C$117,3,TRUE),"")</f>
        <v/>
      </c>
      <c r="F1063" s="14" t="str">
        <f>IF(ROW()&lt;=Results!$C$1+1,IF(E1063&lt;=0,"",LN(E1063)),"")</f>
        <v/>
      </c>
      <c r="G1063" s="53" t="str">
        <f>IF(ROW()&lt;=Results!$C$1+1,IF(ISERROR(C1063-F1063),"",C1063-F1063),"")</f>
        <v/>
      </c>
    </row>
    <row r="1064" spans="1:7" x14ac:dyDescent="0.25">
      <c r="A1064" s="1" t="str">
        <f ca="1">IF(ROW()&lt;=Results!$C$1+1,INDEX(Data!$A:$A,CEILING((COUNTA(Data!$A:$A)-1)*RAND()+1,1)),"")</f>
        <v/>
      </c>
      <c r="B1064" s="1" t="str">
        <f>IF(ROW()&lt;=Results!$C$1+1,VLOOKUP($A1064,Data!$A$2:$C$117,2,TRUE),"")</f>
        <v/>
      </c>
      <c r="C1064" s="14" t="str">
        <f>IF(ROW()&lt;=Results!$C$1+1,IF(B1064&lt;=0,"",LN(B1064)),"")</f>
        <v/>
      </c>
      <c r="D1064" s="58" t="str">
        <f ca="1">IF(Results!$S$5,A1064,IF(ROW()&lt;=Results!$C$1+1,INDEX(Data!$A:$A,CEILING((COUNTA(Data!$A:$A)-1)*RAND()+1,1)),""))</f>
        <v/>
      </c>
      <c r="E1064" s="1" t="str">
        <f>IF(ROW()&lt;=Results!$C$1+1,VLOOKUP($D1064,Data!$A$2:$C$117,3,TRUE),"")</f>
        <v/>
      </c>
      <c r="F1064" s="14" t="str">
        <f>IF(ROW()&lt;=Results!$C$1+1,IF(E1064&lt;=0,"",LN(E1064)),"")</f>
        <v/>
      </c>
      <c r="G1064" s="53" t="str">
        <f>IF(ROW()&lt;=Results!$C$1+1,IF(ISERROR(C1064-F1064),"",C1064-F1064),"")</f>
        <v/>
      </c>
    </row>
    <row r="1065" spans="1:7" x14ac:dyDescent="0.25">
      <c r="A1065" s="1" t="str">
        <f ca="1">IF(ROW()&lt;=Results!$C$1+1,INDEX(Data!$A:$A,CEILING((COUNTA(Data!$A:$A)-1)*RAND()+1,1)),"")</f>
        <v/>
      </c>
      <c r="B1065" s="1" t="str">
        <f>IF(ROW()&lt;=Results!$C$1+1,VLOOKUP($A1065,Data!$A$2:$C$117,2,TRUE),"")</f>
        <v/>
      </c>
      <c r="C1065" s="14" t="str">
        <f>IF(ROW()&lt;=Results!$C$1+1,IF(B1065&lt;=0,"",LN(B1065)),"")</f>
        <v/>
      </c>
      <c r="D1065" s="58" t="str">
        <f ca="1">IF(Results!$S$5,A1065,IF(ROW()&lt;=Results!$C$1+1,INDEX(Data!$A:$A,CEILING((COUNTA(Data!$A:$A)-1)*RAND()+1,1)),""))</f>
        <v/>
      </c>
      <c r="E1065" s="1" t="str">
        <f>IF(ROW()&lt;=Results!$C$1+1,VLOOKUP($D1065,Data!$A$2:$C$117,3,TRUE),"")</f>
        <v/>
      </c>
      <c r="F1065" s="14" t="str">
        <f>IF(ROW()&lt;=Results!$C$1+1,IF(E1065&lt;=0,"",LN(E1065)),"")</f>
        <v/>
      </c>
      <c r="G1065" s="53" t="str">
        <f>IF(ROW()&lt;=Results!$C$1+1,IF(ISERROR(C1065-F1065),"",C1065-F1065),"")</f>
        <v/>
      </c>
    </row>
    <row r="1066" spans="1:7" x14ac:dyDescent="0.25">
      <c r="A1066" s="1" t="str">
        <f ca="1">IF(ROW()&lt;=Results!$C$1+1,INDEX(Data!$A:$A,CEILING((COUNTA(Data!$A:$A)-1)*RAND()+1,1)),"")</f>
        <v/>
      </c>
      <c r="B1066" s="1" t="str">
        <f>IF(ROW()&lt;=Results!$C$1+1,VLOOKUP($A1066,Data!$A$2:$C$117,2,TRUE),"")</f>
        <v/>
      </c>
      <c r="C1066" s="14" t="str">
        <f>IF(ROW()&lt;=Results!$C$1+1,IF(B1066&lt;=0,"",LN(B1066)),"")</f>
        <v/>
      </c>
      <c r="D1066" s="58" t="str">
        <f ca="1">IF(Results!$S$5,A1066,IF(ROW()&lt;=Results!$C$1+1,INDEX(Data!$A:$A,CEILING((COUNTA(Data!$A:$A)-1)*RAND()+1,1)),""))</f>
        <v/>
      </c>
      <c r="E1066" s="1" t="str">
        <f>IF(ROW()&lt;=Results!$C$1+1,VLOOKUP($D1066,Data!$A$2:$C$117,3,TRUE),"")</f>
        <v/>
      </c>
      <c r="F1066" s="14" t="str">
        <f>IF(ROW()&lt;=Results!$C$1+1,IF(E1066&lt;=0,"",LN(E1066)),"")</f>
        <v/>
      </c>
      <c r="G1066" s="53" t="str">
        <f>IF(ROW()&lt;=Results!$C$1+1,IF(ISERROR(C1066-F1066),"",C1066-F1066),"")</f>
        <v/>
      </c>
    </row>
    <row r="1067" spans="1:7" x14ac:dyDescent="0.25">
      <c r="A1067" s="1" t="str">
        <f ca="1">IF(ROW()&lt;=Results!$C$1+1,INDEX(Data!$A:$A,CEILING((COUNTA(Data!$A:$A)-1)*RAND()+1,1)),"")</f>
        <v/>
      </c>
      <c r="B1067" s="1" t="str">
        <f>IF(ROW()&lt;=Results!$C$1+1,VLOOKUP($A1067,Data!$A$2:$C$117,2,TRUE),"")</f>
        <v/>
      </c>
      <c r="C1067" s="14" t="str">
        <f>IF(ROW()&lt;=Results!$C$1+1,IF(B1067&lt;=0,"",LN(B1067)),"")</f>
        <v/>
      </c>
      <c r="D1067" s="58" t="str">
        <f ca="1">IF(Results!$S$5,A1067,IF(ROW()&lt;=Results!$C$1+1,INDEX(Data!$A:$A,CEILING((COUNTA(Data!$A:$A)-1)*RAND()+1,1)),""))</f>
        <v/>
      </c>
      <c r="E1067" s="1" t="str">
        <f>IF(ROW()&lt;=Results!$C$1+1,VLOOKUP($D1067,Data!$A$2:$C$117,3,TRUE),"")</f>
        <v/>
      </c>
      <c r="F1067" s="14" t="str">
        <f>IF(ROW()&lt;=Results!$C$1+1,IF(E1067&lt;=0,"",LN(E1067)),"")</f>
        <v/>
      </c>
      <c r="G1067" s="53" t="str">
        <f>IF(ROW()&lt;=Results!$C$1+1,IF(ISERROR(C1067-F1067),"",C1067-F1067),"")</f>
        <v/>
      </c>
    </row>
    <row r="1068" spans="1:7" x14ac:dyDescent="0.25">
      <c r="A1068" s="1" t="str">
        <f ca="1">IF(ROW()&lt;=Results!$C$1+1,INDEX(Data!$A:$A,CEILING((COUNTA(Data!$A:$A)-1)*RAND()+1,1)),"")</f>
        <v/>
      </c>
      <c r="B1068" s="1" t="str">
        <f>IF(ROW()&lt;=Results!$C$1+1,VLOOKUP($A1068,Data!$A$2:$C$117,2,TRUE),"")</f>
        <v/>
      </c>
      <c r="C1068" s="14" t="str">
        <f>IF(ROW()&lt;=Results!$C$1+1,IF(B1068&lt;=0,"",LN(B1068)),"")</f>
        <v/>
      </c>
      <c r="D1068" s="58" t="str">
        <f ca="1">IF(Results!$S$5,A1068,IF(ROW()&lt;=Results!$C$1+1,INDEX(Data!$A:$A,CEILING((COUNTA(Data!$A:$A)-1)*RAND()+1,1)),""))</f>
        <v/>
      </c>
      <c r="E1068" s="1" t="str">
        <f>IF(ROW()&lt;=Results!$C$1+1,VLOOKUP($D1068,Data!$A$2:$C$117,3,TRUE),"")</f>
        <v/>
      </c>
      <c r="F1068" s="14" t="str">
        <f>IF(ROW()&lt;=Results!$C$1+1,IF(E1068&lt;=0,"",LN(E1068)),"")</f>
        <v/>
      </c>
      <c r="G1068" s="53" t="str">
        <f>IF(ROW()&lt;=Results!$C$1+1,IF(ISERROR(C1068-F1068),"",C1068-F1068),"")</f>
        <v/>
      </c>
    </row>
    <row r="1069" spans="1:7" x14ac:dyDescent="0.25">
      <c r="A1069" s="1" t="str">
        <f ca="1">IF(ROW()&lt;=Results!$C$1+1,INDEX(Data!$A:$A,CEILING((COUNTA(Data!$A:$A)-1)*RAND()+1,1)),"")</f>
        <v/>
      </c>
      <c r="B1069" s="1" t="str">
        <f>IF(ROW()&lt;=Results!$C$1+1,VLOOKUP($A1069,Data!$A$2:$C$117,2,TRUE),"")</f>
        <v/>
      </c>
      <c r="C1069" s="14" t="str">
        <f>IF(ROW()&lt;=Results!$C$1+1,IF(B1069&lt;=0,"",LN(B1069)),"")</f>
        <v/>
      </c>
      <c r="D1069" s="58" t="str">
        <f ca="1">IF(Results!$S$5,A1069,IF(ROW()&lt;=Results!$C$1+1,INDEX(Data!$A:$A,CEILING((COUNTA(Data!$A:$A)-1)*RAND()+1,1)),""))</f>
        <v/>
      </c>
      <c r="E1069" s="1" t="str">
        <f>IF(ROW()&lt;=Results!$C$1+1,VLOOKUP($D1069,Data!$A$2:$C$117,3,TRUE),"")</f>
        <v/>
      </c>
      <c r="F1069" s="14" t="str">
        <f>IF(ROW()&lt;=Results!$C$1+1,IF(E1069&lt;=0,"",LN(E1069)),"")</f>
        <v/>
      </c>
      <c r="G1069" s="53" t="str">
        <f>IF(ROW()&lt;=Results!$C$1+1,IF(ISERROR(C1069-F1069),"",C1069-F1069),"")</f>
        <v/>
      </c>
    </row>
    <row r="1070" spans="1:7" x14ac:dyDescent="0.25">
      <c r="A1070" s="1" t="str">
        <f ca="1">IF(ROW()&lt;=Results!$C$1+1,INDEX(Data!$A:$A,CEILING((COUNTA(Data!$A:$A)-1)*RAND()+1,1)),"")</f>
        <v/>
      </c>
      <c r="B1070" s="1" t="str">
        <f>IF(ROW()&lt;=Results!$C$1+1,VLOOKUP($A1070,Data!$A$2:$C$117,2,TRUE),"")</f>
        <v/>
      </c>
      <c r="C1070" s="14" t="str">
        <f>IF(ROW()&lt;=Results!$C$1+1,IF(B1070&lt;=0,"",LN(B1070)),"")</f>
        <v/>
      </c>
      <c r="D1070" s="58" t="str">
        <f ca="1">IF(Results!$S$5,A1070,IF(ROW()&lt;=Results!$C$1+1,INDEX(Data!$A:$A,CEILING((COUNTA(Data!$A:$A)-1)*RAND()+1,1)),""))</f>
        <v/>
      </c>
      <c r="E1070" s="1" t="str">
        <f>IF(ROW()&lt;=Results!$C$1+1,VLOOKUP($D1070,Data!$A$2:$C$117,3,TRUE),"")</f>
        <v/>
      </c>
      <c r="F1070" s="14" t="str">
        <f>IF(ROW()&lt;=Results!$C$1+1,IF(E1070&lt;=0,"",LN(E1070)),"")</f>
        <v/>
      </c>
      <c r="G1070" s="53" t="str">
        <f>IF(ROW()&lt;=Results!$C$1+1,IF(ISERROR(C1070-F1070),"",C1070-F1070),"")</f>
        <v/>
      </c>
    </row>
    <row r="1071" spans="1:7" x14ac:dyDescent="0.25">
      <c r="A1071" s="1" t="str">
        <f ca="1">IF(ROW()&lt;=Results!$C$1+1,INDEX(Data!$A:$A,CEILING((COUNTA(Data!$A:$A)-1)*RAND()+1,1)),"")</f>
        <v/>
      </c>
      <c r="B1071" s="1" t="str">
        <f>IF(ROW()&lt;=Results!$C$1+1,VLOOKUP($A1071,Data!$A$2:$C$117,2,TRUE),"")</f>
        <v/>
      </c>
      <c r="C1071" s="14" t="str">
        <f>IF(ROW()&lt;=Results!$C$1+1,IF(B1071&lt;=0,"",LN(B1071)),"")</f>
        <v/>
      </c>
      <c r="D1071" s="58" t="str">
        <f ca="1">IF(Results!$S$5,A1071,IF(ROW()&lt;=Results!$C$1+1,INDEX(Data!$A:$A,CEILING((COUNTA(Data!$A:$A)-1)*RAND()+1,1)),""))</f>
        <v/>
      </c>
      <c r="E1071" s="1" t="str">
        <f>IF(ROW()&lt;=Results!$C$1+1,VLOOKUP($D1071,Data!$A$2:$C$117,3,TRUE),"")</f>
        <v/>
      </c>
      <c r="F1071" s="14" t="str">
        <f>IF(ROW()&lt;=Results!$C$1+1,IF(E1071&lt;=0,"",LN(E1071)),"")</f>
        <v/>
      </c>
      <c r="G1071" s="53" t="str">
        <f>IF(ROW()&lt;=Results!$C$1+1,IF(ISERROR(C1071-F1071),"",C1071-F1071),"")</f>
        <v/>
      </c>
    </row>
    <row r="1072" spans="1:7" x14ac:dyDescent="0.25">
      <c r="A1072" s="1" t="str">
        <f ca="1">IF(ROW()&lt;=Results!$C$1+1,INDEX(Data!$A:$A,CEILING((COUNTA(Data!$A:$A)-1)*RAND()+1,1)),"")</f>
        <v/>
      </c>
      <c r="B1072" s="1" t="str">
        <f>IF(ROW()&lt;=Results!$C$1+1,VLOOKUP($A1072,Data!$A$2:$C$117,2,TRUE),"")</f>
        <v/>
      </c>
      <c r="C1072" s="14" t="str">
        <f>IF(ROW()&lt;=Results!$C$1+1,IF(B1072&lt;=0,"",LN(B1072)),"")</f>
        <v/>
      </c>
      <c r="D1072" s="58" t="str">
        <f ca="1">IF(Results!$S$5,A1072,IF(ROW()&lt;=Results!$C$1+1,INDEX(Data!$A:$A,CEILING((COUNTA(Data!$A:$A)-1)*RAND()+1,1)),""))</f>
        <v/>
      </c>
      <c r="E1072" s="1" t="str">
        <f>IF(ROW()&lt;=Results!$C$1+1,VLOOKUP($D1072,Data!$A$2:$C$117,3,TRUE),"")</f>
        <v/>
      </c>
      <c r="F1072" s="14" t="str">
        <f>IF(ROW()&lt;=Results!$C$1+1,IF(E1072&lt;=0,"",LN(E1072)),"")</f>
        <v/>
      </c>
      <c r="G1072" s="53" t="str">
        <f>IF(ROW()&lt;=Results!$C$1+1,IF(ISERROR(C1072-F1072),"",C1072-F1072),"")</f>
        <v/>
      </c>
    </row>
    <row r="1073" spans="1:4" x14ac:dyDescent="0.25">
      <c r="A1073" s="1" t="str">
        <f ca="1">IF(ROW()&lt;=Results!$C$1+1,INDEX(Data!$A:$A,CEILING((COUNTA(Data!$A:$A)-1)*RAND()+1,1)),"")</f>
        <v/>
      </c>
      <c r="D1073" s="58" t="str">
        <f ca="1">IF(Results!$S$5,A1073,IF(ROW()&lt;=Results!$C$1+1,INDEX(Data!$A:$A,CEILING((COUNTA(Data!$A:$A)-1)*RAND()+1,1)),""))</f>
        <v/>
      </c>
    </row>
  </sheetData>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1:S24"/>
  <sheetViews>
    <sheetView zoomScale="85" workbookViewId="0">
      <selection activeCell="C1" sqref="C1"/>
    </sheetView>
  </sheetViews>
  <sheetFormatPr defaultColWidth="9.1796875" defaultRowHeight="12.5" x14ac:dyDescent="0.25"/>
  <cols>
    <col min="1" max="1" width="3.453125" style="1" customWidth="1"/>
    <col min="2" max="2" width="19.81640625" style="1" customWidth="1"/>
    <col min="3" max="3" width="11.7265625" style="1" customWidth="1"/>
    <col min="4" max="4" width="10.1796875" style="1" customWidth="1"/>
    <col min="5" max="5" width="10.54296875" style="1" customWidth="1"/>
    <col min="6" max="6" width="9" style="1" customWidth="1"/>
    <col min="7" max="7" width="9.1796875" style="1"/>
    <col min="8" max="8" width="9.81640625" style="1" customWidth="1"/>
    <col min="9" max="12" width="8" style="1" customWidth="1"/>
    <col min="13" max="16384" width="9.1796875" style="1"/>
  </cols>
  <sheetData>
    <row r="1" spans="2:19" ht="13.5" thickBot="1" x14ac:dyDescent="0.35">
      <c r="B1" s="1" t="s">
        <v>16</v>
      </c>
      <c r="C1" s="11">
        <v>50</v>
      </c>
      <c r="S1" s="2"/>
    </row>
    <row r="2" spans="2:19" ht="13.5" thickBot="1" x14ac:dyDescent="0.35">
      <c r="B2" s="1" t="s">
        <v>18</v>
      </c>
      <c r="C2" s="11">
        <v>1000</v>
      </c>
      <c r="S2" s="2"/>
    </row>
    <row r="3" spans="2:19" ht="13" x14ac:dyDescent="0.3">
      <c r="B3" s="4" t="s">
        <v>34</v>
      </c>
      <c r="C3" s="12"/>
      <c r="S3" s="2"/>
    </row>
    <row r="4" spans="2:19" ht="13" x14ac:dyDescent="0.3">
      <c r="B4" s="55">
        <v>1</v>
      </c>
      <c r="C4" s="7">
        <f ca="1">EXP(AVERAGE(Simulation!C2:C1072))</f>
        <v>383.51773981601252</v>
      </c>
      <c r="D4" s="7">
        <f ca="1">EXP(AVERAGE(Simulation!F2:F1072))</f>
        <v>468.31102212667111</v>
      </c>
      <c r="E4" s="6">
        <f ca="1">S10</f>
        <v>81.893810244824166</v>
      </c>
      <c r="F4" s="7">
        <f ca="1">S11</f>
        <v>78.477072612913886</v>
      </c>
      <c r="G4" s="7">
        <f ca="1">S12</f>
        <v>85.459305923596546</v>
      </c>
      <c r="H4" s="5" t="str">
        <f ca="1">IF(OR(MIN(F4:G4)&lt;80,MAX(F4:G4)&gt;125),"FAIL","PASS")</f>
        <v>FAIL</v>
      </c>
      <c r="I4" s="8">
        <f ca="1">AVERAGE(Simulation!B:B)</f>
        <v>384.04178199999996</v>
      </c>
      <c r="J4" s="8">
        <f ca="1">STDEV(Simulation!B:B)</f>
        <v>20.287639754861516</v>
      </c>
      <c r="K4" s="8">
        <f ca="1">MIN(Simulation!B:B)</f>
        <v>364.74594999999999</v>
      </c>
      <c r="L4" s="8">
        <f ca="1">MAX(Simulation!B:B)</f>
        <v>404.94560000000001</v>
      </c>
      <c r="M4" s="8">
        <f ca="1">AVERAGE(Simulation!E:E)</f>
        <v>480.84011999999973</v>
      </c>
      <c r="N4" s="8">
        <f ca="1">STDEV(Simulation!E:E)</f>
        <v>110.83241663981039</v>
      </c>
      <c r="O4" s="8">
        <f ca="1">MIN(Simulation!E:E)</f>
        <v>375.42599999999999</v>
      </c>
      <c r="P4" s="8">
        <f ca="1">MAX(Simulation!E:E)</f>
        <v>595.03875000000005</v>
      </c>
      <c r="S4" s="2"/>
    </row>
    <row r="5" spans="2:19" ht="13" x14ac:dyDescent="0.3">
      <c r="C5" s="12"/>
      <c r="S5" s="2" t="b">
        <v>1</v>
      </c>
    </row>
    <row r="6" spans="2:19" ht="13" x14ac:dyDescent="0.3">
      <c r="B6" s="16"/>
      <c r="C6" s="17" t="s">
        <v>9</v>
      </c>
      <c r="D6" s="18"/>
      <c r="E6" s="54" t="s">
        <v>31</v>
      </c>
      <c r="F6" s="19"/>
      <c r="G6" s="20"/>
      <c r="H6" s="21"/>
      <c r="I6" s="22" t="str">
        <f>Data!B1</f>
        <v>AUC_A</v>
      </c>
      <c r="J6" s="23"/>
      <c r="K6" s="23"/>
      <c r="L6" s="23"/>
      <c r="M6" s="22" t="str">
        <f>Data!C1</f>
        <v>AUC_B</v>
      </c>
      <c r="N6" s="23"/>
      <c r="O6" s="23"/>
      <c r="P6" s="24"/>
      <c r="R6" s="1" t="s">
        <v>4</v>
      </c>
      <c r="S6" s="1">
        <f ca="1">AVERAGE(Simulation!G2:G1072)</f>
        <v>-0.19974677497142282</v>
      </c>
    </row>
    <row r="7" spans="2:19" ht="24.75" customHeight="1" x14ac:dyDescent="0.3">
      <c r="B7" s="25" t="s">
        <v>17</v>
      </c>
      <c r="C7" s="26" t="s">
        <v>7</v>
      </c>
      <c r="D7" s="22" t="s">
        <v>8</v>
      </c>
      <c r="E7" s="27" t="s">
        <v>32</v>
      </c>
      <c r="F7" s="28" t="s">
        <v>5</v>
      </c>
      <c r="G7" s="29" t="s">
        <v>6</v>
      </c>
      <c r="H7" s="29" t="s">
        <v>11</v>
      </c>
      <c r="I7" s="30" t="s">
        <v>12</v>
      </c>
      <c r="J7" s="30" t="s">
        <v>13</v>
      </c>
      <c r="K7" s="30" t="s">
        <v>14</v>
      </c>
      <c r="L7" s="30" t="s">
        <v>15</v>
      </c>
      <c r="M7" s="30" t="s">
        <v>12</v>
      </c>
      <c r="N7" s="30" t="s">
        <v>13</v>
      </c>
      <c r="O7" s="30" t="s">
        <v>14</v>
      </c>
      <c r="P7" s="30" t="s">
        <v>15</v>
      </c>
      <c r="R7" s="1" t="s">
        <v>1</v>
      </c>
      <c r="S7" s="1">
        <f ca="1">STDEV(Simulation!G$2:G$1072)</f>
        <v>0.17967006017968989</v>
      </c>
    </row>
    <row r="8" spans="2:19" x14ac:dyDescent="0.25">
      <c r="B8" s="1">
        <v>1</v>
      </c>
      <c r="C8" s="1">
        <v>383.51773981601252</v>
      </c>
      <c r="D8" s="1">
        <v>468.31102212667111</v>
      </c>
      <c r="E8" s="1">
        <v>81.893810244824166</v>
      </c>
      <c r="F8" s="1">
        <v>78.477072612913886</v>
      </c>
      <c r="G8" s="1">
        <v>85.45930592359656</v>
      </c>
      <c r="H8" s="1" t="s">
        <v>24</v>
      </c>
      <c r="I8" s="1">
        <v>384.04178199999996</v>
      </c>
      <c r="J8" s="1">
        <v>20.287639754861509</v>
      </c>
      <c r="K8" s="1">
        <v>364.74594999999999</v>
      </c>
      <c r="L8" s="1">
        <v>404.94560000000001</v>
      </c>
      <c r="M8" s="1">
        <v>480.84011999999973</v>
      </c>
      <c r="N8" s="1">
        <v>110.83241663981005</v>
      </c>
      <c r="O8" s="1">
        <v>375.42599999999999</v>
      </c>
      <c r="P8" s="1">
        <v>595.03875000000005</v>
      </c>
      <c r="R8" s="1" t="s">
        <v>3</v>
      </c>
      <c r="S8" s="1">
        <f ca="1">COUNT(Simulation!G$2:G$1072)</f>
        <v>50</v>
      </c>
    </row>
    <row r="9" spans="2:19" x14ac:dyDescent="0.25">
      <c r="B9" s="1">
        <v>2</v>
      </c>
      <c r="C9" s="1">
        <v>381.91719239638502</v>
      </c>
      <c r="D9" s="1">
        <v>459.76249753697641</v>
      </c>
      <c r="E9" s="1">
        <v>83.068365611022742</v>
      </c>
      <c r="F9" s="1">
        <v>79.624443096996288</v>
      </c>
      <c r="G9" s="1">
        <v>86.661244925515518</v>
      </c>
      <c r="H9" s="1" t="s">
        <v>24</v>
      </c>
      <c r="I9" s="1">
        <v>382.43379599999992</v>
      </c>
      <c r="J9" s="1">
        <v>20.157171264893019</v>
      </c>
      <c r="K9" s="1">
        <v>364.74594999999999</v>
      </c>
      <c r="L9" s="1">
        <v>404.94560000000001</v>
      </c>
      <c r="M9" s="1">
        <v>472.05560999999977</v>
      </c>
      <c r="N9" s="1">
        <v>110.1196605867014</v>
      </c>
      <c r="O9" s="1">
        <v>375.42599999999999</v>
      </c>
      <c r="P9" s="1">
        <v>595.03875000000005</v>
      </c>
      <c r="R9" s="1" t="s">
        <v>0</v>
      </c>
      <c r="S9" s="1">
        <f ca="1">S7/SQRT(S8)</f>
        <v>2.5409183585850762E-2</v>
      </c>
    </row>
    <row r="10" spans="2:19" x14ac:dyDescent="0.25">
      <c r="B10" s="1">
        <v>3</v>
      </c>
      <c r="C10" s="1">
        <v>383.51773981601252</v>
      </c>
      <c r="D10" s="1">
        <v>468.31102212667111</v>
      </c>
      <c r="E10" s="1">
        <v>81.893810244824166</v>
      </c>
      <c r="F10" s="1">
        <v>78.477072612913886</v>
      </c>
      <c r="G10" s="1">
        <v>85.45930592359656</v>
      </c>
      <c r="H10" s="1" t="s">
        <v>24</v>
      </c>
      <c r="I10" s="1">
        <v>384.0417819999999</v>
      </c>
      <c r="J10" s="1">
        <v>20.287639754861505</v>
      </c>
      <c r="K10" s="1">
        <v>364.74594999999999</v>
      </c>
      <c r="L10" s="1">
        <v>404.94560000000001</v>
      </c>
      <c r="M10" s="1">
        <v>480.84011999999979</v>
      </c>
      <c r="N10" s="1">
        <v>110.83241663980954</v>
      </c>
      <c r="O10" s="1">
        <v>375.42599999999999</v>
      </c>
      <c r="P10" s="1">
        <v>595.03875000000005</v>
      </c>
      <c r="R10" s="1" t="s">
        <v>2</v>
      </c>
      <c r="S10" s="1">
        <f ca="1">100*EXP(SUM(Simulation!C$2:C$1072)/S$8)/EXP(SUM(Simulation!F$2:F$1072)/S$8)</f>
        <v>81.893810244824166</v>
      </c>
    </row>
    <row r="11" spans="2:19" x14ac:dyDescent="0.25">
      <c r="B11" s="1">
        <v>4</v>
      </c>
      <c r="C11" s="1">
        <v>389.17266298763604</v>
      </c>
      <c r="D11" s="1">
        <v>499.50208543993858</v>
      </c>
      <c r="E11" s="1">
        <v>77.912119755189934</v>
      </c>
      <c r="F11" s="1">
        <v>74.752081363191408</v>
      </c>
      <c r="G11" s="1">
        <v>81.20574429565184</v>
      </c>
      <c r="H11" s="1" t="s">
        <v>24</v>
      </c>
      <c r="I11" s="1">
        <v>389.66973299999978</v>
      </c>
      <c r="J11" s="1">
        <v>19.710465319393187</v>
      </c>
      <c r="K11" s="1">
        <v>364.74594999999999</v>
      </c>
      <c r="L11" s="1">
        <v>404.94560000000001</v>
      </c>
      <c r="M11" s="1">
        <v>511.58590499999974</v>
      </c>
      <c r="N11" s="1">
        <v>107.67928309255568</v>
      </c>
      <c r="O11" s="1">
        <v>375.42599999999999</v>
      </c>
      <c r="P11" s="1">
        <v>595.03875000000005</v>
      </c>
      <c r="R11" s="1" t="s">
        <v>5</v>
      </c>
      <c r="S11" s="1">
        <f ca="1">100*EXP(S$6-TINV(0.1,S$8-2)*S$9)</f>
        <v>78.477072612913886</v>
      </c>
    </row>
    <row r="12" spans="2:19" x14ac:dyDescent="0.25">
      <c r="B12" s="1">
        <v>5</v>
      </c>
      <c r="C12" s="1">
        <v>374.01409378664323</v>
      </c>
      <c r="D12" s="1">
        <v>419.30434506802783</v>
      </c>
      <c r="E12" s="1">
        <v>89.19871644210204</v>
      </c>
      <c r="F12" s="1">
        <v>86.007592507315493</v>
      </c>
      <c r="G12" s="1">
        <v>92.508240063129719</v>
      </c>
      <c r="H12" s="1" t="s">
        <v>23</v>
      </c>
      <c r="I12" s="1">
        <v>374.39386600000006</v>
      </c>
      <c r="J12" s="1">
        <v>17.342897248904681</v>
      </c>
      <c r="K12" s="1">
        <v>364.74594999999999</v>
      </c>
      <c r="L12" s="1">
        <v>404.94560000000001</v>
      </c>
      <c r="M12" s="1">
        <v>428.13305999999983</v>
      </c>
      <c r="N12" s="1">
        <v>94.745137278543979</v>
      </c>
      <c r="O12" s="1">
        <v>375.42599999999999</v>
      </c>
      <c r="P12" s="1">
        <v>595.03875000000005</v>
      </c>
      <c r="R12" s="1" t="s">
        <v>6</v>
      </c>
      <c r="S12" s="1">
        <f ca="1">100*EXP(S$6+TINV(0.1,S$8-2)*S$9)</f>
        <v>85.459305923596546</v>
      </c>
    </row>
    <row r="20" spans="19:19" ht="13" x14ac:dyDescent="0.3">
      <c r="S20" s="3"/>
    </row>
    <row r="24" spans="19:19" ht="13" x14ac:dyDescent="0.3">
      <c r="S24" s="4"/>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Bootstrap">
                <anchor moveWithCells="1" sizeWithCells="1">
                  <from>
                    <xdr:col>3</xdr:col>
                    <xdr:colOff>590550</xdr:colOff>
                    <xdr:row>0</xdr:row>
                    <xdr:rowOff>38100</xdr:rowOff>
                  </from>
                  <to>
                    <xdr:col>5</xdr:col>
                    <xdr:colOff>457200</xdr:colOff>
                    <xdr:row>1</xdr:row>
                    <xdr:rowOff>107950</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6</xdr:col>
                    <xdr:colOff>50800</xdr:colOff>
                    <xdr:row>0</xdr:row>
                    <xdr:rowOff>6350</xdr:rowOff>
                  </from>
                  <to>
                    <xdr:col>12</xdr:col>
                    <xdr:colOff>609600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G55"/>
  <sheetViews>
    <sheetView workbookViewId="0"/>
  </sheetViews>
  <sheetFormatPr defaultColWidth="9.1796875" defaultRowHeight="12.5" x14ac:dyDescent="0.25"/>
  <cols>
    <col min="1" max="1" width="5.453125" style="1" customWidth="1"/>
    <col min="2" max="2" width="9.1796875" style="1"/>
    <col min="3" max="3" width="10.7265625" style="1" customWidth="1"/>
    <col min="4" max="4" width="9.1796875" style="1"/>
    <col min="5" max="5" width="12" style="1" customWidth="1"/>
    <col min="6" max="6" width="10.81640625" style="1" customWidth="1"/>
    <col min="7" max="16384" width="9.1796875" style="1"/>
  </cols>
  <sheetData>
    <row r="1" spans="2:7" ht="13" thickBot="1" x14ac:dyDescent="0.3"/>
    <row r="2" spans="2:7" ht="13.15" customHeight="1" x14ac:dyDescent="0.25">
      <c r="B2" s="31" t="str">
        <f>"N = "&amp;Results!C1&amp;", "&amp;Results!C2&amp;" trials."</f>
        <v>N = 50, 1000 trials.</v>
      </c>
      <c r="C2" s="32"/>
      <c r="D2" s="32"/>
      <c r="E2" s="32"/>
      <c r="F2" s="33"/>
    </row>
    <row r="3" spans="2:7" ht="25" x14ac:dyDescent="0.25">
      <c r="B3" s="34" t="s">
        <v>30</v>
      </c>
      <c r="C3" s="9" t="s">
        <v>19</v>
      </c>
      <c r="D3" s="9" t="s">
        <v>20</v>
      </c>
      <c r="E3" s="9" t="s">
        <v>21</v>
      </c>
      <c r="F3" s="35" t="s">
        <v>22</v>
      </c>
    </row>
    <row r="4" spans="2:7" ht="13" x14ac:dyDescent="0.3">
      <c r="B4" s="36" t="s">
        <v>24</v>
      </c>
      <c r="C4" s="1">
        <f>COUNTIF(Results!$H$8:$H$10003,"FAIL")</f>
        <v>4</v>
      </c>
      <c r="D4" s="51">
        <f>C4/SUM(C4:C5)</f>
        <v>0.8</v>
      </c>
      <c r="E4" s="1">
        <f>C4</f>
        <v>4</v>
      </c>
      <c r="F4" s="37">
        <f>D4</f>
        <v>0.8</v>
      </c>
    </row>
    <row r="5" spans="2:7" ht="13.5" thickBot="1" x14ac:dyDescent="0.35">
      <c r="B5" s="38" t="s">
        <v>23</v>
      </c>
      <c r="C5" s="39">
        <f>COUNTIF(Results!$H$8:$H$10003,"PASS")</f>
        <v>1</v>
      </c>
      <c r="D5" s="50">
        <f>C5/SUM(C4:C5)</f>
        <v>0.2</v>
      </c>
      <c r="E5" s="39">
        <f>C4+C5</f>
        <v>5</v>
      </c>
      <c r="F5" s="40">
        <f>D4+D5</f>
        <v>1</v>
      </c>
    </row>
    <row r="6" spans="2:7" ht="13" thickBot="1" x14ac:dyDescent="0.3"/>
    <row r="7" spans="2:7" x14ac:dyDescent="0.25">
      <c r="B7" s="41" t="s">
        <v>26</v>
      </c>
      <c r="C7" s="42" t="s">
        <v>25</v>
      </c>
      <c r="D7" s="42" t="s">
        <v>12</v>
      </c>
      <c r="E7" s="42" t="s">
        <v>13</v>
      </c>
      <c r="F7" s="42" t="s">
        <v>27</v>
      </c>
      <c r="G7" s="43" t="s">
        <v>28</v>
      </c>
    </row>
    <row r="8" spans="2:7" x14ac:dyDescent="0.25">
      <c r="B8" s="36" t="s">
        <v>33</v>
      </c>
      <c r="C8" s="44">
        <f>COUNTA(Results!B:B)-5</f>
        <v>5</v>
      </c>
      <c r="D8" s="45">
        <f>AVERAGE(Results!$E$8:$E$10003)</f>
        <v>82.79336445959261</v>
      </c>
      <c r="E8" s="45">
        <f>STDEV(Results!$E$8:$E$10003)</f>
        <v>4.0788817428309896</v>
      </c>
      <c r="F8" s="45">
        <f>MIN(Results!$E$8:$E$10003)</f>
        <v>77.912119755189934</v>
      </c>
      <c r="G8" s="46">
        <f>MAX(Results!$E$8:$E$10003)</f>
        <v>89.19871644210204</v>
      </c>
    </row>
    <row r="9" spans="2:7" x14ac:dyDescent="0.25">
      <c r="B9" s="36" t="s">
        <v>5</v>
      </c>
      <c r="C9" s="44">
        <f>COUNTA(Results!B:B)-5</f>
        <v>5</v>
      </c>
      <c r="D9" s="45">
        <f>AVERAGE(Results!$F$8:$F$10003)</f>
        <v>79.467652438666192</v>
      </c>
      <c r="E9" s="45">
        <f>STDEV(Results!$F$8:$F$10003)</f>
        <v>4.0925086060475655</v>
      </c>
      <c r="F9" s="45">
        <f>MIN(Results!$F$8:$F$10003)</f>
        <v>74.752081363191408</v>
      </c>
      <c r="G9" s="46">
        <f>MAX(Results!$F$8:$F$10003)</f>
        <v>86.007592507315493</v>
      </c>
    </row>
    <row r="10" spans="2:7" ht="13" thickBot="1" x14ac:dyDescent="0.3">
      <c r="B10" s="38" t="s">
        <v>6</v>
      </c>
      <c r="C10" s="47">
        <f>COUNTA(Results!B:B)-5</f>
        <v>5</v>
      </c>
      <c r="D10" s="48">
        <f>AVERAGE(Results!$G$8:$G$10003)</f>
        <v>86.258768226298045</v>
      </c>
      <c r="E10" s="48">
        <f>STDEV(Results!$G$8:$G$10003)</f>
        <v>4.062918179194912</v>
      </c>
      <c r="F10" s="48">
        <f>MIN(Results!$G$8:$G$10003)</f>
        <v>81.20574429565184</v>
      </c>
      <c r="G10" s="49">
        <f>MAX(Results!$G$8:$G$10003)</f>
        <v>92.508240063129719</v>
      </c>
    </row>
    <row r="13" spans="2:7" x14ac:dyDescent="0.25">
      <c r="B13" s="9"/>
      <c r="C13" s="9"/>
      <c r="D13" s="9"/>
      <c r="E13" s="9"/>
      <c r="F13" s="9"/>
    </row>
    <row r="14" spans="2:7" x14ac:dyDescent="0.25">
      <c r="D14" s="10"/>
      <c r="F14" s="10"/>
    </row>
    <row r="15" spans="2:7" x14ac:dyDescent="0.25">
      <c r="D15" s="10"/>
      <c r="F15" s="10"/>
    </row>
    <row r="18" spans="2:6" x14ac:dyDescent="0.25">
      <c r="B18" s="9"/>
      <c r="C18" s="9"/>
      <c r="D18" s="9"/>
      <c r="E18" s="9"/>
      <c r="F18" s="9"/>
    </row>
    <row r="19" spans="2:6" x14ac:dyDescent="0.25">
      <c r="D19" s="10"/>
      <c r="F19" s="10"/>
    </row>
    <row r="20" spans="2:6" x14ac:dyDescent="0.25">
      <c r="D20" s="10"/>
      <c r="F20" s="10"/>
    </row>
    <row r="23" spans="2:6" x14ac:dyDescent="0.25">
      <c r="B23" s="9"/>
      <c r="C23" s="9"/>
      <c r="D23" s="9"/>
      <c r="E23" s="9"/>
      <c r="F23" s="9"/>
    </row>
    <row r="24" spans="2:6" ht="81" customHeight="1" x14ac:dyDescent="0.25">
      <c r="D24" s="10"/>
      <c r="F24" s="10"/>
    </row>
    <row r="25" spans="2:6" x14ac:dyDescent="0.25">
      <c r="D25" s="10"/>
      <c r="F25" s="10"/>
    </row>
    <row r="28" spans="2:6" x14ac:dyDescent="0.25">
      <c r="B28" s="9"/>
      <c r="C28" s="9"/>
      <c r="D28" s="9"/>
      <c r="E28" s="9"/>
      <c r="F28" s="9"/>
    </row>
    <row r="29" spans="2:6" x14ac:dyDescent="0.25">
      <c r="D29" s="10"/>
      <c r="F29" s="10"/>
    </row>
    <row r="30" spans="2:6" x14ac:dyDescent="0.25">
      <c r="D30" s="10"/>
      <c r="F30" s="10"/>
    </row>
    <row r="33" spans="2:6" x14ac:dyDescent="0.25">
      <c r="B33" s="9"/>
      <c r="C33" s="9"/>
      <c r="D33" s="9"/>
      <c r="E33" s="9"/>
      <c r="F33" s="9"/>
    </row>
    <row r="34" spans="2:6" x14ac:dyDescent="0.25">
      <c r="D34" s="10"/>
      <c r="F34" s="10"/>
    </row>
    <row r="35" spans="2:6" x14ac:dyDescent="0.25">
      <c r="D35" s="10"/>
      <c r="F35" s="10"/>
    </row>
    <row r="38" spans="2:6" x14ac:dyDescent="0.25">
      <c r="B38" s="9"/>
      <c r="C38" s="9"/>
      <c r="D38" s="9"/>
      <c r="E38" s="9"/>
      <c r="F38" s="9"/>
    </row>
    <row r="39" spans="2:6" x14ac:dyDescent="0.25">
      <c r="D39" s="10"/>
      <c r="F39" s="10"/>
    </row>
    <row r="40" spans="2:6" x14ac:dyDescent="0.25">
      <c r="D40" s="10"/>
      <c r="F40" s="10"/>
    </row>
    <row r="43" spans="2:6" x14ac:dyDescent="0.25">
      <c r="B43" s="9"/>
      <c r="C43" s="9"/>
      <c r="D43" s="9"/>
      <c r="E43" s="9"/>
      <c r="F43" s="9"/>
    </row>
    <row r="44" spans="2:6" x14ac:dyDescent="0.25">
      <c r="D44" s="10"/>
      <c r="F44" s="10"/>
    </row>
    <row r="45" spans="2:6" x14ac:dyDescent="0.25">
      <c r="D45" s="10"/>
      <c r="F45" s="10"/>
    </row>
    <row r="48" spans="2:6" x14ac:dyDescent="0.25">
      <c r="B48" s="9"/>
      <c r="C48" s="9"/>
      <c r="D48" s="9"/>
      <c r="E48" s="9"/>
      <c r="F48" s="9"/>
    </row>
    <row r="49" spans="2:6" x14ac:dyDescent="0.25">
      <c r="D49" s="10"/>
      <c r="F49" s="10"/>
    </row>
    <row r="50" spans="2:6" x14ac:dyDescent="0.25">
      <c r="D50" s="10"/>
      <c r="F50" s="10"/>
    </row>
    <row r="53" spans="2:6" x14ac:dyDescent="0.25">
      <c r="B53" s="9"/>
      <c r="C53" s="9"/>
      <c r="D53" s="9"/>
      <c r="E53" s="9"/>
      <c r="F53" s="9"/>
    </row>
    <row r="54" spans="2:6" x14ac:dyDescent="0.25">
      <c r="D54" s="10"/>
      <c r="F54" s="10"/>
    </row>
    <row r="55" spans="2:6" x14ac:dyDescent="0.25">
      <c r="D55" s="10"/>
      <c r="F55" s="10"/>
    </row>
  </sheetData>
  <phoneticPr fontId="2" type="noConversion"/>
  <pageMargins left="0.75" right="0.75" top="1" bottom="1" header="0.5" footer="0.5"/>
  <pageSetup paperSize="123"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Simulation</vt:lpstr>
      <vt:lpstr>Results</vt:lpstr>
      <vt:lpstr>Summary</vt:lpstr>
    </vt:vector>
  </TitlesOfParts>
  <Company>ALLIED RESEARCH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jliu</dc:creator>
  <cp:lastModifiedBy>David Dubins</cp:lastModifiedBy>
  <cp:lastPrinted>2005-10-21T16:48:57Z</cp:lastPrinted>
  <dcterms:created xsi:type="dcterms:W3CDTF">2005-06-03T18:09:34Z</dcterms:created>
  <dcterms:modified xsi:type="dcterms:W3CDTF">2021-06-30T19:44:38Z</dcterms:modified>
</cp:coreProperties>
</file>