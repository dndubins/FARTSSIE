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1/Programs/Excel Programs/"/>
    </mc:Choice>
  </mc:AlternateContent>
  <xr:revisionPtr revIDLastSave="18" documentId="13_ncr:1_{9A622F38-E700-4F07-94F5-2D5BB47EF865}" xr6:coauthVersionLast="46" xr6:coauthVersionMax="46" xr10:uidLastSave="{78D70F25-F968-42B8-AEEB-28A0D3280D2F}"/>
  <bookViews>
    <workbookView xWindow="-120" yWindow="-120" windowWidth="20730" windowHeight="1116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Data!$G$1:$K$32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0" l="1"/>
  <c r="D3" i="10"/>
  <c r="C5" i="1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A3" i="7"/>
  <c r="A4" i="7"/>
  <c r="B4" i="7" s="1"/>
  <c r="C4" i="7" s="1"/>
  <c r="A5" i="7"/>
  <c r="A6" i="7"/>
  <c r="B6" i="7" s="1"/>
  <c r="C6" i="7" s="1"/>
  <c r="A7" i="7"/>
  <c r="A8" i="7"/>
  <c r="B8" i="7" s="1"/>
  <c r="C8" i="7" s="1"/>
  <c r="A9" i="7"/>
  <c r="A10" i="7"/>
  <c r="B10" i="7" s="1"/>
  <c r="C10" i="7" s="1"/>
  <c r="A11" i="7"/>
  <c r="A12" i="7"/>
  <c r="B12" i="7" s="1"/>
  <c r="C12" i="7" s="1"/>
  <c r="A13" i="7"/>
  <c r="A14" i="7"/>
  <c r="B14" i="7" s="1"/>
  <c r="C14" i="7" s="1"/>
  <c r="A15" i="7"/>
  <c r="A16" i="7"/>
  <c r="B16" i="7" s="1"/>
  <c r="C16" i="7" s="1"/>
  <c r="A17" i="7"/>
  <c r="A18" i="7"/>
  <c r="B18" i="7" s="1"/>
  <c r="C18" i="7" s="1"/>
  <c r="A19" i="7"/>
  <c r="A20" i="7"/>
  <c r="B20" i="7" s="1"/>
  <c r="C20" i="7" s="1"/>
  <c r="A21" i="7"/>
  <c r="A22" i="7"/>
  <c r="B22" i="7" s="1"/>
  <c r="C22" i="7" s="1"/>
  <c r="A23" i="7"/>
  <c r="A24" i="7"/>
  <c r="B24" i="7" s="1"/>
  <c r="C24" i="7" s="1"/>
  <c r="A25" i="7"/>
  <c r="A26" i="7"/>
  <c r="B26" i="7" s="1"/>
  <c r="C26" i="7" s="1"/>
  <c r="A27" i="7"/>
  <c r="A28" i="7"/>
  <c r="B28" i="7" s="1"/>
  <c r="C28" i="7" s="1"/>
  <c r="A29" i="7"/>
  <c r="A30" i="7"/>
  <c r="B30" i="7" s="1"/>
  <c r="C30" i="7" s="1"/>
  <c r="A31" i="7"/>
  <c r="A32" i="7"/>
  <c r="B32" i="7" s="1"/>
  <c r="C32" i="7" s="1"/>
  <c r="A33" i="7"/>
  <c r="A34" i="7"/>
  <c r="B34" i="7" s="1"/>
  <c r="C34" i="7" s="1"/>
  <c r="A35" i="7"/>
  <c r="A36" i="7"/>
  <c r="B36" i="7" s="1"/>
  <c r="C36" i="7" s="1"/>
  <c r="A37" i="7"/>
  <c r="D37" i="7" s="1"/>
  <c r="E37" i="7" s="1"/>
  <c r="A38" i="7"/>
  <c r="D38" i="7" s="1"/>
  <c r="E38" i="7" s="1"/>
  <c r="A39" i="7"/>
  <c r="D39" i="7" s="1"/>
  <c r="E39" i="7" s="1"/>
  <c r="A40" i="7"/>
  <c r="B40" i="7" s="1"/>
  <c r="C40" i="7" s="1"/>
  <c r="A41" i="7"/>
  <c r="D41" i="7" s="1"/>
  <c r="E41" i="7" s="1"/>
  <c r="A42" i="7"/>
  <c r="D42" i="7" s="1"/>
  <c r="E42" i="7" s="1"/>
  <c r="A43" i="7"/>
  <c r="D43" i="7" s="1"/>
  <c r="E43" i="7" s="1"/>
  <c r="A44" i="7"/>
  <c r="B44" i="7" s="1"/>
  <c r="C44" i="7" s="1"/>
  <c r="A45" i="7"/>
  <c r="D45" i="7" s="1"/>
  <c r="E45" i="7" s="1"/>
  <c r="A46" i="7"/>
  <c r="D46" i="7" s="1"/>
  <c r="E46" i="7" s="1"/>
  <c r="A47" i="7"/>
  <c r="D47" i="7" s="1"/>
  <c r="E47" i="7" s="1"/>
  <c r="A48" i="7"/>
  <c r="B48" i="7" s="1"/>
  <c r="C48" i="7" s="1"/>
  <c r="A49" i="7"/>
  <c r="D49" i="7" s="1"/>
  <c r="E49" i="7" s="1"/>
  <c r="A50" i="7"/>
  <c r="D50" i="7" s="1"/>
  <c r="E50" i="7" s="1"/>
  <c r="A51" i="7"/>
  <c r="D51" i="7" s="1"/>
  <c r="E51" i="7" s="1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2" i="7" s="1"/>
  <c r="C2" i="7" s="1"/>
  <c r="D16" i="7"/>
  <c r="E16" i="7" s="1"/>
  <c r="D32" i="7"/>
  <c r="E32" i="7" s="1"/>
  <c r="B42" i="7"/>
  <c r="C42" i="7" s="1"/>
  <c r="B50" i="7"/>
  <c r="C50" i="7" s="1"/>
  <c r="B52" i="7"/>
  <c r="C52" i="7"/>
  <c r="D52" i="7"/>
  <c r="E52" i="7"/>
  <c r="F52" i="7"/>
  <c r="B53" i="7"/>
  <c r="C53" i="7"/>
  <c r="D53" i="7"/>
  <c r="E53" i="7"/>
  <c r="F53" i="7"/>
  <c r="B54" i="7"/>
  <c r="C54" i="7"/>
  <c r="D54" i="7"/>
  <c r="E54" i="7"/>
  <c r="F54" i="7"/>
  <c r="B55" i="7"/>
  <c r="C55" i="7"/>
  <c r="D55" i="7"/>
  <c r="E55" i="7"/>
  <c r="F55" i="7"/>
  <c r="B56" i="7"/>
  <c r="C56" i="7"/>
  <c r="D56" i="7"/>
  <c r="E56" i="7"/>
  <c r="F56" i="7"/>
  <c r="B57" i="7"/>
  <c r="C57" i="7"/>
  <c r="D57" i="7"/>
  <c r="E57" i="7"/>
  <c r="F57" i="7"/>
  <c r="B58" i="7"/>
  <c r="C58" i="7"/>
  <c r="D58" i="7"/>
  <c r="E58" i="7"/>
  <c r="F58" i="7"/>
  <c r="B59" i="7"/>
  <c r="C59" i="7"/>
  <c r="D59" i="7"/>
  <c r="E59" i="7"/>
  <c r="F59" i="7"/>
  <c r="B60" i="7"/>
  <c r="C60" i="7"/>
  <c r="D60" i="7"/>
  <c r="E60" i="7"/>
  <c r="F60" i="7"/>
  <c r="B61" i="7"/>
  <c r="C61" i="7"/>
  <c r="D61" i="7"/>
  <c r="E61" i="7"/>
  <c r="F61" i="7"/>
  <c r="B62" i="7"/>
  <c r="C62" i="7"/>
  <c r="D62" i="7"/>
  <c r="E62" i="7"/>
  <c r="F62" i="7"/>
  <c r="B63" i="7"/>
  <c r="C63" i="7"/>
  <c r="D63" i="7"/>
  <c r="E63" i="7"/>
  <c r="F63" i="7"/>
  <c r="B64" i="7"/>
  <c r="C64" i="7"/>
  <c r="D64" i="7"/>
  <c r="E64" i="7"/>
  <c r="F64" i="7"/>
  <c r="B65" i="7"/>
  <c r="C65" i="7"/>
  <c r="D65" i="7"/>
  <c r="E65" i="7"/>
  <c r="F65" i="7"/>
  <c r="B66" i="7"/>
  <c r="C66" i="7"/>
  <c r="D66" i="7"/>
  <c r="E66" i="7"/>
  <c r="F66" i="7"/>
  <c r="B67" i="7"/>
  <c r="C67" i="7"/>
  <c r="D67" i="7"/>
  <c r="E67" i="7"/>
  <c r="F67" i="7"/>
  <c r="B68" i="7"/>
  <c r="C68" i="7"/>
  <c r="D68" i="7"/>
  <c r="E68" i="7"/>
  <c r="F68" i="7"/>
  <c r="B69" i="7"/>
  <c r="C69" i="7"/>
  <c r="D69" i="7"/>
  <c r="E69" i="7"/>
  <c r="F69" i="7"/>
  <c r="B70" i="7"/>
  <c r="C70" i="7"/>
  <c r="D70" i="7"/>
  <c r="E70" i="7"/>
  <c r="F70" i="7"/>
  <c r="B71" i="7"/>
  <c r="C71" i="7"/>
  <c r="D71" i="7"/>
  <c r="E71" i="7"/>
  <c r="F71" i="7"/>
  <c r="B72" i="7"/>
  <c r="C72" i="7"/>
  <c r="D72" i="7"/>
  <c r="E72" i="7"/>
  <c r="F72" i="7"/>
  <c r="B73" i="7"/>
  <c r="C73" i="7"/>
  <c r="D73" i="7"/>
  <c r="E73" i="7"/>
  <c r="F73" i="7"/>
  <c r="B74" i="7"/>
  <c r="C74" i="7"/>
  <c r="D74" i="7"/>
  <c r="E74" i="7"/>
  <c r="F74" i="7"/>
  <c r="B75" i="7"/>
  <c r="C75" i="7"/>
  <c r="D75" i="7"/>
  <c r="E75" i="7"/>
  <c r="F75" i="7"/>
  <c r="B76" i="7"/>
  <c r="C76" i="7"/>
  <c r="D76" i="7"/>
  <c r="E76" i="7"/>
  <c r="F76" i="7"/>
  <c r="B77" i="7"/>
  <c r="C77" i="7"/>
  <c r="D77" i="7"/>
  <c r="E77" i="7"/>
  <c r="F77" i="7"/>
  <c r="B78" i="7"/>
  <c r="C78" i="7"/>
  <c r="D78" i="7"/>
  <c r="E78" i="7"/>
  <c r="F78" i="7"/>
  <c r="B79" i="7"/>
  <c r="C79" i="7"/>
  <c r="D79" i="7"/>
  <c r="E79" i="7"/>
  <c r="F79" i="7"/>
  <c r="B80" i="7"/>
  <c r="C80" i="7"/>
  <c r="D80" i="7"/>
  <c r="E80" i="7"/>
  <c r="F80" i="7"/>
  <c r="B81" i="7"/>
  <c r="C81" i="7"/>
  <c r="D81" i="7"/>
  <c r="E81" i="7"/>
  <c r="F81" i="7"/>
  <c r="B82" i="7"/>
  <c r="C82" i="7"/>
  <c r="D82" i="7"/>
  <c r="E82" i="7"/>
  <c r="F82" i="7"/>
  <c r="B83" i="7"/>
  <c r="C83" i="7"/>
  <c r="D83" i="7"/>
  <c r="E83" i="7"/>
  <c r="F83" i="7"/>
  <c r="B84" i="7"/>
  <c r="C84" i="7"/>
  <c r="D84" i="7"/>
  <c r="E84" i="7"/>
  <c r="F84" i="7"/>
  <c r="B85" i="7"/>
  <c r="C85" i="7"/>
  <c r="D85" i="7"/>
  <c r="E85" i="7"/>
  <c r="F85" i="7"/>
  <c r="B86" i="7"/>
  <c r="C86" i="7"/>
  <c r="D86" i="7"/>
  <c r="E86" i="7"/>
  <c r="F86" i="7"/>
  <c r="B87" i="7"/>
  <c r="C87" i="7"/>
  <c r="D87" i="7"/>
  <c r="E87" i="7"/>
  <c r="F87" i="7"/>
  <c r="B88" i="7"/>
  <c r="C88" i="7"/>
  <c r="D88" i="7"/>
  <c r="E88" i="7"/>
  <c r="F88" i="7"/>
  <c r="B89" i="7"/>
  <c r="C89" i="7"/>
  <c r="D89" i="7"/>
  <c r="E89" i="7"/>
  <c r="F89" i="7"/>
  <c r="B90" i="7"/>
  <c r="C90" i="7"/>
  <c r="D90" i="7"/>
  <c r="E90" i="7"/>
  <c r="F90" i="7"/>
  <c r="B91" i="7"/>
  <c r="C91" i="7"/>
  <c r="D91" i="7"/>
  <c r="E91" i="7"/>
  <c r="F91" i="7"/>
  <c r="B92" i="7"/>
  <c r="C92" i="7"/>
  <c r="D92" i="7"/>
  <c r="E92" i="7"/>
  <c r="F92" i="7"/>
  <c r="B93" i="7"/>
  <c r="C93" i="7"/>
  <c r="D93" i="7"/>
  <c r="E93" i="7"/>
  <c r="F93" i="7"/>
  <c r="B94" i="7"/>
  <c r="C94" i="7"/>
  <c r="D94" i="7"/>
  <c r="E94" i="7"/>
  <c r="F94" i="7"/>
  <c r="B95" i="7"/>
  <c r="C95" i="7"/>
  <c r="D95" i="7"/>
  <c r="E95" i="7"/>
  <c r="F95" i="7"/>
  <c r="B96" i="7"/>
  <c r="C96" i="7"/>
  <c r="D96" i="7"/>
  <c r="E96" i="7"/>
  <c r="F96" i="7"/>
  <c r="B97" i="7"/>
  <c r="C97" i="7"/>
  <c r="D97" i="7"/>
  <c r="E97" i="7"/>
  <c r="F97" i="7"/>
  <c r="B98" i="7"/>
  <c r="C98" i="7"/>
  <c r="D98" i="7"/>
  <c r="E98" i="7"/>
  <c r="F98" i="7"/>
  <c r="B99" i="7"/>
  <c r="C99" i="7"/>
  <c r="D99" i="7"/>
  <c r="E99" i="7"/>
  <c r="F99" i="7"/>
  <c r="B100" i="7"/>
  <c r="C100" i="7"/>
  <c r="D100" i="7"/>
  <c r="E100" i="7"/>
  <c r="F100" i="7"/>
  <c r="B101" i="7"/>
  <c r="C101" i="7"/>
  <c r="D101" i="7"/>
  <c r="E101" i="7"/>
  <c r="F101" i="7"/>
  <c r="B102" i="7"/>
  <c r="C102" i="7"/>
  <c r="D102" i="7"/>
  <c r="E102" i="7"/>
  <c r="F102" i="7"/>
  <c r="B103" i="7"/>
  <c r="C103" i="7"/>
  <c r="D103" i="7"/>
  <c r="E103" i="7"/>
  <c r="F103" i="7"/>
  <c r="B104" i="7"/>
  <c r="C104" i="7"/>
  <c r="D104" i="7"/>
  <c r="E104" i="7"/>
  <c r="F104" i="7"/>
  <c r="B105" i="7"/>
  <c r="C105" i="7"/>
  <c r="D105" i="7"/>
  <c r="E105" i="7"/>
  <c r="F105" i="7"/>
  <c r="B106" i="7"/>
  <c r="C106" i="7"/>
  <c r="D106" i="7"/>
  <c r="E106" i="7"/>
  <c r="F106" i="7"/>
  <c r="B107" i="7"/>
  <c r="C107" i="7"/>
  <c r="D107" i="7"/>
  <c r="E107" i="7"/>
  <c r="F107" i="7"/>
  <c r="B108" i="7"/>
  <c r="C108" i="7"/>
  <c r="D108" i="7"/>
  <c r="E108" i="7"/>
  <c r="F108" i="7"/>
  <c r="B109" i="7"/>
  <c r="C109" i="7"/>
  <c r="D109" i="7"/>
  <c r="E109" i="7"/>
  <c r="F109" i="7"/>
  <c r="B110" i="7"/>
  <c r="C110" i="7"/>
  <c r="D110" i="7"/>
  <c r="E110" i="7"/>
  <c r="F110" i="7"/>
  <c r="B111" i="7"/>
  <c r="C111" i="7"/>
  <c r="D111" i="7"/>
  <c r="E111" i="7"/>
  <c r="F111" i="7"/>
  <c r="B112" i="7"/>
  <c r="C112" i="7"/>
  <c r="D112" i="7"/>
  <c r="E112" i="7"/>
  <c r="F112" i="7"/>
  <c r="B113" i="7"/>
  <c r="C113" i="7"/>
  <c r="D113" i="7"/>
  <c r="E113" i="7"/>
  <c r="F113" i="7"/>
  <c r="B114" i="7"/>
  <c r="C114" i="7"/>
  <c r="D114" i="7"/>
  <c r="E114" i="7"/>
  <c r="F114" i="7"/>
  <c r="B115" i="7"/>
  <c r="C115" i="7"/>
  <c r="D115" i="7"/>
  <c r="E115" i="7"/>
  <c r="F115" i="7"/>
  <c r="B116" i="7"/>
  <c r="C116" i="7"/>
  <c r="D116" i="7"/>
  <c r="E116" i="7"/>
  <c r="F116" i="7"/>
  <c r="B117" i="7"/>
  <c r="C117" i="7"/>
  <c r="D117" i="7"/>
  <c r="E117" i="7"/>
  <c r="F117" i="7"/>
  <c r="B118" i="7"/>
  <c r="C118" i="7"/>
  <c r="D118" i="7"/>
  <c r="E118" i="7"/>
  <c r="F118" i="7"/>
  <c r="B119" i="7"/>
  <c r="C119" i="7"/>
  <c r="D119" i="7"/>
  <c r="E119" i="7"/>
  <c r="F119" i="7"/>
  <c r="B120" i="7"/>
  <c r="C120" i="7"/>
  <c r="D120" i="7"/>
  <c r="E120" i="7"/>
  <c r="F120" i="7"/>
  <c r="B121" i="7"/>
  <c r="C121" i="7"/>
  <c r="D121" i="7"/>
  <c r="E121" i="7"/>
  <c r="F121" i="7"/>
  <c r="B122" i="7"/>
  <c r="C122" i="7"/>
  <c r="D122" i="7"/>
  <c r="E122" i="7"/>
  <c r="F122" i="7"/>
  <c r="B123" i="7"/>
  <c r="C123" i="7"/>
  <c r="D123" i="7"/>
  <c r="E123" i="7"/>
  <c r="F123" i="7"/>
  <c r="B124" i="7"/>
  <c r="C124" i="7"/>
  <c r="D124" i="7"/>
  <c r="E124" i="7"/>
  <c r="F124" i="7"/>
  <c r="B125" i="7"/>
  <c r="C125" i="7"/>
  <c r="D125" i="7"/>
  <c r="E125" i="7"/>
  <c r="F125" i="7"/>
  <c r="B126" i="7"/>
  <c r="C126" i="7"/>
  <c r="D126" i="7"/>
  <c r="E126" i="7"/>
  <c r="F126" i="7"/>
  <c r="B127" i="7"/>
  <c r="C127" i="7"/>
  <c r="D127" i="7"/>
  <c r="E127" i="7"/>
  <c r="F127" i="7"/>
  <c r="B128" i="7"/>
  <c r="C128" i="7"/>
  <c r="D128" i="7"/>
  <c r="E128" i="7"/>
  <c r="F128" i="7"/>
  <c r="B129" i="7"/>
  <c r="C129" i="7"/>
  <c r="D129" i="7"/>
  <c r="E129" i="7"/>
  <c r="F129" i="7"/>
  <c r="B130" i="7"/>
  <c r="C130" i="7"/>
  <c r="D130" i="7"/>
  <c r="E130" i="7"/>
  <c r="F130" i="7"/>
  <c r="B131" i="7"/>
  <c r="C131" i="7"/>
  <c r="D131" i="7"/>
  <c r="E131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M6" i="8"/>
  <c r="I6" i="8"/>
  <c r="F1" i="7"/>
  <c r="D1" i="7"/>
  <c r="E1" i="7"/>
  <c r="B1" i="7"/>
  <c r="C1" i="7"/>
  <c r="B2" i="11"/>
  <c r="B132" i="7"/>
  <c r="D132" i="7"/>
  <c r="B133" i="7"/>
  <c r="D133" i="7"/>
  <c r="B134" i="7"/>
  <c r="D134" i="7"/>
  <c r="B135" i="7"/>
  <c r="D135" i="7"/>
  <c r="B136" i="7"/>
  <c r="D136" i="7"/>
  <c r="B137" i="7"/>
  <c r="D137" i="7"/>
  <c r="B138" i="7"/>
  <c r="D138" i="7"/>
  <c r="B139" i="7"/>
  <c r="D139" i="7"/>
  <c r="B140" i="7"/>
  <c r="D140" i="7"/>
  <c r="B141" i="7"/>
  <c r="D141" i="7"/>
  <c r="B142" i="7"/>
  <c r="D142" i="7"/>
  <c r="B143" i="7"/>
  <c r="D143" i="7"/>
  <c r="B144" i="7"/>
  <c r="D144" i="7"/>
  <c r="B145" i="7"/>
  <c r="D145" i="7"/>
  <c r="B146" i="7"/>
  <c r="D146" i="7"/>
  <c r="B147" i="7"/>
  <c r="D147" i="7"/>
  <c r="B148" i="7"/>
  <c r="D148" i="7"/>
  <c r="B149" i="7"/>
  <c r="D149" i="7"/>
  <c r="B150" i="7"/>
  <c r="D150" i="7"/>
  <c r="B151" i="7"/>
  <c r="D151" i="7"/>
  <c r="B152" i="7"/>
  <c r="D152" i="7"/>
  <c r="B153" i="7"/>
  <c r="D153" i="7"/>
  <c r="B154" i="7"/>
  <c r="D154" i="7"/>
  <c r="B155" i="7"/>
  <c r="D155" i="7"/>
  <c r="B156" i="7"/>
  <c r="D156" i="7"/>
  <c r="B157" i="7"/>
  <c r="D157" i="7"/>
  <c r="B158" i="7"/>
  <c r="D158" i="7"/>
  <c r="B159" i="7"/>
  <c r="D159" i="7"/>
  <c r="B160" i="7"/>
  <c r="D160" i="7"/>
  <c r="B161" i="7"/>
  <c r="D161" i="7"/>
  <c r="B162" i="7"/>
  <c r="D162" i="7"/>
  <c r="B163" i="7"/>
  <c r="D163" i="7"/>
  <c r="B164" i="7"/>
  <c r="D164" i="7"/>
  <c r="B165" i="7"/>
  <c r="D165" i="7"/>
  <c r="B166" i="7"/>
  <c r="D166" i="7"/>
  <c r="B167" i="7"/>
  <c r="D167" i="7"/>
  <c r="B168" i="7"/>
  <c r="D168" i="7"/>
  <c r="B169" i="7"/>
  <c r="D169" i="7"/>
  <c r="B170" i="7"/>
  <c r="D170" i="7"/>
  <c r="B171" i="7"/>
  <c r="D171" i="7"/>
  <c r="D4" i="11"/>
  <c r="D5" i="11"/>
  <c r="F5" i="11"/>
  <c r="F4" i="11"/>
  <c r="E4" i="11"/>
  <c r="E5" i="11"/>
  <c r="D1072" i="7"/>
  <c r="B1072" i="7"/>
  <c r="D1071" i="7"/>
  <c r="B1071" i="7"/>
  <c r="D1070" i="7"/>
  <c r="B1070" i="7"/>
  <c r="D1069" i="7"/>
  <c r="B1069" i="7"/>
  <c r="D1068" i="7"/>
  <c r="B1068" i="7"/>
  <c r="D1067" i="7"/>
  <c r="B1067" i="7"/>
  <c r="D1066" i="7"/>
  <c r="B1066" i="7"/>
  <c r="D1065" i="7"/>
  <c r="B1065" i="7"/>
  <c r="D1064" i="7"/>
  <c r="B1064" i="7"/>
  <c r="D1063" i="7"/>
  <c r="B1063" i="7"/>
  <c r="D1062" i="7"/>
  <c r="B1062" i="7"/>
  <c r="D1061" i="7"/>
  <c r="B1061" i="7"/>
  <c r="D1060" i="7"/>
  <c r="B1060" i="7"/>
  <c r="D1059" i="7"/>
  <c r="B1059" i="7"/>
  <c r="D1058" i="7"/>
  <c r="B1058" i="7"/>
  <c r="D1057" i="7"/>
  <c r="B1057" i="7"/>
  <c r="D1056" i="7"/>
  <c r="B1056" i="7"/>
  <c r="D1055" i="7"/>
  <c r="B1055" i="7"/>
  <c r="D1054" i="7"/>
  <c r="B1054" i="7"/>
  <c r="D1053" i="7"/>
  <c r="B1053" i="7"/>
  <c r="D1052" i="7"/>
  <c r="B1052" i="7"/>
  <c r="D1051" i="7"/>
  <c r="B1051" i="7"/>
  <c r="D1050" i="7"/>
  <c r="B1050" i="7"/>
  <c r="D1049" i="7"/>
  <c r="B1049" i="7"/>
  <c r="D1048" i="7"/>
  <c r="B1048" i="7"/>
  <c r="D1047" i="7"/>
  <c r="B1047" i="7"/>
  <c r="D1046" i="7"/>
  <c r="B1046" i="7"/>
  <c r="D1045" i="7"/>
  <c r="B1045" i="7"/>
  <c r="D1044" i="7"/>
  <c r="B1044" i="7"/>
  <c r="D1043" i="7"/>
  <c r="B1043" i="7"/>
  <c r="D1042" i="7"/>
  <c r="B1042" i="7"/>
  <c r="D1041" i="7"/>
  <c r="B1041" i="7"/>
  <c r="D1040" i="7"/>
  <c r="B1040" i="7"/>
  <c r="D1039" i="7"/>
  <c r="B1039" i="7"/>
  <c r="D1038" i="7"/>
  <c r="B1038" i="7"/>
  <c r="D1037" i="7"/>
  <c r="B1037" i="7"/>
  <c r="D1036" i="7"/>
  <c r="B1036" i="7"/>
  <c r="D1035" i="7"/>
  <c r="B1035" i="7"/>
  <c r="D1034" i="7"/>
  <c r="B1034" i="7"/>
  <c r="D1033" i="7"/>
  <c r="B1033" i="7"/>
  <c r="D1032" i="7"/>
  <c r="B1032" i="7"/>
  <c r="D1031" i="7"/>
  <c r="B1031" i="7"/>
  <c r="D1030" i="7"/>
  <c r="B1030" i="7"/>
  <c r="D1029" i="7"/>
  <c r="B1029" i="7"/>
  <c r="D1028" i="7"/>
  <c r="B1028" i="7"/>
  <c r="D1027" i="7"/>
  <c r="B1027" i="7"/>
  <c r="D1026" i="7"/>
  <c r="B1026" i="7"/>
  <c r="D1025" i="7"/>
  <c r="B1025" i="7"/>
  <c r="D1024" i="7"/>
  <c r="B1024" i="7"/>
  <c r="D1023" i="7"/>
  <c r="B1023" i="7"/>
  <c r="D1022" i="7"/>
  <c r="B1022" i="7"/>
  <c r="D1021" i="7"/>
  <c r="B1021" i="7"/>
  <c r="D1020" i="7"/>
  <c r="B1020" i="7"/>
  <c r="D1019" i="7"/>
  <c r="B1019" i="7"/>
  <c r="D1018" i="7"/>
  <c r="B1018" i="7"/>
  <c r="D1017" i="7"/>
  <c r="B1017" i="7"/>
  <c r="D1016" i="7"/>
  <c r="B1016" i="7"/>
  <c r="D1015" i="7"/>
  <c r="B1015" i="7"/>
  <c r="D1014" i="7"/>
  <c r="B1014" i="7"/>
  <c r="D1013" i="7"/>
  <c r="B1013" i="7"/>
  <c r="D1012" i="7"/>
  <c r="B1012" i="7"/>
  <c r="D1011" i="7"/>
  <c r="B1011" i="7"/>
  <c r="D1010" i="7"/>
  <c r="B1010" i="7"/>
  <c r="D1009" i="7"/>
  <c r="B1009" i="7"/>
  <c r="D1008" i="7"/>
  <c r="B1008" i="7"/>
  <c r="D1007" i="7"/>
  <c r="B1007" i="7"/>
  <c r="D1006" i="7"/>
  <c r="B1006" i="7"/>
  <c r="D1005" i="7"/>
  <c r="B1005" i="7"/>
  <c r="D1004" i="7"/>
  <c r="B1004" i="7"/>
  <c r="D1003" i="7"/>
  <c r="B1003" i="7"/>
  <c r="D1002" i="7"/>
  <c r="B1002" i="7"/>
  <c r="D1001" i="7"/>
  <c r="B1001" i="7"/>
  <c r="D1000" i="7"/>
  <c r="B1000" i="7"/>
  <c r="D999" i="7"/>
  <c r="B999" i="7"/>
  <c r="D998" i="7"/>
  <c r="B998" i="7"/>
  <c r="D997" i="7"/>
  <c r="B997" i="7"/>
  <c r="D996" i="7"/>
  <c r="B996" i="7"/>
  <c r="D995" i="7"/>
  <c r="B995" i="7"/>
  <c r="D994" i="7"/>
  <c r="B994" i="7"/>
  <c r="D993" i="7"/>
  <c r="B993" i="7"/>
  <c r="D992" i="7"/>
  <c r="B992" i="7"/>
  <c r="D991" i="7"/>
  <c r="B991" i="7"/>
  <c r="D990" i="7"/>
  <c r="B990" i="7"/>
  <c r="D989" i="7"/>
  <c r="B989" i="7"/>
  <c r="D988" i="7"/>
  <c r="B988" i="7"/>
  <c r="D987" i="7"/>
  <c r="B987" i="7"/>
  <c r="D986" i="7"/>
  <c r="B986" i="7"/>
  <c r="D985" i="7"/>
  <c r="B985" i="7"/>
  <c r="D984" i="7"/>
  <c r="B984" i="7"/>
  <c r="D983" i="7"/>
  <c r="B983" i="7"/>
  <c r="D982" i="7"/>
  <c r="B982" i="7"/>
  <c r="D981" i="7"/>
  <c r="B981" i="7"/>
  <c r="D980" i="7"/>
  <c r="B980" i="7"/>
  <c r="D979" i="7"/>
  <c r="B979" i="7"/>
  <c r="D978" i="7"/>
  <c r="B978" i="7"/>
  <c r="D977" i="7"/>
  <c r="B977" i="7"/>
  <c r="D976" i="7"/>
  <c r="B976" i="7"/>
  <c r="D975" i="7"/>
  <c r="B975" i="7"/>
  <c r="D974" i="7"/>
  <c r="B974" i="7"/>
  <c r="D973" i="7"/>
  <c r="B973" i="7"/>
  <c r="D972" i="7"/>
  <c r="B972" i="7"/>
  <c r="D971" i="7"/>
  <c r="B971" i="7"/>
  <c r="D970" i="7"/>
  <c r="B970" i="7"/>
  <c r="D969" i="7"/>
  <c r="B969" i="7"/>
  <c r="D968" i="7"/>
  <c r="B968" i="7"/>
  <c r="D967" i="7"/>
  <c r="B967" i="7"/>
  <c r="D966" i="7"/>
  <c r="B966" i="7"/>
  <c r="D965" i="7"/>
  <c r="B965" i="7"/>
  <c r="D964" i="7"/>
  <c r="B964" i="7"/>
  <c r="D963" i="7"/>
  <c r="B963" i="7"/>
  <c r="D962" i="7"/>
  <c r="B962" i="7"/>
  <c r="D961" i="7"/>
  <c r="B961" i="7"/>
  <c r="D960" i="7"/>
  <c r="B960" i="7"/>
  <c r="D959" i="7"/>
  <c r="B959" i="7"/>
  <c r="D958" i="7"/>
  <c r="B958" i="7"/>
  <c r="D957" i="7"/>
  <c r="B957" i="7"/>
  <c r="D956" i="7"/>
  <c r="B956" i="7"/>
  <c r="D955" i="7"/>
  <c r="B955" i="7"/>
  <c r="D954" i="7"/>
  <c r="B954" i="7"/>
  <c r="D953" i="7"/>
  <c r="B953" i="7"/>
  <c r="D952" i="7"/>
  <c r="B952" i="7"/>
  <c r="D951" i="7"/>
  <c r="B951" i="7"/>
  <c r="D950" i="7"/>
  <c r="B950" i="7"/>
  <c r="D949" i="7"/>
  <c r="B949" i="7"/>
  <c r="D948" i="7"/>
  <c r="B948" i="7"/>
  <c r="D947" i="7"/>
  <c r="B947" i="7"/>
  <c r="D946" i="7"/>
  <c r="B946" i="7"/>
  <c r="D945" i="7"/>
  <c r="B945" i="7"/>
  <c r="D944" i="7"/>
  <c r="B944" i="7"/>
  <c r="D943" i="7"/>
  <c r="B943" i="7"/>
  <c r="D942" i="7"/>
  <c r="B942" i="7"/>
  <c r="D941" i="7"/>
  <c r="B941" i="7"/>
  <c r="D940" i="7"/>
  <c r="B940" i="7"/>
  <c r="D939" i="7"/>
  <c r="B939" i="7"/>
  <c r="D938" i="7"/>
  <c r="B938" i="7"/>
  <c r="D937" i="7"/>
  <c r="B937" i="7"/>
  <c r="D936" i="7"/>
  <c r="B936" i="7"/>
  <c r="D935" i="7"/>
  <c r="B935" i="7"/>
  <c r="D934" i="7"/>
  <c r="B934" i="7"/>
  <c r="D933" i="7"/>
  <c r="B933" i="7"/>
  <c r="D932" i="7"/>
  <c r="B932" i="7"/>
  <c r="D931" i="7"/>
  <c r="B931" i="7"/>
  <c r="D930" i="7"/>
  <c r="B930" i="7"/>
  <c r="D929" i="7"/>
  <c r="B929" i="7"/>
  <c r="D928" i="7"/>
  <c r="B928" i="7"/>
  <c r="D927" i="7"/>
  <c r="B927" i="7"/>
  <c r="D926" i="7"/>
  <c r="B926" i="7"/>
  <c r="D925" i="7"/>
  <c r="B925" i="7"/>
  <c r="D924" i="7"/>
  <c r="B924" i="7"/>
  <c r="D923" i="7"/>
  <c r="B923" i="7"/>
  <c r="D922" i="7"/>
  <c r="B922" i="7"/>
  <c r="D921" i="7"/>
  <c r="B921" i="7"/>
  <c r="D920" i="7"/>
  <c r="B920" i="7"/>
  <c r="D919" i="7"/>
  <c r="B919" i="7"/>
  <c r="D918" i="7"/>
  <c r="B918" i="7"/>
  <c r="D917" i="7"/>
  <c r="B917" i="7"/>
  <c r="D916" i="7"/>
  <c r="B916" i="7"/>
  <c r="D915" i="7"/>
  <c r="B915" i="7"/>
  <c r="D914" i="7"/>
  <c r="B914" i="7"/>
  <c r="D913" i="7"/>
  <c r="B913" i="7"/>
  <c r="D912" i="7"/>
  <c r="B912" i="7"/>
  <c r="D911" i="7"/>
  <c r="B911" i="7"/>
  <c r="D910" i="7"/>
  <c r="B910" i="7"/>
  <c r="D909" i="7"/>
  <c r="B909" i="7"/>
  <c r="D908" i="7"/>
  <c r="B908" i="7"/>
  <c r="D907" i="7"/>
  <c r="B907" i="7"/>
  <c r="D906" i="7"/>
  <c r="B906" i="7"/>
  <c r="D905" i="7"/>
  <c r="B905" i="7"/>
  <c r="D904" i="7"/>
  <c r="B904" i="7"/>
  <c r="D903" i="7"/>
  <c r="B903" i="7"/>
  <c r="D902" i="7"/>
  <c r="B902" i="7"/>
  <c r="D901" i="7"/>
  <c r="B901" i="7"/>
  <c r="D900" i="7"/>
  <c r="B900" i="7"/>
  <c r="D899" i="7"/>
  <c r="B899" i="7"/>
  <c r="D898" i="7"/>
  <c r="B898" i="7"/>
  <c r="D897" i="7"/>
  <c r="B897" i="7"/>
  <c r="D896" i="7"/>
  <c r="B896" i="7"/>
  <c r="D895" i="7"/>
  <c r="B895" i="7"/>
  <c r="D894" i="7"/>
  <c r="B894" i="7"/>
  <c r="D893" i="7"/>
  <c r="B893" i="7"/>
  <c r="D892" i="7"/>
  <c r="B892" i="7"/>
  <c r="D891" i="7"/>
  <c r="B891" i="7"/>
  <c r="D890" i="7"/>
  <c r="B890" i="7"/>
  <c r="D889" i="7"/>
  <c r="B889" i="7"/>
  <c r="D888" i="7"/>
  <c r="B888" i="7"/>
  <c r="D887" i="7"/>
  <c r="B887" i="7"/>
  <c r="D886" i="7"/>
  <c r="B886" i="7"/>
  <c r="D885" i="7"/>
  <c r="B885" i="7"/>
  <c r="D884" i="7"/>
  <c r="B884" i="7"/>
  <c r="D883" i="7"/>
  <c r="B883" i="7"/>
  <c r="D882" i="7"/>
  <c r="B882" i="7"/>
  <c r="D881" i="7"/>
  <c r="B881" i="7"/>
  <c r="D880" i="7"/>
  <c r="B880" i="7"/>
  <c r="D879" i="7"/>
  <c r="B879" i="7"/>
  <c r="D878" i="7"/>
  <c r="B878" i="7"/>
  <c r="D877" i="7"/>
  <c r="B877" i="7"/>
  <c r="D876" i="7"/>
  <c r="B876" i="7"/>
  <c r="D875" i="7"/>
  <c r="B875" i="7"/>
  <c r="D874" i="7"/>
  <c r="B874" i="7"/>
  <c r="D873" i="7"/>
  <c r="B873" i="7"/>
  <c r="D872" i="7"/>
  <c r="B872" i="7"/>
  <c r="D871" i="7"/>
  <c r="B871" i="7"/>
  <c r="D870" i="7"/>
  <c r="B870" i="7"/>
  <c r="D869" i="7"/>
  <c r="B869" i="7"/>
  <c r="D868" i="7"/>
  <c r="B868" i="7"/>
  <c r="D867" i="7"/>
  <c r="B867" i="7"/>
  <c r="D866" i="7"/>
  <c r="B866" i="7"/>
  <c r="D865" i="7"/>
  <c r="B865" i="7"/>
  <c r="D864" i="7"/>
  <c r="B864" i="7"/>
  <c r="D863" i="7"/>
  <c r="B863" i="7"/>
  <c r="D862" i="7"/>
  <c r="B862" i="7"/>
  <c r="D861" i="7"/>
  <c r="B861" i="7"/>
  <c r="D860" i="7"/>
  <c r="B860" i="7"/>
  <c r="D859" i="7"/>
  <c r="B859" i="7"/>
  <c r="D858" i="7"/>
  <c r="B858" i="7"/>
  <c r="D857" i="7"/>
  <c r="B857" i="7"/>
  <c r="D856" i="7"/>
  <c r="B856" i="7"/>
  <c r="D855" i="7"/>
  <c r="B855" i="7"/>
  <c r="D854" i="7"/>
  <c r="B854" i="7"/>
  <c r="D853" i="7"/>
  <c r="B853" i="7"/>
  <c r="D852" i="7"/>
  <c r="B852" i="7"/>
  <c r="D851" i="7"/>
  <c r="B851" i="7"/>
  <c r="D850" i="7"/>
  <c r="B850" i="7"/>
  <c r="D849" i="7"/>
  <c r="B849" i="7"/>
  <c r="D848" i="7"/>
  <c r="B848" i="7"/>
  <c r="D847" i="7"/>
  <c r="B847" i="7"/>
  <c r="D846" i="7"/>
  <c r="B846" i="7"/>
  <c r="D845" i="7"/>
  <c r="B845" i="7"/>
  <c r="D844" i="7"/>
  <c r="B844" i="7"/>
  <c r="D843" i="7"/>
  <c r="B843" i="7"/>
  <c r="D842" i="7"/>
  <c r="B842" i="7"/>
  <c r="D841" i="7"/>
  <c r="B841" i="7"/>
  <c r="D840" i="7"/>
  <c r="B840" i="7"/>
  <c r="D839" i="7"/>
  <c r="B839" i="7"/>
  <c r="D838" i="7"/>
  <c r="B838" i="7"/>
  <c r="D837" i="7"/>
  <c r="B837" i="7"/>
  <c r="D836" i="7"/>
  <c r="B836" i="7"/>
  <c r="D835" i="7"/>
  <c r="B835" i="7"/>
  <c r="D834" i="7"/>
  <c r="B834" i="7"/>
  <c r="D833" i="7"/>
  <c r="B833" i="7"/>
  <c r="D832" i="7"/>
  <c r="B832" i="7"/>
  <c r="D831" i="7"/>
  <c r="B831" i="7"/>
  <c r="D830" i="7"/>
  <c r="B830" i="7"/>
  <c r="D829" i="7"/>
  <c r="B829" i="7"/>
  <c r="D828" i="7"/>
  <c r="B828" i="7"/>
  <c r="D827" i="7"/>
  <c r="B827" i="7"/>
  <c r="D826" i="7"/>
  <c r="B826" i="7"/>
  <c r="D825" i="7"/>
  <c r="B825" i="7"/>
  <c r="D824" i="7"/>
  <c r="B824" i="7"/>
  <c r="D823" i="7"/>
  <c r="B823" i="7"/>
  <c r="D822" i="7"/>
  <c r="B822" i="7"/>
  <c r="D821" i="7"/>
  <c r="B821" i="7"/>
  <c r="D820" i="7"/>
  <c r="B820" i="7"/>
  <c r="D819" i="7"/>
  <c r="B819" i="7"/>
  <c r="D818" i="7"/>
  <c r="B818" i="7"/>
  <c r="D817" i="7"/>
  <c r="B817" i="7"/>
  <c r="D816" i="7"/>
  <c r="B816" i="7"/>
  <c r="D815" i="7"/>
  <c r="B815" i="7"/>
  <c r="D814" i="7"/>
  <c r="B814" i="7"/>
  <c r="D813" i="7"/>
  <c r="B813" i="7"/>
  <c r="D812" i="7"/>
  <c r="B812" i="7"/>
  <c r="D811" i="7"/>
  <c r="B811" i="7"/>
  <c r="D810" i="7"/>
  <c r="B810" i="7"/>
  <c r="D809" i="7"/>
  <c r="B809" i="7"/>
  <c r="D808" i="7"/>
  <c r="B808" i="7"/>
  <c r="D807" i="7"/>
  <c r="B807" i="7"/>
  <c r="D806" i="7"/>
  <c r="B806" i="7"/>
  <c r="D805" i="7"/>
  <c r="B805" i="7"/>
  <c r="D804" i="7"/>
  <c r="B804" i="7"/>
  <c r="D803" i="7"/>
  <c r="B803" i="7"/>
  <c r="D802" i="7"/>
  <c r="B802" i="7"/>
  <c r="D801" i="7"/>
  <c r="B801" i="7"/>
  <c r="D800" i="7"/>
  <c r="B800" i="7"/>
  <c r="D799" i="7"/>
  <c r="B799" i="7"/>
  <c r="D798" i="7"/>
  <c r="B798" i="7"/>
  <c r="D797" i="7"/>
  <c r="B797" i="7"/>
  <c r="D796" i="7"/>
  <c r="B796" i="7"/>
  <c r="D795" i="7"/>
  <c r="B795" i="7"/>
  <c r="D794" i="7"/>
  <c r="B794" i="7"/>
  <c r="D793" i="7"/>
  <c r="B793" i="7"/>
  <c r="D792" i="7"/>
  <c r="B792" i="7"/>
  <c r="D791" i="7"/>
  <c r="B791" i="7"/>
  <c r="D790" i="7"/>
  <c r="B790" i="7"/>
  <c r="D789" i="7"/>
  <c r="B789" i="7"/>
  <c r="D788" i="7"/>
  <c r="B788" i="7"/>
  <c r="D787" i="7"/>
  <c r="B787" i="7"/>
  <c r="D786" i="7"/>
  <c r="B786" i="7"/>
  <c r="D785" i="7"/>
  <c r="B785" i="7"/>
  <c r="D784" i="7"/>
  <c r="B784" i="7"/>
  <c r="D783" i="7"/>
  <c r="B783" i="7"/>
  <c r="D782" i="7"/>
  <c r="B782" i="7"/>
  <c r="D781" i="7"/>
  <c r="B781" i="7"/>
  <c r="D780" i="7"/>
  <c r="B780" i="7"/>
  <c r="D779" i="7"/>
  <c r="B779" i="7"/>
  <c r="D778" i="7"/>
  <c r="B778" i="7"/>
  <c r="D777" i="7"/>
  <c r="B777" i="7"/>
  <c r="D776" i="7"/>
  <c r="B776" i="7"/>
  <c r="D775" i="7"/>
  <c r="B775" i="7"/>
  <c r="D774" i="7"/>
  <c r="B774" i="7"/>
  <c r="D773" i="7"/>
  <c r="B773" i="7"/>
  <c r="D772" i="7"/>
  <c r="B772" i="7"/>
  <c r="D771" i="7"/>
  <c r="B771" i="7"/>
  <c r="D770" i="7"/>
  <c r="B770" i="7"/>
  <c r="D769" i="7"/>
  <c r="B769" i="7"/>
  <c r="D768" i="7"/>
  <c r="B768" i="7"/>
  <c r="D767" i="7"/>
  <c r="B767" i="7"/>
  <c r="D766" i="7"/>
  <c r="B766" i="7"/>
  <c r="D765" i="7"/>
  <c r="B765" i="7"/>
  <c r="D764" i="7"/>
  <c r="B764" i="7"/>
  <c r="D763" i="7"/>
  <c r="B763" i="7"/>
  <c r="D762" i="7"/>
  <c r="B762" i="7"/>
  <c r="D761" i="7"/>
  <c r="B761" i="7"/>
  <c r="D760" i="7"/>
  <c r="B760" i="7"/>
  <c r="D759" i="7"/>
  <c r="B759" i="7"/>
  <c r="D758" i="7"/>
  <c r="B758" i="7"/>
  <c r="D757" i="7"/>
  <c r="B757" i="7"/>
  <c r="D756" i="7"/>
  <c r="B756" i="7"/>
  <c r="D755" i="7"/>
  <c r="B755" i="7"/>
  <c r="D754" i="7"/>
  <c r="B754" i="7"/>
  <c r="D753" i="7"/>
  <c r="B753" i="7"/>
  <c r="D752" i="7"/>
  <c r="B752" i="7"/>
  <c r="D751" i="7"/>
  <c r="B751" i="7"/>
  <c r="D750" i="7"/>
  <c r="B750" i="7"/>
  <c r="D749" i="7"/>
  <c r="B749" i="7"/>
  <c r="D748" i="7"/>
  <c r="B748" i="7"/>
  <c r="D747" i="7"/>
  <c r="B747" i="7"/>
  <c r="D746" i="7"/>
  <c r="B746" i="7"/>
  <c r="D745" i="7"/>
  <c r="B745" i="7"/>
  <c r="D744" i="7"/>
  <c r="B744" i="7"/>
  <c r="D743" i="7"/>
  <c r="B743" i="7"/>
  <c r="D742" i="7"/>
  <c r="B742" i="7"/>
  <c r="D741" i="7"/>
  <c r="B741" i="7"/>
  <c r="D740" i="7"/>
  <c r="B740" i="7"/>
  <c r="D739" i="7"/>
  <c r="B739" i="7"/>
  <c r="D738" i="7"/>
  <c r="B738" i="7"/>
  <c r="D737" i="7"/>
  <c r="B737" i="7"/>
  <c r="D736" i="7"/>
  <c r="B736" i="7"/>
  <c r="D735" i="7"/>
  <c r="B735" i="7"/>
  <c r="D734" i="7"/>
  <c r="B734" i="7"/>
  <c r="D733" i="7"/>
  <c r="B733" i="7"/>
  <c r="D732" i="7"/>
  <c r="B732" i="7"/>
  <c r="D731" i="7"/>
  <c r="B731" i="7"/>
  <c r="D730" i="7"/>
  <c r="B730" i="7"/>
  <c r="D729" i="7"/>
  <c r="B729" i="7"/>
  <c r="D728" i="7"/>
  <c r="B728" i="7"/>
  <c r="D727" i="7"/>
  <c r="B727" i="7"/>
  <c r="D726" i="7"/>
  <c r="B726" i="7"/>
  <c r="D725" i="7"/>
  <c r="B725" i="7"/>
  <c r="D724" i="7"/>
  <c r="B724" i="7"/>
  <c r="D723" i="7"/>
  <c r="B723" i="7"/>
  <c r="D722" i="7"/>
  <c r="B722" i="7"/>
  <c r="D721" i="7"/>
  <c r="B721" i="7"/>
  <c r="D720" i="7"/>
  <c r="B720" i="7"/>
  <c r="D719" i="7"/>
  <c r="B719" i="7"/>
  <c r="D718" i="7"/>
  <c r="B718" i="7"/>
  <c r="D717" i="7"/>
  <c r="B717" i="7"/>
  <c r="D716" i="7"/>
  <c r="B716" i="7"/>
  <c r="D715" i="7"/>
  <c r="B715" i="7"/>
  <c r="D714" i="7"/>
  <c r="B714" i="7"/>
  <c r="D713" i="7"/>
  <c r="B713" i="7"/>
  <c r="D712" i="7"/>
  <c r="B712" i="7"/>
  <c r="D711" i="7"/>
  <c r="B711" i="7"/>
  <c r="D710" i="7"/>
  <c r="B710" i="7"/>
  <c r="D709" i="7"/>
  <c r="B709" i="7"/>
  <c r="D708" i="7"/>
  <c r="B708" i="7"/>
  <c r="D707" i="7"/>
  <c r="B707" i="7"/>
  <c r="D706" i="7"/>
  <c r="B706" i="7"/>
  <c r="D705" i="7"/>
  <c r="B705" i="7"/>
  <c r="D704" i="7"/>
  <c r="B704" i="7"/>
  <c r="D703" i="7"/>
  <c r="B703" i="7"/>
  <c r="D702" i="7"/>
  <c r="B702" i="7"/>
  <c r="D701" i="7"/>
  <c r="B701" i="7"/>
  <c r="D700" i="7"/>
  <c r="B700" i="7"/>
  <c r="D699" i="7"/>
  <c r="B699" i="7"/>
  <c r="D698" i="7"/>
  <c r="B698" i="7"/>
  <c r="D697" i="7"/>
  <c r="B697" i="7"/>
  <c r="D696" i="7"/>
  <c r="B696" i="7"/>
  <c r="D695" i="7"/>
  <c r="B695" i="7"/>
  <c r="D694" i="7"/>
  <c r="B694" i="7"/>
  <c r="D693" i="7"/>
  <c r="B693" i="7"/>
  <c r="D692" i="7"/>
  <c r="B692" i="7"/>
  <c r="D691" i="7"/>
  <c r="B691" i="7"/>
  <c r="D690" i="7"/>
  <c r="B690" i="7"/>
  <c r="D689" i="7"/>
  <c r="B689" i="7"/>
  <c r="D688" i="7"/>
  <c r="B688" i="7"/>
  <c r="D687" i="7"/>
  <c r="B687" i="7"/>
  <c r="D686" i="7"/>
  <c r="B686" i="7"/>
  <c r="D685" i="7"/>
  <c r="B685" i="7"/>
  <c r="D684" i="7"/>
  <c r="B684" i="7"/>
  <c r="D683" i="7"/>
  <c r="B683" i="7"/>
  <c r="D682" i="7"/>
  <c r="B682" i="7"/>
  <c r="D681" i="7"/>
  <c r="B681" i="7"/>
  <c r="D680" i="7"/>
  <c r="B680" i="7"/>
  <c r="D679" i="7"/>
  <c r="B679" i="7"/>
  <c r="D678" i="7"/>
  <c r="B678" i="7"/>
  <c r="D677" i="7"/>
  <c r="B677" i="7"/>
  <c r="D676" i="7"/>
  <c r="B676" i="7"/>
  <c r="D675" i="7"/>
  <c r="B675" i="7"/>
  <c r="D674" i="7"/>
  <c r="B674" i="7"/>
  <c r="D673" i="7"/>
  <c r="B673" i="7"/>
  <c r="D672" i="7"/>
  <c r="B672" i="7"/>
  <c r="D671" i="7"/>
  <c r="B671" i="7"/>
  <c r="D670" i="7"/>
  <c r="B670" i="7"/>
  <c r="D669" i="7"/>
  <c r="B669" i="7"/>
  <c r="D668" i="7"/>
  <c r="B668" i="7"/>
  <c r="D667" i="7"/>
  <c r="B667" i="7"/>
  <c r="D666" i="7"/>
  <c r="B666" i="7"/>
  <c r="D665" i="7"/>
  <c r="B665" i="7"/>
  <c r="D664" i="7"/>
  <c r="B664" i="7"/>
  <c r="D663" i="7"/>
  <c r="B663" i="7"/>
  <c r="D662" i="7"/>
  <c r="B662" i="7"/>
  <c r="D661" i="7"/>
  <c r="B661" i="7"/>
  <c r="D660" i="7"/>
  <c r="B660" i="7"/>
  <c r="D659" i="7"/>
  <c r="B659" i="7"/>
  <c r="D658" i="7"/>
  <c r="B658" i="7"/>
  <c r="D657" i="7"/>
  <c r="B657" i="7"/>
  <c r="D656" i="7"/>
  <c r="B656" i="7"/>
  <c r="D655" i="7"/>
  <c r="B655" i="7"/>
  <c r="D654" i="7"/>
  <c r="B654" i="7"/>
  <c r="D653" i="7"/>
  <c r="B653" i="7"/>
  <c r="D652" i="7"/>
  <c r="B652" i="7"/>
  <c r="D651" i="7"/>
  <c r="B651" i="7"/>
  <c r="D650" i="7"/>
  <c r="B650" i="7"/>
  <c r="D649" i="7"/>
  <c r="B649" i="7"/>
  <c r="D648" i="7"/>
  <c r="B648" i="7"/>
  <c r="D647" i="7"/>
  <c r="B647" i="7"/>
  <c r="D646" i="7"/>
  <c r="B646" i="7"/>
  <c r="D645" i="7"/>
  <c r="B645" i="7"/>
  <c r="D644" i="7"/>
  <c r="B644" i="7"/>
  <c r="D643" i="7"/>
  <c r="B643" i="7"/>
  <c r="D642" i="7"/>
  <c r="B642" i="7"/>
  <c r="D641" i="7"/>
  <c r="B641" i="7"/>
  <c r="D640" i="7"/>
  <c r="B640" i="7"/>
  <c r="D639" i="7"/>
  <c r="B639" i="7"/>
  <c r="D638" i="7"/>
  <c r="B638" i="7"/>
  <c r="D637" i="7"/>
  <c r="B637" i="7"/>
  <c r="D636" i="7"/>
  <c r="B636" i="7"/>
  <c r="D635" i="7"/>
  <c r="B635" i="7"/>
  <c r="D634" i="7"/>
  <c r="B634" i="7"/>
  <c r="D633" i="7"/>
  <c r="B633" i="7"/>
  <c r="D632" i="7"/>
  <c r="B632" i="7"/>
  <c r="D631" i="7"/>
  <c r="B631" i="7"/>
  <c r="D630" i="7"/>
  <c r="B630" i="7"/>
  <c r="D629" i="7"/>
  <c r="B629" i="7"/>
  <c r="D628" i="7"/>
  <c r="B628" i="7"/>
  <c r="D627" i="7"/>
  <c r="B627" i="7"/>
  <c r="D626" i="7"/>
  <c r="B626" i="7"/>
  <c r="D625" i="7"/>
  <c r="B625" i="7"/>
  <c r="D624" i="7"/>
  <c r="B624" i="7"/>
  <c r="D623" i="7"/>
  <c r="B623" i="7"/>
  <c r="D622" i="7"/>
  <c r="B622" i="7"/>
  <c r="D621" i="7"/>
  <c r="B621" i="7"/>
  <c r="D620" i="7"/>
  <c r="B620" i="7"/>
  <c r="D619" i="7"/>
  <c r="B619" i="7"/>
  <c r="D618" i="7"/>
  <c r="B618" i="7"/>
  <c r="D617" i="7"/>
  <c r="B617" i="7"/>
  <c r="D616" i="7"/>
  <c r="B616" i="7"/>
  <c r="D615" i="7"/>
  <c r="B615" i="7"/>
  <c r="D614" i="7"/>
  <c r="B614" i="7"/>
  <c r="D613" i="7"/>
  <c r="B613" i="7"/>
  <c r="D612" i="7"/>
  <c r="B612" i="7"/>
  <c r="D611" i="7"/>
  <c r="B611" i="7"/>
  <c r="D610" i="7"/>
  <c r="B610" i="7"/>
  <c r="D609" i="7"/>
  <c r="B609" i="7"/>
  <c r="D608" i="7"/>
  <c r="B608" i="7"/>
  <c r="D607" i="7"/>
  <c r="B607" i="7"/>
  <c r="D606" i="7"/>
  <c r="B606" i="7"/>
  <c r="D605" i="7"/>
  <c r="B605" i="7"/>
  <c r="D604" i="7"/>
  <c r="B604" i="7"/>
  <c r="D603" i="7"/>
  <c r="B603" i="7"/>
  <c r="D602" i="7"/>
  <c r="B602" i="7"/>
  <c r="D601" i="7"/>
  <c r="B601" i="7"/>
  <c r="D600" i="7"/>
  <c r="B600" i="7"/>
  <c r="D599" i="7"/>
  <c r="B599" i="7"/>
  <c r="D598" i="7"/>
  <c r="B598" i="7"/>
  <c r="D597" i="7"/>
  <c r="B597" i="7"/>
  <c r="D596" i="7"/>
  <c r="B596" i="7"/>
  <c r="D595" i="7"/>
  <c r="B595" i="7"/>
  <c r="D594" i="7"/>
  <c r="B594" i="7"/>
  <c r="D593" i="7"/>
  <c r="B593" i="7"/>
  <c r="D592" i="7"/>
  <c r="B592" i="7"/>
  <c r="D591" i="7"/>
  <c r="B591" i="7"/>
  <c r="D590" i="7"/>
  <c r="B590" i="7"/>
  <c r="D589" i="7"/>
  <c r="B589" i="7"/>
  <c r="D588" i="7"/>
  <c r="B588" i="7"/>
  <c r="D587" i="7"/>
  <c r="B587" i="7"/>
  <c r="D586" i="7"/>
  <c r="B586" i="7"/>
  <c r="D585" i="7"/>
  <c r="B585" i="7"/>
  <c r="D584" i="7"/>
  <c r="B584" i="7"/>
  <c r="D583" i="7"/>
  <c r="B583" i="7"/>
  <c r="D582" i="7"/>
  <c r="B582" i="7"/>
  <c r="D581" i="7"/>
  <c r="B581" i="7"/>
  <c r="D580" i="7"/>
  <c r="B580" i="7"/>
  <c r="D579" i="7"/>
  <c r="B579" i="7"/>
  <c r="D578" i="7"/>
  <c r="B578" i="7"/>
  <c r="D577" i="7"/>
  <c r="B577" i="7"/>
  <c r="D576" i="7"/>
  <c r="B576" i="7"/>
  <c r="D575" i="7"/>
  <c r="B575" i="7"/>
  <c r="D574" i="7"/>
  <c r="B574" i="7"/>
  <c r="D573" i="7"/>
  <c r="B573" i="7"/>
  <c r="D572" i="7"/>
  <c r="B572" i="7"/>
  <c r="D571" i="7"/>
  <c r="B571" i="7"/>
  <c r="D570" i="7"/>
  <c r="B570" i="7"/>
  <c r="D569" i="7"/>
  <c r="B569" i="7"/>
  <c r="D568" i="7"/>
  <c r="B568" i="7"/>
  <c r="D567" i="7"/>
  <c r="B567" i="7"/>
  <c r="D566" i="7"/>
  <c r="B566" i="7"/>
  <c r="D565" i="7"/>
  <c r="B565" i="7"/>
  <c r="D564" i="7"/>
  <c r="B564" i="7"/>
  <c r="D563" i="7"/>
  <c r="B563" i="7"/>
  <c r="D562" i="7"/>
  <c r="B562" i="7"/>
  <c r="D561" i="7"/>
  <c r="B561" i="7"/>
  <c r="D560" i="7"/>
  <c r="B560" i="7"/>
  <c r="D559" i="7"/>
  <c r="B559" i="7"/>
  <c r="D558" i="7"/>
  <c r="B558" i="7"/>
  <c r="D557" i="7"/>
  <c r="B557" i="7"/>
  <c r="D556" i="7"/>
  <c r="B556" i="7"/>
  <c r="D555" i="7"/>
  <c r="B555" i="7"/>
  <c r="D554" i="7"/>
  <c r="B554" i="7"/>
  <c r="D553" i="7"/>
  <c r="B553" i="7"/>
  <c r="D552" i="7"/>
  <c r="B552" i="7"/>
  <c r="D551" i="7"/>
  <c r="B551" i="7"/>
  <c r="D550" i="7"/>
  <c r="B550" i="7"/>
  <c r="D549" i="7"/>
  <c r="B549" i="7"/>
  <c r="D548" i="7"/>
  <c r="B548" i="7"/>
  <c r="D547" i="7"/>
  <c r="B547" i="7"/>
  <c r="D546" i="7"/>
  <c r="B546" i="7"/>
  <c r="D545" i="7"/>
  <c r="B545" i="7"/>
  <c r="D544" i="7"/>
  <c r="B544" i="7"/>
  <c r="D543" i="7"/>
  <c r="B543" i="7"/>
  <c r="D542" i="7"/>
  <c r="B542" i="7"/>
  <c r="D541" i="7"/>
  <c r="B541" i="7"/>
  <c r="D540" i="7"/>
  <c r="B540" i="7"/>
  <c r="D539" i="7"/>
  <c r="B539" i="7"/>
  <c r="D538" i="7"/>
  <c r="B538" i="7"/>
  <c r="D537" i="7"/>
  <c r="B537" i="7"/>
  <c r="D536" i="7"/>
  <c r="B536" i="7"/>
  <c r="D535" i="7"/>
  <c r="B535" i="7"/>
  <c r="D534" i="7"/>
  <c r="B534" i="7"/>
  <c r="D533" i="7"/>
  <c r="B533" i="7"/>
  <c r="D532" i="7"/>
  <c r="B532" i="7"/>
  <c r="D531" i="7"/>
  <c r="B531" i="7"/>
  <c r="D530" i="7"/>
  <c r="B530" i="7"/>
  <c r="D529" i="7"/>
  <c r="B529" i="7"/>
  <c r="D528" i="7"/>
  <c r="B528" i="7"/>
  <c r="D527" i="7"/>
  <c r="B527" i="7"/>
  <c r="D526" i="7"/>
  <c r="B526" i="7"/>
  <c r="D525" i="7"/>
  <c r="B525" i="7"/>
  <c r="D524" i="7"/>
  <c r="B524" i="7"/>
  <c r="D523" i="7"/>
  <c r="B523" i="7"/>
  <c r="D522" i="7"/>
  <c r="B522" i="7"/>
  <c r="D521" i="7"/>
  <c r="B521" i="7"/>
  <c r="D520" i="7"/>
  <c r="B520" i="7"/>
  <c r="D519" i="7"/>
  <c r="B519" i="7"/>
  <c r="D518" i="7"/>
  <c r="B518" i="7"/>
  <c r="D517" i="7"/>
  <c r="B517" i="7"/>
  <c r="D516" i="7"/>
  <c r="B516" i="7"/>
  <c r="D515" i="7"/>
  <c r="B515" i="7"/>
  <c r="D514" i="7"/>
  <c r="B514" i="7"/>
  <c r="D513" i="7"/>
  <c r="B513" i="7"/>
  <c r="D512" i="7"/>
  <c r="B512" i="7"/>
  <c r="D511" i="7"/>
  <c r="B511" i="7"/>
  <c r="D510" i="7"/>
  <c r="B510" i="7"/>
  <c r="D509" i="7"/>
  <c r="B509" i="7"/>
  <c r="D508" i="7"/>
  <c r="B508" i="7"/>
  <c r="D507" i="7"/>
  <c r="B507" i="7"/>
  <c r="D506" i="7"/>
  <c r="B506" i="7"/>
  <c r="D505" i="7"/>
  <c r="B505" i="7"/>
  <c r="D504" i="7"/>
  <c r="B504" i="7"/>
  <c r="D503" i="7"/>
  <c r="B503" i="7"/>
  <c r="D502" i="7"/>
  <c r="B502" i="7"/>
  <c r="D501" i="7"/>
  <c r="B501" i="7"/>
  <c r="D500" i="7"/>
  <c r="B500" i="7"/>
  <c r="D499" i="7"/>
  <c r="B499" i="7"/>
  <c r="D498" i="7"/>
  <c r="B498" i="7"/>
  <c r="D497" i="7"/>
  <c r="B497" i="7"/>
  <c r="D496" i="7"/>
  <c r="B496" i="7"/>
  <c r="D495" i="7"/>
  <c r="B495" i="7"/>
  <c r="D494" i="7"/>
  <c r="B494" i="7"/>
  <c r="D493" i="7"/>
  <c r="B493" i="7"/>
  <c r="D492" i="7"/>
  <c r="B492" i="7"/>
  <c r="D491" i="7"/>
  <c r="B491" i="7"/>
  <c r="D490" i="7"/>
  <c r="B490" i="7"/>
  <c r="D489" i="7"/>
  <c r="B489" i="7"/>
  <c r="D488" i="7"/>
  <c r="B488" i="7"/>
  <c r="D487" i="7"/>
  <c r="B487" i="7"/>
  <c r="D486" i="7"/>
  <c r="B486" i="7"/>
  <c r="D485" i="7"/>
  <c r="B485" i="7"/>
  <c r="D484" i="7"/>
  <c r="B484" i="7"/>
  <c r="D483" i="7"/>
  <c r="B483" i="7"/>
  <c r="D482" i="7"/>
  <c r="B482" i="7"/>
  <c r="D481" i="7"/>
  <c r="B481" i="7"/>
  <c r="D480" i="7"/>
  <c r="B480" i="7"/>
  <c r="D479" i="7"/>
  <c r="B479" i="7"/>
  <c r="D478" i="7"/>
  <c r="B478" i="7"/>
  <c r="D477" i="7"/>
  <c r="B477" i="7"/>
  <c r="D476" i="7"/>
  <c r="B476" i="7"/>
  <c r="D475" i="7"/>
  <c r="B475" i="7"/>
  <c r="D474" i="7"/>
  <c r="B474" i="7"/>
  <c r="D473" i="7"/>
  <c r="B473" i="7"/>
  <c r="D472" i="7"/>
  <c r="B472" i="7"/>
  <c r="D471" i="7"/>
  <c r="B471" i="7"/>
  <c r="D470" i="7"/>
  <c r="B470" i="7"/>
  <c r="D469" i="7"/>
  <c r="B469" i="7"/>
  <c r="D468" i="7"/>
  <c r="B468" i="7"/>
  <c r="D467" i="7"/>
  <c r="B467" i="7"/>
  <c r="D466" i="7"/>
  <c r="B466" i="7"/>
  <c r="D465" i="7"/>
  <c r="B465" i="7"/>
  <c r="D464" i="7"/>
  <c r="B464" i="7"/>
  <c r="D463" i="7"/>
  <c r="B463" i="7"/>
  <c r="D462" i="7"/>
  <c r="B462" i="7"/>
  <c r="D461" i="7"/>
  <c r="B461" i="7"/>
  <c r="D460" i="7"/>
  <c r="B460" i="7"/>
  <c r="D459" i="7"/>
  <c r="B459" i="7"/>
  <c r="D458" i="7"/>
  <c r="B458" i="7"/>
  <c r="D457" i="7"/>
  <c r="B457" i="7"/>
  <c r="D456" i="7"/>
  <c r="B456" i="7"/>
  <c r="D455" i="7"/>
  <c r="B455" i="7"/>
  <c r="D454" i="7"/>
  <c r="B454" i="7"/>
  <c r="D453" i="7"/>
  <c r="B453" i="7"/>
  <c r="D452" i="7"/>
  <c r="B452" i="7"/>
  <c r="D451" i="7"/>
  <c r="B451" i="7"/>
  <c r="D450" i="7"/>
  <c r="B450" i="7"/>
  <c r="D449" i="7"/>
  <c r="B449" i="7"/>
  <c r="D448" i="7"/>
  <c r="B448" i="7"/>
  <c r="D447" i="7"/>
  <c r="B447" i="7"/>
  <c r="D446" i="7"/>
  <c r="B446" i="7"/>
  <c r="D445" i="7"/>
  <c r="B445" i="7"/>
  <c r="D444" i="7"/>
  <c r="B444" i="7"/>
  <c r="D443" i="7"/>
  <c r="B443" i="7"/>
  <c r="D442" i="7"/>
  <c r="B442" i="7"/>
  <c r="D441" i="7"/>
  <c r="B441" i="7"/>
  <c r="D440" i="7"/>
  <c r="B440" i="7"/>
  <c r="D439" i="7"/>
  <c r="B439" i="7"/>
  <c r="D438" i="7"/>
  <c r="B438" i="7"/>
  <c r="D437" i="7"/>
  <c r="B437" i="7"/>
  <c r="D436" i="7"/>
  <c r="B436" i="7"/>
  <c r="D435" i="7"/>
  <c r="B435" i="7"/>
  <c r="D434" i="7"/>
  <c r="B434" i="7"/>
  <c r="D433" i="7"/>
  <c r="B433" i="7"/>
  <c r="D432" i="7"/>
  <c r="B432" i="7"/>
  <c r="D431" i="7"/>
  <c r="B431" i="7"/>
  <c r="D430" i="7"/>
  <c r="B430" i="7"/>
  <c r="D429" i="7"/>
  <c r="B429" i="7"/>
  <c r="D428" i="7"/>
  <c r="B428" i="7"/>
  <c r="D427" i="7"/>
  <c r="B427" i="7"/>
  <c r="D426" i="7"/>
  <c r="B426" i="7"/>
  <c r="D425" i="7"/>
  <c r="B425" i="7"/>
  <c r="D424" i="7"/>
  <c r="B424" i="7"/>
  <c r="D423" i="7"/>
  <c r="B423" i="7"/>
  <c r="D422" i="7"/>
  <c r="B422" i="7"/>
  <c r="D421" i="7"/>
  <c r="B421" i="7"/>
  <c r="D420" i="7"/>
  <c r="B420" i="7"/>
  <c r="D419" i="7"/>
  <c r="B419" i="7"/>
  <c r="D418" i="7"/>
  <c r="B418" i="7"/>
  <c r="D417" i="7"/>
  <c r="B417" i="7"/>
  <c r="D416" i="7"/>
  <c r="B416" i="7"/>
  <c r="D415" i="7"/>
  <c r="B415" i="7"/>
  <c r="D414" i="7"/>
  <c r="B414" i="7"/>
  <c r="D413" i="7"/>
  <c r="B413" i="7"/>
  <c r="D412" i="7"/>
  <c r="B412" i="7"/>
  <c r="D411" i="7"/>
  <c r="B411" i="7"/>
  <c r="D410" i="7"/>
  <c r="B410" i="7"/>
  <c r="D409" i="7"/>
  <c r="B409" i="7"/>
  <c r="D408" i="7"/>
  <c r="B408" i="7"/>
  <c r="D407" i="7"/>
  <c r="B407" i="7"/>
  <c r="D406" i="7"/>
  <c r="B406" i="7"/>
  <c r="D405" i="7"/>
  <c r="B405" i="7"/>
  <c r="D404" i="7"/>
  <c r="B404" i="7"/>
  <c r="D403" i="7"/>
  <c r="B403" i="7"/>
  <c r="D402" i="7"/>
  <c r="B402" i="7"/>
  <c r="D401" i="7"/>
  <c r="B401" i="7"/>
  <c r="D400" i="7"/>
  <c r="B400" i="7"/>
  <c r="D399" i="7"/>
  <c r="B399" i="7"/>
  <c r="D398" i="7"/>
  <c r="B398" i="7"/>
  <c r="D397" i="7"/>
  <c r="B397" i="7"/>
  <c r="D396" i="7"/>
  <c r="B396" i="7"/>
  <c r="D395" i="7"/>
  <c r="B395" i="7"/>
  <c r="D394" i="7"/>
  <c r="B394" i="7"/>
  <c r="D393" i="7"/>
  <c r="B393" i="7"/>
  <c r="D392" i="7"/>
  <c r="B392" i="7"/>
  <c r="D391" i="7"/>
  <c r="B391" i="7"/>
  <c r="D390" i="7"/>
  <c r="B390" i="7"/>
  <c r="D389" i="7"/>
  <c r="B389" i="7"/>
  <c r="D388" i="7"/>
  <c r="B388" i="7"/>
  <c r="D387" i="7"/>
  <c r="B387" i="7"/>
  <c r="D386" i="7"/>
  <c r="B386" i="7"/>
  <c r="D385" i="7"/>
  <c r="B385" i="7"/>
  <c r="D384" i="7"/>
  <c r="B384" i="7"/>
  <c r="D383" i="7"/>
  <c r="B383" i="7"/>
  <c r="D382" i="7"/>
  <c r="B382" i="7"/>
  <c r="D381" i="7"/>
  <c r="B381" i="7"/>
  <c r="D380" i="7"/>
  <c r="B380" i="7"/>
  <c r="D379" i="7"/>
  <c r="B379" i="7"/>
  <c r="D378" i="7"/>
  <c r="B378" i="7"/>
  <c r="D377" i="7"/>
  <c r="B377" i="7"/>
  <c r="D376" i="7"/>
  <c r="B376" i="7"/>
  <c r="D375" i="7"/>
  <c r="B375" i="7"/>
  <c r="D374" i="7"/>
  <c r="B374" i="7"/>
  <c r="D373" i="7"/>
  <c r="B373" i="7"/>
  <c r="D372" i="7"/>
  <c r="B372" i="7"/>
  <c r="D371" i="7"/>
  <c r="B371" i="7"/>
  <c r="D370" i="7"/>
  <c r="B370" i="7"/>
  <c r="D369" i="7"/>
  <c r="B369" i="7"/>
  <c r="D368" i="7"/>
  <c r="B368" i="7"/>
  <c r="D367" i="7"/>
  <c r="B367" i="7"/>
  <c r="D366" i="7"/>
  <c r="B366" i="7"/>
  <c r="D365" i="7"/>
  <c r="B365" i="7"/>
  <c r="D364" i="7"/>
  <c r="B364" i="7"/>
  <c r="D363" i="7"/>
  <c r="B363" i="7"/>
  <c r="D362" i="7"/>
  <c r="B362" i="7"/>
  <c r="D361" i="7"/>
  <c r="B361" i="7"/>
  <c r="D360" i="7"/>
  <c r="B360" i="7"/>
  <c r="D359" i="7"/>
  <c r="B359" i="7"/>
  <c r="D358" i="7"/>
  <c r="B358" i="7"/>
  <c r="D357" i="7"/>
  <c r="B357" i="7"/>
  <c r="D356" i="7"/>
  <c r="B356" i="7"/>
  <c r="D355" i="7"/>
  <c r="B355" i="7"/>
  <c r="D354" i="7"/>
  <c r="B354" i="7"/>
  <c r="D353" i="7"/>
  <c r="B353" i="7"/>
  <c r="D352" i="7"/>
  <c r="B352" i="7"/>
  <c r="D351" i="7"/>
  <c r="B351" i="7"/>
  <c r="D350" i="7"/>
  <c r="B350" i="7"/>
  <c r="D349" i="7"/>
  <c r="B349" i="7"/>
  <c r="D348" i="7"/>
  <c r="B348" i="7"/>
  <c r="D347" i="7"/>
  <c r="B347" i="7"/>
  <c r="D346" i="7"/>
  <c r="B346" i="7"/>
  <c r="D345" i="7"/>
  <c r="B345" i="7"/>
  <c r="D344" i="7"/>
  <c r="B344" i="7"/>
  <c r="D343" i="7"/>
  <c r="B343" i="7"/>
  <c r="D342" i="7"/>
  <c r="B342" i="7"/>
  <c r="D341" i="7"/>
  <c r="B341" i="7"/>
  <c r="D340" i="7"/>
  <c r="B340" i="7"/>
  <c r="D339" i="7"/>
  <c r="B339" i="7"/>
  <c r="D338" i="7"/>
  <c r="B338" i="7"/>
  <c r="D337" i="7"/>
  <c r="B337" i="7"/>
  <c r="D336" i="7"/>
  <c r="B336" i="7"/>
  <c r="D335" i="7"/>
  <c r="B335" i="7"/>
  <c r="D334" i="7"/>
  <c r="B334" i="7"/>
  <c r="D333" i="7"/>
  <c r="B333" i="7"/>
  <c r="D332" i="7"/>
  <c r="B332" i="7"/>
  <c r="D331" i="7"/>
  <c r="B331" i="7"/>
  <c r="D330" i="7"/>
  <c r="B330" i="7"/>
  <c r="D329" i="7"/>
  <c r="B329" i="7"/>
  <c r="D328" i="7"/>
  <c r="B328" i="7"/>
  <c r="D327" i="7"/>
  <c r="B327" i="7"/>
  <c r="D326" i="7"/>
  <c r="B326" i="7"/>
  <c r="D325" i="7"/>
  <c r="B325" i="7"/>
  <c r="D324" i="7"/>
  <c r="B324" i="7"/>
  <c r="D323" i="7"/>
  <c r="B323" i="7"/>
  <c r="D322" i="7"/>
  <c r="B322" i="7"/>
  <c r="D321" i="7"/>
  <c r="B321" i="7"/>
  <c r="D320" i="7"/>
  <c r="B320" i="7"/>
  <c r="D319" i="7"/>
  <c r="B319" i="7"/>
  <c r="D318" i="7"/>
  <c r="B318" i="7"/>
  <c r="D317" i="7"/>
  <c r="B317" i="7"/>
  <c r="D316" i="7"/>
  <c r="B316" i="7"/>
  <c r="D315" i="7"/>
  <c r="B315" i="7"/>
  <c r="D314" i="7"/>
  <c r="B314" i="7"/>
  <c r="D313" i="7"/>
  <c r="B313" i="7"/>
  <c r="D312" i="7"/>
  <c r="B312" i="7"/>
  <c r="D311" i="7"/>
  <c r="B311" i="7"/>
  <c r="D310" i="7"/>
  <c r="B310" i="7"/>
  <c r="D309" i="7"/>
  <c r="B309" i="7"/>
  <c r="D308" i="7"/>
  <c r="B308" i="7"/>
  <c r="D307" i="7"/>
  <c r="B307" i="7"/>
  <c r="D306" i="7"/>
  <c r="B306" i="7"/>
  <c r="D305" i="7"/>
  <c r="B305" i="7"/>
  <c r="D304" i="7"/>
  <c r="B304" i="7"/>
  <c r="D303" i="7"/>
  <c r="B303" i="7"/>
  <c r="D302" i="7"/>
  <c r="B302" i="7"/>
  <c r="D301" i="7"/>
  <c r="B301" i="7"/>
  <c r="D300" i="7"/>
  <c r="B300" i="7"/>
  <c r="D299" i="7"/>
  <c r="B299" i="7"/>
  <c r="D298" i="7"/>
  <c r="B298" i="7"/>
  <c r="D297" i="7"/>
  <c r="B297" i="7"/>
  <c r="D296" i="7"/>
  <c r="B296" i="7"/>
  <c r="D295" i="7"/>
  <c r="B295" i="7"/>
  <c r="D294" i="7"/>
  <c r="B294" i="7"/>
  <c r="D293" i="7"/>
  <c r="B293" i="7"/>
  <c r="D292" i="7"/>
  <c r="B292" i="7"/>
  <c r="D291" i="7"/>
  <c r="B291" i="7"/>
  <c r="D290" i="7"/>
  <c r="B290" i="7"/>
  <c r="D289" i="7"/>
  <c r="B289" i="7"/>
  <c r="D288" i="7"/>
  <c r="B288" i="7"/>
  <c r="D287" i="7"/>
  <c r="B287" i="7"/>
  <c r="D286" i="7"/>
  <c r="B286" i="7"/>
  <c r="D285" i="7"/>
  <c r="B285" i="7"/>
  <c r="D284" i="7"/>
  <c r="B284" i="7"/>
  <c r="D283" i="7"/>
  <c r="B283" i="7"/>
  <c r="D282" i="7"/>
  <c r="B282" i="7"/>
  <c r="D281" i="7"/>
  <c r="B281" i="7"/>
  <c r="D280" i="7"/>
  <c r="B280" i="7"/>
  <c r="D279" i="7"/>
  <c r="B279" i="7"/>
  <c r="D278" i="7"/>
  <c r="B278" i="7"/>
  <c r="D277" i="7"/>
  <c r="B277" i="7"/>
  <c r="D276" i="7"/>
  <c r="B276" i="7"/>
  <c r="D275" i="7"/>
  <c r="B275" i="7"/>
  <c r="D274" i="7"/>
  <c r="B274" i="7"/>
  <c r="D273" i="7"/>
  <c r="B273" i="7"/>
  <c r="D272" i="7"/>
  <c r="B272" i="7"/>
  <c r="D271" i="7"/>
  <c r="B271" i="7"/>
  <c r="D270" i="7"/>
  <c r="B270" i="7"/>
  <c r="D269" i="7"/>
  <c r="B269" i="7"/>
  <c r="D268" i="7"/>
  <c r="B268" i="7"/>
  <c r="D267" i="7"/>
  <c r="B267" i="7"/>
  <c r="D266" i="7"/>
  <c r="B266" i="7"/>
  <c r="D265" i="7"/>
  <c r="B265" i="7"/>
  <c r="D264" i="7"/>
  <c r="B264" i="7"/>
  <c r="D263" i="7"/>
  <c r="B263" i="7"/>
  <c r="D262" i="7"/>
  <c r="B262" i="7"/>
  <c r="D261" i="7"/>
  <c r="B261" i="7"/>
  <c r="D260" i="7"/>
  <c r="B260" i="7"/>
  <c r="D259" i="7"/>
  <c r="B259" i="7"/>
  <c r="D258" i="7"/>
  <c r="B258" i="7"/>
  <c r="D257" i="7"/>
  <c r="B257" i="7"/>
  <c r="D256" i="7"/>
  <c r="B256" i="7"/>
  <c r="D255" i="7"/>
  <c r="B255" i="7"/>
  <c r="D254" i="7"/>
  <c r="B254" i="7"/>
  <c r="D253" i="7"/>
  <c r="B253" i="7"/>
  <c r="D252" i="7"/>
  <c r="B252" i="7"/>
  <c r="D251" i="7"/>
  <c r="B251" i="7"/>
  <c r="D250" i="7"/>
  <c r="B250" i="7"/>
  <c r="D249" i="7"/>
  <c r="B249" i="7"/>
  <c r="D248" i="7"/>
  <c r="B248" i="7"/>
  <c r="D247" i="7"/>
  <c r="B247" i="7"/>
  <c r="D246" i="7"/>
  <c r="B246" i="7"/>
  <c r="D245" i="7"/>
  <c r="B245" i="7"/>
  <c r="D244" i="7"/>
  <c r="B244" i="7"/>
  <c r="D243" i="7"/>
  <c r="B243" i="7"/>
  <c r="D242" i="7"/>
  <c r="B242" i="7"/>
  <c r="D241" i="7"/>
  <c r="B241" i="7"/>
  <c r="D240" i="7"/>
  <c r="B240" i="7"/>
  <c r="D239" i="7"/>
  <c r="B239" i="7"/>
  <c r="D238" i="7"/>
  <c r="B238" i="7"/>
  <c r="D237" i="7"/>
  <c r="B237" i="7"/>
  <c r="D236" i="7"/>
  <c r="B236" i="7"/>
  <c r="D235" i="7"/>
  <c r="B235" i="7"/>
  <c r="D234" i="7"/>
  <c r="B234" i="7"/>
  <c r="D233" i="7"/>
  <c r="B233" i="7"/>
  <c r="D232" i="7"/>
  <c r="B232" i="7"/>
  <c r="D231" i="7"/>
  <c r="B231" i="7"/>
  <c r="D230" i="7"/>
  <c r="B230" i="7"/>
  <c r="D229" i="7"/>
  <c r="B229" i="7"/>
  <c r="D228" i="7"/>
  <c r="B228" i="7"/>
  <c r="D227" i="7"/>
  <c r="B227" i="7"/>
  <c r="D226" i="7"/>
  <c r="B226" i="7"/>
  <c r="D225" i="7"/>
  <c r="B225" i="7"/>
  <c r="D224" i="7"/>
  <c r="B224" i="7"/>
  <c r="D223" i="7"/>
  <c r="B223" i="7"/>
  <c r="D222" i="7"/>
  <c r="B222" i="7"/>
  <c r="D221" i="7"/>
  <c r="B221" i="7"/>
  <c r="D220" i="7"/>
  <c r="B220" i="7"/>
  <c r="D219" i="7"/>
  <c r="B219" i="7"/>
  <c r="D218" i="7"/>
  <c r="B218" i="7"/>
  <c r="D217" i="7"/>
  <c r="B217" i="7"/>
  <c r="D216" i="7"/>
  <c r="B216" i="7"/>
  <c r="D215" i="7"/>
  <c r="B215" i="7"/>
  <c r="D214" i="7"/>
  <c r="B214" i="7"/>
  <c r="D213" i="7"/>
  <c r="B213" i="7"/>
  <c r="D212" i="7"/>
  <c r="B212" i="7"/>
  <c r="D211" i="7"/>
  <c r="B211" i="7"/>
  <c r="D210" i="7"/>
  <c r="B210" i="7"/>
  <c r="D209" i="7"/>
  <c r="B209" i="7"/>
  <c r="D208" i="7"/>
  <c r="B208" i="7"/>
  <c r="D207" i="7"/>
  <c r="B207" i="7"/>
  <c r="D206" i="7"/>
  <c r="B206" i="7"/>
  <c r="D205" i="7"/>
  <c r="B205" i="7"/>
  <c r="D204" i="7"/>
  <c r="B204" i="7"/>
  <c r="D203" i="7"/>
  <c r="B203" i="7"/>
  <c r="D202" i="7"/>
  <c r="B202" i="7"/>
  <c r="D201" i="7"/>
  <c r="B201" i="7"/>
  <c r="D200" i="7"/>
  <c r="B200" i="7"/>
  <c r="D199" i="7"/>
  <c r="B199" i="7"/>
  <c r="D198" i="7"/>
  <c r="B198" i="7"/>
  <c r="D197" i="7"/>
  <c r="B197" i="7"/>
  <c r="D196" i="7"/>
  <c r="B196" i="7"/>
  <c r="D195" i="7"/>
  <c r="B195" i="7"/>
  <c r="D194" i="7"/>
  <c r="B194" i="7"/>
  <c r="D193" i="7"/>
  <c r="B193" i="7"/>
  <c r="D192" i="7"/>
  <c r="B192" i="7"/>
  <c r="D191" i="7"/>
  <c r="B191" i="7"/>
  <c r="D190" i="7"/>
  <c r="B190" i="7"/>
  <c r="D189" i="7"/>
  <c r="B189" i="7"/>
  <c r="D188" i="7"/>
  <c r="B188" i="7"/>
  <c r="D187" i="7"/>
  <c r="B187" i="7"/>
  <c r="D186" i="7"/>
  <c r="B186" i="7"/>
  <c r="D185" i="7"/>
  <c r="B185" i="7"/>
  <c r="D184" i="7"/>
  <c r="B184" i="7"/>
  <c r="D183" i="7"/>
  <c r="B183" i="7"/>
  <c r="D182" i="7"/>
  <c r="B182" i="7"/>
  <c r="D181" i="7"/>
  <c r="B181" i="7"/>
  <c r="D180" i="7"/>
  <c r="B180" i="7"/>
  <c r="D179" i="7"/>
  <c r="B179" i="7"/>
  <c r="D178" i="7"/>
  <c r="B178" i="7"/>
  <c r="D177" i="7"/>
  <c r="B177" i="7"/>
  <c r="D176" i="7"/>
  <c r="B176" i="7"/>
  <c r="D175" i="7"/>
  <c r="B175" i="7"/>
  <c r="D174" i="7"/>
  <c r="B174" i="7"/>
  <c r="D173" i="7"/>
  <c r="B173" i="7"/>
  <c r="D172" i="7"/>
  <c r="B172" i="7"/>
  <c r="B46" i="7" l="1"/>
  <c r="C46" i="7" s="1"/>
  <c r="B38" i="7"/>
  <c r="C38" i="7" s="1"/>
  <c r="F38" i="7" s="1"/>
  <c r="D24" i="7"/>
  <c r="E24" i="7" s="1"/>
  <c r="D8" i="7"/>
  <c r="E8" i="7" s="1"/>
  <c r="F8" i="7" s="1"/>
  <c r="D48" i="7"/>
  <c r="E48" i="7" s="1"/>
  <c r="D44" i="7"/>
  <c r="E44" i="7" s="1"/>
  <c r="F44" i="7" s="1"/>
  <c r="D40" i="7"/>
  <c r="E40" i="7" s="1"/>
  <c r="D36" i="7"/>
  <c r="E36" i="7" s="1"/>
  <c r="F36" i="7" s="1"/>
  <c r="D28" i="7"/>
  <c r="E28" i="7" s="1"/>
  <c r="F28" i="7" s="1"/>
  <c r="D20" i="7"/>
  <c r="E20" i="7" s="1"/>
  <c r="F20" i="7" s="1"/>
  <c r="D12" i="7"/>
  <c r="E12" i="7" s="1"/>
  <c r="F12" i="7" s="1"/>
  <c r="D4" i="7"/>
  <c r="E4" i="7" s="1"/>
  <c r="B51" i="7"/>
  <c r="C51" i="7" s="1"/>
  <c r="B49" i="7"/>
  <c r="C49" i="7" s="1"/>
  <c r="F49" i="7" s="1"/>
  <c r="B47" i="7"/>
  <c r="C47" i="7" s="1"/>
  <c r="B45" i="7"/>
  <c r="C45" i="7" s="1"/>
  <c r="F45" i="7" s="1"/>
  <c r="B43" i="7"/>
  <c r="C43" i="7" s="1"/>
  <c r="B41" i="7"/>
  <c r="C41" i="7" s="1"/>
  <c r="F41" i="7" s="1"/>
  <c r="B39" i="7"/>
  <c r="C39" i="7" s="1"/>
  <c r="F39" i="7" s="1"/>
  <c r="B37" i="7"/>
  <c r="C37" i="7" s="1"/>
  <c r="F37" i="7" s="1"/>
  <c r="D34" i="7"/>
  <c r="E34" i="7" s="1"/>
  <c r="F34" i="7" s="1"/>
  <c r="D30" i="7"/>
  <c r="E30" i="7" s="1"/>
  <c r="D26" i="7"/>
  <c r="E26" i="7" s="1"/>
  <c r="F26" i="7" s="1"/>
  <c r="D22" i="7"/>
  <c r="E22" i="7" s="1"/>
  <c r="F22" i="7" s="1"/>
  <c r="D18" i="7"/>
  <c r="E18" i="7" s="1"/>
  <c r="F18" i="7" s="1"/>
  <c r="D14" i="7"/>
  <c r="E14" i="7" s="1"/>
  <c r="F14" i="7" s="1"/>
  <c r="D10" i="7"/>
  <c r="E10" i="7" s="1"/>
  <c r="F10" i="7" s="1"/>
  <c r="D6" i="7"/>
  <c r="E6" i="7" s="1"/>
  <c r="F6" i="7" s="1"/>
  <c r="D2" i="7"/>
  <c r="E2" i="7" s="1"/>
  <c r="F2" i="7" s="1"/>
  <c r="F48" i="7"/>
  <c r="F40" i="7"/>
  <c r="F30" i="7"/>
  <c r="F50" i="7"/>
  <c r="F46" i="7"/>
  <c r="F42" i="7"/>
  <c r="F51" i="7"/>
  <c r="F47" i="7"/>
  <c r="F43" i="7"/>
  <c r="F32" i="7"/>
  <c r="F24" i="7"/>
  <c r="F16" i="7"/>
  <c r="F4" i="7"/>
  <c r="B35" i="7"/>
  <c r="C35" i="7" s="1"/>
  <c r="D35" i="7"/>
  <c r="E35" i="7" s="1"/>
  <c r="B33" i="7"/>
  <c r="C33" i="7" s="1"/>
  <c r="D33" i="7"/>
  <c r="E33" i="7" s="1"/>
  <c r="B31" i="7"/>
  <c r="C31" i="7" s="1"/>
  <c r="D31" i="7"/>
  <c r="E31" i="7" s="1"/>
  <c r="B29" i="7"/>
  <c r="C29" i="7" s="1"/>
  <c r="D29" i="7"/>
  <c r="E29" i="7" s="1"/>
  <c r="B27" i="7"/>
  <c r="C27" i="7" s="1"/>
  <c r="D27" i="7"/>
  <c r="E27" i="7" s="1"/>
  <c r="B25" i="7"/>
  <c r="C25" i="7" s="1"/>
  <c r="D25" i="7"/>
  <c r="E25" i="7" s="1"/>
  <c r="B23" i="7"/>
  <c r="C23" i="7" s="1"/>
  <c r="D23" i="7"/>
  <c r="E23" i="7" s="1"/>
  <c r="B21" i="7"/>
  <c r="C21" i="7" s="1"/>
  <c r="D21" i="7"/>
  <c r="E21" i="7" s="1"/>
  <c r="B19" i="7"/>
  <c r="C19" i="7" s="1"/>
  <c r="D19" i="7"/>
  <c r="E19" i="7" s="1"/>
  <c r="B17" i="7"/>
  <c r="C17" i="7" s="1"/>
  <c r="D17" i="7"/>
  <c r="E17" i="7" s="1"/>
  <c r="B15" i="7"/>
  <c r="C15" i="7" s="1"/>
  <c r="D15" i="7"/>
  <c r="E15" i="7" s="1"/>
  <c r="B13" i="7"/>
  <c r="C13" i="7" s="1"/>
  <c r="D13" i="7"/>
  <c r="E13" i="7" s="1"/>
  <c r="B11" i="7"/>
  <c r="C11" i="7" s="1"/>
  <c r="D11" i="7"/>
  <c r="E11" i="7" s="1"/>
  <c r="B9" i="7"/>
  <c r="C9" i="7" s="1"/>
  <c r="D9" i="7"/>
  <c r="E9" i="7" s="1"/>
  <c r="B7" i="7"/>
  <c r="C7" i="7" s="1"/>
  <c r="D7" i="7"/>
  <c r="E7" i="7" s="1"/>
  <c r="B5" i="7"/>
  <c r="C5" i="7" s="1"/>
  <c r="D5" i="7"/>
  <c r="E5" i="7" s="1"/>
  <c r="B3" i="7"/>
  <c r="D3" i="7"/>
  <c r="L4" i="8" l="1"/>
  <c r="F5" i="7"/>
  <c r="F7" i="7"/>
  <c r="F9" i="7"/>
  <c r="F11" i="7"/>
  <c r="F13" i="7"/>
  <c r="F15" i="7"/>
  <c r="F17" i="7"/>
  <c r="F19" i="7"/>
  <c r="F21" i="7"/>
  <c r="F23" i="7"/>
  <c r="F25" i="7"/>
  <c r="F27" i="7"/>
  <c r="F29" i="7"/>
  <c r="F31" i="7"/>
  <c r="F33" i="7"/>
  <c r="F35" i="7"/>
  <c r="C3" i="7"/>
  <c r="K4" i="8"/>
  <c r="I4" i="8"/>
  <c r="J4" i="8"/>
  <c r="P4" i="8"/>
  <c r="N4" i="8"/>
  <c r="E3" i="7"/>
  <c r="M4" i="8"/>
  <c r="O4" i="8"/>
  <c r="F3" i="7" l="1"/>
  <c r="S8" i="8" l="1"/>
  <c r="S7" i="8"/>
  <c r="S6" i="8"/>
  <c r="S9" i="8" l="1"/>
  <c r="S12" i="8" s="1"/>
  <c r="G4" i="8" s="1"/>
  <c r="D4" i="8"/>
  <c r="S10" i="8"/>
  <c r="E4" i="8" s="1"/>
  <c r="C4" i="8"/>
  <c r="S11" i="8" l="1"/>
  <c r="F4" i="8" s="1"/>
  <c r="H4" i="8" s="1"/>
</calcChain>
</file>

<file path=xl/sharedStrings.xml><?xml version="1.0" encoding="utf-8"?>
<sst xmlns="http://schemas.openxmlformats.org/spreadsheetml/2006/main" count="58" uniqueCount="37">
  <si>
    <r>
      <t>SE</t>
    </r>
    <r>
      <rPr>
        <sz val="10"/>
        <rFont val="Symbol"/>
        <family val="1"/>
        <charset val="2"/>
      </rPr>
      <t>D</t>
    </r>
  </si>
  <si>
    <r>
      <t>SD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</si>
  <si>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</si>
  <si>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</si>
  <si>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</si>
  <si>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</si>
  <si>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</si>
  <si>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</si>
  <si>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</si>
  <si>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</si>
  <si>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A/B %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</si>
  <si>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</si>
  <si>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</si>
  <si>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</si>
  <si>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</si>
  <si>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</si>
  <si>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</si>
  <si>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</si>
  <si>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</si>
  <si>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</si>
  <si>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</si>
  <si>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</si>
  <si>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</si>
  <si>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</si>
  <si>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</si>
  <si>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</si>
  <si>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</si>
  <si>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</si>
  <si>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</si>
  <si>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</si>
  <si>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</si>
  <si>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</si>
  <si>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</si>
  <si>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</si>
  <si>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</si>
  <si>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Cmax_A</t>
  </si>
  <si>
    <t>Cmax_B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</si>
</sst>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1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4" borderId="0" xfId="0" applyFont="1" applyFill="1"/>
    <xf numFmtId="0" fontId="0" fillId="4" borderId="0" xfId="0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</xdr:row>
      <xdr:rowOff>76199</xdr:rowOff>
    </xdr:from>
    <xdr:to>
      <xdr:col>10</xdr:col>
      <xdr:colOff>495300</xdr:colOff>
      <xdr:row>14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5580" y="238124"/>
          <a:ext cx="3855720" cy="20478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bootstrap. The data will need to be divided by treatment (all of treatment A in column B, and all of treatment B in column C).</a:t>
          </a:r>
        </a:p>
        <a:p>
          <a:endParaRPr lang="en-US" sz="1100" baseline="0"/>
        </a:p>
        <a:p>
          <a:r>
            <a:rPr lang="en-US" sz="1100" baseline="0"/>
            <a:t>Make sure you put the Test/Reference ratios in Column D (copy the formula down if you need more rows).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38100</xdr:rowOff>
        </xdr:from>
        <xdr:to>
          <xdr:col>5</xdr:col>
          <xdr:colOff>457200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"/>
  <sheetViews>
    <sheetView tabSelected="1" workbookViewId="0">
      <selection activeCell="A2" sqref="A2"/>
    </sheetView>
  </sheetViews>
  <sheetFormatPr defaultRowHeight="12.75" x14ac:dyDescent="0.2"/>
  <sheetData>
    <row r="1" spans="1:4" x14ac:dyDescent="0.2">
      <c r="A1" s="56" t="s">
        <v>29</v>
      </c>
      <c r="B1" s="56" t="s">
        <v>35</v>
      </c>
      <c r="C1" s="56" t="s">
        <v>36</v>
      </c>
      <c r="D1" s="56" t="s">
        <v>10</v>
      </c>
    </row>
    <row r="2" spans="1:4" x14ac:dyDescent="0.2">
      <c r="A2">
        <v>1</v>
      </c>
      <c r="B2">
        <v>19.670000000000002</v>
      </c>
      <c r="C2">
        <v>20.53</v>
      </c>
      <c r="D2">
        <f>100*B2/C2</f>
        <v>95.811008280565034</v>
      </c>
    </row>
    <row r="3" spans="1:4" x14ac:dyDescent="0.2">
      <c r="A3">
        <v>2</v>
      </c>
      <c r="B3">
        <v>20.09</v>
      </c>
      <c r="C3">
        <v>19.91</v>
      </c>
      <c r="D3">
        <f>100*B3/C3</f>
        <v>100.90406830738323</v>
      </c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/>
    </sheetView>
  </sheetViews>
  <sheetFormatPr defaultColWidth="9.140625" defaultRowHeight="12.75" x14ac:dyDescent="0.2"/>
  <cols>
    <col min="1" max="2" width="9.140625" style="1"/>
    <col min="3" max="3" width="11.140625" style="14" customWidth="1"/>
    <col min="4" max="4" width="9.140625" style="1"/>
    <col min="5" max="5" width="11.42578125" style="14" customWidth="1"/>
    <col min="6" max="6" width="12.42578125" style="53" customWidth="1"/>
    <col min="7" max="16384" width="9.140625" style="1"/>
  </cols>
  <sheetData>
    <row r="1" spans="1:6" x14ac:dyDescent="0.2">
      <c r="A1" s="2" t="s">
        <v>29</v>
      </c>
      <c r="B1" s="2" t="str">
        <f>Data!B1</f>
        <v>Cmax_A</v>
      </c>
      <c r="C1" s="13" t="str">
        <f>"ln("&amp;B1&amp;")"</f>
        <v>ln(Cmax_A)</v>
      </c>
      <c r="D1" s="2" t="str">
        <f>Data!C1</f>
        <v>Cmax_B</v>
      </c>
      <c r="E1" s="15" t="str">
        <f>"ln("&amp;D1&amp;")"</f>
        <v>ln(Cmax_B)</v>
      </c>
      <c r="F1" s="52" t="str">
        <f>"Delta"</f>
        <v>Delta</v>
      </c>
    </row>
    <row r="2" spans="1:6" x14ac:dyDescent="0.2">
      <c r="A2" s="1">
        <f ca="1">IF(ROW()&lt;=Results!$C$1+1,INDEX(Data!$A:$A,CEILING((COUNTA(Data!$A:$A)-1)*RAND()+1,1)),"")</f>
        <v>2</v>
      </c>
      <c r="B2" s="1">
        <f ca="1">IF(ROW()&lt;=Results!$C$1+1,VLOOKUP($A2,Data!$A$2:$C$117,2,TRUE),"")</f>
        <v>20.09</v>
      </c>
      <c r="C2" s="14">
        <f ca="1">IF(ROW()&lt;=Results!$C$1+1,IF(B2&lt;=0,"",LN(B2)),"")</f>
        <v>3.0002221788268431</v>
      </c>
      <c r="D2" s="1">
        <f ca="1">IF(ROW()&lt;=Results!$C$1+1,VLOOKUP($A2,Data!$A$2:$C$117,3,TRUE),"")</f>
        <v>19.91</v>
      </c>
      <c r="E2" s="14">
        <f ca="1">IF(ROW()&lt;=Results!$C$1+1,IF(D2&lt;=0,"",LN(D2)),"")</f>
        <v>2.9912221180761049</v>
      </c>
      <c r="F2" s="53">
        <f ca="1">IF(ROW()&lt;=Results!$C$1+1,IF(ISERROR(C2-E2),"",C2-E2),"")</f>
        <v>9.0000607507381147E-3</v>
      </c>
    </row>
    <row r="3" spans="1:6" x14ac:dyDescent="0.2">
      <c r="A3" s="1">
        <f ca="1">IF(ROW()&lt;=Results!$C$1+1,INDEX(Data!$A:$A,CEILING((COUNTA(Data!$A:$A)-1)*RAND()+1,1)),"")</f>
        <v>1</v>
      </c>
      <c r="B3" s="1">
        <f ca="1">IF(ROW()&lt;=Results!$C$1+1,VLOOKUP($A3,Data!$A$2:$C$117,2,TRUE),"")</f>
        <v>19.670000000000002</v>
      </c>
      <c r="C3" s="14">
        <f ca="1">IF(ROW()&lt;=Results!$C$1+1,IF(B3&lt;=0,"",LN(B3)),"")</f>
        <v>2.9790946324009679</v>
      </c>
      <c r="D3" s="1">
        <f ca="1">IF(ROW()&lt;=Results!$C$1+1,VLOOKUP($A3,Data!$A$2:$C$117,3,TRUE),"")</f>
        <v>20.53</v>
      </c>
      <c r="E3" s="14">
        <f ca="1">IF(ROW()&lt;=Results!$C$1+1,IF(D3&lt;=0,"",LN(D3)),"")</f>
        <v>3.0218872310308424</v>
      </c>
      <c r="F3" s="53">
        <f ca="1">IF(ROW()&lt;=Results!$C$1+1,IF(ISERROR(C3-E3),"",C3-E3),"")</f>
        <v>-4.2792598629874501E-2</v>
      </c>
    </row>
    <row r="4" spans="1:6" x14ac:dyDescent="0.2">
      <c r="A4" s="1">
        <f ca="1">IF(ROW()&lt;=Results!$C$1+1,INDEX(Data!$A:$A,CEILING((COUNTA(Data!$A:$A)-1)*RAND()+1,1)),"")</f>
        <v>1</v>
      </c>
      <c r="B4" s="1">
        <f ca="1">IF(ROW()&lt;=Results!$C$1+1,VLOOKUP($A4,Data!$A$2:$C$117,2,TRUE),"")</f>
        <v>19.670000000000002</v>
      </c>
      <c r="C4" s="14">
        <f ca="1">IF(ROW()&lt;=Results!$C$1+1,IF(B4&lt;=0,"",LN(B4)),"")</f>
        <v>2.9790946324009679</v>
      </c>
      <c r="D4" s="1">
        <f ca="1">IF(ROW()&lt;=Results!$C$1+1,VLOOKUP($A4,Data!$A$2:$C$117,3,TRUE),"")</f>
        <v>20.53</v>
      </c>
      <c r="E4" s="14">
        <f ca="1">IF(ROW()&lt;=Results!$C$1+1,IF(D4&lt;=0,"",LN(D4)),"")</f>
        <v>3.0218872310308424</v>
      </c>
      <c r="F4" s="53">
        <f ca="1">IF(ROW()&lt;=Results!$C$1+1,IF(ISERROR(C4-E4),"",C4-E4),"")</f>
        <v>-4.2792598629874501E-2</v>
      </c>
    </row>
    <row r="5" spans="1:6" x14ac:dyDescent="0.2">
      <c r="A5" s="1">
        <f ca="1">IF(ROW()&lt;=Results!$C$1+1,INDEX(Data!$A:$A,CEILING((COUNTA(Data!$A:$A)-1)*RAND()+1,1)),"")</f>
        <v>2</v>
      </c>
      <c r="B5" s="1">
        <f ca="1">IF(ROW()&lt;=Results!$C$1+1,VLOOKUP($A5,Data!$A$2:$C$117,2,TRUE),"")</f>
        <v>20.09</v>
      </c>
      <c r="C5" s="14">
        <f ca="1">IF(ROW()&lt;=Results!$C$1+1,IF(B5&lt;=0,"",LN(B5)),"")</f>
        <v>3.0002221788268431</v>
      </c>
      <c r="D5" s="1">
        <f ca="1">IF(ROW()&lt;=Results!$C$1+1,VLOOKUP($A5,Data!$A$2:$C$117,3,TRUE),"")</f>
        <v>19.91</v>
      </c>
      <c r="E5" s="14">
        <f ca="1">IF(ROW()&lt;=Results!$C$1+1,IF(D5&lt;=0,"",LN(D5)),"")</f>
        <v>2.9912221180761049</v>
      </c>
      <c r="F5" s="53">
        <f ca="1">IF(ROW()&lt;=Results!$C$1+1,IF(ISERROR(C5-E5),"",C5-E5),"")</f>
        <v>9.0000607507381147E-3</v>
      </c>
    </row>
    <row r="6" spans="1:6" x14ac:dyDescent="0.2">
      <c r="A6" s="1">
        <f ca="1">IF(ROW()&lt;=Results!$C$1+1,INDEX(Data!$A:$A,CEILING((COUNTA(Data!$A:$A)-1)*RAND()+1,1)),"")</f>
        <v>1</v>
      </c>
      <c r="B6" s="1">
        <f ca="1">IF(ROW()&lt;=Results!$C$1+1,VLOOKUP($A6,Data!$A$2:$C$117,2,TRUE),"")</f>
        <v>19.670000000000002</v>
      </c>
      <c r="C6" s="14">
        <f ca="1">IF(ROW()&lt;=Results!$C$1+1,IF(B6&lt;=0,"",LN(B6)),"")</f>
        <v>2.9790946324009679</v>
      </c>
      <c r="D6" s="1">
        <f ca="1">IF(ROW()&lt;=Results!$C$1+1,VLOOKUP($A6,Data!$A$2:$C$117,3,TRUE),"")</f>
        <v>20.53</v>
      </c>
      <c r="E6" s="14">
        <f ca="1">IF(ROW()&lt;=Results!$C$1+1,IF(D6&lt;=0,"",LN(D6)),"")</f>
        <v>3.0218872310308424</v>
      </c>
      <c r="F6" s="53">
        <f ca="1">IF(ROW()&lt;=Results!$C$1+1,IF(ISERROR(C6-E6),"",C6-E6),"")</f>
        <v>-4.2792598629874501E-2</v>
      </c>
    </row>
    <row r="7" spans="1:6" x14ac:dyDescent="0.2">
      <c r="A7" s="1">
        <f ca="1">IF(ROW()&lt;=Results!$C$1+1,INDEX(Data!$A:$A,CEILING((COUNTA(Data!$A:$A)-1)*RAND()+1,1)),"")</f>
        <v>1</v>
      </c>
      <c r="B7" s="1">
        <f ca="1">IF(ROW()&lt;=Results!$C$1+1,VLOOKUP($A7,Data!$A$2:$C$117,2,TRUE),"")</f>
        <v>19.670000000000002</v>
      </c>
      <c r="C7" s="14">
        <f ca="1">IF(ROW()&lt;=Results!$C$1+1,IF(B7&lt;=0,"",LN(B7)),"")</f>
        <v>2.9790946324009679</v>
      </c>
      <c r="D7" s="1">
        <f ca="1">IF(ROW()&lt;=Results!$C$1+1,VLOOKUP($A7,Data!$A$2:$C$117,3,TRUE),"")</f>
        <v>20.53</v>
      </c>
      <c r="E7" s="14">
        <f ca="1">IF(ROW()&lt;=Results!$C$1+1,IF(D7&lt;=0,"",LN(D7)),"")</f>
        <v>3.0218872310308424</v>
      </c>
      <c r="F7" s="53">
        <f ca="1">IF(ROW()&lt;=Results!$C$1+1,IF(ISERROR(C7-E7),"",C7-E7),"")</f>
        <v>-4.2792598629874501E-2</v>
      </c>
    </row>
    <row r="8" spans="1:6" x14ac:dyDescent="0.2">
      <c r="A8" s="1">
        <f ca="1">IF(ROW()&lt;=Results!$C$1+1,INDEX(Data!$A:$A,CEILING((COUNTA(Data!$A:$A)-1)*RAND()+1,1)),"")</f>
        <v>2</v>
      </c>
      <c r="B8" s="1">
        <f ca="1">IF(ROW()&lt;=Results!$C$1+1,VLOOKUP($A8,Data!$A$2:$C$117,2,TRUE),"")</f>
        <v>20.09</v>
      </c>
      <c r="C8" s="14">
        <f ca="1">IF(ROW()&lt;=Results!$C$1+1,IF(B8&lt;=0,"",LN(B8)),"")</f>
        <v>3.0002221788268431</v>
      </c>
      <c r="D8" s="1">
        <f ca="1">IF(ROW()&lt;=Results!$C$1+1,VLOOKUP($A8,Data!$A$2:$C$117,3,TRUE),"")</f>
        <v>19.91</v>
      </c>
      <c r="E8" s="14">
        <f ca="1">IF(ROW()&lt;=Results!$C$1+1,IF(D8&lt;=0,"",LN(D8)),"")</f>
        <v>2.9912221180761049</v>
      </c>
      <c r="F8" s="53">
        <f ca="1">IF(ROW()&lt;=Results!$C$1+1,IF(ISERROR(C8-E8),"",C8-E8),"")</f>
        <v>9.0000607507381147E-3</v>
      </c>
    </row>
    <row r="9" spans="1:6" x14ac:dyDescent="0.2">
      <c r="A9" s="1">
        <f ca="1">IF(ROW()&lt;=Results!$C$1+1,INDEX(Data!$A:$A,CEILING((COUNTA(Data!$A:$A)-1)*RAND()+1,1)),"")</f>
        <v>1</v>
      </c>
      <c r="B9" s="1">
        <f ca="1">IF(ROW()&lt;=Results!$C$1+1,VLOOKUP($A9,Data!$A$2:$C$117,2,TRUE),"")</f>
        <v>19.670000000000002</v>
      </c>
      <c r="C9" s="14">
        <f ca="1">IF(ROW()&lt;=Results!$C$1+1,IF(B9&lt;=0,"",LN(B9)),"")</f>
        <v>2.9790946324009679</v>
      </c>
      <c r="D9" s="1">
        <f ca="1">IF(ROW()&lt;=Results!$C$1+1,VLOOKUP($A9,Data!$A$2:$C$117,3,TRUE),"")</f>
        <v>20.53</v>
      </c>
      <c r="E9" s="14">
        <f ca="1">IF(ROW()&lt;=Results!$C$1+1,IF(D9&lt;=0,"",LN(D9)),"")</f>
        <v>3.0218872310308424</v>
      </c>
      <c r="F9" s="53">
        <f ca="1">IF(ROW()&lt;=Results!$C$1+1,IF(ISERROR(C9-E9),"",C9-E9),"")</f>
        <v>-4.2792598629874501E-2</v>
      </c>
    </row>
    <row r="10" spans="1:6" x14ac:dyDescent="0.2">
      <c r="A10" s="1">
        <f ca="1">IF(ROW()&lt;=Results!$C$1+1,INDEX(Data!$A:$A,CEILING((COUNTA(Data!$A:$A)-1)*RAND()+1,1)),"")</f>
        <v>1</v>
      </c>
      <c r="B10" s="1">
        <f ca="1">IF(ROW()&lt;=Results!$C$1+1,VLOOKUP($A10,Data!$A$2:$C$117,2,TRUE),"")</f>
        <v>19.670000000000002</v>
      </c>
      <c r="C10" s="14">
        <f ca="1">IF(ROW()&lt;=Results!$C$1+1,IF(B10&lt;=0,"",LN(B10)),"")</f>
        <v>2.9790946324009679</v>
      </c>
      <c r="D10" s="1">
        <f ca="1">IF(ROW()&lt;=Results!$C$1+1,VLOOKUP($A10,Data!$A$2:$C$117,3,TRUE),"")</f>
        <v>20.53</v>
      </c>
      <c r="E10" s="14">
        <f ca="1">IF(ROW()&lt;=Results!$C$1+1,IF(D10&lt;=0,"",LN(D10)),"")</f>
        <v>3.0218872310308424</v>
      </c>
      <c r="F10" s="53">
        <f ca="1">IF(ROW()&lt;=Results!$C$1+1,IF(ISERROR(C10-E10),"",C10-E10),"")</f>
        <v>-4.2792598629874501E-2</v>
      </c>
    </row>
    <row r="11" spans="1:6" x14ac:dyDescent="0.2">
      <c r="A11" s="1">
        <f ca="1">IF(ROW()&lt;=Results!$C$1+1,INDEX(Data!$A:$A,CEILING((COUNTA(Data!$A:$A)-1)*RAND()+1,1)),"")</f>
        <v>1</v>
      </c>
      <c r="B11" s="1">
        <f ca="1">IF(ROW()&lt;=Results!$C$1+1,VLOOKUP($A11,Data!$A$2:$C$117,2,TRUE),"")</f>
        <v>19.670000000000002</v>
      </c>
      <c r="C11" s="14">
        <f ca="1">IF(ROW()&lt;=Results!$C$1+1,IF(B11&lt;=0,"",LN(B11)),"")</f>
        <v>2.9790946324009679</v>
      </c>
      <c r="D11" s="1">
        <f ca="1">IF(ROW()&lt;=Results!$C$1+1,VLOOKUP($A11,Data!$A$2:$C$117,3,TRUE),"")</f>
        <v>20.53</v>
      </c>
      <c r="E11" s="14">
        <f ca="1">IF(ROW()&lt;=Results!$C$1+1,IF(D11&lt;=0,"",LN(D11)),"")</f>
        <v>3.0218872310308424</v>
      </c>
      <c r="F11" s="53">
        <f ca="1">IF(ROW()&lt;=Results!$C$1+1,IF(ISERROR(C11-E11),"",C11-E11),"")</f>
        <v>-4.2792598629874501E-2</v>
      </c>
    </row>
    <row r="12" spans="1:6" x14ac:dyDescent="0.2">
      <c r="A12" s="1">
        <f ca="1">IF(ROW()&lt;=Results!$C$1+1,INDEX(Data!$A:$A,CEILING((COUNTA(Data!$A:$A)-1)*RAND()+1,1)),"")</f>
        <v>2</v>
      </c>
      <c r="B12" s="1">
        <f ca="1">IF(ROW()&lt;=Results!$C$1+1,VLOOKUP($A12,Data!$A$2:$C$117,2,TRUE),"")</f>
        <v>20.09</v>
      </c>
      <c r="C12" s="14">
        <f ca="1">IF(ROW()&lt;=Results!$C$1+1,IF(B12&lt;=0,"",LN(B12)),"")</f>
        <v>3.0002221788268431</v>
      </c>
      <c r="D12" s="1">
        <f ca="1">IF(ROW()&lt;=Results!$C$1+1,VLOOKUP($A12,Data!$A$2:$C$117,3,TRUE),"")</f>
        <v>19.91</v>
      </c>
      <c r="E12" s="14">
        <f ca="1">IF(ROW()&lt;=Results!$C$1+1,IF(D12&lt;=0,"",LN(D12)),"")</f>
        <v>2.9912221180761049</v>
      </c>
      <c r="F12" s="53">
        <f ca="1">IF(ROW()&lt;=Results!$C$1+1,IF(ISERROR(C12-E12),"",C12-E12),"")</f>
        <v>9.0000607507381147E-3</v>
      </c>
    </row>
    <row r="13" spans="1:6" x14ac:dyDescent="0.2">
      <c r="A13" s="1">
        <f ca="1">IF(ROW()&lt;=Results!$C$1+1,INDEX(Data!$A:$A,CEILING((COUNTA(Data!$A:$A)-1)*RAND()+1,1)),"")</f>
        <v>2</v>
      </c>
      <c r="B13" s="1">
        <f ca="1">IF(ROW()&lt;=Results!$C$1+1,VLOOKUP($A13,Data!$A$2:$C$117,2,TRUE),"")</f>
        <v>20.09</v>
      </c>
      <c r="C13" s="14">
        <f ca="1">IF(ROW()&lt;=Results!$C$1+1,IF(B13&lt;=0,"",LN(B13)),"")</f>
        <v>3.0002221788268431</v>
      </c>
      <c r="D13" s="1">
        <f ca="1">IF(ROW()&lt;=Results!$C$1+1,VLOOKUP($A13,Data!$A$2:$C$117,3,TRUE),"")</f>
        <v>19.91</v>
      </c>
      <c r="E13" s="14">
        <f ca="1">IF(ROW()&lt;=Results!$C$1+1,IF(D13&lt;=0,"",LN(D13)),"")</f>
        <v>2.9912221180761049</v>
      </c>
      <c r="F13" s="53">
        <f ca="1">IF(ROW()&lt;=Results!$C$1+1,IF(ISERROR(C13-E13),"",C13-E13),"")</f>
        <v>9.0000607507381147E-3</v>
      </c>
    </row>
    <row r="14" spans="1:6" x14ac:dyDescent="0.2">
      <c r="A14" s="1">
        <f ca="1">IF(ROW()&lt;=Results!$C$1+1,INDEX(Data!$A:$A,CEILING((COUNTA(Data!$A:$A)-1)*RAND()+1,1)),"")</f>
        <v>2</v>
      </c>
      <c r="B14" s="1">
        <f ca="1">IF(ROW()&lt;=Results!$C$1+1,VLOOKUP($A14,Data!$A$2:$C$117,2,TRUE),"")</f>
        <v>20.09</v>
      </c>
      <c r="C14" s="14">
        <f ca="1">IF(ROW()&lt;=Results!$C$1+1,IF(B14&lt;=0,"",LN(B14)),"")</f>
        <v>3.0002221788268431</v>
      </c>
      <c r="D14" s="1">
        <f ca="1">IF(ROW()&lt;=Results!$C$1+1,VLOOKUP($A14,Data!$A$2:$C$117,3,TRUE),"")</f>
        <v>19.91</v>
      </c>
      <c r="E14" s="14">
        <f ca="1">IF(ROW()&lt;=Results!$C$1+1,IF(D14&lt;=0,"",LN(D14)),"")</f>
        <v>2.9912221180761049</v>
      </c>
      <c r="F14" s="53">
        <f ca="1">IF(ROW()&lt;=Results!$C$1+1,IF(ISERROR(C14-E14),"",C14-E14),"")</f>
        <v>9.0000607507381147E-3</v>
      </c>
    </row>
    <row r="15" spans="1:6" x14ac:dyDescent="0.2">
      <c r="A15" s="1">
        <f ca="1">IF(ROW()&lt;=Results!$C$1+1,INDEX(Data!$A:$A,CEILING((COUNTA(Data!$A:$A)-1)*RAND()+1,1)),"")</f>
        <v>2</v>
      </c>
      <c r="B15" s="1">
        <f ca="1">IF(ROW()&lt;=Results!$C$1+1,VLOOKUP($A15,Data!$A$2:$C$117,2,TRUE),"")</f>
        <v>20.09</v>
      </c>
      <c r="C15" s="14">
        <f ca="1">IF(ROW()&lt;=Results!$C$1+1,IF(B15&lt;=0,"",LN(B15)),"")</f>
        <v>3.0002221788268431</v>
      </c>
      <c r="D15" s="1">
        <f ca="1">IF(ROW()&lt;=Results!$C$1+1,VLOOKUP($A15,Data!$A$2:$C$117,3,TRUE),"")</f>
        <v>19.91</v>
      </c>
      <c r="E15" s="14">
        <f ca="1">IF(ROW()&lt;=Results!$C$1+1,IF(D15&lt;=0,"",LN(D15)),"")</f>
        <v>2.9912221180761049</v>
      </c>
      <c r="F15" s="53">
        <f ca="1">IF(ROW()&lt;=Results!$C$1+1,IF(ISERROR(C15-E15),"",C15-E15),"")</f>
        <v>9.0000607507381147E-3</v>
      </c>
    </row>
    <row r="16" spans="1:6" x14ac:dyDescent="0.2">
      <c r="A16" s="1">
        <f ca="1">IF(ROW()&lt;=Results!$C$1+1,INDEX(Data!$A:$A,CEILING((COUNTA(Data!$A:$A)-1)*RAND()+1,1)),"")</f>
        <v>1</v>
      </c>
      <c r="B16" s="1">
        <f ca="1">IF(ROW()&lt;=Results!$C$1+1,VLOOKUP($A16,Data!$A$2:$C$117,2,TRUE),"")</f>
        <v>19.670000000000002</v>
      </c>
      <c r="C16" s="14">
        <f ca="1">IF(ROW()&lt;=Results!$C$1+1,IF(B16&lt;=0,"",LN(B16)),"")</f>
        <v>2.9790946324009679</v>
      </c>
      <c r="D16" s="1">
        <f ca="1">IF(ROW()&lt;=Results!$C$1+1,VLOOKUP($A16,Data!$A$2:$C$117,3,TRUE),"")</f>
        <v>20.53</v>
      </c>
      <c r="E16" s="14">
        <f ca="1">IF(ROW()&lt;=Results!$C$1+1,IF(D16&lt;=0,"",LN(D16)),"")</f>
        <v>3.0218872310308424</v>
      </c>
      <c r="F16" s="53">
        <f ca="1">IF(ROW()&lt;=Results!$C$1+1,IF(ISERROR(C16-E16),"",C16-E16),"")</f>
        <v>-4.2792598629874501E-2</v>
      </c>
    </row>
    <row r="17" spans="1:6" x14ac:dyDescent="0.2">
      <c r="A17" s="1">
        <f ca="1">IF(ROW()&lt;=Results!$C$1+1,INDEX(Data!$A:$A,CEILING((COUNTA(Data!$A:$A)-1)*RAND()+1,1)),"")</f>
        <v>2</v>
      </c>
      <c r="B17" s="1">
        <f ca="1">IF(ROW()&lt;=Results!$C$1+1,VLOOKUP($A17,Data!$A$2:$C$117,2,TRUE),"")</f>
        <v>20.09</v>
      </c>
      <c r="C17" s="14">
        <f ca="1">IF(ROW()&lt;=Results!$C$1+1,IF(B17&lt;=0,"",LN(B17)),"")</f>
        <v>3.0002221788268431</v>
      </c>
      <c r="D17" s="1">
        <f ca="1">IF(ROW()&lt;=Results!$C$1+1,VLOOKUP($A17,Data!$A$2:$C$117,3,TRUE),"")</f>
        <v>19.91</v>
      </c>
      <c r="E17" s="14">
        <f ca="1">IF(ROW()&lt;=Results!$C$1+1,IF(D17&lt;=0,"",LN(D17)),"")</f>
        <v>2.9912221180761049</v>
      </c>
      <c r="F17" s="53">
        <f ca="1">IF(ROW()&lt;=Results!$C$1+1,IF(ISERROR(C17-E17),"",C17-E17),"")</f>
        <v>9.0000607507381147E-3</v>
      </c>
    </row>
    <row r="18" spans="1:6" x14ac:dyDescent="0.2">
      <c r="A18" s="1">
        <f ca="1">IF(ROW()&lt;=Results!$C$1+1,INDEX(Data!$A:$A,CEILING((COUNTA(Data!$A:$A)-1)*RAND()+1,1)),"")</f>
        <v>2</v>
      </c>
      <c r="B18" s="1">
        <f ca="1">IF(ROW()&lt;=Results!$C$1+1,VLOOKUP($A18,Data!$A$2:$C$117,2,TRUE),"")</f>
        <v>20.09</v>
      </c>
      <c r="C18" s="14">
        <f ca="1">IF(ROW()&lt;=Results!$C$1+1,IF(B18&lt;=0,"",LN(B18)),"")</f>
        <v>3.0002221788268431</v>
      </c>
      <c r="D18" s="1">
        <f ca="1">IF(ROW()&lt;=Results!$C$1+1,VLOOKUP($A18,Data!$A$2:$C$117,3,TRUE),"")</f>
        <v>19.91</v>
      </c>
      <c r="E18" s="14">
        <f ca="1">IF(ROW()&lt;=Results!$C$1+1,IF(D18&lt;=0,"",LN(D18)),"")</f>
        <v>2.9912221180761049</v>
      </c>
      <c r="F18" s="53">
        <f ca="1">IF(ROW()&lt;=Results!$C$1+1,IF(ISERROR(C18-E18),"",C18-E18),"")</f>
        <v>9.0000607507381147E-3</v>
      </c>
    </row>
    <row r="19" spans="1:6" x14ac:dyDescent="0.2">
      <c r="A19" s="1">
        <f ca="1">IF(ROW()&lt;=Results!$C$1+1,INDEX(Data!$A:$A,CEILING((COUNTA(Data!$A:$A)-1)*RAND()+1,1)),"")</f>
        <v>2</v>
      </c>
      <c r="B19" s="1">
        <f ca="1">IF(ROW()&lt;=Results!$C$1+1,VLOOKUP($A19,Data!$A$2:$C$117,2,TRUE),"")</f>
        <v>20.09</v>
      </c>
      <c r="C19" s="14">
        <f ca="1">IF(ROW()&lt;=Results!$C$1+1,IF(B19&lt;=0,"",LN(B19)),"")</f>
        <v>3.0002221788268431</v>
      </c>
      <c r="D19" s="1">
        <f ca="1">IF(ROW()&lt;=Results!$C$1+1,VLOOKUP($A19,Data!$A$2:$C$117,3,TRUE),"")</f>
        <v>19.91</v>
      </c>
      <c r="E19" s="14">
        <f ca="1">IF(ROW()&lt;=Results!$C$1+1,IF(D19&lt;=0,"",LN(D19)),"")</f>
        <v>2.9912221180761049</v>
      </c>
      <c r="F19" s="53">
        <f ca="1">IF(ROW()&lt;=Results!$C$1+1,IF(ISERROR(C19-E19),"",C19-E19),"")</f>
        <v>9.0000607507381147E-3</v>
      </c>
    </row>
    <row r="20" spans="1:6" x14ac:dyDescent="0.2">
      <c r="A20" s="1">
        <f ca="1">IF(ROW()&lt;=Results!$C$1+1,INDEX(Data!$A:$A,CEILING((COUNTA(Data!$A:$A)-1)*RAND()+1,1)),"")</f>
        <v>2</v>
      </c>
      <c r="B20" s="1">
        <f ca="1">IF(ROW()&lt;=Results!$C$1+1,VLOOKUP($A20,Data!$A$2:$C$117,2,TRUE),"")</f>
        <v>20.09</v>
      </c>
      <c r="C20" s="14">
        <f ca="1">IF(ROW()&lt;=Results!$C$1+1,IF(B20&lt;=0,"",LN(B20)),"")</f>
        <v>3.0002221788268431</v>
      </c>
      <c r="D20" s="1">
        <f ca="1">IF(ROW()&lt;=Results!$C$1+1,VLOOKUP($A20,Data!$A$2:$C$117,3,TRUE),"")</f>
        <v>19.91</v>
      </c>
      <c r="E20" s="14">
        <f ca="1">IF(ROW()&lt;=Results!$C$1+1,IF(D20&lt;=0,"",LN(D20)),"")</f>
        <v>2.9912221180761049</v>
      </c>
      <c r="F20" s="53">
        <f ca="1">IF(ROW()&lt;=Results!$C$1+1,IF(ISERROR(C20-E20),"",C20-E20),"")</f>
        <v>9.0000607507381147E-3</v>
      </c>
    </row>
    <row r="21" spans="1:6" x14ac:dyDescent="0.2">
      <c r="A21" s="1">
        <f ca="1">IF(ROW()&lt;=Results!$C$1+1,INDEX(Data!$A:$A,CEILING((COUNTA(Data!$A:$A)-1)*RAND()+1,1)),"")</f>
        <v>1</v>
      </c>
      <c r="B21" s="1">
        <f ca="1">IF(ROW()&lt;=Results!$C$1+1,VLOOKUP($A21,Data!$A$2:$C$117,2,TRUE),"")</f>
        <v>19.670000000000002</v>
      </c>
      <c r="C21" s="14">
        <f ca="1">IF(ROW()&lt;=Results!$C$1+1,IF(B21&lt;=0,"",LN(B21)),"")</f>
        <v>2.9790946324009679</v>
      </c>
      <c r="D21" s="1">
        <f ca="1">IF(ROW()&lt;=Results!$C$1+1,VLOOKUP($A21,Data!$A$2:$C$117,3,TRUE),"")</f>
        <v>20.53</v>
      </c>
      <c r="E21" s="14">
        <f ca="1">IF(ROW()&lt;=Results!$C$1+1,IF(D21&lt;=0,"",LN(D21)),"")</f>
        <v>3.0218872310308424</v>
      </c>
      <c r="F21" s="53">
        <f ca="1">IF(ROW()&lt;=Results!$C$1+1,IF(ISERROR(C21-E21),"",C21-E21),"")</f>
        <v>-4.2792598629874501E-2</v>
      </c>
    </row>
    <row r="22" spans="1:6" x14ac:dyDescent="0.2">
      <c r="A22" s="1">
        <f ca="1">IF(ROW()&lt;=Results!$C$1+1,INDEX(Data!$A:$A,CEILING((COUNTA(Data!$A:$A)-1)*RAND()+1,1)),"")</f>
        <v>1</v>
      </c>
      <c r="B22" s="1">
        <f ca="1">IF(ROW()&lt;=Results!$C$1+1,VLOOKUP($A22,Data!$A$2:$C$117,2,TRUE),"")</f>
        <v>19.670000000000002</v>
      </c>
      <c r="C22" s="14">
        <f ca="1">IF(ROW()&lt;=Results!$C$1+1,IF(B22&lt;=0,"",LN(B22)),"")</f>
        <v>2.9790946324009679</v>
      </c>
      <c r="D22" s="1">
        <f ca="1">IF(ROW()&lt;=Results!$C$1+1,VLOOKUP($A22,Data!$A$2:$C$117,3,TRUE),"")</f>
        <v>20.53</v>
      </c>
      <c r="E22" s="14">
        <f ca="1">IF(ROW()&lt;=Results!$C$1+1,IF(D22&lt;=0,"",LN(D22)),"")</f>
        <v>3.0218872310308424</v>
      </c>
      <c r="F22" s="53">
        <f ca="1">IF(ROW()&lt;=Results!$C$1+1,IF(ISERROR(C22-E22),"",C22-E22),"")</f>
        <v>-4.2792598629874501E-2</v>
      </c>
    </row>
    <row r="23" spans="1:6" x14ac:dyDescent="0.2">
      <c r="A23" s="1">
        <f ca="1">IF(ROW()&lt;=Results!$C$1+1,INDEX(Data!$A:$A,CEILING((COUNTA(Data!$A:$A)-1)*RAND()+1,1)),"")</f>
        <v>2</v>
      </c>
      <c r="B23" s="1">
        <f ca="1">IF(ROW()&lt;=Results!$C$1+1,VLOOKUP($A23,Data!$A$2:$C$117,2,TRUE),"")</f>
        <v>20.09</v>
      </c>
      <c r="C23" s="14">
        <f ca="1">IF(ROW()&lt;=Results!$C$1+1,IF(B23&lt;=0,"",LN(B23)),"")</f>
        <v>3.0002221788268431</v>
      </c>
      <c r="D23" s="1">
        <f ca="1">IF(ROW()&lt;=Results!$C$1+1,VLOOKUP($A23,Data!$A$2:$C$117,3,TRUE),"")</f>
        <v>19.91</v>
      </c>
      <c r="E23" s="14">
        <f ca="1">IF(ROW()&lt;=Results!$C$1+1,IF(D23&lt;=0,"",LN(D23)),"")</f>
        <v>2.9912221180761049</v>
      </c>
      <c r="F23" s="53">
        <f ca="1">IF(ROW()&lt;=Results!$C$1+1,IF(ISERROR(C23-E23),"",C23-E23),"")</f>
        <v>9.0000607507381147E-3</v>
      </c>
    </row>
    <row r="24" spans="1:6" x14ac:dyDescent="0.2">
      <c r="A24" s="1">
        <f ca="1">IF(ROW()&lt;=Results!$C$1+1,INDEX(Data!$A:$A,CEILING((COUNTA(Data!$A:$A)-1)*RAND()+1,1)),"")</f>
        <v>2</v>
      </c>
      <c r="B24" s="1">
        <f ca="1">IF(ROW()&lt;=Results!$C$1+1,VLOOKUP($A24,Data!$A$2:$C$117,2,TRUE),"")</f>
        <v>20.09</v>
      </c>
      <c r="C24" s="14">
        <f ca="1">IF(ROW()&lt;=Results!$C$1+1,IF(B24&lt;=0,"",LN(B24)),"")</f>
        <v>3.0002221788268431</v>
      </c>
      <c r="D24" s="1">
        <f ca="1">IF(ROW()&lt;=Results!$C$1+1,VLOOKUP($A24,Data!$A$2:$C$117,3,TRUE),"")</f>
        <v>19.91</v>
      </c>
      <c r="E24" s="14">
        <f ca="1">IF(ROW()&lt;=Results!$C$1+1,IF(D24&lt;=0,"",LN(D24)),"")</f>
        <v>2.9912221180761049</v>
      </c>
      <c r="F24" s="53">
        <f ca="1">IF(ROW()&lt;=Results!$C$1+1,IF(ISERROR(C24-E24),"",C24-E24),"")</f>
        <v>9.0000607507381147E-3</v>
      </c>
    </row>
    <row r="25" spans="1:6" x14ac:dyDescent="0.2">
      <c r="A25" s="1">
        <f ca="1">IF(ROW()&lt;=Results!$C$1+1,INDEX(Data!$A:$A,CEILING((COUNTA(Data!$A:$A)-1)*RAND()+1,1)),"")</f>
        <v>2</v>
      </c>
      <c r="B25" s="1">
        <f ca="1">IF(ROW()&lt;=Results!$C$1+1,VLOOKUP($A25,Data!$A$2:$C$117,2,TRUE),"")</f>
        <v>20.09</v>
      </c>
      <c r="C25" s="14">
        <f ca="1">IF(ROW()&lt;=Results!$C$1+1,IF(B25&lt;=0,"",LN(B25)),"")</f>
        <v>3.0002221788268431</v>
      </c>
      <c r="D25" s="1">
        <f ca="1">IF(ROW()&lt;=Results!$C$1+1,VLOOKUP($A25,Data!$A$2:$C$117,3,TRUE),"")</f>
        <v>19.91</v>
      </c>
      <c r="E25" s="14">
        <f ca="1">IF(ROW()&lt;=Results!$C$1+1,IF(D25&lt;=0,"",LN(D25)),"")</f>
        <v>2.9912221180761049</v>
      </c>
      <c r="F25" s="53">
        <f ca="1">IF(ROW()&lt;=Results!$C$1+1,IF(ISERROR(C25-E25),"",C25-E25),"")</f>
        <v>9.0000607507381147E-3</v>
      </c>
    </row>
    <row r="26" spans="1:6" x14ac:dyDescent="0.2">
      <c r="A26" s="1">
        <f ca="1">IF(ROW()&lt;=Results!$C$1+1,INDEX(Data!$A:$A,CEILING((COUNTA(Data!$A:$A)-1)*RAND()+1,1)),"")</f>
        <v>2</v>
      </c>
      <c r="B26" s="1">
        <f ca="1">IF(ROW()&lt;=Results!$C$1+1,VLOOKUP($A26,Data!$A$2:$C$117,2,TRUE),"")</f>
        <v>20.09</v>
      </c>
      <c r="C26" s="14">
        <f ca="1">IF(ROW()&lt;=Results!$C$1+1,IF(B26&lt;=0,"",LN(B26)),"")</f>
        <v>3.0002221788268431</v>
      </c>
      <c r="D26" s="1">
        <f ca="1">IF(ROW()&lt;=Results!$C$1+1,VLOOKUP($A26,Data!$A$2:$C$117,3,TRUE),"")</f>
        <v>19.91</v>
      </c>
      <c r="E26" s="14">
        <f ca="1">IF(ROW()&lt;=Results!$C$1+1,IF(D26&lt;=0,"",LN(D26)),"")</f>
        <v>2.9912221180761049</v>
      </c>
      <c r="F26" s="53">
        <f ca="1">IF(ROW()&lt;=Results!$C$1+1,IF(ISERROR(C26-E26),"",C26-E26),"")</f>
        <v>9.0000607507381147E-3</v>
      </c>
    </row>
    <row r="27" spans="1:6" x14ac:dyDescent="0.2">
      <c r="A27" s="1">
        <f ca="1">IF(ROW()&lt;=Results!$C$1+1,INDEX(Data!$A:$A,CEILING((COUNTA(Data!$A:$A)-1)*RAND()+1,1)),"")</f>
        <v>2</v>
      </c>
      <c r="B27" s="1">
        <f ca="1">IF(ROW()&lt;=Results!$C$1+1,VLOOKUP($A27,Data!$A$2:$C$117,2,TRUE),"")</f>
        <v>20.09</v>
      </c>
      <c r="C27" s="14">
        <f ca="1">IF(ROW()&lt;=Results!$C$1+1,IF(B27&lt;=0,"",LN(B27)),"")</f>
        <v>3.0002221788268431</v>
      </c>
      <c r="D27" s="1">
        <f ca="1">IF(ROW()&lt;=Results!$C$1+1,VLOOKUP($A27,Data!$A$2:$C$117,3,TRUE),"")</f>
        <v>19.91</v>
      </c>
      <c r="E27" s="14">
        <f ca="1">IF(ROW()&lt;=Results!$C$1+1,IF(D27&lt;=0,"",LN(D27)),"")</f>
        <v>2.9912221180761049</v>
      </c>
      <c r="F27" s="53">
        <f ca="1">IF(ROW()&lt;=Results!$C$1+1,IF(ISERROR(C27-E27),"",C27-E27),"")</f>
        <v>9.0000607507381147E-3</v>
      </c>
    </row>
    <row r="28" spans="1:6" x14ac:dyDescent="0.2">
      <c r="A28" s="1">
        <f ca="1">IF(ROW()&lt;=Results!$C$1+1,INDEX(Data!$A:$A,CEILING((COUNTA(Data!$A:$A)-1)*RAND()+1,1)),"")</f>
        <v>2</v>
      </c>
      <c r="B28" s="1">
        <f ca="1">IF(ROW()&lt;=Results!$C$1+1,VLOOKUP($A28,Data!$A$2:$C$117,2,TRUE),"")</f>
        <v>20.09</v>
      </c>
      <c r="C28" s="14">
        <f ca="1">IF(ROW()&lt;=Results!$C$1+1,IF(B28&lt;=0,"",LN(B28)),"")</f>
        <v>3.0002221788268431</v>
      </c>
      <c r="D28" s="1">
        <f ca="1">IF(ROW()&lt;=Results!$C$1+1,VLOOKUP($A28,Data!$A$2:$C$117,3,TRUE),"")</f>
        <v>19.91</v>
      </c>
      <c r="E28" s="14">
        <f ca="1">IF(ROW()&lt;=Results!$C$1+1,IF(D28&lt;=0,"",LN(D28)),"")</f>
        <v>2.9912221180761049</v>
      </c>
      <c r="F28" s="53">
        <f ca="1">IF(ROW()&lt;=Results!$C$1+1,IF(ISERROR(C28-E28),"",C28-E28),"")</f>
        <v>9.0000607507381147E-3</v>
      </c>
    </row>
    <row r="29" spans="1:6" x14ac:dyDescent="0.2">
      <c r="A29" s="1">
        <f ca="1">IF(ROW()&lt;=Results!$C$1+1,INDEX(Data!$A:$A,CEILING((COUNTA(Data!$A:$A)-1)*RAND()+1,1)),"")</f>
        <v>2</v>
      </c>
      <c r="B29" s="1">
        <f ca="1">IF(ROW()&lt;=Results!$C$1+1,VLOOKUP($A29,Data!$A$2:$C$117,2,TRUE),"")</f>
        <v>20.09</v>
      </c>
      <c r="C29" s="14">
        <f ca="1">IF(ROW()&lt;=Results!$C$1+1,IF(B29&lt;=0,"",LN(B29)),"")</f>
        <v>3.0002221788268431</v>
      </c>
      <c r="D29" s="1">
        <f ca="1">IF(ROW()&lt;=Results!$C$1+1,VLOOKUP($A29,Data!$A$2:$C$117,3,TRUE),"")</f>
        <v>19.91</v>
      </c>
      <c r="E29" s="14">
        <f ca="1">IF(ROW()&lt;=Results!$C$1+1,IF(D29&lt;=0,"",LN(D29)),"")</f>
        <v>2.9912221180761049</v>
      </c>
      <c r="F29" s="53">
        <f ca="1">IF(ROW()&lt;=Results!$C$1+1,IF(ISERROR(C29-E29),"",C29-E29),"")</f>
        <v>9.0000607507381147E-3</v>
      </c>
    </row>
    <row r="30" spans="1:6" x14ac:dyDescent="0.2">
      <c r="A30" s="1">
        <f ca="1">IF(ROW()&lt;=Results!$C$1+1,INDEX(Data!$A:$A,CEILING((COUNTA(Data!$A:$A)-1)*RAND()+1,1)),"")</f>
        <v>1</v>
      </c>
      <c r="B30" s="1">
        <f ca="1">IF(ROW()&lt;=Results!$C$1+1,VLOOKUP($A30,Data!$A$2:$C$117,2,TRUE),"")</f>
        <v>19.670000000000002</v>
      </c>
      <c r="C30" s="14">
        <f ca="1">IF(ROW()&lt;=Results!$C$1+1,IF(B30&lt;=0,"",LN(B30)),"")</f>
        <v>2.9790946324009679</v>
      </c>
      <c r="D30" s="1">
        <f ca="1">IF(ROW()&lt;=Results!$C$1+1,VLOOKUP($A30,Data!$A$2:$C$117,3,TRUE),"")</f>
        <v>20.53</v>
      </c>
      <c r="E30" s="14">
        <f ca="1">IF(ROW()&lt;=Results!$C$1+1,IF(D30&lt;=0,"",LN(D30)),"")</f>
        <v>3.0218872310308424</v>
      </c>
      <c r="F30" s="53">
        <f ca="1">IF(ROW()&lt;=Results!$C$1+1,IF(ISERROR(C30-E30),"",C30-E30),"")</f>
        <v>-4.2792598629874501E-2</v>
      </c>
    </row>
    <row r="31" spans="1:6" x14ac:dyDescent="0.2">
      <c r="A31" s="1">
        <f ca="1">IF(ROW()&lt;=Results!$C$1+1,INDEX(Data!$A:$A,CEILING((COUNTA(Data!$A:$A)-1)*RAND()+1,1)),"")</f>
        <v>1</v>
      </c>
      <c r="B31" s="1">
        <f ca="1">IF(ROW()&lt;=Results!$C$1+1,VLOOKUP($A31,Data!$A$2:$C$117,2,TRUE),"")</f>
        <v>19.670000000000002</v>
      </c>
      <c r="C31" s="14">
        <f ca="1">IF(ROW()&lt;=Results!$C$1+1,IF(B31&lt;=0,"",LN(B31)),"")</f>
        <v>2.9790946324009679</v>
      </c>
      <c r="D31" s="1">
        <f ca="1">IF(ROW()&lt;=Results!$C$1+1,VLOOKUP($A31,Data!$A$2:$C$117,3,TRUE),"")</f>
        <v>20.53</v>
      </c>
      <c r="E31" s="14">
        <f ca="1">IF(ROW()&lt;=Results!$C$1+1,IF(D31&lt;=0,"",LN(D31)),"")</f>
        <v>3.0218872310308424</v>
      </c>
      <c r="F31" s="53">
        <f ca="1">IF(ROW()&lt;=Results!$C$1+1,IF(ISERROR(C31-E31),"",C31-E31),"")</f>
        <v>-4.2792598629874501E-2</v>
      </c>
    </row>
    <row r="32" spans="1:6" x14ac:dyDescent="0.2">
      <c r="A32" s="1">
        <f ca="1">IF(ROW()&lt;=Results!$C$1+1,INDEX(Data!$A:$A,CEILING((COUNTA(Data!$A:$A)-1)*RAND()+1,1)),"")</f>
        <v>1</v>
      </c>
      <c r="B32" s="1">
        <f ca="1">IF(ROW()&lt;=Results!$C$1+1,VLOOKUP($A32,Data!$A$2:$C$117,2,TRUE),"")</f>
        <v>19.670000000000002</v>
      </c>
      <c r="C32" s="14">
        <f ca="1">IF(ROW()&lt;=Results!$C$1+1,IF(B32&lt;=0,"",LN(B32)),"")</f>
        <v>2.9790946324009679</v>
      </c>
      <c r="D32" s="1">
        <f ca="1">IF(ROW()&lt;=Results!$C$1+1,VLOOKUP($A32,Data!$A$2:$C$117,3,TRUE),"")</f>
        <v>20.53</v>
      </c>
      <c r="E32" s="14">
        <f ca="1">IF(ROW()&lt;=Results!$C$1+1,IF(D32&lt;=0,"",LN(D32)),"")</f>
        <v>3.0218872310308424</v>
      </c>
      <c r="F32" s="53">
        <f ca="1">IF(ROW()&lt;=Results!$C$1+1,IF(ISERROR(C32-E32),"",C32-E32),"")</f>
        <v>-4.2792598629874501E-2</v>
      </c>
    </row>
    <row r="33" spans="1:6" x14ac:dyDescent="0.2">
      <c r="A33" s="1">
        <f ca="1">IF(ROW()&lt;=Results!$C$1+1,INDEX(Data!$A:$A,CEILING((COUNTA(Data!$A:$A)-1)*RAND()+1,1)),"")</f>
        <v>2</v>
      </c>
      <c r="B33" s="1">
        <f ca="1">IF(ROW()&lt;=Results!$C$1+1,VLOOKUP($A33,Data!$A$2:$C$117,2,TRUE),"")</f>
        <v>20.09</v>
      </c>
      <c r="C33" s="14">
        <f ca="1">IF(ROW()&lt;=Results!$C$1+1,IF(B33&lt;=0,"",LN(B33)),"")</f>
        <v>3.0002221788268431</v>
      </c>
      <c r="D33" s="1">
        <f ca="1">IF(ROW()&lt;=Results!$C$1+1,VLOOKUP($A33,Data!$A$2:$C$117,3,TRUE),"")</f>
        <v>19.91</v>
      </c>
      <c r="E33" s="14">
        <f ca="1">IF(ROW()&lt;=Results!$C$1+1,IF(D33&lt;=0,"",LN(D33)),"")</f>
        <v>2.9912221180761049</v>
      </c>
      <c r="F33" s="53">
        <f ca="1">IF(ROW()&lt;=Results!$C$1+1,IF(ISERROR(C33-E33),"",C33-E33),"")</f>
        <v>9.0000607507381147E-3</v>
      </c>
    </row>
    <row r="34" spans="1:6" x14ac:dyDescent="0.2">
      <c r="A34" s="1">
        <f ca="1">IF(ROW()&lt;=Results!$C$1+1,INDEX(Data!$A:$A,CEILING((COUNTA(Data!$A:$A)-1)*RAND()+1,1)),"")</f>
        <v>2</v>
      </c>
      <c r="B34" s="1">
        <f ca="1">IF(ROW()&lt;=Results!$C$1+1,VLOOKUP($A34,Data!$A$2:$C$117,2,TRUE),"")</f>
        <v>20.09</v>
      </c>
      <c r="C34" s="14">
        <f ca="1">IF(ROW()&lt;=Results!$C$1+1,IF(B34&lt;=0,"",LN(B34)),"")</f>
        <v>3.0002221788268431</v>
      </c>
      <c r="D34" s="1">
        <f ca="1">IF(ROW()&lt;=Results!$C$1+1,VLOOKUP($A34,Data!$A$2:$C$117,3,TRUE),"")</f>
        <v>19.91</v>
      </c>
      <c r="E34" s="14">
        <f ca="1">IF(ROW()&lt;=Results!$C$1+1,IF(D34&lt;=0,"",LN(D34)),"")</f>
        <v>2.9912221180761049</v>
      </c>
      <c r="F34" s="53">
        <f ca="1">IF(ROW()&lt;=Results!$C$1+1,IF(ISERROR(C34-E34),"",C34-E34),"")</f>
        <v>9.0000607507381147E-3</v>
      </c>
    </row>
    <row r="35" spans="1:6" x14ac:dyDescent="0.2">
      <c r="A35" s="1">
        <f ca="1">IF(ROW()&lt;=Results!$C$1+1,INDEX(Data!$A:$A,CEILING((COUNTA(Data!$A:$A)-1)*RAND()+1,1)),"")</f>
        <v>2</v>
      </c>
      <c r="B35" s="1">
        <f ca="1">IF(ROW()&lt;=Results!$C$1+1,VLOOKUP($A35,Data!$A$2:$C$117,2,TRUE),"")</f>
        <v>20.09</v>
      </c>
      <c r="C35" s="14">
        <f ca="1">IF(ROW()&lt;=Results!$C$1+1,IF(B35&lt;=0,"",LN(B35)),"")</f>
        <v>3.0002221788268431</v>
      </c>
      <c r="D35" s="1">
        <f ca="1">IF(ROW()&lt;=Results!$C$1+1,VLOOKUP($A35,Data!$A$2:$C$117,3,TRUE),"")</f>
        <v>19.91</v>
      </c>
      <c r="E35" s="14">
        <f ca="1">IF(ROW()&lt;=Results!$C$1+1,IF(D35&lt;=0,"",LN(D35)),"")</f>
        <v>2.9912221180761049</v>
      </c>
      <c r="F35" s="53">
        <f ca="1">IF(ROW()&lt;=Results!$C$1+1,IF(ISERROR(C35-E35),"",C35-E35),"")</f>
        <v>9.0000607507381147E-3</v>
      </c>
    </row>
    <row r="36" spans="1:6" x14ac:dyDescent="0.2">
      <c r="A36" s="1">
        <f ca="1">IF(ROW()&lt;=Results!$C$1+1,INDEX(Data!$A:$A,CEILING((COUNTA(Data!$A:$A)-1)*RAND()+1,1)),"")</f>
        <v>1</v>
      </c>
      <c r="B36" s="1">
        <f ca="1">IF(ROW()&lt;=Results!$C$1+1,VLOOKUP($A36,Data!$A$2:$C$117,2,TRUE),"")</f>
        <v>19.670000000000002</v>
      </c>
      <c r="C36" s="14">
        <f ca="1">IF(ROW()&lt;=Results!$C$1+1,IF(B36&lt;=0,"",LN(B36)),"")</f>
        <v>2.9790946324009679</v>
      </c>
      <c r="D36" s="1">
        <f ca="1">IF(ROW()&lt;=Results!$C$1+1,VLOOKUP($A36,Data!$A$2:$C$117,3,TRUE),"")</f>
        <v>20.53</v>
      </c>
      <c r="E36" s="14">
        <f ca="1">IF(ROW()&lt;=Results!$C$1+1,IF(D36&lt;=0,"",LN(D36)),"")</f>
        <v>3.0218872310308424</v>
      </c>
      <c r="F36" s="53">
        <f ca="1">IF(ROW()&lt;=Results!$C$1+1,IF(ISERROR(C36-E36),"",C36-E36),"")</f>
        <v>-4.2792598629874501E-2</v>
      </c>
    </row>
    <row r="37" spans="1:6" x14ac:dyDescent="0.2">
      <c r="A37" s="1">
        <f ca="1">IF(ROW()&lt;=Results!$C$1+1,INDEX(Data!$A:$A,CEILING((COUNTA(Data!$A:$A)-1)*RAND()+1,1)),"")</f>
        <v>1</v>
      </c>
      <c r="B37" s="1">
        <f ca="1">IF(ROW()&lt;=Results!$C$1+1,VLOOKUP($A37,Data!$A$2:$C$117,2,TRUE),"")</f>
        <v>19.670000000000002</v>
      </c>
      <c r="C37" s="14">
        <f ca="1">IF(ROW()&lt;=Results!$C$1+1,IF(B37&lt;=0,"",LN(B37)),"")</f>
        <v>2.9790946324009679</v>
      </c>
      <c r="D37" s="1">
        <f ca="1">IF(ROW()&lt;=Results!$C$1+1,VLOOKUP($A37,Data!$A$2:$C$117,3,TRUE),"")</f>
        <v>20.53</v>
      </c>
      <c r="E37" s="14">
        <f ca="1">IF(ROW()&lt;=Results!$C$1+1,IF(D37&lt;=0,"",LN(D37)),"")</f>
        <v>3.0218872310308424</v>
      </c>
      <c r="F37" s="53">
        <f ca="1">IF(ROW()&lt;=Results!$C$1+1,IF(ISERROR(C37-E37),"",C37-E37),"")</f>
        <v>-4.2792598629874501E-2</v>
      </c>
    </row>
    <row r="38" spans="1:6" x14ac:dyDescent="0.2">
      <c r="A38" s="1">
        <f ca="1">IF(ROW()&lt;=Results!$C$1+1,INDEX(Data!$A:$A,CEILING((COUNTA(Data!$A:$A)-1)*RAND()+1,1)),"")</f>
        <v>1</v>
      </c>
      <c r="B38" s="1">
        <f ca="1">IF(ROW()&lt;=Results!$C$1+1,VLOOKUP($A38,Data!$A$2:$C$117,2,TRUE),"")</f>
        <v>19.670000000000002</v>
      </c>
      <c r="C38" s="14">
        <f ca="1">IF(ROW()&lt;=Results!$C$1+1,IF(B38&lt;=0,"",LN(B38)),"")</f>
        <v>2.9790946324009679</v>
      </c>
      <c r="D38" s="1">
        <f ca="1">IF(ROW()&lt;=Results!$C$1+1,VLOOKUP($A38,Data!$A$2:$C$117,3,TRUE),"")</f>
        <v>20.53</v>
      </c>
      <c r="E38" s="14">
        <f ca="1">IF(ROW()&lt;=Results!$C$1+1,IF(D38&lt;=0,"",LN(D38)),"")</f>
        <v>3.0218872310308424</v>
      </c>
      <c r="F38" s="53">
        <f ca="1">IF(ROW()&lt;=Results!$C$1+1,IF(ISERROR(C38-E38),"",C38-E38),"")</f>
        <v>-4.2792598629874501E-2</v>
      </c>
    </row>
    <row r="39" spans="1:6" x14ac:dyDescent="0.2">
      <c r="A39" s="1">
        <f ca="1">IF(ROW()&lt;=Results!$C$1+1,INDEX(Data!$A:$A,CEILING((COUNTA(Data!$A:$A)-1)*RAND()+1,1)),"")</f>
        <v>1</v>
      </c>
      <c r="B39" s="1">
        <f ca="1">IF(ROW()&lt;=Results!$C$1+1,VLOOKUP($A39,Data!$A$2:$C$117,2,TRUE),"")</f>
        <v>19.670000000000002</v>
      </c>
      <c r="C39" s="14">
        <f ca="1">IF(ROW()&lt;=Results!$C$1+1,IF(B39&lt;=0,"",LN(B39)),"")</f>
        <v>2.9790946324009679</v>
      </c>
      <c r="D39" s="1">
        <f ca="1">IF(ROW()&lt;=Results!$C$1+1,VLOOKUP($A39,Data!$A$2:$C$117,3,TRUE),"")</f>
        <v>20.53</v>
      </c>
      <c r="E39" s="14">
        <f ca="1">IF(ROW()&lt;=Results!$C$1+1,IF(D39&lt;=0,"",LN(D39)),"")</f>
        <v>3.0218872310308424</v>
      </c>
      <c r="F39" s="53">
        <f ca="1">IF(ROW()&lt;=Results!$C$1+1,IF(ISERROR(C39-E39),"",C39-E39),"")</f>
        <v>-4.2792598629874501E-2</v>
      </c>
    </row>
    <row r="40" spans="1:6" x14ac:dyDescent="0.2">
      <c r="A40" s="1">
        <f ca="1">IF(ROW()&lt;=Results!$C$1+1,INDEX(Data!$A:$A,CEILING((COUNTA(Data!$A:$A)-1)*RAND()+1,1)),"")</f>
        <v>1</v>
      </c>
      <c r="B40" s="1">
        <f ca="1">IF(ROW()&lt;=Results!$C$1+1,VLOOKUP($A40,Data!$A$2:$C$117,2,TRUE),"")</f>
        <v>19.670000000000002</v>
      </c>
      <c r="C40" s="14">
        <f ca="1">IF(ROW()&lt;=Results!$C$1+1,IF(B40&lt;=0,"",LN(B40)),"")</f>
        <v>2.9790946324009679</v>
      </c>
      <c r="D40" s="1">
        <f ca="1">IF(ROW()&lt;=Results!$C$1+1,VLOOKUP($A40,Data!$A$2:$C$117,3,TRUE),"")</f>
        <v>20.53</v>
      </c>
      <c r="E40" s="14">
        <f ca="1">IF(ROW()&lt;=Results!$C$1+1,IF(D40&lt;=0,"",LN(D40)),"")</f>
        <v>3.0218872310308424</v>
      </c>
      <c r="F40" s="53">
        <f ca="1">IF(ROW()&lt;=Results!$C$1+1,IF(ISERROR(C40-E40),"",C40-E40),"")</f>
        <v>-4.2792598629874501E-2</v>
      </c>
    </row>
    <row r="41" spans="1:6" x14ac:dyDescent="0.2">
      <c r="A41" s="1">
        <f ca="1">IF(ROW()&lt;=Results!$C$1+1,INDEX(Data!$A:$A,CEILING((COUNTA(Data!$A:$A)-1)*RAND()+1,1)),"")</f>
        <v>1</v>
      </c>
      <c r="B41" s="1">
        <f ca="1">IF(ROW()&lt;=Results!$C$1+1,VLOOKUP($A41,Data!$A$2:$C$117,2,TRUE),"")</f>
        <v>19.670000000000002</v>
      </c>
      <c r="C41" s="14">
        <f ca="1">IF(ROW()&lt;=Results!$C$1+1,IF(B41&lt;=0,"",LN(B41)),"")</f>
        <v>2.9790946324009679</v>
      </c>
      <c r="D41" s="1">
        <f ca="1">IF(ROW()&lt;=Results!$C$1+1,VLOOKUP($A41,Data!$A$2:$C$117,3,TRUE),"")</f>
        <v>20.53</v>
      </c>
      <c r="E41" s="14">
        <f ca="1">IF(ROW()&lt;=Results!$C$1+1,IF(D41&lt;=0,"",LN(D41)),"")</f>
        <v>3.0218872310308424</v>
      </c>
      <c r="F41" s="53">
        <f ca="1">IF(ROW()&lt;=Results!$C$1+1,IF(ISERROR(C41-E41),"",C41-E41),"")</f>
        <v>-4.2792598629874501E-2</v>
      </c>
    </row>
    <row r="42" spans="1:6" x14ac:dyDescent="0.2">
      <c r="A42" s="1">
        <f ca="1">IF(ROW()&lt;=Results!$C$1+1,INDEX(Data!$A:$A,CEILING((COUNTA(Data!$A:$A)-1)*RAND()+1,1)),"")</f>
        <v>1</v>
      </c>
      <c r="B42" s="1">
        <f ca="1">IF(ROW()&lt;=Results!$C$1+1,VLOOKUP($A42,Data!$A$2:$C$117,2,TRUE),"")</f>
        <v>19.670000000000002</v>
      </c>
      <c r="C42" s="14">
        <f ca="1">IF(ROW()&lt;=Results!$C$1+1,IF(B42&lt;=0,"",LN(B42)),"")</f>
        <v>2.9790946324009679</v>
      </c>
      <c r="D42" s="1">
        <f ca="1">IF(ROW()&lt;=Results!$C$1+1,VLOOKUP($A42,Data!$A$2:$C$117,3,TRUE),"")</f>
        <v>20.53</v>
      </c>
      <c r="E42" s="14">
        <f ca="1">IF(ROW()&lt;=Results!$C$1+1,IF(D42&lt;=0,"",LN(D42)),"")</f>
        <v>3.0218872310308424</v>
      </c>
      <c r="F42" s="53">
        <f ca="1">IF(ROW()&lt;=Results!$C$1+1,IF(ISERROR(C42-E42),"",C42-E42),"")</f>
        <v>-4.2792598629874501E-2</v>
      </c>
    </row>
    <row r="43" spans="1:6" x14ac:dyDescent="0.2">
      <c r="A43" s="1">
        <f ca="1">IF(ROW()&lt;=Results!$C$1+1,INDEX(Data!$A:$A,CEILING((COUNTA(Data!$A:$A)-1)*RAND()+1,1)),"")</f>
        <v>2</v>
      </c>
      <c r="B43" s="1">
        <f ca="1">IF(ROW()&lt;=Results!$C$1+1,VLOOKUP($A43,Data!$A$2:$C$117,2,TRUE),"")</f>
        <v>20.09</v>
      </c>
      <c r="C43" s="14">
        <f ca="1">IF(ROW()&lt;=Results!$C$1+1,IF(B43&lt;=0,"",LN(B43)),"")</f>
        <v>3.0002221788268431</v>
      </c>
      <c r="D43" s="1">
        <f ca="1">IF(ROW()&lt;=Results!$C$1+1,VLOOKUP($A43,Data!$A$2:$C$117,3,TRUE),"")</f>
        <v>19.91</v>
      </c>
      <c r="E43" s="14">
        <f ca="1">IF(ROW()&lt;=Results!$C$1+1,IF(D43&lt;=0,"",LN(D43)),"")</f>
        <v>2.9912221180761049</v>
      </c>
      <c r="F43" s="53">
        <f ca="1">IF(ROW()&lt;=Results!$C$1+1,IF(ISERROR(C43-E43),"",C43-E43),"")</f>
        <v>9.0000607507381147E-3</v>
      </c>
    </row>
    <row r="44" spans="1:6" x14ac:dyDescent="0.2">
      <c r="A44" s="1">
        <f ca="1">IF(ROW()&lt;=Results!$C$1+1,INDEX(Data!$A:$A,CEILING((COUNTA(Data!$A:$A)-1)*RAND()+1,1)),"")</f>
        <v>2</v>
      </c>
      <c r="B44" s="1">
        <f ca="1">IF(ROW()&lt;=Results!$C$1+1,VLOOKUP($A44,Data!$A$2:$C$117,2,TRUE),"")</f>
        <v>20.09</v>
      </c>
      <c r="C44" s="14">
        <f ca="1">IF(ROW()&lt;=Results!$C$1+1,IF(B44&lt;=0,"",LN(B44)),"")</f>
        <v>3.0002221788268431</v>
      </c>
      <c r="D44" s="1">
        <f ca="1">IF(ROW()&lt;=Results!$C$1+1,VLOOKUP($A44,Data!$A$2:$C$117,3,TRUE),"")</f>
        <v>19.91</v>
      </c>
      <c r="E44" s="14">
        <f ca="1">IF(ROW()&lt;=Results!$C$1+1,IF(D44&lt;=0,"",LN(D44)),"")</f>
        <v>2.9912221180761049</v>
      </c>
      <c r="F44" s="53">
        <f ca="1">IF(ROW()&lt;=Results!$C$1+1,IF(ISERROR(C44-E44),"",C44-E44),"")</f>
        <v>9.0000607507381147E-3</v>
      </c>
    </row>
    <row r="45" spans="1:6" x14ac:dyDescent="0.2">
      <c r="A45" s="1">
        <f ca="1">IF(ROW()&lt;=Results!$C$1+1,INDEX(Data!$A:$A,CEILING((COUNTA(Data!$A:$A)-1)*RAND()+1,1)),"")</f>
        <v>1</v>
      </c>
      <c r="B45" s="1">
        <f ca="1">IF(ROW()&lt;=Results!$C$1+1,VLOOKUP($A45,Data!$A$2:$C$117,2,TRUE),"")</f>
        <v>19.670000000000002</v>
      </c>
      <c r="C45" s="14">
        <f ca="1">IF(ROW()&lt;=Results!$C$1+1,IF(B45&lt;=0,"",LN(B45)),"")</f>
        <v>2.9790946324009679</v>
      </c>
      <c r="D45" s="1">
        <f ca="1">IF(ROW()&lt;=Results!$C$1+1,VLOOKUP($A45,Data!$A$2:$C$117,3,TRUE),"")</f>
        <v>20.53</v>
      </c>
      <c r="E45" s="14">
        <f ca="1">IF(ROW()&lt;=Results!$C$1+1,IF(D45&lt;=0,"",LN(D45)),"")</f>
        <v>3.0218872310308424</v>
      </c>
      <c r="F45" s="53">
        <f ca="1">IF(ROW()&lt;=Results!$C$1+1,IF(ISERROR(C45-E45),"",C45-E45),"")</f>
        <v>-4.2792598629874501E-2</v>
      </c>
    </row>
    <row r="46" spans="1:6" x14ac:dyDescent="0.2">
      <c r="A46" s="1">
        <f ca="1">IF(ROW()&lt;=Results!$C$1+1,INDEX(Data!$A:$A,CEILING((COUNTA(Data!$A:$A)-1)*RAND()+1,1)),"")</f>
        <v>2</v>
      </c>
      <c r="B46" s="1">
        <f ca="1">IF(ROW()&lt;=Results!$C$1+1,VLOOKUP($A46,Data!$A$2:$C$117,2,TRUE),"")</f>
        <v>20.09</v>
      </c>
      <c r="C46" s="14">
        <f ca="1">IF(ROW()&lt;=Results!$C$1+1,IF(B46&lt;=0,"",LN(B46)),"")</f>
        <v>3.0002221788268431</v>
      </c>
      <c r="D46" s="1">
        <f ca="1">IF(ROW()&lt;=Results!$C$1+1,VLOOKUP($A46,Data!$A$2:$C$117,3,TRUE),"")</f>
        <v>19.91</v>
      </c>
      <c r="E46" s="14">
        <f ca="1">IF(ROW()&lt;=Results!$C$1+1,IF(D46&lt;=0,"",LN(D46)),"")</f>
        <v>2.9912221180761049</v>
      </c>
      <c r="F46" s="53">
        <f ca="1">IF(ROW()&lt;=Results!$C$1+1,IF(ISERROR(C46-E46),"",C46-E46),"")</f>
        <v>9.0000607507381147E-3</v>
      </c>
    </row>
    <row r="47" spans="1:6" x14ac:dyDescent="0.2">
      <c r="A47" s="1">
        <f ca="1">IF(ROW()&lt;=Results!$C$1+1,INDEX(Data!$A:$A,CEILING((COUNTA(Data!$A:$A)-1)*RAND()+1,1)),"")</f>
        <v>2</v>
      </c>
      <c r="B47" s="1">
        <f ca="1">IF(ROW()&lt;=Results!$C$1+1,VLOOKUP($A47,Data!$A$2:$C$117,2,TRUE),"")</f>
        <v>20.09</v>
      </c>
      <c r="C47" s="14">
        <f ca="1">IF(ROW()&lt;=Results!$C$1+1,IF(B47&lt;=0,"",LN(B47)),"")</f>
        <v>3.0002221788268431</v>
      </c>
      <c r="D47" s="1">
        <f ca="1">IF(ROW()&lt;=Results!$C$1+1,VLOOKUP($A47,Data!$A$2:$C$117,3,TRUE),"")</f>
        <v>19.91</v>
      </c>
      <c r="E47" s="14">
        <f ca="1">IF(ROW()&lt;=Results!$C$1+1,IF(D47&lt;=0,"",LN(D47)),"")</f>
        <v>2.9912221180761049</v>
      </c>
      <c r="F47" s="53">
        <f ca="1">IF(ROW()&lt;=Results!$C$1+1,IF(ISERROR(C47-E47),"",C47-E47),"")</f>
        <v>9.0000607507381147E-3</v>
      </c>
    </row>
    <row r="48" spans="1:6" x14ac:dyDescent="0.2">
      <c r="A48" s="1">
        <f ca="1">IF(ROW()&lt;=Results!$C$1+1,INDEX(Data!$A:$A,CEILING((COUNTA(Data!$A:$A)-1)*RAND()+1,1)),"")</f>
        <v>2</v>
      </c>
      <c r="B48" s="1">
        <f ca="1">IF(ROW()&lt;=Results!$C$1+1,VLOOKUP($A48,Data!$A$2:$C$117,2,TRUE),"")</f>
        <v>20.09</v>
      </c>
      <c r="C48" s="14">
        <f ca="1">IF(ROW()&lt;=Results!$C$1+1,IF(B48&lt;=0,"",LN(B48)),"")</f>
        <v>3.0002221788268431</v>
      </c>
      <c r="D48" s="1">
        <f ca="1">IF(ROW()&lt;=Results!$C$1+1,VLOOKUP($A48,Data!$A$2:$C$117,3,TRUE),"")</f>
        <v>19.91</v>
      </c>
      <c r="E48" s="14">
        <f ca="1">IF(ROW()&lt;=Results!$C$1+1,IF(D48&lt;=0,"",LN(D48)),"")</f>
        <v>2.9912221180761049</v>
      </c>
      <c r="F48" s="53">
        <f ca="1">IF(ROW()&lt;=Results!$C$1+1,IF(ISERROR(C48-E48),"",C48-E48),"")</f>
        <v>9.0000607507381147E-3</v>
      </c>
    </row>
    <row r="49" spans="1:6" x14ac:dyDescent="0.2">
      <c r="A49" s="1">
        <f ca="1">IF(ROW()&lt;=Results!$C$1+1,INDEX(Data!$A:$A,CEILING((COUNTA(Data!$A:$A)-1)*RAND()+1,1)),"")</f>
        <v>2</v>
      </c>
      <c r="B49" s="1">
        <f ca="1">IF(ROW()&lt;=Results!$C$1+1,VLOOKUP($A49,Data!$A$2:$C$117,2,TRUE),"")</f>
        <v>20.09</v>
      </c>
      <c r="C49" s="14">
        <f ca="1">IF(ROW()&lt;=Results!$C$1+1,IF(B49&lt;=0,"",LN(B49)),"")</f>
        <v>3.0002221788268431</v>
      </c>
      <c r="D49" s="1">
        <f ca="1">IF(ROW()&lt;=Results!$C$1+1,VLOOKUP($A49,Data!$A$2:$C$117,3,TRUE),"")</f>
        <v>19.91</v>
      </c>
      <c r="E49" s="14">
        <f ca="1">IF(ROW()&lt;=Results!$C$1+1,IF(D49&lt;=0,"",LN(D49)),"")</f>
        <v>2.9912221180761049</v>
      </c>
      <c r="F49" s="53">
        <f ca="1">IF(ROW()&lt;=Results!$C$1+1,IF(ISERROR(C49-E49),"",C49-E49),"")</f>
        <v>9.0000607507381147E-3</v>
      </c>
    </row>
    <row r="50" spans="1:6" x14ac:dyDescent="0.2">
      <c r="A50" s="1">
        <f ca="1">IF(ROW()&lt;=Results!$C$1+1,INDEX(Data!$A:$A,CEILING((COUNTA(Data!$A:$A)-1)*RAND()+1,1)),"")</f>
        <v>2</v>
      </c>
      <c r="B50" s="1">
        <f ca="1">IF(ROW()&lt;=Results!$C$1+1,VLOOKUP($A50,Data!$A$2:$C$117,2,TRUE),"")</f>
        <v>20.09</v>
      </c>
      <c r="C50" s="14">
        <f ca="1">IF(ROW()&lt;=Results!$C$1+1,IF(B50&lt;=0,"",LN(B50)),"")</f>
        <v>3.0002221788268431</v>
      </c>
      <c r="D50" s="1">
        <f ca="1">IF(ROW()&lt;=Results!$C$1+1,VLOOKUP($A50,Data!$A$2:$C$117,3,TRUE),"")</f>
        <v>19.91</v>
      </c>
      <c r="E50" s="14">
        <f ca="1">IF(ROW()&lt;=Results!$C$1+1,IF(D50&lt;=0,"",LN(D50)),"")</f>
        <v>2.9912221180761049</v>
      </c>
      <c r="F50" s="53">
        <f ca="1">IF(ROW()&lt;=Results!$C$1+1,IF(ISERROR(C50-E50),"",C50-E50),"")</f>
        <v>9.0000607507381147E-3</v>
      </c>
    </row>
    <row r="51" spans="1:6" x14ac:dyDescent="0.2">
      <c r="A51" s="1">
        <f ca="1">IF(ROW()&lt;=Results!$C$1+1,INDEX(Data!$A:$A,CEILING((COUNTA(Data!$A:$A)-1)*RAND()+1,1)),"")</f>
        <v>2</v>
      </c>
      <c r="B51" s="1">
        <f ca="1">IF(ROW()&lt;=Results!$C$1+1,VLOOKUP($A51,Data!$A$2:$C$117,2,TRUE),"")</f>
        <v>20.09</v>
      </c>
      <c r="C51" s="14">
        <f ca="1">IF(ROW()&lt;=Results!$C$1+1,IF(B51&lt;=0,"",LN(B51)),"")</f>
        <v>3.0002221788268431</v>
      </c>
      <c r="D51" s="1">
        <f ca="1">IF(ROW()&lt;=Results!$C$1+1,VLOOKUP($A51,Data!$A$2:$C$117,3,TRUE),"")</f>
        <v>19.91</v>
      </c>
      <c r="E51" s="14">
        <f ca="1">IF(ROW()&lt;=Results!$C$1+1,IF(D51&lt;=0,"",LN(D51)),"")</f>
        <v>2.9912221180761049</v>
      </c>
      <c r="F51" s="53">
        <f ca="1">IF(ROW()&lt;=Results!$C$1+1,IF(ISERROR(C51-E51),"",C51-E51),"")</f>
        <v>9.0000607507381147E-3</v>
      </c>
    </row>
    <row r="52" spans="1:6" x14ac:dyDescent="0.2">
      <c r="A52" s="1" t="str">
        <f ca="1">IF(ROW()&lt;=Results!$C$1+1,INDEX(Data!$A:$A,CEILING((COUNTA(Data!$A:$A)-1)*RAND()+1,1)),"")</f>
        <v/>
      </c>
      <c r="B52" s="1" t="str">
        <f>IF(ROW()&lt;=Results!$C$1+1,VLOOKUP($A52,Data!$A$2:$C$117,2,TRUE),"")</f>
        <v/>
      </c>
      <c r="C52" s="14" t="str">
        <f>IF(ROW()&lt;=Results!$C$1+1,IF(B52&lt;=0,"",LN(B52)),"")</f>
        <v/>
      </c>
      <c r="D52" s="1" t="str">
        <f>IF(ROW()&lt;=Results!$C$1+1,VLOOKUP($A52,Data!$A$2:$C$117,3,TRUE),"")</f>
        <v/>
      </c>
      <c r="E52" s="14" t="str">
        <f>IF(ROW()&lt;=Results!$C$1+1,IF(D52&lt;=0,"",LN(D52)),"")</f>
        <v/>
      </c>
      <c r="F52" s="53" t="str">
        <f>IF(ROW()&lt;=Results!$C$1+1,IF(ISERROR(C52-E52),"",C52-E52),"")</f>
        <v/>
      </c>
    </row>
    <row r="53" spans="1:6" x14ac:dyDescent="0.2">
      <c r="A53" s="1" t="str">
        <f ca="1">IF(ROW()&lt;=Results!$C$1+1,INDEX(Data!$A:$A,CEILING((COUNTA(Data!$A:$A)-1)*RAND()+1,1)),"")</f>
        <v/>
      </c>
      <c r="B53" s="1" t="str">
        <f>IF(ROW()&lt;=Results!$C$1+1,VLOOKUP($A53,Data!$A$2:$C$117,2,TRUE),"")</f>
        <v/>
      </c>
      <c r="C53" s="14" t="str">
        <f>IF(ROW()&lt;=Results!$C$1+1,IF(B53&lt;=0,"",LN(B53)),"")</f>
        <v/>
      </c>
      <c r="D53" s="1" t="str">
        <f>IF(ROW()&lt;=Results!$C$1+1,VLOOKUP($A53,Data!$A$2:$C$117,3,TRUE),"")</f>
        <v/>
      </c>
      <c r="E53" s="14" t="str">
        <f>IF(ROW()&lt;=Results!$C$1+1,IF(D53&lt;=0,"",LN(D53)),"")</f>
        <v/>
      </c>
      <c r="F53" s="53" t="str">
        <f>IF(ROW()&lt;=Results!$C$1+1,IF(ISERROR(C53-E53),"",C53-E53),"")</f>
        <v/>
      </c>
    </row>
    <row r="54" spans="1:6" x14ac:dyDescent="0.2">
      <c r="A54" s="1" t="str">
        <f ca="1">IF(ROW()&lt;=Results!$C$1+1,INDEX(Data!$A:$A,CEILING((COUNTA(Data!$A:$A)-1)*RAND()+1,1)),"")</f>
        <v/>
      </c>
      <c r="B54" s="1" t="str">
        <f>IF(ROW()&lt;=Results!$C$1+1,VLOOKUP($A54,Data!$A$2:$C$117,2,TRUE),"")</f>
        <v/>
      </c>
      <c r="C54" s="14" t="str">
        <f>IF(ROW()&lt;=Results!$C$1+1,IF(B54&lt;=0,"",LN(B54)),"")</f>
        <v/>
      </c>
      <c r="D54" s="1" t="str">
        <f>IF(ROW()&lt;=Results!$C$1+1,VLOOKUP($A54,Data!$A$2:$C$117,3,TRUE),"")</f>
        <v/>
      </c>
      <c r="E54" s="14" t="str">
        <f>IF(ROW()&lt;=Results!$C$1+1,IF(D54&lt;=0,"",LN(D54)),"")</f>
        <v/>
      </c>
      <c r="F54" s="53" t="str">
        <f>IF(ROW()&lt;=Results!$C$1+1,IF(ISERROR(C54-E54),"",C54-E54),"")</f>
        <v/>
      </c>
    </row>
    <row r="55" spans="1:6" x14ac:dyDescent="0.2">
      <c r="A55" s="1" t="str">
        <f ca="1">IF(ROW()&lt;=Results!$C$1+1,INDEX(Data!$A:$A,CEILING((COUNTA(Data!$A:$A)-1)*RAND()+1,1)),"")</f>
        <v/>
      </c>
      <c r="B55" s="1" t="str">
        <f>IF(ROW()&lt;=Results!$C$1+1,VLOOKUP($A55,Data!$A$2:$C$117,2,TRUE),"")</f>
        <v/>
      </c>
      <c r="C55" s="14" t="str">
        <f>IF(ROW()&lt;=Results!$C$1+1,IF(B55&lt;=0,"",LN(B55)),"")</f>
        <v/>
      </c>
      <c r="D55" s="1" t="str">
        <f>IF(ROW()&lt;=Results!$C$1+1,VLOOKUP($A55,Data!$A$2:$C$117,3,TRUE),"")</f>
        <v/>
      </c>
      <c r="E55" s="14" t="str">
        <f>IF(ROW()&lt;=Results!$C$1+1,IF(D55&lt;=0,"",LN(D55)),"")</f>
        <v/>
      </c>
      <c r="F55" s="53" t="str">
        <f>IF(ROW()&lt;=Results!$C$1+1,IF(ISERROR(C55-E55),"",C55-E55),"")</f>
        <v/>
      </c>
    </row>
    <row r="56" spans="1:6" x14ac:dyDescent="0.2">
      <c r="A56" s="1" t="str">
        <f ca="1">IF(ROW()&lt;=Results!$C$1+1,INDEX(Data!$A:$A,CEILING((COUNTA(Data!$A:$A)-1)*RAND()+1,1)),"")</f>
        <v/>
      </c>
      <c r="B56" s="1" t="str">
        <f>IF(ROW()&lt;=Results!$C$1+1,VLOOKUP($A56,Data!$A$2:$C$117,2,TRUE),"")</f>
        <v/>
      </c>
      <c r="C56" s="14" t="str">
        <f>IF(ROW()&lt;=Results!$C$1+1,IF(B56&lt;=0,"",LN(B56)),"")</f>
        <v/>
      </c>
      <c r="D56" s="1" t="str">
        <f>IF(ROW()&lt;=Results!$C$1+1,VLOOKUP($A56,Data!$A$2:$C$117,3,TRUE),"")</f>
        <v/>
      </c>
      <c r="E56" s="14" t="str">
        <f>IF(ROW()&lt;=Results!$C$1+1,IF(D56&lt;=0,"",LN(D56)),"")</f>
        <v/>
      </c>
      <c r="F56" s="53" t="str">
        <f>IF(ROW()&lt;=Results!$C$1+1,IF(ISERROR(C56-E56),"",C56-E56),"")</f>
        <v/>
      </c>
    </row>
    <row r="57" spans="1:6" x14ac:dyDescent="0.2">
      <c r="A57" s="1" t="str">
        <f ca="1">IF(ROW()&lt;=Results!$C$1+1,INDEX(Data!$A:$A,CEILING((COUNTA(Data!$A:$A)-1)*RAND()+1,1)),"")</f>
        <v/>
      </c>
      <c r="B57" s="1" t="str">
        <f>IF(ROW()&lt;=Results!$C$1+1,VLOOKUP($A57,Data!$A$2:$C$117,2,TRUE),"")</f>
        <v/>
      </c>
      <c r="C57" s="14" t="str">
        <f>IF(ROW()&lt;=Results!$C$1+1,IF(B57&lt;=0,"",LN(B57)),"")</f>
        <v/>
      </c>
      <c r="D57" s="1" t="str">
        <f>IF(ROW()&lt;=Results!$C$1+1,VLOOKUP($A57,Data!$A$2:$C$117,3,TRUE),"")</f>
        <v/>
      </c>
      <c r="E57" s="14" t="str">
        <f>IF(ROW()&lt;=Results!$C$1+1,IF(D57&lt;=0,"",LN(D57)),"")</f>
        <v/>
      </c>
      <c r="F57" s="53" t="str">
        <f>IF(ROW()&lt;=Results!$C$1+1,IF(ISERROR(C57-E57),"",C57-E57),"")</f>
        <v/>
      </c>
    </row>
    <row r="58" spans="1:6" x14ac:dyDescent="0.2">
      <c r="A58" s="1" t="str">
        <f ca="1">IF(ROW()&lt;=Results!$C$1+1,INDEX(Data!$A:$A,CEILING((COUNTA(Data!$A:$A)-1)*RAND()+1,1)),"")</f>
        <v/>
      </c>
      <c r="B58" s="1" t="str">
        <f>IF(ROW()&lt;=Results!$C$1+1,VLOOKUP($A58,Data!$A$2:$C$117,2,TRUE),"")</f>
        <v/>
      </c>
      <c r="C58" s="14" t="str">
        <f>IF(ROW()&lt;=Results!$C$1+1,IF(B58&lt;=0,"",LN(B58)),"")</f>
        <v/>
      </c>
      <c r="D58" s="1" t="str">
        <f>IF(ROW()&lt;=Results!$C$1+1,VLOOKUP($A58,Data!$A$2:$C$117,3,TRUE),"")</f>
        <v/>
      </c>
      <c r="E58" s="14" t="str">
        <f>IF(ROW()&lt;=Results!$C$1+1,IF(D58&lt;=0,"",LN(D58)),"")</f>
        <v/>
      </c>
      <c r="F58" s="53" t="str">
        <f>IF(ROW()&lt;=Results!$C$1+1,IF(ISERROR(C58-E58),"",C58-E58),"")</f>
        <v/>
      </c>
    </row>
    <row r="59" spans="1:6" x14ac:dyDescent="0.2">
      <c r="A59" s="1" t="str">
        <f ca="1">IF(ROW()&lt;=Results!$C$1+1,INDEX(Data!$A:$A,CEILING((COUNTA(Data!$A:$A)-1)*RAND()+1,1)),"")</f>
        <v/>
      </c>
      <c r="B59" s="1" t="str">
        <f>IF(ROW()&lt;=Results!$C$1+1,VLOOKUP($A59,Data!$A$2:$C$117,2,TRUE),"")</f>
        <v/>
      </c>
      <c r="C59" s="14" t="str">
        <f>IF(ROW()&lt;=Results!$C$1+1,IF(B59&lt;=0,"",LN(B59)),"")</f>
        <v/>
      </c>
      <c r="D59" s="1" t="str">
        <f>IF(ROW()&lt;=Results!$C$1+1,VLOOKUP($A59,Data!$A$2:$C$117,3,TRUE),"")</f>
        <v/>
      </c>
      <c r="E59" s="14" t="str">
        <f>IF(ROW()&lt;=Results!$C$1+1,IF(D59&lt;=0,"",LN(D59)),"")</f>
        <v/>
      </c>
      <c r="F59" s="53" t="str">
        <f>IF(ROW()&lt;=Results!$C$1+1,IF(ISERROR(C59-E59),"",C59-E59),"")</f>
        <v/>
      </c>
    </row>
    <row r="60" spans="1:6" x14ac:dyDescent="0.2">
      <c r="A60" s="1" t="str">
        <f ca="1">IF(ROW()&lt;=Results!$C$1+1,INDEX(Data!$A:$A,CEILING((COUNTA(Data!$A:$A)-1)*RAND()+1,1)),"")</f>
        <v/>
      </c>
      <c r="B60" s="1" t="str">
        <f>IF(ROW()&lt;=Results!$C$1+1,VLOOKUP($A60,Data!$A$2:$C$117,2,TRUE),"")</f>
        <v/>
      </c>
      <c r="C60" s="14" t="str">
        <f>IF(ROW()&lt;=Results!$C$1+1,IF(B60&lt;=0,"",LN(B60)),"")</f>
        <v/>
      </c>
      <c r="D60" s="1" t="str">
        <f>IF(ROW()&lt;=Results!$C$1+1,VLOOKUP($A60,Data!$A$2:$C$117,3,TRUE),"")</f>
        <v/>
      </c>
      <c r="E60" s="14" t="str">
        <f>IF(ROW()&lt;=Results!$C$1+1,IF(D60&lt;=0,"",LN(D60)),"")</f>
        <v/>
      </c>
      <c r="F60" s="53" t="str">
        <f>IF(ROW()&lt;=Results!$C$1+1,IF(ISERROR(C60-E60),"",C60-E60),"")</f>
        <v/>
      </c>
    </row>
    <row r="61" spans="1:6" x14ac:dyDescent="0.2">
      <c r="A61" s="1" t="str">
        <f ca="1">IF(ROW()&lt;=Results!$C$1+1,INDEX(Data!$A:$A,CEILING((COUNTA(Data!$A:$A)-1)*RAND()+1,1)),"")</f>
        <v/>
      </c>
      <c r="B61" s="1" t="str">
        <f>IF(ROW()&lt;=Results!$C$1+1,VLOOKUP($A61,Data!$A$2:$C$117,2,TRUE),"")</f>
        <v/>
      </c>
      <c r="C61" s="14" t="str">
        <f>IF(ROW()&lt;=Results!$C$1+1,IF(B61&lt;=0,"",LN(B61)),"")</f>
        <v/>
      </c>
      <c r="D61" s="1" t="str">
        <f>IF(ROW()&lt;=Results!$C$1+1,VLOOKUP($A61,Data!$A$2:$C$117,3,TRUE),"")</f>
        <v/>
      </c>
      <c r="E61" s="14" t="str">
        <f>IF(ROW()&lt;=Results!$C$1+1,IF(D61&lt;=0,"",LN(D61)),"")</f>
        <v/>
      </c>
      <c r="F61" s="53" t="str">
        <f>IF(ROW()&lt;=Results!$C$1+1,IF(ISERROR(C61-E61),"",C61-E61),"")</f>
        <v/>
      </c>
    </row>
    <row r="62" spans="1:6" x14ac:dyDescent="0.2">
      <c r="A62" s="1" t="str">
        <f ca="1">IF(ROW()&lt;=Results!$C$1+1,INDEX(Data!$A:$A,CEILING((COUNTA(Data!$A:$A)-1)*RAND()+1,1)),"")</f>
        <v/>
      </c>
      <c r="B62" s="1" t="str">
        <f>IF(ROW()&lt;=Results!$C$1+1,VLOOKUP($A62,Data!$A$2:$C$117,2,TRUE),"")</f>
        <v/>
      </c>
      <c r="C62" s="14" t="str">
        <f>IF(ROW()&lt;=Results!$C$1+1,IF(B62&lt;=0,"",LN(B62)),"")</f>
        <v/>
      </c>
      <c r="D62" s="1" t="str">
        <f>IF(ROW()&lt;=Results!$C$1+1,VLOOKUP($A62,Data!$A$2:$C$117,3,TRUE),"")</f>
        <v/>
      </c>
      <c r="E62" s="14" t="str">
        <f>IF(ROW()&lt;=Results!$C$1+1,IF(D62&lt;=0,"",LN(D62)),"")</f>
        <v/>
      </c>
      <c r="F62" s="53" t="str">
        <f>IF(ROW()&lt;=Results!$C$1+1,IF(ISERROR(C62-E62),"",C62-E62),"")</f>
        <v/>
      </c>
    </row>
    <row r="63" spans="1:6" x14ac:dyDescent="0.2">
      <c r="A63" s="1" t="str">
        <f ca="1">IF(ROW()&lt;=Results!$C$1+1,INDEX(Data!$A:$A,CEILING((COUNTA(Data!$A:$A)-1)*RAND()+1,1)),"")</f>
        <v/>
      </c>
      <c r="B63" s="1" t="str">
        <f>IF(ROW()&lt;=Results!$C$1+1,VLOOKUP($A63,Data!$A$2:$C$117,2,TRUE),"")</f>
        <v/>
      </c>
      <c r="C63" s="14" t="str">
        <f>IF(ROW()&lt;=Results!$C$1+1,IF(B63&lt;=0,"",LN(B63)),"")</f>
        <v/>
      </c>
      <c r="D63" s="1" t="str">
        <f>IF(ROW()&lt;=Results!$C$1+1,VLOOKUP($A63,Data!$A$2:$C$117,3,TRUE),"")</f>
        <v/>
      </c>
      <c r="E63" s="14" t="str">
        <f>IF(ROW()&lt;=Results!$C$1+1,IF(D63&lt;=0,"",LN(D63)),"")</f>
        <v/>
      </c>
      <c r="F63" s="53" t="str">
        <f>IF(ROW()&lt;=Results!$C$1+1,IF(ISERROR(C63-E63),"",C63-E63),"")</f>
        <v/>
      </c>
    </row>
    <row r="64" spans="1:6" x14ac:dyDescent="0.2">
      <c r="A64" s="1" t="str">
        <f ca="1">IF(ROW()&lt;=Results!$C$1+1,INDEX(Data!$A:$A,CEILING((COUNTA(Data!$A:$A)-1)*RAND()+1,1)),"")</f>
        <v/>
      </c>
      <c r="B64" s="1" t="str">
        <f>IF(ROW()&lt;=Results!$C$1+1,VLOOKUP($A64,Data!$A$2:$C$117,2,TRUE),"")</f>
        <v/>
      </c>
      <c r="C64" s="14" t="str">
        <f>IF(ROW()&lt;=Results!$C$1+1,IF(B64&lt;=0,"",LN(B64)),"")</f>
        <v/>
      </c>
      <c r="D64" s="1" t="str">
        <f>IF(ROW()&lt;=Results!$C$1+1,VLOOKUP($A64,Data!$A$2:$C$117,3,TRUE),"")</f>
        <v/>
      </c>
      <c r="E64" s="14" t="str">
        <f>IF(ROW()&lt;=Results!$C$1+1,IF(D64&lt;=0,"",LN(D64)),"")</f>
        <v/>
      </c>
      <c r="F64" s="53" t="str">
        <f>IF(ROW()&lt;=Results!$C$1+1,IF(ISERROR(C64-E64),"",C64-E64),"")</f>
        <v/>
      </c>
    </row>
    <row r="65" spans="1:6" x14ac:dyDescent="0.2">
      <c r="A65" s="1" t="str">
        <f ca="1">IF(ROW()&lt;=Results!$C$1+1,INDEX(Data!$A:$A,CEILING((COUNTA(Data!$A:$A)-1)*RAND()+1,1)),"")</f>
        <v/>
      </c>
      <c r="B65" s="1" t="str">
        <f>IF(ROW()&lt;=Results!$C$1+1,VLOOKUP($A65,Data!$A$2:$C$117,2,TRUE),"")</f>
        <v/>
      </c>
      <c r="C65" s="14" t="str">
        <f>IF(ROW()&lt;=Results!$C$1+1,IF(B65&lt;=0,"",LN(B65)),"")</f>
        <v/>
      </c>
      <c r="D65" s="1" t="str">
        <f>IF(ROW()&lt;=Results!$C$1+1,VLOOKUP($A65,Data!$A$2:$C$117,3,TRUE),"")</f>
        <v/>
      </c>
      <c r="E65" s="14" t="str">
        <f>IF(ROW()&lt;=Results!$C$1+1,IF(D65&lt;=0,"",LN(D65)),"")</f>
        <v/>
      </c>
      <c r="F65" s="53" t="str">
        <f>IF(ROW()&lt;=Results!$C$1+1,IF(ISERROR(C65-E65),"",C65-E65),"")</f>
        <v/>
      </c>
    </row>
    <row r="66" spans="1:6" x14ac:dyDescent="0.2">
      <c r="A66" s="1" t="str">
        <f ca="1">IF(ROW()&lt;=Results!$C$1+1,INDEX(Data!$A:$A,CEILING((COUNTA(Data!$A:$A)-1)*RAND()+1,1)),"")</f>
        <v/>
      </c>
      <c r="B66" s="1" t="str">
        <f>IF(ROW()&lt;=Results!$C$1+1,VLOOKUP($A66,Data!$A$2:$C$117,2,TRUE),"")</f>
        <v/>
      </c>
      <c r="C66" s="14" t="str">
        <f>IF(ROW()&lt;=Results!$C$1+1,IF(B66&lt;=0,"",LN(B66)),"")</f>
        <v/>
      </c>
      <c r="D66" s="1" t="str">
        <f>IF(ROW()&lt;=Results!$C$1+1,VLOOKUP($A66,Data!$A$2:$C$117,3,TRUE),"")</f>
        <v/>
      </c>
      <c r="E66" s="14" t="str">
        <f>IF(ROW()&lt;=Results!$C$1+1,IF(D66&lt;=0,"",LN(D66)),"")</f>
        <v/>
      </c>
      <c r="F66" s="53" t="str">
        <f>IF(ROW()&lt;=Results!$C$1+1,IF(ISERROR(C66-E66),"",C66-E66),"")</f>
        <v/>
      </c>
    </row>
    <row r="67" spans="1:6" x14ac:dyDescent="0.2">
      <c r="A67" s="1" t="str">
        <f ca="1">IF(ROW()&lt;=Results!$C$1+1,INDEX(Data!$A:$A,CEILING((COUNTA(Data!$A:$A)-1)*RAND()+1,1)),"")</f>
        <v/>
      </c>
      <c r="B67" s="1" t="str">
        <f>IF(ROW()&lt;=Results!$C$1+1,VLOOKUP($A67,Data!$A$2:$C$117,2,TRUE),"")</f>
        <v/>
      </c>
      <c r="C67" s="14" t="str">
        <f>IF(ROW()&lt;=Results!$C$1+1,IF(B67&lt;=0,"",LN(B67)),"")</f>
        <v/>
      </c>
      <c r="D67" s="1" t="str">
        <f>IF(ROW()&lt;=Results!$C$1+1,VLOOKUP($A67,Data!$A$2:$C$117,3,TRUE),"")</f>
        <v/>
      </c>
      <c r="E67" s="14" t="str">
        <f>IF(ROW()&lt;=Results!$C$1+1,IF(D67&lt;=0,"",LN(D67)),"")</f>
        <v/>
      </c>
      <c r="F67" s="53" t="str">
        <f>IF(ROW()&lt;=Results!$C$1+1,IF(ISERROR(C67-E67),"",C67-E67),"")</f>
        <v/>
      </c>
    </row>
    <row r="68" spans="1:6" x14ac:dyDescent="0.2">
      <c r="A68" s="1" t="str">
        <f ca="1">IF(ROW()&lt;=Results!$C$1+1,INDEX(Data!$A:$A,CEILING((COUNTA(Data!$A:$A)-1)*RAND()+1,1)),"")</f>
        <v/>
      </c>
      <c r="B68" s="1" t="str">
        <f>IF(ROW()&lt;=Results!$C$1+1,VLOOKUP($A68,Data!$A$2:$C$117,2,TRUE),"")</f>
        <v/>
      </c>
      <c r="C68" s="14" t="str">
        <f>IF(ROW()&lt;=Results!$C$1+1,IF(B68&lt;=0,"",LN(B68)),"")</f>
        <v/>
      </c>
      <c r="D68" s="1" t="str">
        <f>IF(ROW()&lt;=Results!$C$1+1,VLOOKUP($A68,Data!$A$2:$C$117,3,TRUE),"")</f>
        <v/>
      </c>
      <c r="E68" s="14" t="str">
        <f>IF(ROW()&lt;=Results!$C$1+1,IF(D68&lt;=0,"",LN(D68)),"")</f>
        <v/>
      </c>
      <c r="F68" s="53" t="str">
        <f>IF(ROW()&lt;=Results!$C$1+1,IF(ISERROR(C68-E68),"",C68-E68),"")</f>
        <v/>
      </c>
    </row>
    <row r="69" spans="1:6" x14ac:dyDescent="0.2">
      <c r="A69" s="1" t="str">
        <f ca="1">IF(ROW()&lt;=Results!$C$1+1,INDEX(Data!$A:$A,CEILING((COUNTA(Data!$A:$A)-1)*RAND()+1,1)),"")</f>
        <v/>
      </c>
      <c r="B69" s="1" t="str">
        <f>IF(ROW()&lt;=Results!$C$1+1,VLOOKUP($A69,Data!$A$2:$C$117,2,TRUE),"")</f>
        <v/>
      </c>
      <c r="C69" s="14" t="str">
        <f>IF(ROW()&lt;=Results!$C$1+1,IF(B69&lt;=0,"",LN(B69)),"")</f>
        <v/>
      </c>
      <c r="D69" s="1" t="str">
        <f>IF(ROW()&lt;=Results!$C$1+1,VLOOKUP($A69,Data!$A$2:$C$117,3,TRUE),"")</f>
        <v/>
      </c>
      <c r="E69" s="14" t="str">
        <f>IF(ROW()&lt;=Results!$C$1+1,IF(D69&lt;=0,"",LN(D69)),"")</f>
        <v/>
      </c>
      <c r="F69" s="53" t="str">
        <f>IF(ROW()&lt;=Results!$C$1+1,IF(ISERROR(C69-E69),"",C69-E69),"")</f>
        <v/>
      </c>
    </row>
    <row r="70" spans="1:6" x14ac:dyDescent="0.2">
      <c r="A70" s="1" t="str">
        <f ca="1">IF(ROW()&lt;=Results!$C$1+1,INDEX(Data!$A:$A,CEILING((COUNTA(Data!$A:$A)-1)*RAND()+1,1)),"")</f>
        <v/>
      </c>
      <c r="B70" s="1" t="str">
        <f>IF(ROW()&lt;=Results!$C$1+1,VLOOKUP($A70,Data!$A$2:$C$117,2,TRUE),"")</f>
        <v/>
      </c>
      <c r="C70" s="14" t="str">
        <f>IF(ROW()&lt;=Results!$C$1+1,IF(B70&lt;=0,"",LN(B70)),"")</f>
        <v/>
      </c>
      <c r="D70" s="1" t="str">
        <f>IF(ROW()&lt;=Results!$C$1+1,VLOOKUP($A70,Data!$A$2:$C$117,3,TRUE),"")</f>
        <v/>
      </c>
      <c r="E70" s="14" t="str">
        <f>IF(ROW()&lt;=Results!$C$1+1,IF(D70&lt;=0,"",LN(D70)),"")</f>
        <v/>
      </c>
      <c r="F70" s="53" t="str">
        <f>IF(ROW()&lt;=Results!$C$1+1,IF(ISERROR(C70-E70),"",C70-E70),"")</f>
        <v/>
      </c>
    </row>
    <row r="71" spans="1:6" x14ac:dyDescent="0.2">
      <c r="A71" s="1" t="str">
        <f ca="1">IF(ROW()&lt;=Results!$C$1+1,INDEX(Data!$A:$A,CEILING((COUNTA(Data!$A:$A)-1)*RAND()+1,1)),"")</f>
        <v/>
      </c>
      <c r="B71" s="1" t="str">
        <f>IF(ROW()&lt;=Results!$C$1+1,VLOOKUP($A71,Data!$A$2:$C$117,2,TRUE),"")</f>
        <v/>
      </c>
      <c r="C71" s="14" t="str">
        <f>IF(ROW()&lt;=Results!$C$1+1,IF(B71&lt;=0,"",LN(B71)),"")</f>
        <v/>
      </c>
      <c r="D71" s="1" t="str">
        <f>IF(ROW()&lt;=Results!$C$1+1,VLOOKUP($A71,Data!$A$2:$C$117,3,TRUE),"")</f>
        <v/>
      </c>
      <c r="E71" s="14" t="str">
        <f>IF(ROW()&lt;=Results!$C$1+1,IF(D71&lt;=0,"",LN(D71)),"")</f>
        <v/>
      </c>
      <c r="F71" s="53" t="str">
        <f>IF(ROW()&lt;=Results!$C$1+1,IF(ISERROR(C71-E71),"",C71-E71),"")</f>
        <v/>
      </c>
    </row>
    <row r="72" spans="1:6" x14ac:dyDescent="0.2">
      <c r="A72" s="1" t="str">
        <f ca="1">IF(ROW()&lt;=Results!$C$1+1,INDEX(Data!$A:$A,CEILING((COUNTA(Data!$A:$A)-1)*RAND()+1,1)),"")</f>
        <v/>
      </c>
      <c r="B72" s="1" t="str">
        <f>IF(ROW()&lt;=Results!$C$1+1,VLOOKUP($A72,Data!$A$2:$C$117,2,TRUE),"")</f>
        <v/>
      </c>
      <c r="C72" s="14" t="str">
        <f>IF(ROW()&lt;=Results!$C$1+1,IF(B72&lt;=0,"",LN(B72)),"")</f>
        <v/>
      </c>
      <c r="D72" s="1" t="str">
        <f>IF(ROW()&lt;=Results!$C$1+1,VLOOKUP($A72,Data!$A$2:$C$117,3,TRUE),"")</f>
        <v/>
      </c>
      <c r="E72" s="14" t="str">
        <f>IF(ROW()&lt;=Results!$C$1+1,IF(D72&lt;=0,"",LN(D72)),"")</f>
        <v/>
      </c>
      <c r="F72" s="53" t="str">
        <f>IF(ROW()&lt;=Results!$C$1+1,IF(ISERROR(C72-E72),"",C72-E72),"")</f>
        <v/>
      </c>
    </row>
    <row r="73" spans="1:6" x14ac:dyDescent="0.2">
      <c r="A73" s="1" t="str">
        <f ca="1">IF(ROW()&lt;=Results!$C$1+1,INDEX(Data!$A:$A,CEILING((COUNTA(Data!$A:$A)-1)*RAND()+1,1)),"")</f>
        <v/>
      </c>
      <c r="B73" s="1" t="str">
        <f>IF(ROW()&lt;=Results!$C$1+1,VLOOKUP($A73,Data!$A$2:$C$117,2,TRUE),"")</f>
        <v/>
      </c>
      <c r="C73" s="14" t="str">
        <f>IF(ROW()&lt;=Results!$C$1+1,IF(B73&lt;=0,"",LN(B73)),"")</f>
        <v/>
      </c>
      <c r="D73" s="1" t="str">
        <f>IF(ROW()&lt;=Results!$C$1+1,VLOOKUP($A73,Data!$A$2:$C$117,3,TRUE),"")</f>
        <v/>
      </c>
      <c r="E73" s="14" t="str">
        <f>IF(ROW()&lt;=Results!$C$1+1,IF(D73&lt;=0,"",LN(D73)),"")</f>
        <v/>
      </c>
      <c r="F73" s="53" t="str">
        <f>IF(ROW()&lt;=Results!$C$1+1,IF(ISERROR(C73-E73),"",C73-E73),"")</f>
        <v/>
      </c>
    </row>
    <row r="74" spans="1:6" x14ac:dyDescent="0.2">
      <c r="A74" s="1" t="str">
        <f ca="1">IF(ROW()&lt;=Results!$C$1+1,INDEX(Data!$A:$A,CEILING((COUNTA(Data!$A:$A)-1)*RAND()+1,1)),"")</f>
        <v/>
      </c>
      <c r="B74" s="1" t="str">
        <f>IF(ROW()&lt;=Results!$C$1+1,VLOOKUP($A74,Data!$A$2:$C$117,2,TRUE),"")</f>
        <v/>
      </c>
      <c r="C74" s="14" t="str">
        <f>IF(ROW()&lt;=Results!$C$1+1,IF(B74&lt;=0,"",LN(B74)),"")</f>
        <v/>
      </c>
      <c r="D74" s="1" t="str">
        <f>IF(ROW()&lt;=Results!$C$1+1,VLOOKUP($A74,Data!$A$2:$C$117,3,TRUE),"")</f>
        <v/>
      </c>
      <c r="E74" s="14" t="str">
        <f>IF(ROW()&lt;=Results!$C$1+1,IF(D74&lt;=0,"",LN(D74)),"")</f>
        <v/>
      </c>
      <c r="F74" s="53" t="str">
        <f>IF(ROW()&lt;=Results!$C$1+1,IF(ISERROR(C74-E74),"",C74-E74),"")</f>
        <v/>
      </c>
    </row>
    <row r="75" spans="1:6" x14ac:dyDescent="0.2">
      <c r="A75" s="1" t="str">
        <f ca="1">IF(ROW()&lt;=Results!$C$1+1,INDEX(Data!$A:$A,CEILING((COUNTA(Data!$A:$A)-1)*RAND()+1,1)),"")</f>
        <v/>
      </c>
      <c r="B75" s="1" t="str">
        <f>IF(ROW()&lt;=Results!$C$1+1,VLOOKUP($A75,Data!$A$2:$C$117,2,TRUE),"")</f>
        <v/>
      </c>
      <c r="C75" s="14" t="str">
        <f>IF(ROW()&lt;=Results!$C$1+1,IF(B75&lt;=0,"",LN(B75)),"")</f>
        <v/>
      </c>
      <c r="D75" s="1" t="str">
        <f>IF(ROW()&lt;=Results!$C$1+1,VLOOKUP($A75,Data!$A$2:$C$117,3,TRUE),"")</f>
        <v/>
      </c>
      <c r="E75" s="14" t="str">
        <f>IF(ROW()&lt;=Results!$C$1+1,IF(D75&lt;=0,"",LN(D75)),"")</f>
        <v/>
      </c>
      <c r="F75" s="53" t="str">
        <f>IF(ROW()&lt;=Results!$C$1+1,IF(ISERROR(C75-E75),"",C75-E75),"")</f>
        <v/>
      </c>
    </row>
    <row r="76" spans="1:6" x14ac:dyDescent="0.2">
      <c r="A76" s="1" t="str">
        <f ca="1">IF(ROW()&lt;=Results!$C$1+1,INDEX(Data!$A:$A,CEILING((COUNTA(Data!$A:$A)-1)*RAND()+1,1)),"")</f>
        <v/>
      </c>
      <c r="B76" s="1" t="str">
        <f>IF(ROW()&lt;=Results!$C$1+1,VLOOKUP($A76,Data!$A$2:$C$117,2,TRUE),"")</f>
        <v/>
      </c>
      <c r="C76" s="14" t="str">
        <f>IF(ROW()&lt;=Results!$C$1+1,IF(B76&lt;=0,"",LN(B76)),"")</f>
        <v/>
      </c>
      <c r="D76" s="1" t="str">
        <f>IF(ROW()&lt;=Results!$C$1+1,VLOOKUP($A76,Data!$A$2:$C$117,3,TRUE),"")</f>
        <v/>
      </c>
      <c r="E76" s="14" t="str">
        <f>IF(ROW()&lt;=Results!$C$1+1,IF(D76&lt;=0,"",LN(D76)),"")</f>
        <v/>
      </c>
      <c r="F76" s="53" t="str">
        <f>IF(ROW()&lt;=Results!$C$1+1,IF(ISERROR(C76-E76),"",C76-E76),"")</f>
        <v/>
      </c>
    </row>
    <row r="77" spans="1:6" x14ac:dyDescent="0.2">
      <c r="A77" s="1" t="str">
        <f ca="1">IF(ROW()&lt;=Results!$C$1+1,INDEX(Data!$A:$A,CEILING((COUNTA(Data!$A:$A)-1)*RAND()+1,1)),"")</f>
        <v/>
      </c>
      <c r="B77" s="1" t="str">
        <f>IF(ROW()&lt;=Results!$C$1+1,VLOOKUP($A77,Data!$A$2:$C$117,2,TRUE),"")</f>
        <v/>
      </c>
      <c r="C77" s="14" t="str">
        <f>IF(ROW()&lt;=Results!$C$1+1,IF(B77&lt;=0,"",LN(B77)),"")</f>
        <v/>
      </c>
      <c r="D77" s="1" t="str">
        <f>IF(ROW()&lt;=Results!$C$1+1,VLOOKUP($A77,Data!$A$2:$C$117,3,TRUE),"")</f>
        <v/>
      </c>
      <c r="E77" s="14" t="str">
        <f>IF(ROW()&lt;=Results!$C$1+1,IF(D77&lt;=0,"",LN(D77)),"")</f>
        <v/>
      </c>
      <c r="F77" s="53" t="str">
        <f>IF(ROW()&lt;=Results!$C$1+1,IF(ISERROR(C77-E77),"",C77-E77),"")</f>
        <v/>
      </c>
    </row>
    <row r="78" spans="1:6" x14ac:dyDescent="0.2">
      <c r="A78" s="1" t="str">
        <f ca="1">IF(ROW()&lt;=Results!$C$1+1,INDEX(Data!$A:$A,CEILING((COUNTA(Data!$A:$A)-1)*RAND()+1,1)),"")</f>
        <v/>
      </c>
      <c r="B78" s="1" t="str">
        <f>IF(ROW()&lt;=Results!$C$1+1,VLOOKUP($A78,Data!$A$2:$C$117,2,TRUE),"")</f>
        <v/>
      </c>
      <c r="C78" s="14" t="str">
        <f>IF(ROW()&lt;=Results!$C$1+1,IF(B78&lt;=0,"",LN(B78)),"")</f>
        <v/>
      </c>
      <c r="D78" s="1" t="str">
        <f>IF(ROW()&lt;=Results!$C$1+1,VLOOKUP($A78,Data!$A$2:$C$117,3,TRUE),"")</f>
        <v/>
      </c>
      <c r="E78" s="14" t="str">
        <f>IF(ROW()&lt;=Results!$C$1+1,IF(D78&lt;=0,"",LN(D78)),"")</f>
        <v/>
      </c>
      <c r="F78" s="53" t="str">
        <f>IF(ROW()&lt;=Results!$C$1+1,IF(ISERROR(C78-E78),"",C78-E78),"")</f>
        <v/>
      </c>
    </row>
    <row r="79" spans="1:6" x14ac:dyDescent="0.2">
      <c r="A79" s="1" t="str">
        <f ca="1">IF(ROW()&lt;=Results!$C$1+1,INDEX(Data!$A:$A,CEILING((COUNTA(Data!$A:$A)-1)*RAND()+1,1)),"")</f>
        <v/>
      </c>
      <c r="B79" s="1" t="str">
        <f>IF(ROW()&lt;=Results!$C$1+1,VLOOKUP($A79,Data!$A$2:$C$117,2,TRUE),"")</f>
        <v/>
      </c>
      <c r="C79" s="14" t="str">
        <f>IF(ROW()&lt;=Results!$C$1+1,IF(B79&lt;=0,"",LN(B79)),"")</f>
        <v/>
      </c>
      <c r="D79" s="1" t="str">
        <f>IF(ROW()&lt;=Results!$C$1+1,VLOOKUP($A79,Data!$A$2:$C$117,3,TRUE),"")</f>
        <v/>
      </c>
      <c r="E79" s="14" t="str">
        <f>IF(ROW()&lt;=Results!$C$1+1,IF(D79&lt;=0,"",LN(D79)),"")</f>
        <v/>
      </c>
      <c r="F79" s="53" t="str">
        <f>IF(ROW()&lt;=Results!$C$1+1,IF(ISERROR(C79-E79),"",C79-E79),"")</f>
        <v/>
      </c>
    </row>
    <row r="80" spans="1:6" x14ac:dyDescent="0.2">
      <c r="A80" s="1" t="str">
        <f ca="1">IF(ROW()&lt;=Results!$C$1+1,INDEX(Data!$A:$A,CEILING((COUNTA(Data!$A:$A)-1)*RAND()+1,1)),"")</f>
        <v/>
      </c>
      <c r="B80" s="1" t="str">
        <f>IF(ROW()&lt;=Results!$C$1+1,VLOOKUP($A80,Data!$A$2:$C$117,2,TRUE),"")</f>
        <v/>
      </c>
      <c r="C80" s="14" t="str">
        <f>IF(ROW()&lt;=Results!$C$1+1,IF(B80&lt;=0,"",LN(B80)),"")</f>
        <v/>
      </c>
      <c r="D80" s="1" t="str">
        <f>IF(ROW()&lt;=Results!$C$1+1,VLOOKUP($A80,Data!$A$2:$C$117,3,TRUE),"")</f>
        <v/>
      </c>
      <c r="E80" s="14" t="str">
        <f>IF(ROW()&lt;=Results!$C$1+1,IF(D80&lt;=0,"",LN(D80)),"")</f>
        <v/>
      </c>
      <c r="F80" s="53" t="str">
        <f>IF(ROW()&lt;=Results!$C$1+1,IF(ISERROR(C80-E80),"",C80-E80),"")</f>
        <v/>
      </c>
    </row>
    <row r="81" spans="1:6" x14ac:dyDescent="0.2">
      <c r="A81" s="1" t="str">
        <f ca="1">IF(ROW()&lt;=Results!$C$1+1,INDEX(Data!$A:$A,CEILING((COUNTA(Data!$A:$A)-1)*RAND()+1,1)),"")</f>
        <v/>
      </c>
      <c r="B81" s="1" t="str">
        <f>IF(ROW()&lt;=Results!$C$1+1,VLOOKUP($A81,Data!$A$2:$C$117,2,TRUE),"")</f>
        <v/>
      </c>
      <c r="C81" s="14" t="str">
        <f>IF(ROW()&lt;=Results!$C$1+1,IF(B81&lt;=0,"",LN(B81)),"")</f>
        <v/>
      </c>
      <c r="D81" s="1" t="str">
        <f>IF(ROW()&lt;=Results!$C$1+1,VLOOKUP($A81,Data!$A$2:$C$117,3,TRUE),"")</f>
        <v/>
      </c>
      <c r="E81" s="14" t="str">
        <f>IF(ROW()&lt;=Results!$C$1+1,IF(D81&lt;=0,"",LN(D81)),"")</f>
        <v/>
      </c>
      <c r="F81" s="53" t="str">
        <f>IF(ROW()&lt;=Results!$C$1+1,IF(ISERROR(C81-E81),"",C81-E81),"")</f>
        <v/>
      </c>
    </row>
    <row r="82" spans="1:6" x14ac:dyDescent="0.2">
      <c r="A82" s="1" t="str">
        <f ca="1">IF(ROW()&lt;=Results!$C$1+1,INDEX(Data!$A:$A,CEILING((COUNTA(Data!$A:$A)-1)*RAND()+1,1)),"")</f>
        <v/>
      </c>
      <c r="B82" s="1" t="str">
        <f>IF(ROW()&lt;=Results!$C$1+1,VLOOKUP($A82,Data!$A$2:$C$117,2,TRUE),"")</f>
        <v/>
      </c>
      <c r="C82" s="14" t="str">
        <f>IF(ROW()&lt;=Results!$C$1+1,IF(B82&lt;=0,"",LN(B82)),"")</f>
        <v/>
      </c>
      <c r="D82" s="1" t="str">
        <f>IF(ROW()&lt;=Results!$C$1+1,VLOOKUP($A82,Data!$A$2:$C$117,3,TRUE),"")</f>
        <v/>
      </c>
      <c r="E82" s="14" t="str">
        <f>IF(ROW()&lt;=Results!$C$1+1,IF(D82&lt;=0,"",LN(D82)),"")</f>
        <v/>
      </c>
      <c r="F82" s="53" t="str">
        <f>IF(ROW()&lt;=Results!$C$1+1,IF(ISERROR(C82-E82),"",C82-E82),"")</f>
        <v/>
      </c>
    </row>
    <row r="83" spans="1:6" x14ac:dyDescent="0.2">
      <c r="A83" s="1" t="str">
        <f ca="1">IF(ROW()&lt;=Results!$C$1+1,INDEX(Data!$A:$A,CEILING((COUNTA(Data!$A:$A)-1)*RAND()+1,1)),"")</f>
        <v/>
      </c>
      <c r="B83" s="1" t="str">
        <f>IF(ROW()&lt;=Results!$C$1+1,VLOOKUP($A83,Data!$A$2:$C$117,2,TRUE),"")</f>
        <v/>
      </c>
      <c r="C83" s="14" t="str">
        <f>IF(ROW()&lt;=Results!$C$1+1,IF(B83&lt;=0,"",LN(B83)),"")</f>
        <v/>
      </c>
      <c r="D83" s="1" t="str">
        <f>IF(ROW()&lt;=Results!$C$1+1,VLOOKUP($A83,Data!$A$2:$C$117,3,TRUE),"")</f>
        <v/>
      </c>
      <c r="E83" s="14" t="str">
        <f>IF(ROW()&lt;=Results!$C$1+1,IF(D83&lt;=0,"",LN(D83)),"")</f>
        <v/>
      </c>
      <c r="F83" s="53" t="str">
        <f>IF(ROW()&lt;=Results!$C$1+1,IF(ISERROR(C83-E83),"",C83-E83),"")</f>
        <v/>
      </c>
    </row>
    <row r="84" spans="1:6" x14ac:dyDescent="0.2">
      <c r="A84" s="1" t="str">
        <f ca="1">IF(ROW()&lt;=Results!$C$1+1,INDEX(Data!$A:$A,CEILING((COUNTA(Data!$A:$A)-1)*RAND()+1,1)),"")</f>
        <v/>
      </c>
      <c r="B84" s="1" t="str">
        <f>IF(ROW()&lt;=Results!$C$1+1,VLOOKUP($A84,Data!$A$2:$C$117,2,TRUE),"")</f>
        <v/>
      </c>
      <c r="C84" s="14" t="str">
        <f>IF(ROW()&lt;=Results!$C$1+1,IF(B84&lt;=0,"",LN(B84)),"")</f>
        <v/>
      </c>
      <c r="D84" s="1" t="str">
        <f>IF(ROW()&lt;=Results!$C$1+1,VLOOKUP($A84,Data!$A$2:$C$117,3,TRUE),"")</f>
        <v/>
      </c>
      <c r="E84" s="14" t="str">
        <f>IF(ROW()&lt;=Results!$C$1+1,IF(D84&lt;=0,"",LN(D84)),"")</f>
        <v/>
      </c>
      <c r="F84" s="53" t="str">
        <f>IF(ROW()&lt;=Results!$C$1+1,IF(ISERROR(C84-E84),"",C84-E84),"")</f>
        <v/>
      </c>
    </row>
    <row r="85" spans="1:6" x14ac:dyDescent="0.2">
      <c r="A85" s="1" t="str">
        <f ca="1">IF(ROW()&lt;=Results!$C$1+1,INDEX(Data!$A:$A,CEILING((COUNTA(Data!$A:$A)-1)*RAND()+1,1)),"")</f>
        <v/>
      </c>
      <c r="B85" s="1" t="str">
        <f>IF(ROW()&lt;=Results!$C$1+1,VLOOKUP($A85,Data!$A$2:$C$117,2,TRUE),"")</f>
        <v/>
      </c>
      <c r="C85" s="14" t="str">
        <f>IF(ROW()&lt;=Results!$C$1+1,IF(B85&lt;=0,"",LN(B85)),"")</f>
        <v/>
      </c>
      <c r="D85" s="1" t="str">
        <f>IF(ROW()&lt;=Results!$C$1+1,VLOOKUP($A85,Data!$A$2:$C$117,3,TRUE),"")</f>
        <v/>
      </c>
      <c r="E85" s="14" t="str">
        <f>IF(ROW()&lt;=Results!$C$1+1,IF(D85&lt;=0,"",LN(D85)),"")</f>
        <v/>
      </c>
      <c r="F85" s="53" t="str">
        <f>IF(ROW()&lt;=Results!$C$1+1,IF(ISERROR(C85-E85),"",C85-E85),"")</f>
        <v/>
      </c>
    </row>
    <row r="86" spans="1:6" x14ac:dyDescent="0.2">
      <c r="A86" s="1" t="str">
        <f ca="1">IF(ROW()&lt;=Results!$C$1+1,INDEX(Data!$A:$A,CEILING((COUNTA(Data!$A:$A)-1)*RAND()+1,1)),"")</f>
        <v/>
      </c>
      <c r="B86" s="1" t="str">
        <f>IF(ROW()&lt;=Results!$C$1+1,VLOOKUP($A86,Data!$A$2:$C$117,2,TRUE),"")</f>
        <v/>
      </c>
      <c r="C86" s="14" t="str">
        <f>IF(ROW()&lt;=Results!$C$1+1,IF(B86&lt;=0,"",LN(B86)),"")</f>
        <v/>
      </c>
      <c r="D86" s="1" t="str">
        <f>IF(ROW()&lt;=Results!$C$1+1,VLOOKUP($A86,Data!$A$2:$C$117,3,TRUE),"")</f>
        <v/>
      </c>
      <c r="E86" s="14" t="str">
        <f>IF(ROW()&lt;=Results!$C$1+1,IF(D86&lt;=0,"",LN(D86)),"")</f>
        <v/>
      </c>
      <c r="F86" s="53" t="str">
        <f>IF(ROW()&lt;=Results!$C$1+1,IF(ISERROR(C86-E86),"",C86-E86),"")</f>
        <v/>
      </c>
    </row>
    <row r="87" spans="1:6" x14ac:dyDescent="0.2">
      <c r="A87" s="1" t="str">
        <f ca="1">IF(ROW()&lt;=Results!$C$1+1,INDEX(Data!$A:$A,CEILING((COUNTA(Data!$A:$A)-1)*RAND()+1,1)),"")</f>
        <v/>
      </c>
      <c r="B87" s="1" t="str">
        <f>IF(ROW()&lt;=Results!$C$1+1,VLOOKUP($A87,Data!$A$2:$C$117,2,TRUE),"")</f>
        <v/>
      </c>
      <c r="C87" s="14" t="str">
        <f>IF(ROW()&lt;=Results!$C$1+1,IF(B87&lt;=0,"",LN(B87)),"")</f>
        <v/>
      </c>
      <c r="D87" s="1" t="str">
        <f>IF(ROW()&lt;=Results!$C$1+1,VLOOKUP($A87,Data!$A$2:$C$117,3,TRUE),"")</f>
        <v/>
      </c>
      <c r="E87" s="14" t="str">
        <f>IF(ROW()&lt;=Results!$C$1+1,IF(D87&lt;=0,"",LN(D87)),"")</f>
        <v/>
      </c>
      <c r="F87" s="53" t="str">
        <f>IF(ROW()&lt;=Results!$C$1+1,IF(ISERROR(C87-E87),"",C87-E87),"")</f>
        <v/>
      </c>
    </row>
    <row r="88" spans="1:6" x14ac:dyDescent="0.2">
      <c r="A88" s="1" t="str">
        <f ca="1">IF(ROW()&lt;=Results!$C$1+1,INDEX(Data!$A:$A,CEILING((COUNTA(Data!$A:$A)-1)*RAND()+1,1)),"")</f>
        <v/>
      </c>
      <c r="B88" s="1" t="str">
        <f>IF(ROW()&lt;=Results!$C$1+1,VLOOKUP($A88,Data!$A$2:$C$117,2,TRUE),"")</f>
        <v/>
      </c>
      <c r="C88" s="14" t="str">
        <f>IF(ROW()&lt;=Results!$C$1+1,IF(B88&lt;=0,"",LN(B88)),"")</f>
        <v/>
      </c>
      <c r="D88" s="1" t="str">
        <f>IF(ROW()&lt;=Results!$C$1+1,VLOOKUP($A88,Data!$A$2:$C$117,3,TRUE),"")</f>
        <v/>
      </c>
      <c r="E88" s="14" t="str">
        <f>IF(ROW()&lt;=Results!$C$1+1,IF(D88&lt;=0,"",LN(D88)),"")</f>
        <v/>
      </c>
      <c r="F88" s="53" t="str">
        <f>IF(ROW()&lt;=Results!$C$1+1,IF(ISERROR(C88-E88),"",C88-E88),"")</f>
        <v/>
      </c>
    </row>
    <row r="89" spans="1:6" x14ac:dyDescent="0.2">
      <c r="A89" s="1" t="str">
        <f ca="1">IF(ROW()&lt;=Results!$C$1+1,INDEX(Data!$A:$A,CEILING((COUNTA(Data!$A:$A)-1)*RAND()+1,1)),"")</f>
        <v/>
      </c>
      <c r="B89" s="1" t="str">
        <f>IF(ROW()&lt;=Results!$C$1+1,VLOOKUP($A89,Data!$A$2:$C$117,2,TRUE),"")</f>
        <v/>
      </c>
      <c r="C89" s="14" t="str">
        <f>IF(ROW()&lt;=Results!$C$1+1,IF(B89&lt;=0,"",LN(B89)),"")</f>
        <v/>
      </c>
      <c r="D89" s="1" t="str">
        <f>IF(ROW()&lt;=Results!$C$1+1,VLOOKUP($A89,Data!$A$2:$C$117,3,TRUE),"")</f>
        <v/>
      </c>
      <c r="E89" s="14" t="str">
        <f>IF(ROW()&lt;=Results!$C$1+1,IF(D89&lt;=0,"",LN(D89)),"")</f>
        <v/>
      </c>
      <c r="F89" s="53" t="str">
        <f>IF(ROW()&lt;=Results!$C$1+1,IF(ISERROR(C89-E89),"",C89-E89),"")</f>
        <v/>
      </c>
    </row>
    <row r="90" spans="1:6" x14ac:dyDescent="0.2">
      <c r="A90" s="1" t="str">
        <f ca="1">IF(ROW()&lt;=Results!$C$1+1,INDEX(Data!$A:$A,CEILING((COUNTA(Data!$A:$A)-1)*RAND()+1,1)),"")</f>
        <v/>
      </c>
      <c r="B90" s="1" t="str">
        <f>IF(ROW()&lt;=Results!$C$1+1,VLOOKUP($A90,Data!$A$2:$C$117,2,TRUE),"")</f>
        <v/>
      </c>
      <c r="C90" s="14" t="str">
        <f>IF(ROW()&lt;=Results!$C$1+1,IF(B90&lt;=0,"",LN(B90)),"")</f>
        <v/>
      </c>
      <c r="D90" s="1" t="str">
        <f>IF(ROW()&lt;=Results!$C$1+1,VLOOKUP($A90,Data!$A$2:$C$117,3,TRUE),"")</f>
        <v/>
      </c>
      <c r="E90" s="14" t="str">
        <f>IF(ROW()&lt;=Results!$C$1+1,IF(D90&lt;=0,"",LN(D90)),"")</f>
        <v/>
      </c>
      <c r="F90" s="53" t="str">
        <f>IF(ROW()&lt;=Results!$C$1+1,IF(ISERROR(C90-E90),"",C90-E90),"")</f>
        <v/>
      </c>
    </row>
    <row r="91" spans="1:6" x14ac:dyDescent="0.2">
      <c r="A91" s="1" t="str">
        <f ca="1">IF(ROW()&lt;=Results!$C$1+1,INDEX(Data!$A:$A,CEILING((COUNTA(Data!$A:$A)-1)*RAND()+1,1)),"")</f>
        <v/>
      </c>
      <c r="B91" s="1" t="str">
        <f>IF(ROW()&lt;=Results!$C$1+1,VLOOKUP($A91,Data!$A$2:$C$117,2,TRUE),"")</f>
        <v/>
      </c>
      <c r="C91" s="14" t="str">
        <f>IF(ROW()&lt;=Results!$C$1+1,IF(B91&lt;=0,"",LN(B91)),"")</f>
        <v/>
      </c>
      <c r="D91" s="1" t="str">
        <f>IF(ROW()&lt;=Results!$C$1+1,VLOOKUP($A91,Data!$A$2:$C$117,3,TRUE),"")</f>
        <v/>
      </c>
      <c r="E91" s="14" t="str">
        <f>IF(ROW()&lt;=Results!$C$1+1,IF(D91&lt;=0,"",LN(D91)),"")</f>
        <v/>
      </c>
      <c r="F91" s="53" t="str">
        <f>IF(ROW()&lt;=Results!$C$1+1,IF(ISERROR(C91-E91),"",C91-E91),"")</f>
        <v/>
      </c>
    </row>
    <row r="92" spans="1:6" x14ac:dyDescent="0.2">
      <c r="A92" s="1" t="str">
        <f ca="1">IF(ROW()&lt;=Results!$C$1+1,INDEX(Data!$A:$A,CEILING((COUNTA(Data!$A:$A)-1)*RAND()+1,1)),"")</f>
        <v/>
      </c>
      <c r="B92" s="1" t="str">
        <f>IF(ROW()&lt;=Results!$C$1+1,VLOOKUP($A92,Data!$A$2:$C$117,2,TRUE),"")</f>
        <v/>
      </c>
      <c r="C92" s="14" t="str">
        <f>IF(ROW()&lt;=Results!$C$1+1,IF(B92&lt;=0,"",LN(B92)),"")</f>
        <v/>
      </c>
      <c r="D92" s="1" t="str">
        <f>IF(ROW()&lt;=Results!$C$1+1,VLOOKUP($A92,Data!$A$2:$C$117,3,TRUE),"")</f>
        <v/>
      </c>
      <c r="E92" s="14" t="str">
        <f>IF(ROW()&lt;=Results!$C$1+1,IF(D92&lt;=0,"",LN(D92)),"")</f>
        <v/>
      </c>
      <c r="F92" s="53" t="str">
        <f>IF(ROW()&lt;=Results!$C$1+1,IF(ISERROR(C92-E92),"",C92-E92),"")</f>
        <v/>
      </c>
    </row>
    <row r="93" spans="1:6" x14ac:dyDescent="0.2">
      <c r="A93" s="1" t="str">
        <f ca="1">IF(ROW()&lt;=Results!$C$1+1,INDEX(Data!$A:$A,CEILING((COUNTA(Data!$A:$A)-1)*RAND()+1,1)),"")</f>
        <v/>
      </c>
      <c r="B93" s="1" t="str">
        <f>IF(ROW()&lt;=Results!$C$1+1,VLOOKUP($A93,Data!$A$2:$C$117,2,TRUE),"")</f>
        <v/>
      </c>
      <c r="C93" s="14" t="str">
        <f>IF(ROW()&lt;=Results!$C$1+1,IF(B93&lt;=0,"",LN(B93)),"")</f>
        <v/>
      </c>
      <c r="D93" s="1" t="str">
        <f>IF(ROW()&lt;=Results!$C$1+1,VLOOKUP($A93,Data!$A$2:$C$117,3,TRUE),"")</f>
        <v/>
      </c>
      <c r="E93" s="14" t="str">
        <f>IF(ROW()&lt;=Results!$C$1+1,IF(D93&lt;=0,"",LN(D93)),"")</f>
        <v/>
      </c>
      <c r="F93" s="53" t="str">
        <f>IF(ROW()&lt;=Results!$C$1+1,IF(ISERROR(C93-E93),"",C93-E93),"")</f>
        <v/>
      </c>
    </row>
    <row r="94" spans="1:6" x14ac:dyDescent="0.2">
      <c r="A94" s="1" t="str">
        <f ca="1">IF(ROW()&lt;=Results!$C$1+1,INDEX(Data!$A:$A,CEILING((COUNTA(Data!$A:$A)-1)*RAND()+1,1)),"")</f>
        <v/>
      </c>
      <c r="B94" s="1" t="str">
        <f>IF(ROW()&lt;=Results!$C$1+1,VLOOKUP($A94,Data!$A$2:$C$117,2,TRUE),"")</f>
        <v/>
      </c>
      <c r="C94" s="14" t="str">
        <f>IF(ROW()&lt;=Results!$C$1+1,IF(B94&lt;=0,"",LN(B94)),"")</f>
        <v/>
      </c>
      <c r="D94" s="1" t="str">
        <f>IF(ROW()&lt;=Results!$C$1+1,VLOOKUP($A94,Data!$A$2:$C$117,3,TRUE),"")</f>
        <v/>
      </c>
      <c r="E94" s="14" t="str">
        <f>IF(ROW()&lt;=Results!$C$1+1,IF(D94&lt;=0,"",LN(D94)),"")</f>
        <v/>
      </c>
      <c r="F94" s="53" t="str">
        <f>IF(ROW()&lt;=Results!$C$1+1,IF(ISERROR(C94-E94),"",C94-E94),"")</f>
        <v/>
      </c>
    </row>
    <row r="95" spans="1:6" x14ac:dyDescent="0.2">
      <c r="A95" s="1" t="str">
        <f ca="1">IF(ROW()&lt;=Results!$C$1+1,INDEX(Data!$A:$A,CEILING((COUNTA(Data!$A:$A)-1)*RAND()+1,1)),"")</f>
        <v/>
      </c>
      <c r="B95" s="1" t="str">
        <f>IF(ROW()&lt;=Results!$C$1+1,VLOOKUP($A95,Data!$A$2:$C$117,2,TRUE),"")</f>
        <v/>
      </c>
      <c r="C95" s="14" t="str">
        <f>IF(ROW()&lt;=Results!$C$1+1,IF(B95&lt;=0,"",LN(B95)),"")</f>
        <v/>
      </c>
      <c r="D95" s="1" t="str">
        <f>IF(ROW()&lt;=Results!$C$1+1,VLOOKUP($A95,Data!$A$2:$C$117,3,TRUE),"")</f>
        <v/>
      </c>
      <c r="E95" s="14" t="str">
        <f>IF(ROW()&lt;=Results!$C$1+1,IF(D95&lt;=0,"",LN(D95)),"")</f>
        <v/>
      </c>
      <c r="F95" s="53" t="str">
        <f>IF(ROW()&lt;=Results!$C$1+1,IF(ISERROR(C95-E95),"",C95-E95),"")</f>
        <v/>
      </c>
    </row>
    <row r="96" spans="1:6" x14ac:dyDescent="0.2">
      <c r="A96" s="1" t="str">
        <f ca="1">IF(ROW()&lt;=Results!$C$1+1,INDEX(Data!$A:$A,CEILING((COUNTA(Data!$A:$A)-1)*RAND()+1,1)),"")</f>
        <v/>
      </c>
      <c r="B96" s="1" t="str">
        <f>IF(ROW()&lt;=Results!$C$1+1,VLOOKUP($A96,Data!$A$2:$C$117,2,TRUE),"")</f>
        <v/>
      </c>
      <c r="C96" s="14" t="str">
        <f>IF(ROW()&lt;=Results!$C$1+1,IF(B96&lt;=0,"",LN(B96)),"")</f>
        <v/>
      </c>
      <c r="D96" s="1" t="str">
        <f>IF(ROW()&lt;=Results!$C$1+1,VLOOKUP($A96,Data!$A$2:$C$117,3,TRUE),"")</f>
        <v/>
      </c>
      <c r="E96" s="14" t="str">
        <f>IF(ROW()&lt;=Results!$C$1+1,IF(D96&lt;=0,"",LN(D96)),"")</f>
        <v/>
      </c>
      <c r="F96" s="53" t="str">
        <f>IF(ROW()&lt;=Results!$C$1+1,IF(ISERROR(C96-E96),"",C96-E96),"")</f>
        <v/>
      </c>
    </row>
    <row r="97" spans="1:6" x14ac:dyDescent="0.2">
      <c r="A97" s="1" t="str">
        <f ca="1">IF(ROW()&lt;=Results!$C$1+1,INDEX(Data!$A:$A,CEILING((COUNTA(Data!$A:$A)-1)*RAND()+1,1)),"")</f>
        <v/>
      </c>
      <c r="B97" s="1" t="str">
        <f>IF(ROW()&lt;=Results!$C$1+1,VLOOKUP($A97,Data!$A$2:$C$117,2,TRUE),"")</f>
        <v/>
      </c>
      <c r="C97" s="14" t="str">
        <f>IF(ROW()&lt;=Results!$C$1+1,IF(B97&lt;=0,"",LN(B97)),"")</f>
        <v/>
      </c>
      <c r="D97" s="1" t="str">
        <f>IF(ROW()&lt;=Results!$C$1+1,VLOOKUP($A97,Data!$A$2:$C$117,3,TRUE),"")</f>
        <v/>
      </c>
      <c r="E97" s="14" t="str">
        <f>IF(ROW()&lt;=Results!$C$1+1,IF(D97&lt;=0,"",LN(D97)),"")</f>
        <v/>
      </c>
      <c r="F97" s="53" t="str">
        <f>IF(ROW()&lt;=Results!$C$1+1,IF(ISERROR(C97-E97),"",C97-E97),"")</f>
        <v/>
      </c>
    </row>
    <row r="98" spans="1:6" x14ac:dyDescent="0.2">
      <c r="A98" s="1" t="str">
        <f ca="1">IF(ROW()&lt;=Results!$C$1+1,INDEX(Data!$A:$A,CEILING((COUNTA(Data!$A:$A)-1)*RAND()+1,1)),"")</f>
        <v/>
      </c>
      <c r="B98" s="1" t="str">
        <f>IF(ROW()&lt;=Results!$C$1+1,VLOOKUP($A98,Data!$A$2:$C$117,2,TRUE),"")</f>
        <v/>
      </c>
      <c r="C98" s="14" t="str">
        <f>IF(ROW()&lt;=Results!$C$1+1,IF(B98&lt;=0,"",LN(B98)),"")</f>
        <v/>
      </c>
      <c r="D98" s="1" t="str">
        <f>IF(ROW()&lt;=Results!$C$1+1,VLOOKUP($A98,Data!$A$2:$C$117,3,TRUE),"")</f>
        <v/>
      </c>
      <c r="E98" s="14" t="str">
        <f>IF(ROW()&lt;=Results!$C$1+1,IF(D98&lt;=0,"",LN(D98)),"")</f>
        <v/>
      </c>
      <c r="F98" s="53" t="str">
        <f>IF(ROW()&lt;=Results!$C$1+1,IF(ISERROR(C98-E98),"",C98-E98),"")</f>
        <v/>
      </c>
    </row>
    <row r="99" spans="1:6" x14ac:dyDescent="0.2">
      <c r="A99" s="1" t="str">
        <f ca="1">IF(ROW()&lt;=Results!$C$1+1,INDEX(Data!$A:$A,CEILING((COUNTA(Data!$A:$A)-1)*RAND()+1,1)),"")</f>
        <v/>
      </c>
      <c r="B99" s="1" t="str">
        <f>IF(ROW()&lt;=Results!$C$1+1,VLOOKUP($A99,Data!$A$2:$C$117,2,TRUE),"")</f>
        <v/>
      </c>
      <c r="C99" s="14" t="str">
        <f>IF(ROW()&lt;=Results!$C$1+1,IF(B99&lt;=0,"",LN(B99)),"")</f>
        <v/>
      </c>
      <c r="D99" s="1" t="str">
        <f>IF(ROW()&lt;=Results!$C$1+1,VLOOKUP($A99,Data!$A$2:$C$117,3,TRUE),"")</f>
        <v/>
      </c>
      <c r="E99" s="14" t="str">
        <f>IF(ROW()&lt;=Results!$C$1+1,IF(D99&lt;=0,"",LN(D99)),"")</f>
        <v/>
      </c>
      <c r="F99" s="53" t="str">
        <f>IF(ROW()&lt;=Results!$C$1+1,IF(ISERROR(C99-E99),"",C99-E99),"")</f>
        <v/>
      </c>
    </row>
    <row r="100" spans="1:6" x14ac:dyDescent="0.2">
      <c r="A100" s="1" t="str">
        <f ca="1">IF(ROW()&lt;=Results!$C$1+1,INDEX(Data!$A:$A,CEILING((COUNTA(Data!$A:$A)-1)*RAND()+1,1)),"")</f>
        <v/>
      </c>
      <c r="B100" s="1" t="str">
        <f>IF(ROW()&lt;=Results!$C$1+1,VLOOKUP($A100,Data!$A$2:$C$117,2,TRUE),"")</f>
        <v/>
      </c>
      <c r="C100" s="14" t="str">
        <f>IF(ROW()&lt;=Results!$C$1+1,IF(B100&lt;=0,"",LN(B100)),"")</f>
        <v/>
      </c>
      <c r="D100" s="1" t="str">
        <f>IF(ROW()&lt;=Results!$C$1+1,VLOOKUP($A100,Data!$A$2:$C$117,3,TRUE),"")</f>
        <v/>
      </c>
      <c r="E100" s="14" t="str">
        <f>IF(ROW()&lt;=Results!$C$1+1,IF(D100&lt;=0,"",LN(D100)),"")</f>
        <v/>
      </c>
      <c r="F100" s="53" t="str">
        <f>IF(ROW()&lt;=Results!$C$1+1,IF(ISERROR(C100-E100),"",C100-E100),"")</f>
        <v/>
      </c>
    </row>
    <row r="101" spans="1:6" x14ac:dyDescent="0.2">
      <c r="A101" s="1" t="str">
        <f ca="1">IF(ROW()&lt;=Results!$C$1+1,INDEX(Data!$A:$A,CEILING((COUNTA(Data!$A:$A)-1)*RAND()+1,1)),"")</f>
        <v/>
      </c>
      <c r="B101" s="1" t="str">
        <f>IF(ROW()&lt;=Results!$C$1+1,VLOOKUP($A101,Data!$A$2:$C$117,2,TRUE),"")</f>
        <v/>
      </c>
      <c r="C101" s="14" t="str">
        <f>IF(ROW()&lt;=Results!$C$1+1,IF(B101&lt;=0,"",LN(B101)),"")</f>
        <v/>
      </c>
      <c r="D101" s="1" t="str">
        <f>IF(ROW()&lt;=Results!$C$1+1,VLOOKUP($A101,Data!$A$2:$C$117,3,TRUE),"")</f>
        <v/>
      </c>
      <c r="E101" s="14" t="str">
        <f>IF(ROW()&lt;=Results!$C$1+1,IF(D101&lt;=0,"",LN(D101)),"")</f>
        <v/>
      </c>
      <c r="F101" s="53" t="str">
        <f>IF(ROW()&lt;=Results!$C$1+1,IF(ISERROR(C101-E101),"",C101-E101),"")</f>
        <v/>
      </c>
    </row>
    <row r="102" spans="1:6" x14ac:dyDescent="0.2">
      <c r="A102" s="1" t="str">
        <f ca="1">IF(ROW()&lt;=Results!$C$1+1,INDEX(Data!$A:$A,CEILING((COUNTA(Data!$A:$A)-1)*RAND()+1,1)),"")</f>
        <v/>
      </c>
      <c r="B102" s="1" t="str">
        <f>IF(ROW()&lt;=Results!$C$1+1,VLOOKUP($A102,Data!$A$2:$C$117,2,TRUE),"")</f>
        <v/>
      </c>
      <c r="C102" s="14" t="str">
        <f>IF(ROW()&lt;=Results!$C$1+1,IF(B102&lt;=0,"",LN(B102)),"")</f>
        <v/>
      </c>
      <c r="D102" s="1" t="str">
        <f>IF(ROW()&lt;=Results!$C$1+1,VLOOKUP($A102,Data!$A$2:$C$117,3,TRUE),"")</f>
        <v/>
      </c>
      <c r="E102" s="14" t="str">
        <f>IF(ROW()&lt;=Results!$C$1+1,IF(D102&lt;=0,"",LN(D102)),"")</f>
        <v/>
      </c>
      <c r="F102" s="53" t="str">
        <f>IF(ROW()&lt;=Results!$C$1+1,IF(ISERROR(C102-E102),"",C102-E102),"")</f>
        <v/>
      </c>
    </row>
    <row r="103" spans="1:6" x14ac:dyDescent="0.2">
      <c r="A103" s="1" t="str">
        <f ca="1">IF(ROW()&lt;=Results!$C$1+1,INDEX(Data!$A:$A,CEILING((COUNTA(Data!$A:$A)-1)*RAND()+1,1)),"")</f>
        <v/>
      </c>
      <c r="B103" s="1" t="str">
        <f>IF(ROW()&lt;=Results!$C$1+1,VLOOKUP($A103,Data!$A$2:$C$117,2,TRUE),"")</f>
        <v/>
      </c>
      <c r="C103" s="14" t="str">
        <f>IF(ROW()&lt;=Results!$C$1+1,IF(B103&lt;=0,"",LN(B103)),"")</f>
        <v/>
      </c>
      <c r="D103" s="1" t="str">
        <f>IF(ROW()&lt;=Results!$C$1+1,VLOOKUP($A103,Data!$A$2:$C$117,3,TRUE),"")</f>
        <v/>
      </c>
      <c r="E103" s="14" t="str">
        <f>IF(ROW()&lt;=Results!$C$1+1,IF(D103&lt;=0,"",LN(D103)),"")</f>
        <v/>
      </c>
      <c r="F103" s="53" t="str">
        <f>IF(ROW()&lt;=Results!$C$1+1,IF(ISERROR(C103-E103),"",C103-E103),"")</f>
        <v/>
      </c>
    </row>
    <row r="104" spans="1:6" x14ac:dyDescent="0.2">
      <c r="A104" s="1" t="str">
        <f ca="1">IF(ROW()&lt;=Results!$C$1+1,INDEX(Data!$A:$A,CEILING((COUNTA(Data!$A:$A)-1)*RAND()+1,1)),"")</f>
        <v/>
      </c>
      <c r="B104" s="1" t="str">
        <f>IF(ROW()&lt;=Results!$C$1+1,VLOOKUP($A104,Data!$A$2:$C$117,2,TRUE),"")</f>
        <v/>
      </c>
      <c r="C104" s="14" t="str">
        <f>IF(ROW()&lt;=Results!$C$1+1,IF(B104&lt;=0,"",LN(B104)),"")</f>
        <v/>
      </c>
      <c r="D104" s="1" t="str">
        <f>IF(ROW()&lt;=Results!$C$1+1,VLOOKUP($A104,Data!$A$2:$C$117,3,TRUE),"")</f>
        <v/>
      </c>
      <c r="E104" s="14" t="str">
        <f>IF(ROW()&lt;=Results!$C$1+1,IF(D104&lt;=0,"",LN(D104)),"")</f>
        <v/>
      </c>
      <c r="F104" s="53" t="str">
        <f>IF(ROW()&lt;=Results!$C$1+1,IF(ISERROR(C104-E104),"",C104-E104),"")</f>
        <v/>
      </c>
    </row>
    <row r="105" spans="1:6" x14ac:dyDescent="0.2">
      <c r="A105" s="1" t="str">
        <f ca="1">IF(ROW()&lt;=Results!$C$1+1,INDEX(Data!$A:$A,CEILING((COUNTA(Data!$A:$A)-1)*RAND()+1,1)),"")</f>
        <v/>
      </c>
      <c r="B105" s="1" t="str">
        <f>IF(ROW()&lt;=Results!$C$1+1,VLOOKUP($A105,Data!$A$2:$C$117,2,TRUE),"")</f>
        <v/>
      </c>
      <c r="C105" s="14" t="str">
        <f>IF(ROW()&lt;=Results!$C$1+1,IF(B105&lt;=0,"",LN(B105)),"")</f>
        <v/>
      </c>
      <c r="D105" s="1" t="str">
        <f>IF(ROW()&lt;=Results!$C$1+1,VLOOKUP($A105,Data!$A$2:$C$117,3,TRUE),"")</f>
        <v/>
      </c>
      <c r="E105" s="14" t="str">
        <f>IF(ROW()&lt;=Results!$C$1+1,IF(D105&lt;=0,"",LN(D105)),"")</f>
        <v/>
      </c>
      <c r="F105" s="53" t="str">
        <f>IF(ROW()&lt;=Results!$C$1+1,IF(ISERROR(C105-E105),"",C105-E105),"")</f>
        <v/>
      </c>
    </row>
    <row r="106" spans="1:6" x14ac:dyDescent="0.2">
      <c r="A106" s="1" t="str">
        <f ca="1">IF(ROW()&lt;=Results!$C$1+1,INDEX(Data!$A:$A,CEILING((COUNTA(Data!$A:$A)-1)*RAND()+1,1)),"")</f>
        <v/>
      </c>
      <c r="B106" s="1" t="str">
        <f>IF(ROW()&lt;=Results!$C$1+1,VLOOKUP($A106,Data!$A$2:$C$117,2,TRUE),"")</f>
        <v/>
      </c>
      <c r="C106" s="14" t="str">
        <f>IF(ROW()&lt;=Results!$C$1+1,IF(B106&lt;=0,"",LN(B106)),"")</f>
        <v/>
      </c>
      <c r="D106" s="1" t="str">
        <f>IF(ROW()&lt;=Results!$C$1+1,VLOOKUP($A106,Data!$A$2:$C$117,3,TRUE),"")</f>
        <v/>
      </c>
      <c r="E106" s="14" t="str">
        <f>IF(ROW()&lt;=Results!$C$1+1,IF(D106&lt;=0,"",LN(D106)),"")</f>
        <v/>
      </c>
      <c r="F106" s="53" t="str">
        <f>IF(ROW()&lt;=Results!$C$1+1,IF(ISERROR(C106-E106),"",C106-E106),"")</f>
        <v/>
      </c>
    </row>
    <row r="107" spans="1:6" x14ac:dyDescent="0.2">
      <c r="A107" s="1" t="str">
        <f ca="1">IF(ROW()&lt;=Results!$C$1+1,INDEX(Data!$A:$A,CEILING((COUNTA(Data!$A:$A)-1)*RAND()+1,1)),"")</f>
        <v/>
      </c>
      <c r="B107" s="1" t="str">
        <f>IF(ROW()&lt;=Results!$C$1+1,VLOOKUP($A107,Data!$A$2:$C$117,2,TRUE),"")</f>
        <v/>
      </c>
      <c r="C107" s="14" t="str">
        <f>IF(ROW()&lt;=Results!$C$1+1,IF(B107&lt;=0,"",LN(B107)),"")</f>
        <v/>
      </c>
      <c r="D107" s="1" t="str">
        <f>IF(ROW()&lt;=Results!$C$1+1,VLOOKUP($A107,Data!$A$2:$C$117,3,TRUE),"")</f>
        <v/>
      </c>
      <c r="E107" s="14" t="str">
        <f>IF(ROW()&lt;=Results!$C$1+1,IF(D107&lt;=0,"",LN(D107)),"")</f>
        <v/>
      </c>
      <c r="F107" s="53" t="str">
        <f>IF(ROW()&lt;=Results!$C$1+1,IF(ISERROR(C107-E107),"",C107-E107),"")</f>
        <v/>
      </c>
    </row>
    <row r="108" spans="1:6" x14ac:dyDescent="0.2">
      <c r="A108" s="1" t="str">
        <f ca="1">IF(ROW()&lt;=Results!$C$1+1,INDEX(Data!$A:$A,CEILING((COUNTA(Data!$A:$A)-1)*RAND()+1,1)),"")</f>
        <v/>
      </c>
      <c r="B108" s="1" t="str">
        <f>IF(ROW()&lt;=Results!$C$1+1,VLOOKUP($A108,Data!$A$2:$C$117,2,TRUE),"")</f>
        <v/>
      </c>
      <c r="C108" s="14" t="str">
        <f>IF(ROW()&lt;=Results!$C$1+1,IF(B108&lt;=0,"",LN(B108)),"")</f>
        <v/>
      </c>
      <c r="D108" s="1" t="str">
        <f>IF(ROW()&lt;=Results!$C$1+1,VLOOKUP($A108,Data!$A$2:$C$117,3,TRUE),"")</f>
        <v/>
      </c>
      <c r="E108" s="14" t="str">
        <f>IF(ROW()&lt;=Results!$C$1+1,IF(D108&lt;=0,"",LN(D108)),"")</f>
        <v/>
      </c>
      <c r="F108" s="53" t="str">
        <f>IF(ROW()&lt;=Results!$C$1+1,IF(ISERROR(C108-E108),"",C108-E108),"")</f>
        <v/>
      </c>
    </row>
    <row r="109" spans="1:6" x14ac:dyDescent="0.2">
      <c r="A109" s="1" t="str">
        <f ca="1">IF(ROW()&lt;=Results!$C$1+1,INDEX(Data!$A:$A,CEILING((COUNTA(Data!$A:$A)-1)*RAND()+1,1)),"")</f>
        <v/>
      </c>
      <c r="B109" s="1" t="str">
        <f>IF(ROW()&lt;=Results!$C$1+1,VLOOKUP($A109,Data!$A$2:$C$117,2,TRUE),"")</f>
        <v/>
      </c>
      <c r="C109" s="14" t="str">
        <f>IF(ROW()&lt;=Results!$C$1+1,IF(B109&lt;=0,"",LN(B109)),"")</f>
        <v/>
      </c>
      <c r="D109" s="1" t="str">
        <f>IF(ROW()&lt;=Results!$C$1+1,VLOOKUP($A109,Data!$A$2:$C$117,3,TRUE),"")</f>
        <v/>
      </c>
      <c r="E109" s="14" t="str">
        <f>IF(ROW()&lt;=Results!$C$1+1,IF(D109&lt;=0,"",LN(D109)),"")</f>
        <v/>
      </c>
      <c r="F109" s="53" t="str">
        <f>IF(ROW()&lt;=Results!$C$1+1,IF(ISERROR(C109-E109),"",C109-E109),"")</f>
        <v/>
      </c>
    </row>
    <row r="110" spans="1:6" x14ac:dyDescent="0.2">
      <c r="A110" s="1" t="str">
        <f ca="1">IF(ROW()&lt;=Results!$C$1+1,INDEX(Data!$A:$A,CEILING((COUNTA(Data!$A:$A)-1)*RAND()+1,1)),"")</f>
        <v/>
      </c>
      <c r="B110" s="1" t="str">
        <f>IF(ROW()&lt;=Results!$C$1+1,VLOOKUP($A110,Data!$A$2:$C$117,2,TRUE),"")</f>
        <v/>
      </c>
      <c r="C110" s="14" t="str">
        <f>IF(ROW()&lt;=Results!$C$1+1,IF(B110&lt;=0,"",LN(B110)),"")</f>
        <v/>
      </c>
      <c r="D110" s="1" t="str">
        <f>IF(ROW()&lt;=Results!$C$1+1,VLOOKUP($A110,Data!$A$2:$C$117,3,TRUE),"")</f>
        <v/>
      </c>
      <c r="E110" s="14" t="str">
        <f>IF(ROW()&lt;=Results!$C$1+1,IF(D110&lt;=0,"",LN(D110)),"")</f>
        <v/>
      </c>
      <c r="F110" s="53" t="str">
        <f>IF(ROW()&lt;=Results!$C$1+1,IF(ISERROR(C110-E110),"",C110-E110),"")</f>
        <v/>
      </c>
    </row>
    <row r="111" spans="1:6" x14ac:dyDescent="0.2">
      <c r="A111" s="1" t="str">
        <f ca="1">IF(ROW()&lt;=Results!$C$1+1,INDEX(Data!$A:$A,CEILING((COUNTA(Data!$A:$A)-1)*RAND()+1,1)),"")</f>
        <v/>
      </c>
      <c r="B111" s="1" t="str">
        <f>IF(ROW()&lt;=Results!$C$1+1,VLOOKUP($A111,Data!$A$2:$C$117,2,TRUE),"")</f>
        <v/>
      </c>
      <c r="C111" s="14" t="str">
        <f>IF(ROW()&lt;=Results!$C$1+1,IF(B111&lt;=0,"",LN(B111)),"")</f>
        <v/>
      </c>
      <c r="D111" s="1" t="str">
        <f>IF(ROW()&lt;=Results!$C$1+1,VLOOKUP($A111,Data!$A$2:$C$117,3,TRUE),"")</f>
        <v/>
      </c>
      <c r="E111" s="14" t="str">
        <f>IF(ROW()&lt;=Results!$C$1+1,IF(D111&lt;=0,"",LN(D111)),"")</f>
        <v/>
      </c>
      <c r="F111" s="53" t="str">
        <f>IF(ROW()&lt;=Results!$C$1+1,IF(ISERROR(C111-E111),"",C111-E111),"")</f>
        <v/>
      </c>
    </row>
    <row r="112" spans="1:6" x14ac:dyDescent="0.2">
      <c r="A112" s="1" t="str">
        <f ca="1">IF(ROW()&lt;=Results!$C$1+1,INDEX(Data!$A:$A,CEILING((COUNTA(Data!$A:$A)-1)*RAND()+1,1)),"")</f>
        <v/>
      </c>
      <c r="B112" s="1" t="str">
        <f>IF(ROW()&lt;=Results!$C$1+1,VLOOKUP($A112,Data!$A$2:$C$117,2,TRUE),"")</f>
        <v/>
      </c>
      <c r="C112" s="14" t="str">
        <f>IF(ROW()&lt;=Results!$C$1+1,IF(B112&lt;=0,"",LN(B112)),"")</f>
        <v/>
      </c>
      <c r="D112" s="1" t="str">
        <f>IF(ROW()&lt;=Results!$C$1+1,VLOOKUP($A112,Data!$A$2:$C$117,3,TRUE),"")</f>
        <v/>
      </c>
      <c r="E112" s="14" t="str">
        <f>IF(ROW()&lt;=Results!$C$1+1,IF(D112&lt;=0,"",LN(D112)),"")</f>
        <v/>
      </c>
      <c r="F112" s="53" t="str">
        <f>IF(ROW()&lt;=Results!$C$1+1,IF(ISERROR(C112-E112),"",C112-E112),"")</f>
        <v/>
      </c>
    </row>
    <row r="113" spans="1:6" x14ac:dyDescent="0.2">
      <c r="A113" s="1" t="str">
        <f ca="1">IF(ROW()&lt;=Results!$C$1+1,INDEX(Data!$A:$A,CEILING((COUNTA(Data!$A:$A)-1)*RAND()+1,1)),"")</f>
        <v/>
      </c>
      <c r="B113" s="1" t="str">
        <f>IF(ROW()&lt;=Results!$C$1+1,VLOOKUP($A113,Data!$A$2:$C$117,2,TRUE),"")</f>
        <v/>
      </c>
      <c r="C113" s="14" t="str">
        <f>IF(ROW()&lt;=Results!$C$1+1,IF(B113&lt;=0,"",LN(B113)),"")</f>
        <v/>
      </c>
      <c r="D113" s="1" t="str">
        <f>IF(ROW()&lt;=Results!$C$1+1,VLOOKUP($A113,Data!$A$2:$C$117,3,TRUE),"")</f>
        <v/>
      </c>
      <c r="E113" s="14" t="str">
        <f>IF(ROW()&lt;=Results!$C$1+1,IF(D113&lt;=0,"",LN(D113)),"")</f>
        <v/>
      </c>
      <c r="F113" s="53" t="str">
        <f>IF(ROW()&lt;=Results!$C$1+1,IF(ISERROR(C113-E113),"",C113-E113),"")</f>
        <v/>
      </c>
    </row>
    <row r="114" spans="1:6" x14ac:dyDescent="0.2">
      <c r="A114" s="1" t="str">
        <f ca="1">IF(ROW()&lt;=Results!$C$1+1,INDEX(Data!$A:$A,CEILING((COUNTA(Data!$A:$A)-1)*RAND()+1,1)),"")</f>
        <v/>
      </c>
      <c r="B114" s="1" t="str">
        <f>IF(ROW()&lt;=Results!$C$1+1,VLOOKUP($A114,Data!$A$2:$C$117,2,TRUE),"")</f>
        <v/>
      </c>
      <c r="C114" s="14" t="str">
        <f>IF(ROW()&lt;=Results!$C$1+1,IF(B114&lt;=0,"",LN(B114)),"")</f>
        <v/>
      </c>
      <c r="D114" s="1" t="str">
        <f>IF(ROW()&lt;=Results!$C$1+1,VLOOKUP($A114,Data!$A$2:$C$117,3,TRUE),"")</f>
        <v/>
      </c>
      <c r="E114" s="14" t="str">
        <f>IF(ROW()&lt;=Results!$C$1+1,IF(D114&lt;=0,"",LN(D114)),"")</f>
        <v/>
      </c>
      <c r="F114" s="53" t="str">
        <f>IF(ROW()&lt;=Results!$C$1+1,IF(ISERROR(C114-E114),"",C114-E114),"")</f>
        <v/>
      </c>
    </row>
    <row r="115" spans="1:6" x14ac:dyDescent="0.2">
      <c r="A115" s="1" t="str">
        <f ca="1">IF(ROW()&lt;=Results!$C$1+1,INDEX(Data!$A:$A,CEILING((COUNTA(Data!$A:$A)-1)*RAND()+1,1)),"")</f>
        <v/>
      </c>
      <c r="B115" s="1" t="str">
        <f>IF(ROW()&lt;=Results!$C$1+1,VLOOKUP($A115,Data!$A$2:$C$117,2,TRUE),"")</f>
        <v/>
      </c>
      <c r="C115" s="14" t="str">
        <f>IF(ROW()&lt;=Results!$C$1+1,IF(B115&lt;=0,"",LN(B115)),"")</f>
        <v/>
      </c>
      <c r="D115" s="1" t="str">
        <f>IF(ROW()&lt;=Results!$C$1+1,VLOOKUP($A115,Data!$A$2:$C$117,3,TRUE),"")</f>
        <v/>
      </c>
      <c r="E115" s="14" t="str">
        <f>IF(ROW()&lt;=Results!$C$1+1,IF(D115&lt;=0,"",LN(D115)),"")</f>
        <v/>
      </c>
      <c r="F115" s="53" t="str">
        <f>IF(ROW()&lt;=Results!$C$1+1,IF(ISERROR(C115-E115),"",C115-E115),"")</f>
        <v/>
      </c>
    </row>
    <row r="116" spans="1:6" x14ac:dyDescent="0.2">
      <c r="A116" s="1" t="str">
        <f ca="1">IF(ROW()&lt;=Results!$C$1+1,INDEX(Data!$A:$A,CEILING((COUNTA(Data!$A:$A)-1)*RAND()+1,1)),"")</f>
        <v/>
      </c>
      <c r="B116" s="1" t="str">
        <f>IF(ROW()&lt;=Results!$C$1+1,VLOOKUP($A116,Data!$A$2:$C$117,2,TRUE),"")</f>
        <v/>
      </c>
      <c r="C116" s="14" t="str">
        <f>IF(ROW()&lt;=Results!$C$1+1,IF(B116&lt;=0,"",LN(B116)),"")</f>
        <v/>
      </c>
      <c r="D116" s="1" t="str">
        <f>IF(ROW()&lt;=Results!$C$1+1,VLOOKUP($A116,Data!$A$2:$C$117,3,TRUE),"")</f>
        <v/>
      </c>
      <c r="E116" s="14" t="str">
        <f>IF(ROW()&lt;=Results!$C$1+1,IF(D116&lt;=0,"",LN(D116)),"")</f>
        <v/>
      </c>
      <c r="F116" s="53" t="str">
        <f>IF(ROW()&lt;=Results!$C$1+1,IF(ISERROR(C116-E116),"",C116-E116),"")</f>
        <v/>
      </c>
    </row>
    <row r="117" spans="1:6" x14ac:dyDescent="0.2">
      <c r="A117" s="1" t="str">
        <f ca="1">IF(ROW()&lt;=Results!$C$1+1,INDEX(Data!$A:$A,CEILING((COUNTA(Data!$A:$A)-1)*RAND()+1,1)),"")</f>
        <v/>
      </c>
      <c r="B117" s="1" t="str">
        <f>IF(ROW()&lt;=Results!$C$1+1,VLOOKUP($A117,Data!$A$2:$C$117,2,TRUE),"")</f>
        <v/>
      </c>
      <c r="C117" s="14" t="str">
        <f>IF(ROW()&lt;=Results!$C$1+1,IF(B117&lt;=0,"",LN(B117)),"")</f>
        <v/>
      </c>
      <c r="D117" s="1" t="str">
        <f>IF(ROW()&lt;=Results!$C$1+1,VLOOKUP($A117,Data!$A$2:$C$117,3,TRUE),"")</f>
        <v/>
      </c>
      <c r="E117" s="14" t="str">
        <f>IF(ROW()&lt;=Results!$C$1+1,IF(D117&lt;=0,"",LN(D117)),"")</f>
        <v/>
      </c>
      <c r="F117" s="53" t="str">
        <f>IF(ROW()&lt;=Results!$C$1+1,IF(ISERROR(C117-E117),"",C117-E117),"")</f>
        <v/>
      </c>
    </row>
    <row r="118" spans="1:6" x14ac:dyDescent="0.2">
      <c r="A118" s="1" t="str">
        <f ca="1">IF(ROW()&lt;=Results!$C$1+1,INDEX(Data!$A:$A,CEILING((COUNTA(Data!$A:$A)-1)*RAND()+1,1)),"")</f>
        <v/>
      </c>
      <c r="B118" s="1" t="str">
        <f>IF(ROW()&lt;=Results!$C$1+1,VLOOKUP($A118,Data!$A$2:$C$117,2,TRUE),"")</f>
        <v/>
      </c>
      <c r="C118" s="14" t="str">
        <f>IF(ROW()&lt;=Results!$C$1+1,IF(B118&lt;=0,"",LN(B118)),"")</f>
        <v/>
      </c>
      <c r="D118" s="1" t="str">
        <f>IF(ROW()&lt;=Results!$C$1+1,VLOOKUP($A118,Data!$A$2:$C$117,3,TRUE),"")</f>
        <v/>
      </c>
      <c r="E118" s="14" t="str">
        <f>IF(ROW()&lt;=Results!$C$1+1,IF(D118&lt;=0,"",LN(D118)),"")</f>
        <v/>
      </c>
      <c r="F118" s="53" t="str">
        <f>IF(ROW()&lt;=Results!$C$1+1,IF(ISERROR(C118-E118),"",C118-E118),"")</f>
        <v/>
      </c>
    </row>
    <row r="119" spans="1:6" x14ac:dyDescent="0.2">
      <c r="A119" s="1" t="str">
        <f ca="1">IF(ROW()&lt;=Results!$C$1+1,INDEX(Data!$A:$A,CEILING((COUNTA(Data!$A:$A)-1)*RAND()+1,1)),"")</f>
        <v/>
      </c>
      <c r="B119" s="1" t="str">
        <f>IF(ROW()&lt;=Results!$C$1+1,VLOOKUP($A119,Data!$A$2:$C$117,2,TRUE),"")</f>
        <v/>
      </c>
      <c r="C119" s="14" t="str">
        <f>IF(ROW()&lt;=Results!$C$1+1,IF(B119&lt;=0,"",LN(B119)),"")</f>
        <v/>
      </c>
      <c r="D119" s="1" t="str">
        <f>IF(ROW()&lt;=Results!$C$1+1,VLOOKUP($A119,Data!$A$2:$C$117,3,TRUE),"")</f>
        <v/>
      </c>
      <c r="E119" s="14" t="str">
        <f>IF(ROW()&lt;=Results!$C$1+1,IF(D119&lt;=0,"",LN(D119)),"")</f>
        <v/>
      </c>
      <c r="F119" s="53" t="str">
        <f>IF(ROW()&lt;=Results!$C$1+1,IF(ISERROR(C119-E119),"",C119-E119),"")</f>
        <v/>
      </c>
    </row>
    <row r="120" spans="1:6" x14ac:dyDescent="0.2">
      <c r="A120" s="1" t="str">
        <f ca="1">IF(ROW()&lt;=Results!$C$1+1,INDEX(Data!$A:$A,CEILING((COUNTA(Data!$A:$A)-1)*RAND()+1,1)),"")</f>
        <v/>
      </c>
      <c r="B120" s="1" t="str">
        <f>IF(ROW()&lt;=Results!$C$1+1,VLOOKUP($A120,Data!$A$2:$C$117,2,TRUE),"")</f>
        <v/>
      </c>
      <c r="C120" s="14" t="str">
        <f>IF(ROW()&lt;=Results!$C$1+1,IF(B120&lt;=0,"",LN(B120)),"")</f>
        <v/>
      </c>
      <c r="D120" s="1" t="str">
        <f>IF(ROW()&lt;=Results!$C$1+1,VLOOKUP($A120,Data!$A$2:$C$117,3,TRUE),"")</f>
        <v/>
      </c>
      <c r="E120" s="14" t="str">
        <f>IF(ROW()&lt;=Results!$C$1+1,IF(D120&lt;=0,"",LN(D120)),"")</f>
        <v/>
      </c>
      <c r="F120" s="53" t="str">
        <f>IF(ROW()&lt;=Results!$C$1+1,IF(ISERROR(C120-E120),"",C120-E120),"")</f>
        <v/>
      </c>
    </row>
    <row r="121" spans="1:6" x14ac:dyDescent="0.2">
      <c r="A121" s="1" t="str">
        <f ca="1">IF(ROW()&lt;=Results!$C$1+1,INDEX(Data!$A:$A,CEILING((COUNTA(Data!$A:$A)-1)*RAND()+1,1)),"")</f>
        <v/>
      </c>
      <c r="B121" s="1" t="str">
        <f>IF(ROW()&lt;=Results!$C$1+1,VLOOKUP($A121,Data!$A$2:$C$117,2,TRUE),"")</f>
        <v/>
      </c>
      <c r="C121" s="14" t="str">
        <f>IF(ROW()&lt;=Results!$C$1+1,IF(B121&lt;=0,"",LN(B121)),"")</f>
        <v/>
      </c>
      <c r="D121" s="1" t="str">
        <f>IF(ROW()&lt;=Results!$C$1+1,VLOOKUP($A121,Data!$A$2:$C$117,3,TRUE),"")</f>
        <v/>
      </c>
      <c r="E121" s="14" t="str">
        <f>IF(ROW()&lt;=Results!$C$1+1,IF(D121&lt;=0,"",LN(D121)),"")</f>
        <v/>
      </c>
      <c r="F121" s="53" t="str">
        <f>IF(ROW()&lt;=Results!$C$1+1,IF(ISERROR(C121-E121),"",C121-E121),"")</f>
        <v/>
      </c>
    </row>
    <row r="122" spans="1:6" x14ac:dyDescent="0.2">
      <c r="A122" s="1" t="str">
        <f ca="1">IF(ROW()&lt;=Results!$C$1+1,INDEX(Data!$A:$A,CEILING((COUNTA(Data!$A:$A)-1)*RAND()+1,1)),"")</f>
        <v/>
      </c>
      <c r="B122" s="1" t="str">
        <f>IF(ROW()&lt;=Results!$C$1+1,VLOOKUP($A122,Data!$A$2:$C$117,2,TRUE),"")</f>
        <v/>
      </c>
      <c r="C122" s="14" t="str">
        <f>IF(ROW()&lt;=Results!$C$1+1,IF(B122&lt;=0,"",LN(B122)),"")</f>
        <v/>
      </c>
      <c r="D122" s="1" t="str">
        <f>IF(ROW()&lt;=Results!$C$1+1,VLOOKUP($A122,Data!$A$2:$C$117,3,TRUE),"")</f>
        <v/>
      </c>
      <c r="E122" s="14" t="str">
        <f>IF(ROW()&lt;=Results!$C$1+1,IF(D122&lt;=0,"",LN(D122)),"")</f>
        <v/>
      </c>
      <c r="F122" s="53" t="str">
        <f>IF(ROW()&lt;=Results!$C$1+1,IF(ISERROR(C122-E122),"",C122-E122),"")</f>
        <v/>
      </c>
    </row>
    <row r="123" spans="1:6" x14ac:dyDescent="0.2">
      <c r="A123" s="1" t="str">
        <f ca="1">IF(ROW()&lt;=Results!$C$1+1,INDEX(Data!$A:$A,CEILING((COUNTA(Data!$A:$A)-1)*RAND()+1,1)),"")</f>
        <v/>
      </c>
      <c r="B123" s="1" t="str">
        <f>IF(ROW()&lt;=Results!$C$1+1,VLOOKUP($A123,Data!$A$2:$C$117,2,TRUE),"")</f>
        <v/>
      </c>
      <c r="C123" s="14" t="str">
        <f>IF(ROW()&lt;=Results!$C$1+1,IF(B123&lt;=0,"",LN(B123)),"")</f>
        <v/>
      </c>
      <c r="D123" s="1" t="str">
        <f>IF(ROW()&lt;=Results!$C$1+1,VLOOKUP($A123,Data!$A$2:$C$117,3,TRUE),"")</f>
        <v/>
      </c>
      <c r="E123" s="14" t="str">
        <f>IF(ROW()&lt;=Results!$C$1+1,IF(D123&lt;=0,"",LN(D123)),"")</f>
        <v/>
      </c>
      <c r="F123" s="53" t="str">
        <f>IF(ROW()&lt;=Results!$C$1+1,IF(ISERROR(C123-E123),"",C123-E123),"")</f>
        <v/>
      </c>
    </row>
    <row r="124" spans="1:6" x14ac:dyDescent="0.2">
      <c r="A124" s="1" t="str">
        <f ca="1">IF(ROW()&lt;=Results!$C$1+1,INDEX(Data!$A:$A,CEILING((COUNTA(Data!$A:$A)-1)*RAND()+1,1)),"")</f>
        <v/>
      </c>
      <c r="B124" s="1" t="str">
        <f>IF(ROW()&lt;=Results!$C$1+1,VLOOKUP($A124,Data!$A$2:$C$117,2,TRUE),"")</f>
        <v/>
      </c>
      <c r="C124" s="14" t="str">
        <f>IF(ROW()&lt;=Results!$C$1+1,IF(B124&lt;=0,"",LN(B124)),"")</f>
        <v/>
      </c>
      <c r="D124" s="1" t="str">
        <f>IF(ROW()&lt;=Results!$C$1+1,VLOOKUP($A124,Data!$A$2:$C$117,3,TRUE),"")</f>
        <v/>
      </c>
      <c r="E124" s="14" t="str">
        <f>IF(ROW()&lt;=Results!$C$1+1,IF(D124&lt;=0,"",LN(D124)),"")</f>
        <v/>
      </c>
      <c r="F124" s="53" t="str">
        <f>IF(ROW()&lt;=Results!$C$1+1,IF(ISERROR(C124-E124),"",C124-E124),"")</f>
        <v/>
      </c>
    </row>
    <row r="125" spans="1:6" x14ac:dyDescent="0.2">
      <c r="A125" s="1" t="str">
        <f ca="1">IF(ROW()&lt;=Results!$C$1+1,INDEX(Data!$A:$A,CEILING((COUNTA(Data!$A:$A)-1)*RAND()+1,1)),"")</f>
        <v/>
      </c>
      <c r="B125" s="1" t="str">
        <f>IF(ROW()&lt;=Results!$C$1+1,VLOOKUP($A125,Data!$A$2:$C$117,2,TRUE),"")</f>
        <v/>
      </c>
      <c r="C125" s="14" t="str">
        <f>IF(ROW()&lt;=Results!$C$1+1,IF(B125&lt;=0,"",LN(B125)),"")</f>
        <v/>
      </c>
      <c r="D125" s="1" t="str">
        <f>IF(ROW()&lt;=Results!$C$1+1,VLOOKUP($A125,Data!$A$2:$C$117,3,TRUE),"")</f>
        <v/>
      </c>
      <c r="E125" s="14" t="str">
        <f>IF(ROW()&lt;=Results!$C$1+1,IF(D125&lt;=0,"",LN(D125)),"")</f>
        <v/>
      </c>
      <c r="F125" s="53" t="str">
        <f>IF(ROW()&lt;=Results!$C$1+1,IF(ISERROR(C125-E125),"",C125-E125),"")</f>
        <v/>
      </c>
    </row>
    <row r="126" spans="1:6" x14ac:dyDescent="0.2">
      <c r="A126" s="1" t="str">
        <f ca="1">IF(ROW()&lt;=Results!$C$1+1,INDEX(Data!$A:$A,CEILING((COUNTA(Data!$A:$A)-1)*RAND()+1,1)),"")</f>
        <v/>
      </c>
      <c r="B126" s="1" t="str">
        <f>IF(ROW()&lt;=Results!$C$1+1,VLOOKUP($A126,Data!$A$2:$C$117,2,TRUE),"")</f>
        <v/>
      </c>
      <c r="C126" s="14" t="str">
        <f>IF(ROW()&lt;=Results!$C$1+1,IF(B126&lt;=0,"",LN(B126)),"")</f>
        <v/>
      </c>
      <c r="D126" s="1" t="str">
        <f>IF(ROW()&lt;=Results!$C$1+1,VLOOKUP($A126,Data!$A$2:$C$117,3,TRUE),"")</f>
        <v/>
      </c>
      <c r="E126" s="14" t="str">
        <f>IF(ROW()&lt;=Results!$C$1+1,IF(D126&lt;=0,"",LN(D126)),"")</f>
        <v/>
      </c>
      <c r="F126" s="53" t="str">
        <f>IF(ROW()&lt;=Results!$C$1+1,IF(ISERROR(C126-E126),"",C126-E126),"")</f>
        <v/>
      </c>
    </row>
    <row r="127" spans="1:6" x14ac:dyDescent="0.2">
      <c r="A127" s="1" t="str">
        <f ca="1">IF(ROW()&lt;=Results!$C$1+1,INDEX(Data!$A:$A,CEILING((COUNTA(Data!$A:$A)-1)*RAND()+1,1)),"")</f>
        <v/>
      </c>
      <c r="B127" s="1" t="str">
        <f>IF(ROW()&lt;=Results!$C$1+1,VLOOKUP($A127,Data!$A$2:$C$117,2,TRUE),"")</f>
        <v/>
      </c>
      <c r="C127" s="14" t="str">
        <f>IF(ROW()&lt;=Results!$C$1+1,IF(B127&lt;=0,"",LN(B127)),"")</f>
        <v/>
      </c>
      <c r="D127" s="1" t="str">
        <f>IF(ROW()&lt;=Results!$C$1+1,VLOOKUP($A127,Data!$A$2:$C$117,3,TRUE),"")</f>
        <v/>
      </c>
      <c r="E127" s="14" t="str">
        <f>IF(ROW()&lt;=Results!$C$1+1,IF(D127&lt;=0,"",LN(D127)),"")</f>
        <v/>
      </c>
      <c r="F127" s="53" t="str">
        <f>IF(ROW()&lt;=Results!$C$1+1,IF(ISERROR(C127-E127),"",C127-E127),"")</f>
        <v/>
      </c>
    </row>
    <row r="128" spans="1:6" x14ac:dyDescent="0.2">
      <c r="A128" s="1" t="str">
        <f ca="1">IF(ROW()&lt;=Results!$C$1+1,INDEX(Data!$A:$A,CEILING((COUNTA(Data!$A:$A)-1)*RAND()+1,1)),"")</f>
        <v/>
      </c>
      <c r="B128" s="1" t="str">
        <f>IF(ROW()&lt;=Results!$C$1+1,VLOOKUP($A128,Data!$A$2:$C$117,2,TRUE),"")</f>
        <v/>
      </c>
      <c r="C128" s="14" t="str">
        <f>IF(ROW()&lt;=Results!$C$1+1,IF(B128&lt;=0,"",LN(B128)),"")</f>
        <v/>
      </c>
      <c r="D128" s="1" t="str">
        <f>IF(ROW()&lt;=Results!$C$1+1,VLOOKUP($A128,Data!$A$2:$C$117,3,TRUE),"")</f>
        <v/>
      </c>
      <c r="E128" s="14" t="str">
        <f>IF(ROW()&lt;=Results!$C$1+1,IF(D128&lt;=0,"",LN(D128)),"")</f>
        <v/>
      </c>
      <c r="F128" s="53" t="str">
        <f>IF(ROW()&lt;=Results!$C$1+1,IF(ISERROR(C128-E128),"",C128-E128),"")</f>
        <v/>
      </c>
    </row>
    <row r="129" spans="1:6" x14ac:dyDescent="0.2">
      <c r="A129" s="1" t="str">
        <f ca="1">IF(ROW()&lt;=Results!$C$1+1,INDEX(Data!$A:$A,CEILING((COUNTA(Data!$A:$A)-1)*RAND()+1,1)),"")</f>
        <v/>
      </c>
      <c r="B129" s="1" t="str">
        <f>IF(ROW()&lt;=Results!$C$1+1,VLOOKUP($A129,Data!$A$2:$C$117,2,TRUE),"")</f>
        <v/>
      </c>
      <c r="C129" s="14" t="str">
        <f>IF(ROW()&lt;=Results!$C$1+1,IF(B129&lt;=0,"",LN(B129)),"")</f>
        <v/>
      </c>
      <c r="D129" s="1" t="str">
        <f>IF(ROW()&lt;=Results!$C$1+1,VLOOKUP($A129,Data!$A$2:$C$117,3,TRUE),"")</f>
        <v/>
      </c>
      <c r="E129" s="14" t="str">
        <f>IF(ROW()&lt;=Results!$C$1+1,IF(D129&lt;=0,"",LN(D129)),"")</f>
        <v/>
      </c>
      <c r="F129" s="53" t="str">
        <f>IF(ROW()&lt;=Results!$C$1+1,IF(ISERROR(C129-E129),"",C129-E129),"")</f>
        <v/>
      </c>
    </row>
    <row r="130" spans="1:6" x14ac:dyDescent="0.2">
      <c r="A130" s="1" t="str">
        <f ca="1">IF(ROW()&lt;=Results!$C$1+1,INDEX(Data!$A:$A,CEILING((COUNTA(Data!$A:$A)-1)*RAND()+1,1)),"")</f>
        <v/>
      </c>
      <c r="B130" s="1" t="str">
        <f>IF(ROW()&lt;=Results!$C$1+1,VLOOKUP($A130,Data!$A$2:$C$117,2,TRUE),"")</f>
        <v/>
      </c>
      <c r="C130" s="14" t="str">
        <f>IF(ROW()&lt;=Results!$C$1+1,IF(B130&lt;=0,"",LN(B130)),"")</f>
        <v/>
      </c>
      <c r="D130" s="1" t="str">
        <f>IF(ROW()&lt;=Results!$C$1+1,VLOOKUP($A130,Data!$A$2:$C$117,3,TRUE),"")</f>
        <v/>
      </c>
      <c r="E130" s="14" t="str">
        <f>IF(ROW()&lt;=Results!$C$1+1,IF(D130&lt;=0,"",LN(D130)),"")</f>
        <v/>
      </c>
      <c r="F130" s="53" t="str">
        <f>IF(ROW()&lt;=Results!$C$1+1,IF(ISERROR(C130-E130),"",C130-E130),"")</f>
        <v/>
      </c>
    </row>
    <row r="131" spans="1:6" x14ac:dyDescent="0.2">
      <c r="A131" s="1" t="str">
        <f ca="1">IF(ROW()&lt;=Results!$C$1+1,INDEX(Data!$A:$A,CEILING((COUNTA(Data!$A:$A)-1)*RAND()+1,1)),"")</f>
        <v/>
      </c>
      <c r="B131" s="1" t="str">
        <f>IF(ROW()&lt;=Results!$C$1+1,VLOOKUP($A131,Data!$A$2:$C$117,2,TRUE),"")</f>
        <v/>
      </c>
      <c r="C131" s="14" t="str">
        <f>IF(ROW()&lt;=Results!$C$1+1,IF(B131&lt;=0,"",LN(B131)),"")</f>
        <v/>
      </c>
      <c r="D131" s="1" t="str">
        <f>IF(ROW()&lt;=Results!$C$1+1,VLOOKUP($A131,Data!$A$2:$C$117,3,TRUE),"")</f>
        <v/>
      </c>
      <c r="E131" s="14" t="str">
        <f>IF(ROW()&lt;=Results!$C$1+1,IF(D131&lt;=0,"",LN(D131)),"")</f>
        <v/>
      </c>
      <c r="F131" s="53" t="str">
        <f>IF(ROW()&lt;=Results!$C$1+1,IF(ISERROR(C131-E131),"",C131-E131),"")</f>
        <v/>
      </c>
    </row>
    <row r="132" spans="1:6" x14ac:dyDescent="0.2">
      <c r="A132" s="1" t="str">
        <f ca="1">IF(ROW()&lt;=Results!$C$1+1,INDEX(Data!$A:$A,CEILING((COUNTA(Data!$A:$A)-1)*RAND()+1,1)),"")</f>
        <v/>
      </c>
      <c r="B132" s="1" t="str">
        <f>IF(ROW()&lt;=Results!$C$1+1,VLOOKUP($A132,Data!$A$2:$C$117,2,TRUE),"")</f>
        <v/>
      </c>
      <c r="C132" s="14" t="str">
        <f>IF(ROW()&lt;=Results!$C$1+1,IF(B132&lt;=0,"",LN(B132)),"")</f>
        <v/>
      </c>
      <c r="D132" s="1" t="str">
        <f>IF(ROW()&lt;=Results!$C$1+1,VLOOKUP($A132,Data!$A$2:$C$117,3,TRUE),"")</f>
        <v/>
      </c>
      <c r="E132" s="14" t="str">
        <f>IF(ROW()&lt;=Results!$C$1+1,IF(D132&lt;=0,"",LN(D132)),"")</f>
        <v/>
      </c>
      <c r="F132" s="53" t="str">
        <f>IF(ROW()&lt;=Results!$C$1+1,IF(ISERROR(C132-E132),"",C132-E132),"")</f>
        <v/>
      </c>
    </row>
    <row r="133" spans="1:6" x14ac:dyDescent="0.2">
      <c r="A133" s="1" t="str">
        <f ca="1">IF(ROW()&lt;=Results!$C$1+1,INDEX(Data!$A:$A,CEILING((COUNTA(Data!$A:$A)-1)*RAND()+1,1)),"")</f>
        <v/>
      </c>
      <c r="B133" s="1" t="str">
        <f>IF(ROW()&lt;=Results!$C$1+1,VLOOKUP($A133,Data!$A$2:$C$117,2,TRUE),"")</f>
        <v/>
      </c>
      <c r="C133" s="14" t="str">
        <f>IF(ROW()&lt;=Results!$C$1+1,IF(B133&lt;=0,"",LN(B133)),"")</f>
        <v/>
      </c>
      <c r="D133" s="1" t="str">
        <f>IF(ROW()&lt;=Results!$C$1+1,VLOOKUP($A133,Data!$A$2:$C$117,3,TRUE),"")</f>
        <v/>
      </c>
      <c r="E133" s="14" t="str">
        <f>IF(ROW()&lt;=Results!$C$1+1,IF(D133&lt;=0,"",LN(D133)),"")</f>
        <v/>
      </c>
      <c r="F133" s="53" t="str">
        <f>IF(ROW()&lt;=Results!$C$1+1,IF(ISERROR(C133-E133),"",C133-E133),"")</f>
        <v/>
      </c>
    </row>
    <row r="134" spans="1:6" x14ac:dyDescent="0.2">
      <c r="A134" s="1" t="str">
        <f ca="1">IF(ROW()&lt;=Results!$C$1+1,INDEX(Data!$A:$A,CEILING((COUNTA(Data!$A:$A)-1)*RAND()+1,1)),"")</f>
        <v/>
      </c>
      <c r="B134" s="1" t="str">
        <f>IF(ROW()&lt;=Results!$C$1+1,VLOOKUP($A134,Data!$A$2:$C$117,2,TRUE),"")</f>
        <v/>
      </c>
      <c r="C134" s="14" t="str">
        <f>IF(ROW()&lt;=Results!$C$1+1,IF(B134&lt;=0,"",LN(B134)),"")</f>
        <v/>
      </c>
      <c r="D134" s="1" t="str">
        <f>IF(ROW()&lt;=Results!$C$1+1,VLOOKUP($A134,Data!$A$2:$C$117,3,TRUE),"")</f>
        <v/>
      </c>
      <c r="E134" s="14" t="str">
        <f>IF(ROW()&lt;=Results!$C$1+1,IF(D134&lt;=0,"",LN(D134)),"")</f>
        <v/>
      </c>
      <c r="F134" s="53" t="str">
        <f>IF(ROW()&lt;=Results!$C$1+1,IF(ISERROR(C134-E134),"",C134-E134),"")</f>
        <v/>
      </c>
    </row>
    <row r="135" spans="1:6" x14ac:dyDescent="0.2">
      <c r="A135" s="1" t="str">
        <f ca="1">IF(ROW()&lt;=Results!$C$1+1,INDEX(Data!$A:$A,CEILING((COUNTA(Data!$A:$A)-1)*RAND()+1,1)),"")</f>
        <v/>
      </c>
      <c r="B135" s="1" t="str">
        <f>IF(ROW()&lt;=Results!$C$1+1,VLOOKUP($A135,Data!$A$2:$C$117,2,TRUE),"")</f>
        <v/>
      </c>
      <c r="C135" s="14" t="str">
        <f>IF(ROW()&lt;=Results!$C$1+1,IF(B135&lt;=0,"",LN(B135)),"")</f>
        <v/>
      </c>
      <c r="D135" s="1" t="str">
        <f>IF(ROW()&lt;=Results!$C$1+1,VLOOKUP($A135,Data!$A$2:$C$117,3,TRUE),"")</f>
        <v/>
      </c>
      <c r="E135" s="14" t="str">
        <f>IF(ROW()&lt;=Results!$C$1+1,IF(D135&lt;=0,"",LN(D135)),"")</f>
        <v/>
      </c>
      <c r="F135" s="53" t="str">
        <f>IF(ROW()&lt;=Results!$C$1+1,IF(ISERROR(C135-E135),"",C135-E135),"")</f>
        <v/>
      </c>
    </row>
    <row r="136" spans="1:6" x14ac:dyDescent="0.2">
      <c r="A136" s="1" t="str">
        <f ca="1">IF(ROW()&lt;=Results!$C$1+1,INDEX(Data!$A:$A,CEILING((COUNTA(Data!$A:$A)-1)*RAND()+1,1)),"")</f>
        <v/>
      </c>
      <c r="B136" s="1" t="str">
        <f>IF(ROW()&lt;=Results!$C$1+1,VLOOKUP($A136,Data!$A$2:$C$117,2,TRUE),"")</f>
        <v/>
      </c>
      <c r="C136" s="14" t="str">
        <f>IF(ROW()&lt;=Results!$C$1+1,IF(B136&lt;=0,"",LN(B136)),"")</f>
        <v/>
      </c>
      <c r="D136" s="1" t="str">
        <f>IF(ROW()&lt;=Results!$C$1+1,VLOOKUP($A136,Data!$A$2:$C$117,3,TRUE),"")</f>
        <v/>
      </c>
      <c r="E136" s="14" t="str">
        <f>IF(ROW()&lt;=Results!$C$1+1,IF(D136&lt;=0,"",LN(D136)),"")</f>
        <v/>
      </c>
      <c r="F136" s="53" t="str">
        <f>IF(ROW()&lt;=Results!$C$1+1,IF(ISERROR(C136-E136),"",C136-E136),"")</f>
        <v/>
      </c>
    </row>
    <row r="137" spans="1:6" x14ac:dyDescent="0.2">
      <c r="A137" s="1" t="str">
        <f ca="1">IF(ROW()&lt;=Results!$C$1+1,INDEX(Data!$A:$A,CEILING((COUNTA(Data!$A:$A)-1)*RAND()+1,1)),"")</f>
        <v/>
      </c>
      <c r="B137" s="1" t="str">
        <f>IF(ROW()&lt;=Results!$C$1+1,VLOOKUP($A137,Data!$A$2:$C$117,2,TRUE),"")</f>
        <v/>
      </c>
      <c r="C137" s="14" t="str">
        <f>IF(ROW()&lt;=Results!$C$1+1,IF(B137&lt;=0,"",LN(B137)),"")</f>
        <v/>
      </c>
      <c r="D137" s="1" t="str">
        <f>IF(ROW()&lt;=Results!$C$1+1,VLOOKUP($A137,Data!$A$2:$C$117,3,TRUE),"")</f>
        <v/>
      </c>
      <c r="E137" s="14" t="str">
        <f>IF(ROW()&lt;=Results!$C$1+1,IF(D137&lt;=0,"",LN(D137)),"")</f>
        <v/>
      </c>
      <c r="F137" s="53" t="str">
        <f>IF(ROW()&lt;=Results!$C$1+1,IF(ISERROR(C137-E137),"",C137-E137),"")</f>
        <v/>
      </c>
    </row>
    <row r="138" spans="1:6" x14ac:dyDescent="0.2">
      <c r="A138" s="1" t="str">
        <f ca="1">IF(ROW()&lt;=Results!$C$1+1,INDEX(Data!$A:$A,CEILING((COUNTA(Data!$A:$A)-1)*RAND()+1,1)),"")</f>
        <v/>
      </c>
      <c r="B138" s="1" t="str">
        <f>IF(ROW()&lt;=Results!$C$1+1,VLOOKUP($A138,Data!$A$2:$C$117,2,TRUE),"")</f>
        <v/>
      </c>
      <c r="C138" s="14" t="str">
        <f>IF(ROW()&lt;=Results!$C$1+1,IF(B138&lt;=0,"",LN(B138)),"")</f>
        <v/>
      </c>
      <c r="D138" s="1" t="str">
        <f>IF(ROW()&lt;=Results!$C$1+1,VLOOKUP($A138,Data!$A$2:$C$117,3,TRUE),"")</f>
        <v/>
      </c>
      <c r="E138" s="14" t="str">
        <f>IF(ROW()&lt;=Results!$C$1+1,IF(D138&lt;=0,"",LN(D138)),"")</f>
        <v/>
      </c>
      <c r="F138" s="53" t="str">
        <f>IF(ROW()&lt;=Results!$C$1+1,IF(ISERROR(C138-E138),"",C138-E138),"")</f>
        <v/>
      </c>
    </row>
    <row r="139" spans="1:6" x14ac:dyDescent="0.2">
      <c r="A139" s="1" t="str">
        <f ca="1">IF(ROW()&lt;=Results!$C$1+1,INDEX(Data!$A:$A,CEILING((COUNTA(Data!$A:$A)-1)*RAND()+1,1)),"")</f>
        <v/>
      </c>
      <c r="B139" s="1" t="str">
        <f>IF(ROW()&lt;=Results!$C$1+1,VLOOKUP($A139,Data!$A$2:$C$117,2,TRUE),"")</f>
        <v/>
      </c>
      <c r="C139" s="14" t="str">
        <f>IF(ROW()&lt;=Results!$C$1+1,IF(B139&lt;=0,"",LN(B139)),"")</f>
        <v/>
      </c>
      <c r="D139" s="1" t="str">
        <f>IF(ROW()&lt;=Results!$C$1+1,VLOOKUP($A139,Data!$A$2:$C$117,3,TRUE),"")</f>
        <v/>
      </c>
      <c r="E139" s="14" t="str">
        <f>IF(ROW()&lt;=Results!$C$1+1,IF(D139&lt;=0,"",LN(D139)),"")</f>
        <v/>
      </c>
      <c r="F139" s="53" t="str">
        <f>IF(ROW()&lt;=Results!$C$1+1,IF(ISERROR(C139-E139),"",C139-E139),"")</f>
        <v/>
      </c>
    </row>
    <row r="140" spans="1:6" x14ac:dyDescent="0.2">
      <c r="A140" s="1" t="str">
        <f ca="1">IF(ROW()&lt;=Results!$C$1+1,INDEX(Data!$A:$A,CEILING((COUNTA(Data!$A:$A)-1)*RAND()+1,1)),"")</f>
        <v/>
      </c>
      <c r="B140" s="1" t="str">
        <f>IF(ROW()&lt;=Results!$C$1+1,VLOOKUP($A140,Data!$A$2:$C$117,2,TRUE),"")</f>
        <v/>
      </c>
      <c r="C140" s="14" t="str">
        <f>IF(ROW()&lt;=Results!$C$1+1,IF(B140&lt;=0,"",LN(B140)),"")</f>
        <v/>
      </c>
      <c r="D140" s="1" t="str">
        <f>IF(ROW()&lt;=Results!$C$1+1,VLOOKUP($A140,Data!$A$2:$C$117,3,TRUE),"")</f>
        <v/>
      </c>
      <c r="E140" s="14" t="str">
        <f>IF(ROW()&lt;=Results!$C$1+1,IF(D140&lt;=0,"",LN(D140)),"")</f>
        <v/>
      </c>
      <c r="F140" s="53" t="str">
        <f>IF(ROW()&lt;=Results!$C$1+1,IF(ISERROR(C140-E140),"",C140-E140),"")</f>
        <v/>
      </c>
    </row>
    <row r="141" spans="1:6" x14ac:dyDescent="0.2">
      <c r="A141" s="1" t="str">
        <f ca="1">IF(ROW()&lt;=Results!$C$1+1,INDEX(Data!$A:$A,CEILING((COUNTA(Data!$A:$A)-1)*RAND()+1,1)),"")</f>
        <v/>
      </c>
      <c r="B141" s="1" t="str">
        <f>IF(ROW()&lt;=Results!$C$1+1,VLOOKUP($A141,Data!$A$2:$C$117,2,TRUE),"")</f>
        <v/>
      </c>
      <c r="C141" s="14" t="str">
        <f>IF(ROW()&lt;=Results!$C$1+1,IF(B141&lt;=0,"",LN(B141)),"")</f>
        <v/>
      </c>
      <c r="D141" s="1" t="str">
        <f>IF(ROW()&lt;=Results!$C$1+1,VLOOKUP($A141,Data!$A$2:$C$117,3,TRUE),"")</f>
        <v/>
      </c>
      <c r="E141" s="14" t="str">
        <f>IF(ROW()&lt;=Results!$C$1+1,IF(D141&lt;=0,"",LN(D141)),"")</f>
        <v/>
      </c>
      <c r="F141" s="53" t="str">
        <f>IF(ROW()&lt;=Results!$C$1+1,IF(ISERROR(C141-E141),"",C141-E141),"")</f>
        <v/>
      </c>
    </row>
    <row r="142" spans="1:6" x14ac:dyDescent="0.2">
      <c r="A142" s="1" t="str">
        <f ca="1">IF(ROW()&lt;=Results!$C$1+1,INDEX(Data!$A:$A,CEILING((COUNTA(Data!$A:$A)-1)*RAND()+1,1)),"")</f>
        <v/>
      </c>
      <c r="B142" s="1" t="str">
        <f>IF(ROW()&lt;=Results!$C$1+1,VLOOKUP($A142,Data!$A$2:$C$117,2,TRUE),"")</f>
        <v/>
      </c>
      <c r="C142" s="14" t="str">
        <f>IF(ROW()&lt;=Results!$C$1+1,IF(B142&lt;=0,"",LN(B142)),"")</f>
        <v/>
      </c>
      <c r="D142" s="1" t="str">
        <f>IF(ROW()&lt;=Results!$C$1+1,VLOOKUP($A142,Data!$A$2:$C$117,3,TRUE),"")</f>
        <v/>
      </c>
      <c r="E142" s="14" t="str">
        <f>IF(ROW()&lt;=Results!$C$1+1,IF(D142&lt;=0,"",LN(D142)),"")</f>
        <v/>
      </c>
      <c r="F142" s="53" t="str">
        <f>IF(ROW()&lt;=Results!$C$1+1,IF(ISERROR(C142-E142),"",C142-E142),"")</f>
        <v/>
      </c>
    </row>
    <row r="143" spans="1:6" x14ac:dyDescent="0.2">
      <c r="A143" s="1" t="str">
        <f ca="1">IF(ROW()&lt;=Results!$C$1+1,INDEX(Data!$A:$A,CEILING((COUNTA(Data!$A:$A)-1)*RAND()+1,1)),"")</f>
        <v/>
      </c>
      <c r="B143" s="1" t="str">
        <f>IF(ROW()&lt;=Results!$C$1+1,VLOOKUP($A143,Data!$A$2:$C$117,2,TRUE),"")</f>
        <v/>
      </c>
      <c r="C143" s="14" t="str">
        <f>IF(ROW()&lt;=Results!$C$1+1,IF(B143&lt;=0,"",LN(B143)),"")</f>
        <v/>
      </c>
      <c r="D143" s="1" t="str">
        <f>IF(ROW()&lt;=Results!$C$1+1,VLOOKUP($A143,Data!$A$2:$C$117,3,TRUE),"")</f>
        <v/>
      </c>
      <c r="E143" s="14" t="str">
        <f>IF(ROW()&lt;=Results!$C$1+1,IF(D143&lt;=0,"",LN(D143)),"")</f>
        <v/>
      </c>
      <c r="F143" s="53" t="str">
        <f>IF(ROW()&lt;=Results!$C$1+1,IF(ISERROR(C143-E143),"",C143-E143),"")</f>
        <v/>
      </c>
    </row>
    <row r="144" spans="1:6" x14ac:dyDescent="0.2">
      <c r="A144" s="1" t="str">
        <f ca="1">IF(ROW()&lt;=Results!$C$1+1,INDEX(Data!$A:$A,CEILING((COUNTA(Data!$A:$A)-1)*RAND()+1,1)),"")</f>
        <v/>
      </c>
      <c r="B144" s="1" t="str">
        <f>IF(ROW()&lt;=Results!$C$1+1,VLOOKUP($A144,Data!$A$2:$C$117,2,TRUE),"")</f>
        <v/>
      </c>
      <c r="C144" s="14" t="str">
        <f>IF(ROW()&lt;=Results!$C$1+1,IF(B144&lt;=0,"",LN(B144)),"")</f>
        <v/>
      </c>
      <c r="D144" s="1" t="str">
        <f>IF(ROW()&lt;=Results!$C$1+1,VLOOKUP($A144,Data!$A$2:$C$117,3,TRUE),"")</f>
        <v/>
      </c>
      <c r="E144" s="14" t="str">
        <f>IF(ROW()&lt;=Results!$C$1+1,IF(D144&lt;=0,"",LN(D144)),"")</f>
        <v/>
      </c>
      <c r="F144" s="53" t="str">
        <f>IF(ROW()&lt;=Results!$C$1+1,IF(ISERROR(C144-E144),"",C144-E144),"")</f>
        <v/>
      </c>
    </row>
    <row r="145" spans="1:6" x14ac:dyDescent="0.2">
      <c r="A145" s="1" t="str">
        <f ca="1">IF(ROW()&lt;=Results!$C$1+1,INDEX(Data!$A:$A,CEILING((COUNTA(Data!$A:$A)-1)*RAND()+1,1)),"")</f>
        <v/>
      </c>
      <c r="B145" s="1" t="str">
        <f>IF(ROW()&lt;=Results!$C$1+1,VLOOKUP($A145,Data!$A$2:$C$117,2,TRUE),"")</f>
        <v/>
      </c>
      <c r="C145" s="14" t="str">
        <f>IF(ROW()&lt;=Results!$C$1+1,IF(B145&lt;=0,"",LN(B145)),"")</f>
        <v/>
      </c>
      <c r="D145" s="1" t="str">
        <f>IF(ROW()&lt;=Results!$C$1+1,VLOOKUP($A145,Data!$A$2:$C$117,3,TRUE),"")</f>
        <v/>
      </c>
      <c r="E145" s="14" t="str">
        <f>IF(ROW()&lt;=Results!$C$1+1,IF(D145&lt;=0,"",LN(D145)),"")</f>
        <v/>
      </c>
      <c r="F145" s="53" t="str">
        <f>IF(ROW()&lt;=Results!$C$1+1,IF(ISERROR(C145-E145),"",C145-E145),"")</f>
        <v/>
      </c>
    </row>
    <row r="146" spans="1:6" x14ac:dyDescent="0.2">
      <c r="A146" s="1" t="str">
        <f ca="1">IF(ROW()&lt;=Results!$C$1+1,INDEX(Data!$A:$A,CEILING((COUNTA(Data!$A:$A)-1)*RAND()+1,1)),"")</f>
        <v/>
      </c>
      <c r="B146" s="1" t="str">
        <f>IF(ROW()&lt;=Results!$C$1+1,VLOOKUP($A146,Data!$A$2:$C$117,2,TRUE),"")</f>
        <v/>
      </c>
      <c r="C146" s="14" t="str">
        <f>IF(ROW()&lt;=Results!$C$1+1,IF(B146&lt;=0,"",LN(B146)),"")</f>
        <v/>
      </c>
      <c r="D146" s="1" t="str">
        <f>IF(ROW()&lt;=Results!$C$1+1,VLOOKUP($A146,Data!$A$2:$C$117,3,TRUE),"")</f>
        <v/>
      </c>
      <c r="E146" s="14" t="str">
        <f>IF(ROW()&lt;=Results!$C$1+1,IF(D146&lt;=0,"",LN(D146)),"")</f>
        <v/>
      </c>
      <c r="F146" s="53" t="str">
        <f>IF(ROW()&lt;=Results!$C$1+1,IF(ISERROR(C146-E146),"",C146-E146),"")</f>
        <v/>
      </c>
    </row>
    <row r="147" spans="1:6" x14ac:dyDescent="0.2">
      <c r="A147" s="1" t="str">
        <f ca="1">IF(ROW()&lt;=Results!$C$1+1,INDEX(Data!$A:$A,CEILING((COUNTA(Data!$A:$A)-1)*RAND()+1,1)),"")</f>
        <v/>
      </c>
      <c r="B147" s="1" t="str">
        <f>IF(ROW()&lt;=Results!$C$1+1,VLOOKUP($A147,Data!$A$2:$C$117,2,TRUE),"")</f>
        <v/>
      </c>
      <c r="C147" s="14" t="str">
        <f>IF(ROW()&lt;=Results!$C$1+1,IF(B147&lt;=0,"",LN(B147)),"")</f>
        <v/>
      </c>
      <c r="D147" s="1" t="str">
        <f>IF(ROW()&lt;=Results!$C$1+1,VLOOKUP($A147,Data!$A$2:$C$117,3,TRUE),"")</f>
        <v/>
      </c>
      <c r="E147" s="14" t="str">
        <f>IF(ROW()&lt;=Results!$C$1+1,IF(D147&lt;=0,"",LN(D147)),"")</f>
        <v/>
      </c>
      <c r="F147" s="53" t="str">
        <f>IF(ROW()&lt;=Results!$C$1+1,IF(ISERROR(C147-E147),"",C147-E147),"")</f>
        <v/>
      </c>
    </row>
    <row r="148" spans="1:6" x14ac:dyDescent="0.2">
      <c r="A148" s="1" t="str">
        <f ca="1">IF(ROW()&lt;=Results!$C$1+1,INDEX(Data!$A:$A,CEILING((COUNTA(Data!$A:$A)-1)*RAND()+1,1)),"")</f>
        <v/>
      </c>
      <c r="B148" s="1" t="str">
        <f>IF(ROW()&lt;=Results!$C$1+1,VLOOKUP($A148,Data!$A$2:$C$117,2,TRUE),"")</f>
        <v/>
      </c>
      <c r="C148" s="14" t="str">
        <f>IF(ROW()&lt;=Results!$C$1+1,IF(B148&lt;=0,"",LN(B148)),"")</f>
        <v/>
      </c>
      <c r="D148" s="1" t="str">
        <f>IF(ROW()&lt;=Results!$C$1+1,VLOOKUP($A148,Data!$A$2:$C$117,3,TRUE),"")</f>
        <v/>
      </c>
      <c r="E148" s="14" t="str">
        <f>IF(ROW()&lt;=Results!$C$1+1,IF(D148&lt;=0,"",LN(D148)),"")</f>
        <v/>
      </c>
      <c r="F148" s="53" t="str">
        <f>IF(ROW()&lt;=Results!$C$1+1,IF(ISERROR(C148-E148),"",C148-E148),"")</f>
        <v/>
      </c>
    </row>
    <row r="149" spans="1:6" x14ac:dyDescent="0.2">
      <c r="A149" s="1" t="str">
        <f ca="1">IF(ROW()&lt;=Results!$C$1+1,INDEX(Data!$A:$A,CEILING((COUNTA(Data!$A:$A)-1)*RAND()+1,1)),"")</f>
        <v/>
      </c>
      <c r="B149" s="1" t="str">
        <f>IF(ROW()&lt;=Results!$C$1+1,VLOOKUP($A149,Data!$A$2:$C$117,2,TRUE),"")</f>
        <v/>
      </c>
      <c r="C149" s="14" t="str">
        <f>IF(ROW()&lt;=Results!$C$1+1,IF(B149&lt;=0,"",LN(B149)),"")</f>
        <v/>
      </c>
      <c r="D149" s="1" t="str">
        <f>IF(ROW()&lt;=Results!$C$1+1,VLOOKUP($A149,Data!$A$2:$C$117,3,TRUE),"")</f>
        <v/>
      </c>
      <c r="E149" s="14" t="str">
        <f>IF(ROW()&lt;=Results!$C$1+1,IF(D149&lt;=0,"",LN(D149)),"")</f>
        <v/>
      </c>
      <c r="F149" s="53" t="str">
        <f>IF(ROW()&lt;=Results!$C$1+1,IF(ISERROR(C149-E149),"",C149-E149),"")</f>
        <v/>
      </c>
    </row>
    <row r="150" spans="1:6" x14ac:dyDescent="0.2">
      <c r="A150" s="1" t="str">
        <f ca="1">IF(ROW()&lt;=Results!$C$1+1,INDEX(Data!$A:$A,CEILING((COUNTA(Data!$A:$A)-1)*RAND()+1,1)),"")</f>
        <v/>
      </c>
      <c r="B150" s="1" t="str">
        <f>IF(ROW()&lt;=Results!$C$1+1,VLOOKUP($A150,Data!$A$2:$C$117,2,TRUE),"")</f>
        <v/>
      </c>
      <c r="C150" s="14" t="str">
        <f>IF(ROW()&lt;=Results!$C$1+1,IF(B150&lt;=0,"",LN(B150)),"")</f>
        <v/>
      </c>
      <c r="D150" s="1" t="str">
        <f>IF(ROW()&lt;=Results!$C$1+1,VLOOKUP($A150,Data!$A$2:$C$117,3,TRUE),"")</f>
        <v/>
      </c>
      <c r="E150" s="14" t="str">
        <f>IF(ROW()&lt;=Results!$C$1+1,IF(D150&lt;=0,"",LN(D150)),"")</f>
        <v/>
      </c>
      <c r="F150" s="53" t="str">
        <f>IF(ROW()&lt;=Results!$C$1+1,IF(ISERROR(C150-E150),"",C150-E150),"")</f>
        <v/>
      </c>
    </row>
    <row r="151" spans="1:6" x14ac:dyDescent="0.2">
      <c r="A151" s="1" t="str">
        <f ca="1">IF(ROW()&lt;=Results!$C$1+1,INDEX(Data!$A:$A,CEILING((COUNTA(Data!$A:$A)-1)*RAND()+1,1)),"")</f>
        <v/>
      </c>
      <c r="B151" s="1" t="str">
        <f>IF(ROW()&lt;=Results!$C$1+1,VLOOKUP($A151,Data!$A$2:$C$117,2,TRUE),"")</f>
        <v/>
      </c>
      <c r="C151" s="14" t="str">
        <f>IF(ROW()&lt;=Results!$C$1+1,IF(B151&lt;=0,"",LN(B151)),"")</f>
        <v/>
      </c>
      <c r="D151" s="1" t="str">
        <f>IF(ROW()&lt;=Results!$C$1+1,VLOOKUP($A151,Data!$A$2:$C$117,3,TRUE),"")</f>
        <v/>
      </c>
      <c r="E151" s="14" t="str">
        <f>IF(ROW()&lt;=Results!$C$1+1,IF(D151&lt;=0,"",LN(D151)),"")</f>
        <v/>
      </c>
      <c r="F151" s="53" t="str">
        <f>IF(ROW()&lt;=Results!$C$1+1,IF(ISERROR(C151-E151),"",C151-E151),"")</f>
        <v/>
      </c>
    </row>
    <row r="152" spans="1:6" x14ac:dyDescent="0.2">
      <c r="A152" s="1" t="str">
        <f ca="1">IF(ROW()&lt;=Results!$C$1+1,INDEX(Data!$A:$A,CEILING((COUNTA(Data!$A:$A)-1)*RAND()+1,1)),"")</f>
        <v/>
      </c>
      <c r="B152" s="1" t="str">
        <f>IF(ROW()&lt;=Results!$C$1+1,VLOOKUP($A152,Data!$A$2:$C$117,2,TRUE),"")</f>
        <v/>
      </c>
      <c r="C152" s="14" t="str">
        <f>IF(ROW()&lt;=Results!$C$1+1,IF(B152&lt;=0,"",LN(B152)),"")</f>
        <v/>
      </c>
      <c r="D152" s="1" t="str">
        <f>IF(ROW()&lt;=Results!$C$1+1,VLOOKUP($A152,Data!$A$2:$C$117,3,TRUE),"")</f>
        <v/>
      </c>
      <c r="E152" s="14" t="str">
        <f>IF(ROW()&lt;=Results!$C$1+1,IF(D152&lt;=0,"",LN(D152)),"")</f>
        <v/>
      </c>
      <c r="F152" s="53" t="str">
        <f>IF(ROW()&lt;=Results!$C$1+1,IF(ISERROR(C152-E152),"",C152-E152),"")</f>
        <v/>
      </c>
    </row>
    <row r="153" spans="1:6" x14ac:dyDescent="0.2">
      <c r="A153" s="1" t="str">
        <f ca="1">IF(ROW()&lt;=Results!$C$1+1,INDEX(Data!$A:$A,CEILING((COUNTA(Data!$A:$A)-1)*RAND()+1,1)),"")</f>
        <v/>
      </c>
      <c r="B153" s="1" t="str">
        <f>IF(ROW()&lt;=Results!$C$1+1,VLOOKUP($A153,Data!$A$2:$C$117,2,TRUE),"")</f>
        <v/>
      </c>
      <c r="C153" s="14" t="str">
        <f>IF(ROW()&lt;=Results!$C$1+1,IF(B153&lt;=0,"",LN(B153)),"")</f>
        <v/>
      </c>
      <c r="D153" s="1" t="str">
        <f>IF(ROW()&lt;=Results!$C$1+1,VLOOKUP($A153,Data!$A$2:$C$117,3,TRUE),"")</f>
        <v/>
      </c>
      <c r="E153" s="14" t="str">
        <f>IF(ROW()&lt;=Results!$C$1+1,IF(D153&lt;=0,"",LN(D153)),"")</f>
        <v/>
      </c>
      <c r="F153" s="53" t="str">
        <f>IF(ROW()&lt;=Results!$C$1+1,IF(ISERROR(C153-E153),"",C153-E153),"")</f>
        <v/>
      </c>
    </row>
    <row r="154" spans="1:6" x14ac:dyDescent="0.2">
      <c r="A154" s="1" t="str">
        <f ca="1">IF(ROW()&lt;=Results!$C$1+1,INDEX(Data!$A:$A,CEILING((COUNTA(Data!$A:$A)-1)*RAND()+1,1)),"")</f>
        <v/>
      </c>
      <c r="B154" s="1" t="str">
        <f>IF(ROW()&lt;=Results!$C$1+1,VLOOKUP($A154,Data!$A$2:$C$117,2,TRUE),"")</f>
        <v/>
      </c>
      <c r="C154" s="14" t="str">
        <f>IF(ROW()&lt;=Results!$C$1+1,IF(B154&lt;=0,"",LN(B154)),"")</f>
        <v/>
      </c>
      <c r="D154" s="1" t="str">
        <f>IF(ROW()&lt;=Results!$C$1+1,VLOOKUP($A154,Data!$A$2:$C$117,3,TRUE),"")</f>
        <v/>
      </c>
      <c r="E154" s="14" t="str">
        <f>IF(ROW()&lt;=Results!$C$1+1,IF(D154&lt;=0,"",LN(D154)),"")</f>
        <v/>
      </c>
      <c r="F154" s="53" t="str">
        <f>IF(ROW()&lt;=Results!$C$1+1,IF(ISERROR(C154-E154),"",C154-E154),"")</f>
        <v/>
      </c>
    </row>
    <row r="155" spans="1:6" x14ac:dyDescent="0.2">
      <c r="A155" s="1" t="str">
        <f ca="1">IF(ROW()&lt;=Results!$C$1+1,INDEX(Data!$A:$A,CEILING((COUNTA(Data!$A:$A)-1)*RAND()+1,1)),"")</f>
        <v/>
      </c>
      <c r="B155" s="1" t="str">
        <f>IF(ROW()&lt;=Results!$C$1+1,VLOOKUP($A155,Data!$A$2:$C$117,2,TRUE),"")</f>
        <v/>
      </c>
      <c r="C155" s="14" t="str">
        <f>IF(ROW()&lt;=Results!$C$1+1,IF(B155&lt;=0,"",LN(B155)),"")</f>
        <v/>
      </c>
      <c r="D155" s="1" t="str">
        <f>IF(ROW()&lt;=Results!$C$1+1,VLOOKUP($A155,Data!$A$2:$C$117,3,TRUE),"")</f>
        <v/>
      </c>
      <c r="E155" s="14" t="str">
        <f>IF(ROW()&lt;=Results!$C$1+1,IF(D155&lt;=0,"",LN(D155)),"")</f>
        <v/>
      </c>
      <c r="F155" s="53" t="str">
        <f>IF(ROW()&lt;=Results!$C$1+1,IF(ISERROR(C155-E155),"",C155-E155),"")</f>
        <v/>
      </c>
    </row>
    <row r="156" spans="1:6" x14ac:dyDescent="0.2">
      <c r="A156" s="1" t="str">
        <f ca="1">IF(ROW()&lt;=Results!$C$1+1,INDEX(Data!$A:$A,CEILING((COUNTA(Data!$A:$A)-1)*RAND()+1,1)),"")</f>
        <v/>
      </c>
      <c r="B156" s="1" t="str">
        <f>IF(ROW()&lt;=Results!$C$1+1,VLOOKUP($A156,Data!$A$2:$C$117,2,TRUE),"")</f>
        <v/>
      </c>
      <c r="C156" s="14" t="str">
        <f>IF(ROW()&lt;=Results!$C$1+1,IF(B156&lt;=0,"",LN(B156)),"")</f>
        <v/>
      </c>
      <c r="D156" s="1" t="str">
        <f>IF(ROW()&lt;=Results!$C$1+1,VLOOKUP($A156,Data!$A$2:$C$117,3,TRUE),"")</f>
        <v/>
      </c>
      <c r="E156" s="14" t="str">
        <f>IF(ROW()&lt;=Results!$C$1+1,IF(D156&lt;=0,"",LN(D156)),"")</f>
        <v/>
      </c>
      <c r="F156" s="53" t="str">
        <f>IF(ROW()&lt;=Results!$C$1+1,IF(ISERROR(C156-E156),"",C156-E156),"")</f>
        <v/>
      </c>
    </row>
    <row r="157" spans="1:6" x14ac:dyDescent="0.2">
      <c r="A157" s="1" t="str">
        <f ca="1">IF(ROW()&lt;=Results!$C$1+1,INDEX(Data!$A:$A,CEILING((COUNTA(Data!$A:$A)-1)*RAND()+1,1)),"")</f>
        <v/>
      </c>
      <c r="B157" s="1" t="str">
        <f>IF(ROW()&lt;=Results!$C$1+1,VLOOKUP($A157,Data!$A$2:$C$117,2,TRUE),"")</f>
        <v/>
      </c>
      <c r="C157" s="14" t="str">
        <f>IF(ROW()&lt;=Results!$C$1+1,IF(B157&lt;=0,"",LN(B157)),"")</f>
        <v/>
      </c>
      <c r="D157" s="1" t="str">
        <f>IF(ROW()&lt;=Results!$C$1+1,VLOOKUP($A157,Data!$A$2:$C$117,3,TRUE),"")</f>
        <v/>
      </c>
      <c r="E157" s="14" t="str">
        <f>IF(ROW()&lt;=Results!$C$1+1,IF(D157&lt;=0,"",LN(D157)),"")</f>
        <v/>
      </c>
      <c r="F157" s="53" t="str">
        <f>IF(ROW()&lt;=Results!$C$1+1,IF(ISERROR(C157-E157),"",C157-E157),"")</f>
        <v/>
      </c>
    </row>
    <row r="158" spans="1:6" x14ac:dyDescent="0.2">
      <c r="A158" s="1" t="str">
        <f ca="1">IF(ROW()&lt;=Results!$C$1+1,INDEX(Data!$A:$A,CEILING((COUNTA(Data!$A:$A)-1)*RAND()+1,1)),"")</f>
        <v/>
      </c>
      <c r="B158" s="1" t="str">
        <f>IF(ROW()&lt;=Results!$C$1+1,VLOOKUP($A158,Data!$A$2:$C$117,2,TRUE),"")</f>
        <v/>
      </c>
      <c r="C158" s="14" t="str">
        <f>IF(ROW()&lt;=Results!$C$1+1,IF(B158&lt;=0,"",LN(B158)),"")</f>
        <v/>
      </c>
      <c r="D158" s="1" t="str">
        <f>IF(ROW()&lt;=Results!$C$1+1,VLOOKUP($A158,Data!$A$2:$C$117,3,TRUE),"")</f>
        <v/>
      </c>
      <c r="E158" s="14" t="str">
        <f>IF(ROW()&lt;=Results!$C$1+1,IF(D158&lt;=0,"",LN(D158)),"")</f>
        <v/>
      </c>
      <c r="F158" s="53" t="str">
        <f>IF(ROW()&lt;=Results!$C$1+1,IF(ISERROR(C158-E158),"",C158-E158),"")</f>
        <v/>
      </c>
    </row>
    <row r="159" spans="1:6" x14ac:dyDescent="0.2">
      <c r="A159" s="1" t="str">
        <f ca="1">IF(ROW()&lt;=Results!$C$1+1,INDEX(Data!$A:$A,CEILING((COUNTA(Data!$A:$A)-1)*RAND()+1,1)),"")</f>
        <v/>
      </c>
      <c r="B159" s="1" t="str">
        <f>IF(ROW()&lt;=Results!$C$1+1,VLOOKUP($A159,Data!$A$2:$C$117,2,TRUE),"")</f>
        <v/>
      </c>
      <c r="C159" s="14" t="str">
        <f>IF(ROW()&lt;=Results!$C$1+1,IF(B159&lt;=0,"",LN(B159)),"")</f>
        <v/>
      </c>
      <c r="D159" s="1" t="str">
        <f>IF(ROW()&lt;=Results!$C$1+1,VLOOKUP($A159,Data!$A$2:$C$117,3,TRUE),"")</f>
        <v/>
      </c>
      <c r="E159" s="14" t="str">
        <f>IF(ROW()&lt;=Results!$C$1+1,IF(D159&lt;=0,"",LN(D159)),"")</f>
        <v/>
      </c>
      <c r="F159" s="53" t="str">
        <f>IF(ROW()&lt;=Results!$C$1+1,IF(ISERROR(C159-E159),"",C159-E159),"")</f>
        <v/>
      </c>
    </row>
    <row r="160" spans="1:6" x14ac:dyDescent="0.2">
      <c r="A160" s="1" t="str">
        <f ca="1">IF(ROW()&lt;=Results!$C$1+1,INDEX(Data!$A:$A,CEILING((COUNTA(Data!$A:$A)-1)*RAND()+1,1)),"")</f>
        <v/>
      </c>
      <c r="B160" s="1" t="str">
        <f>IF(ROW()&lt;=Results!$C$1+1,VLOOKUP($A160,Data!$A$2:$C$117,2,TRUE),"")</f>
        <v/>
      </c>
      <c r="C160" s="14" t="str">
        <f>IF(ROW()&lt;=Results!$C$1+1,IF(B160&lt;=0,"",LN(B160)),"")</f>
        <v/>
      </c>
      <c r="D160" s="1" t="str">
        <f>IF(ROW()&lt;=Results!$C$1+1,VLOOKUP($A160,Data!$A$2:$C$117,3,TRUE),"")</f>
        <v/>
      </c>
      <c r="E160" s="14" t="str">
        <f>IF(ROW()&lt;=Results!$C$1+1,IF(D160&lt;=0,"",LN(D160)),"")</f>
        <v/>
      </c>
      <c r="F160" s="53" t="str">
        <f>IF(ROW()&lt;=Results!$C$1+1,IF(ISERROR(C160-E160),"",C160-E160),"")</f>
        <v/>
      </c>
    </row>
    <row r="161" spans="1:6" x14ac:dyDescent="0.2">
      <c r="A161" s="1" t="str">
        <f ca="1">IF(ROW()&lt;=Results!$C$1+1,INDEX(Data!$A:$A,CEILING((COUNTA(Data!$A:$A)-1)*RAND()+1,1)),"")</f>
        <v/>
      </c>
      <c r="B161" s="1" t="str">
        <f>IF(ROW()&lt;=Results!$C$1+1,VLOOKUP($A161,Data!$A$2:$C$117,2,TRUE),"")</f>
        <v/>
      </c>
      <c r="C161" s="14" t="str">
        <f>IF(ROW()&lt;=Results!$C$1+1,IF(B161&lt;=0,"",LN(B161)),"")</f>
        <v/>
      </c>
      <c r="D161" s="1" t="str">
        <f>IF(ROW()&lt;=Results!$C$1+1,VLOOKUP($A161,Data!$A$2:$C$117,3,TRUE),"")</f>
        <v/>
      </c>
      <c r="E161" s="14" t="str">
        <f>IF(ROW()&lt;=Results!$C$1+1,IF(D161&lt;=0,"",LN(D161)),"")</f>
        <v/>
      </c>
      <c r="F161" s="53" t="str">
        <f>IF(ROW()&lt;=Results!$C$1+1,IF(ISERROR(C161-E161),"",C161-E161),"")</f>
        <v/>
      </c>
    </row>
    <row r="162" spans="1:6" x14ac:dyDescent="0.2">
      <c r="A162" s="1" t="str">
        <f ca="1">IF(ROW()&lt;=Results!$C$1+1,INDEX(Data!$A:$A,CEILING((COUNTA(Data!$A:$A)-1)*RAND()+1,1)),"")</f>
        <v/>
      </c>
      <c r="B162" s="1" t="str">
        <f>IF(ROW()&lt;=Results!$C$1+1,VLOOKUP($A162,Data!$A$2:$C$117,2,TRUE),"")</f>
        <v/>
      </c>
      <c r="C162" s="14" t="str">
        <f>IF(ROW()&lt;=Results!$C$1+1,IF(B162&lt;=0,"",LN(B162)),"")</f>
        <v/>
      </c>
      <c r="D162" s="1" t="str">
        <f>IF(ROW()&lt;=Results!$C$1+1,VLOOKUP($A162,Data!$A$2:$C$117,3,TRUE),"")</f>
        <v/>
      </c>
      <c r="E162" s="14" t="str">
        <f>IF(ROW()&lt;=Results!$C$1+1,IF(D162&lt;=0,"",LN(D162)),"")</f>
        <v/>
      </c>
      <c r="F162" s="53" t="str">
        <f>IF(ROW()&lt;=Results!$C$1+1,IF(ISERROR(C162-E162),"",C162-E162),"")</f>
        <v/>
      </c>
    </row>
    <row r="163" spans="1:6" x14ac:dyDescent="0.2">
      <c r="A163" s="1" t="str">
        <f ca="1">IF(ROW()&lt;=Results!$C$1+1,INDEX(Data!$A:$A,CEILING((COUNTA(Data!$A:$A)-1)*RAND()+1,1)),"")</f>
        <v/>
      </c>
      <c r="B163" s="1" t="str">
        <f>IF(ROW()&lt;=Results!$C$1+1,VLOOKUP($A163,Data!$A$2:$C$117,2,TRUE),"")</f>
        <v/>
      </c>
      <c r="C163" s="14" t="str">
        <f>IF(ROW()&lt;=Results!$C$1+1,IF(B163&lt;=0,"",LN(B163)),"")</f>
        <v/>
      </c>
      <c r="D163" s="1" t="str">
        <f>IF(ROW()&lt;=Results!$C$1+1,VLOOKUP($A163,Data!$A$2:$C$117,3,TRUE),"")</f>
        <v/>
      </c>
      <c r="E163" s="14" t="str">
        <f>IF(ROW()&lt;=Results!$C$1+1,IF(D163&lt;=0,"",LN(D163)),"")</f>
        <v/>
      </c>
      <c r="F163" s="53" t="str">
        <f>IF(ROW()&lt;=Results!$C$1+1,IF(ISERROR(C163-E163),"",C163-E163),"")</f>
        <v/>
      </c>
    </row>
    <row r="164" spans="1:6" x14ac:dyDescent="0.2">
      <c r="A164" s="1" t="str">
        <f ca="1">IF(ROW()&lt;=Results!$C$1+1,INDEX(Data!$A:$A,CEILING((COUNTA(Data!$A:$A)-1)*RAND()+1,1)),"")</f>
        <v/>
      </c>
      <c r="B164" s="1" t="str">
        <f>IF(ROW()&lt;=Results!$C$1+1,VLOOKUP($A164,Data!$A$2:$C$117,2,TRUE),"")</f>
        <v/>
      </c>
      <c r="C164" s="14" t="str">
        <f>IF(ROW()&lt;=Results!$C$1+1,IF(B164&lt;=0,"",LN(B164)),"")</f>
        <v/>
      </c>
      <c r="D164" s="1" t="str">
        <f>IF(ROW()&lt;=Results!$C$1+1,VLOOKUP($A164,Data!$A$2:$C$117,3,TRUE),"")</f>
        <v/>
      </c>
      <c r="E164" s="14" t="str">
        <f>IF(ROW()&lt;=Results!$C$1+1,IF(D164&lt;=0,"",LN(D164)),"")</f>
        <v/>
      </c>
      <c r="F164" s="53" t="str">
        <f>IF(ROW()&lt;=Results!$C$1+1,IF(ISERROR(C164-E164),"",C164-E164),"")</f>
        <v/>
      </c>
    </row>
    <row r="165" spans="1:6" x14ac:dyDescent="0.2">
      <c r="A165" s="1" t="str">
        <f ca="1">IF(ROW()&lt;=Results!$C$1+1,INDEX(Data!$A:$A,CEILING((COUNTA(Data!$A:$A)-1)*RAND()+1,1)),"")</f>
        <v/>
      </c>
      <c r="B165" s="1" t="str">
        <f>IF(ROW()&lt;=Results!$C$1+1,VLOOKUP($A165,Data!$A$2:$C$117,2,TRUE),"")</f>
        <v/>
      </c>
      <c r="C165" s="14" t="str">
        <f>IF(ROW()&lt;=Results!$C$1+1,IF(B165&lt;=0,"",LN(B165)),"")</f>
        <v/>
      </c>
      <c r="D165" s="1" t="str">
        <f>IF(ROW()&lt;=Results!$C$1+1,VLOOKUP($A165,Data!$A$2:$C$117,3,TRUE),"")</f>
        <v/>
      </c>
      <c r="E165" s="14" t="str">
        <f>IF(ROW()&lt;=Results!$C$1+1,IF(D165&lt;=0,"",LN(D165)),"")</f>
        <v/>
      </c>
      <c r="F165" s="53" t="str">
        <f>IF(ROW()&lt;=Results!$C$1+1,IF(ISERROR(C165-E165),"",C165-E165),"")</f>
        <v/>
      </c>
    </row>
    <row r="166" spans="1:6" x14ac:dyDescent="0.2">
      <c r="A166" s="1" t="str">
        <f ca="1">IF(ROW()&lt;=Results!$C$1+1,INDEX(Data!$A:$A,CEILING((COUNTA(Data!$A:$A)-1)*RAND()+1,1)),"")</f>
        <v/>
      </c>
      <c r="B166" s="1" t="str">
        <f>IF(ROW()&lt;=Results!$C$1+1,VLOOKUP($A166,Data!$A$2:$C$117,2,TRUE),"")</f>
        <v/>
      </c>
      <c r="C166" s="14" t="str">
        <f>IF(ROW()&lt;=Results!$C$1+1,IF(B166&lt;=0,"",LN(B166)),"")</f>
        <v/>
      </c>
      <c r="D166" s="1" t="str">
        <f>IF(ROW()&lt;=Results!$C$1+1,VLOOKUP($A166,Data!$A$2:$C$117,3,TRUE),"")</f>
        <v/>
      </c>
      <c r="E166" s="14" t="str">
        <f>IF(ROW()&lt;=Results!$C$1+1,IF(D166&lt;=0,"",LN(D166)),"")</f>
        <v/>
      </c>
      <c r="F166" s="53" t="str">
        <f>IF(ROW()&lt;=Results!$C$1+1,IF(ISERROR(C166-E166),"",C166-E166),"")</f>
        <v/>
      </c>
    </row>
    <row r="167" spans="1:6" x14ac:dyDescent="0.2">
      <c r="A167" s="1" t="str">
        <f ca="1">IF(ROW()&lt;=Results!$C$1+1,INDEX(Data!$A:$A,CEILING((COUNTA(Data!$A:$A)-1)*RAND()+1,1)),"")</f>
        <v/>
      </c>
      <c r="B167" s="1" t="str">
        <f>IF(ROW()&lt;=Results!$C$1+1,VLOOKUP($A167,Data!$A$2:$C$117,2,TRUE),"")</f>
        <v/>
      </c>
      <c r="C167" s="14" t="str">
        <f>IF(ROW()&lt;=Results!$C$1+1,IF(B167&lt;=0,"",LN(B167)),"")</f>
        <v/>
      </c>
      <c r="D167" s="1" t="str">
        <f>IF(ROW()&lt;=Results!$C$1+1,VLOOKUP($A167,Data!$A$2:$C$117,3,TRUE),"")</f>
        <v/>
      </c>
      <c r="E167" s="14" t="str">
        <f>IF(ROW()&lt;=Results!$C$1+1,IF(D167&lt;=0,"",LN(D167)),"")</f>
        <v/>
      </c>
      <c r="F167" s="53" t="str">
        <f>IF(ROW()&lt;=Results!$C$1+1,IF(ISERROR(C167-E167),"",C167-E167),"")</f>
        <v/>
      </c>
    </row>
    <row r="168" spans="1:6" x14ac:dyDescent="0.2">
      <c r="A168" s="1" t="str">
        <f ca="1">IF(ROW()&lt;=Results!$C$1+1,INDEX(Data!$A:$A,CEILING((COUNTA(Data!$A:$A)-1)*RAND()+1,1)),"")</f>
        <v/>
      </c>
      <c r="B168" s="1" t="str">
        <f>IF(ROW()&lt;=Results!$C$1+1,VLOOKUP($A168,Data!$A$2:$C$117,2,TRUE),"")</f>
        <v/>
      </c>
      <c r="C168" s="14" t="str">
        <f>IF(ROW()&lt;=Results!$C$1+1,IF(B168&lt;=0,"",LN(B168)),"")</f>
        <v/>
      </c>
      <c r="D168" s="1" t="str">
        <f>IF(ROW()&lt;=Results!$C$1+1,VLOOKUP($A168,Data!$A$2:$C$117,3,TRUE),"")</f>
        <v/>
      </c>
      <c r="E168" s="14" t="str">
        <f>IF(ROW()&lt;=Results!$C$1+1,IF(D168&lt;=0,"",LN(D168)),"")</f>
        <v/>
      </c>
      <c r="F168" s="53" t="str">
        <f>IF(ROW()&lt;=Results!$C$1+1,IF(ISERROR(C168-E168),"",C168-E168),"")</f>
        <v/>
      </c>
    </row>
    <row r="169" spans="1:6" x14ac:dyDescent="0.2">
      <c r="A169" s="1" t="str">
        <f ca="1">IF(ROW()&lt;=Results!$C$1+1,INDEX(Data!$A:$A,CEILING((COUNTA(Data!$A:$A)-1)*RAND()+1,1)),"")</f>
        <v/>
      </c>
      <c r="B169" s="1" t="str">
        <f>IF(ROW()&lt;=Results!$C$1+1,VLOOKUP($A169,Data!$A$2:$C$117,2,TRUE),"")</f>
        <v/>
      </c>
      <c r="C169" s="14" t="str">
        <f>IF(ROW()&lt;=Results!$C$1+1,IF(B169&lt;=0,"",LN(B169)),"")</f>
        <v/>
      </c>
      <c r="D169" s="1" t="str">
        <f>IF(ROW()&lt;=Results!$C$1+1,VLOOKUP($A169,Data!$A$2:$C$117,3,TRUE),"")</f>
        <v/>
      </c>
      <c r="E169" s="14" t="str">
        <f>IF(ROW()&lt;=Results!$C$1+1,IF(D169&lt;=0,"",LN(D169)),"")</f>
        <v/>
      </c>
      <c r="F169" s="53" t="str">
        <f>IF(ROW()&lt;=Results!$C$1+1,IF(ISERROR(C169-E169),"",C169-E169),"")</f>
        <v/>
      </c>
    </row>
    <row r="170" spans="1:6" x14ac:dyDescent="0.2">
      <c r="A170" s="1" t="str">
        <f ca="1">IF(ROW()&lt;=Results!$C$1+1,INDEX(Data!$A:$A,CEILING((COUNTA(Data!$A:$A)-1)*RAND()+1,1)),"")</f>
        <v/>
      </c>
      <c r="B170" s="1" t="str">
        <f>IF(ROW()&lt;=Results!$C$1+1,VLOOKUP($A170,Data!$A$2:$C$117,2,TRUE),"")</f>
        <v/>
      </c>
      <c r="C170" s="14" t="str">
        <f>IF(ROW()&lt;=Results!$C$1+1,IF(B170&lt;=0,"",LN(B170)),"")</f>
        <v/>
      </c>
      <c r="D170" s="1" t="str">
        <f>IF(ROW()&lt;=Results!$C$1+1,VLOOKUP($A170,Data!$A$2:$C$117,3,TRUE),"")</f>
        <v/>
      </c>
      <c r="E170" s="14" t="str">
        <f>IF(ROW()&lt;=Results!$C$1+1,IF(D170&lt;=0,"",LN(D170)),"")</f>
        <v/>
      </c>
      <c r="F170" s="53" t="str">
        <f>IF(ROW()&lt;=Results!$C$1+1,IF(ISERROR(C170-E170),"",C170-E170),"")</f>
        <v/>
      </c>
    </row>
    <row r="171" spans="1:6" x14ac:dyDescent="0.2">
      <c r="A171" s="1" t="str">
        <f ca="1">IF(ROW()&lt;=Results!$C$1+1,INDEX(Data!$A:$A,CEILING((COUNTA(Data!$A:$A)-1)*RAND()+1,1)),"")</f>
        <v/>
      </c>
      <c r="B171" s="1" t="str">
        <f>IF(ROW()&lt;=Results!$C$1+1,VLOOKUP($A171,Data!$A$2:$C$117,2,TRUE),"")</f>
        <v/>
      </c>
      <c r="C171" s="14" t="str">
        <f>IF(ROW()&lt;=Results!$C$1+1,IF(B171&lt;=0,"",LN(B171)),"")</f>
        <v/>
      </c>
      <c r="D171" s="1" t="str">
        <f>IF(ROW()&lt;=Results!$C$1+1,VLOOKUP($A171,Data!$A$2:$C$117,3,TRUE),"")</f>
        <v/>
      </c>
      <c r="E171" s="14" t="str">
        <f>IF(ROW()&lt;=Results!$C$1+1,IF(D171&lt;=0,"",LN(D171)),"")</f>
        <v/>
      </c>
      <c r="F171" s="53" t="str">
        <f>IF(ROW()&lt;=Results!$C$1+1,IF(ISERROR(C171-E171),"",C171-E171),"")</f>
        <v/>
      </c>
    </row>
    <row r="172" spans="1:6" x14ac:dyDescent="0.2">
      <c r="A172" s="1" t="str">
        <f ca="1">IF(ROW()&lt;=Results!$C$1+1,INDEX(Data!$A:$A,CEILING((COUNTA(Data!$A:$A)-1)*RAND()+1,1)),"")</f>
        <v/>
      </c>
      <c r="B172" s="1" t="str">
        <f>IF(ROW()&lt;=Results!$C$1+1,VLOOKUP($A172,Data!$A$2:$C$117,2,TRUE),"")</f>
        <v/>
      </c>
      <c r="C172" s="14" t="str">
        <f>IF(ROW()&lt;=Results!$C$1+1,IF(B172&lt;=0,"",LN(B172)),"")</f>
        <v/>
      </c>
      <c r="D172" s="1" t="str">
        <f>IF(ROW()&lt;=Results!$C$1+1,VLOOKUP($A172,Data!$A$2:$C$117,3,TRUE),"")</f>
        <v/>
      </c>
      <c r="E172" s="14" t="str">
        <f>IF(ROW()&lt;=Results!$C$1+1,IF(D172&lt;=0,"",LN(D172)),"")</f>
        <v/>
      </c>
      <c r="F172" s="53" t="str">
        <f>IF(ROW()&lt;=Results!$C$1+1,IF(ISERROR(C172-E172),"",C172-E172),"")</f>
        <v/>
      </c>
    </row>
    <row r="173" spans="1:6" x14ac:dyDescent="0.2">
      <c r="A173" s="1" t="str">
        <f ca="1">IF(ROW()&lt;=Results!$C$1+1,INDEX(Data!$A:$A,CEILING((COUNTA(Data!$A:$A)-1)*RAND()+1,1)),"")</f>
        <v/>
      </c>
      <c r="B173" s="1" t="str">
        <f>IF(ROW()&lt;=Results!$C$1+1,VLOOKUP($A173,Data!$A$2:$C$117,2,TRUE),"")</f>
        <v/>
      </c>
      <c r="C173" s="14" t="str">
        <f>IF(ROW()&lt;=Results!$C$1+1,IF(B173&lt;=0,"",LN(B173)),"")</f>
        <v/>
      </c>
      <c r="D173" s="1" t="str">
        <f>IF(ROW()&lt;=Results!$C$1+1,VLOOKUP($A173,Data!$A$2:$C$117,3,TRUE),"")</f>
        <v/>
      </c>
      <c r="E173" s="14" t="str">
        <f>IF(ROW()&lt;=Results!$C$1+1,IF(D173&lt;=0,"",LN(D173)),"")</f>
        <v/>
      </c>
      <c r="F173" s="53" t="str">
        <f>IF(ROW()&lt;=Results!$C$1+1,IF(ISERROR(C173-E173),"",C173-E173),"")</f>
        <v/>
      </c>
    </row>
    <row r="174" spans="1:6" x14ac:dyDescent="0.2">
      <c r="A174" s="1" t="str">
        <f ca="1">IF(ROW()&lt;=Results!$C$1+1,INDEX(Data!$A:$A,CEILING((COUNTA(Data!$A:$A)-1)*RAND()+1,1)),"")</f>
        <v/>
      </c>
      <c r="B174" s="1" t="str">
        <f>IF(ROW()&lt;=Results!$C$1+1,VLOOKUP($A174,Data!$A$2:$C$117,2,TRUE),"")</f>
        <v/>
      </c>
      <c r="C174" s="14" t="str">
        <f>IF(ROW()&lt;=Results!$C$1+1,IF(B174&lt;=0,"",LN(B174)),"")</f>
        <v/>
      </c>
      <c r="D174" s="1" t="str">
        <f>IF(ROW()&lt;=Results!$C$1+1,VLOOKUP($A174,Data!$A$2:$C$117,3,TRUE),"")</f>
        <v/>
      </c>
      <c r="E174" s="14" t="str">
        <f>IF(ROW()&lt;=Results!$C$1+1,IF(D174&lt;=0,"",LN(D174)),"")</f>
        <v/>
      </c>
      <c r="F174" s="53" t="str">
        <f>IF(ROW()&lt;=Results!$C$1+1,IF(ISERROR(C174-E174),"",C174-E174),"")</f>
        <v/>
      </c>
    </row>
    <row r="175" spans="1:6" x14ac:dyDescent="0.2">
      <c r="A175" s="1" t="str">
        <f ca="1">IF(ROW()&lt;=Results!$C$1+1,INDEX(Data!$A:$A,CEILING((COUNTA(Data!$A:$A)-1)*RAND()+1,1)),"")</f>
        <v/>
      </c>
      <c r="B175" s="1" t="str">
        <f>IF(ROW()&lt;=Results!$C$1+1,VLOOKUP($A175,Data!$A$2:$C$117,2,TRUE),"")</f>
        <v/>
      </c>
      <c r="C175" s="14" t="str">
        <f>IF(ROW()&lt;=Results!$C$1+1,IF(B175&lt;=0,"",LN(B175)),"")</f>
        <v/>
      </c>
      <c r="D175" s="1" t="str">
        <f>IF(ROW()&lt;=Results!$C$1+1,VLOOKUP($A175,Data!$A$2:$C$117,3,TRUE),"")</f>
        <v/>
      </c>
      <c r="E175" s="14" t="str">
        <f>IF(ROW()&lt;=Results!$C$1+1,IF(D175&lt;=0,"",LN(D175)),"")</f>
        <v/>
      </c>
      <c r="F175" s="53" t="str">
        <f>IF(ROW()&lt;=Results!$C$1+1,IF(ISERROR(C175-E175),"",C175-E175),"")</f>
        <v/>
      </c>
    </row>
    <row r="176" spans="1:6" x14ac:dyDescent="0.2">
      <c r="A176" s="1" t="str">
        <f ca="1">IF(ROW()&lt;=Results!$C$1+1,INDEX(Data!$A:$A,CEILING((COUNTA(Data!$A:$A)-1)*RAND()+1,1)),"")</f>
        <v/>
      </c>
      <c r="B176" s="1" t="str">
        <f>IF(ROW()&lt;=Results!$C$1+1,VLOOKUP($A176,Data!$A$2:$C$117,2,TRUE),"")</f>
        <v/>
      </c>
      <c r="C176" s="14" t="str">
        <f>IF(ROW()&lt;=Results!$C$1+1,IF(B176&lt;=0,"",LN(B176)),"")</f>
        <v/>
      </c>
      <c r="D176" s="1" t="str">
        <f>IF(ROW()&lt;=Results!$C$1+1,VLOOKUP($A176,Data!$A$2:$C$117,3,TRUE),"")</f>
        <v/>
      </c>
      <c r="E176" s="14" t="str">
        <f>IF(ROW()&lt;=Results!$C$1+1,IF(D176&lt;=0,"",LN(D176)),"")</f>
        <v/>
      </c>
      <c r="F176" s="53" t="str">
        <f>IF(ROW()&lt;=Results!$C$1+1,IF(ISERROR(C176-E176),"",C176-E176),"")</f>
        <v/>
      </c>
    </row>
    <row r="177" spans="1:6" x14ac:dyDescent="0.2">
      <c r="A177" s="1" t="str">
        <f ca="1">IF(ROW()&lt;=Results!$C$1+1,INDEX(Data!$A:$A,CEILING((COUNTA(Data!$A:$A)-1)*RAND()+1,1)),"")</f>
        <v/>
      </c>
      <c r="B177" s="1" t="str">
        <f>IF(ROW()&lt;=Results!$C$1+1,VLOOKUP($A177,Data!$A$2:$C$117,2,TRUE),"")</f>
        <v/>
      </c>
      <c r="C177" s="14" t="str">
        <f>IF(ROW()&lt;=Results!$C$1+1,IF(B177&lt;=0,"",LN(B177)),"")</f>
        <v/>
      </c>
      <c r="D177" s="1" t="str">
        <f>IF(ROW()&lt;=Results!$C$1+1,VLOOKUP($A177,Data!$A$2:$C$117,3,TRUE),"")</f>
        <v/>
      </c>
      <c r="E177" s="14" t="str">
        <f>IF(ROW()&lt;=Results!$C$1+1,IF(D177&lt;=0,"",LN(D177)),"")</f>
        <v/>
      </c>
      <c r="F177" s="53" t="str">
        <f>IF(ROW()&lt;=Results!$C$1+1,IF(ISERROR(C177-E177),"",C177-E177),"")</f>
        <v/>
      </c>
    </row>
    <row r="178" spans="1:6" x14ac:dyDescent="0.2">
      <c r="A178" s="1" t="str">
        <f ca="1">IF(ROW()&lt;=Results!$C$1+1,INDEX(Data!$A:$A,CEILING((COUNTA(Data!$A:$A)-1)*RAND()+1,1)),"")</f>
        <v/>
      </c>
      <c r="B178" s="1" t="str">
        <f>IF(ROW()&lt;=Results!$C$1+1,VLOOKUP($A178,Data!$A$2:$C$117,2,TRUE),"")</f>
        <v/>
      </c>
      <c r="C178" s="14" t="str">
        <f>IF(ROW()&lt;=Results!$C$1+1,IF(B178&lt;=0,"",LN(B178)),"")</f>
        <v/>
      </c>
      <c r="D178" s="1" t="str">
        <f>IF(ROW()&lt;=Results!$C$1+1,VLOOKUP($A178,Data!$A$2:$C$117,3,TRUE),"")</f>
        <v/>
      </c>
      <c r="E178" s="14" t="str">
        <f>IF(ROW()&lt;=Results!$C$1+1,IF(D178&lt;=0,"",LN(D178)),"")</f>
        <v/>
      </c>
      <c r="F178" s="53" t="str">
        <f>IF(ROW()&lt;=Results!$C$1+1,IF(ISERROR(C178-E178),"",C178-E178),"")</f>
        <v/>
      </c>
    </row>
    <row r="179" spans="1:6" x14ac:dyDescent="0.2">
      <c r="A179" s="1" t="str">
        <f ca="1">IF(ROW()&lt;=Results!$C$1+1,INDEX(Data!$A:$A,CEILING((COUNTA(Data!$A:$A)-1)*RAND()+1,1)),"")</f>
        <v/>
      </c>
      <c r="B179" s="1" t="str">
        <f>IF(ROW()&lt;=Results!$C$1+1,VLOOKUP($A179,Data!$A$2:$C$117,2,TRUE),"")</f>
        <v/>
      </c>
      <c r="C179" s="14" t="str">
        <f>IF(ROW()&lt;=Results!$C$1+1,IF(B179&lt;=0,"",LN(B179)),"")</f>
        <v/>
      </c>
      <c r="D179" s="1" t="str">
        <f>IF(ROW()&lt;=Results!$C$1+1,VLOOKUP($A179,Data!$A$2:$C$117,3,TRUE),"")</f>
        <v/>
      </c>
      <c r="E179" s="14" t="str">
        <f>IF(ROW()&lt;=Results!$C$1+1,IF(D179&lt;=0,"",LN(D179)),"")</f>
        <v/>
      </c>
      <c r="F179" s="53" t="str">
        <f>IF(ROW()&lt;=Results!$C$1+1,IF(ISERROR(C179-E179),"",C179-E179),"")</f>
        <v/>
      </c>
    </row>
    <row r="180" spans="1:6" x14ac:dyDescent="0.2">
      <c r="A180" s="1" t="str">
        <f ca="1">IF(ROW()&lt;=Results!$C$1+1,INDEX(Data!$A:$A,CEILING((COUNTA(Data!$A:$A)-1)*RAND()+1,1)),"")</f>
        <v/>
      </c>
      <c r="B180" s="1" t="str">
        <f>IF(ROW()&lt;=Results!$C$1+1,VLOOKUP($A180,Data!$A$2:$C$117,2,TRUE),"")</f>
        <v/>
      </c>
      <c r="C180" s="14" t="str">
        <f>IF(ROW()&lt;=Results!$C$1+1,IF(B180&lt;=0,"",LN(B180)),"")</f>
        <v/>
      </c>
      <c r="D180" s="1" t="str">
        <f>IF(ROW()&lt;=Results!$C$1+1,VLOOKUP($A180,Data!$A$2:$C$117,3,TRUE),"")</f>
        <v/>
      </c>
      <c r="E180" s="14" t="str">
        <f>IF(ROW()&lt;=Results!$C$1+1,IF(D180&lt;=0,"",LN(D180)),"")</f>
        <v/>
      </c>
      <c r="F180" s="53" t="str">
        <f>IF(ROW()&lt;=Results!$C$1+1,IF(ISERROR(C180-E180),"",C180-E180),"")</f>
        <v/>
      </c>
    </row>
    <row r="181" spans="1:6" x14ac:dyDescent="0.2">
      <c r="A181" s="1" t="str">
        <f ca="1">IF(ROW()&lt;=Results!$C$1+1,INDEX(Data!$A:$A,CEILING((COUNTA(Data!$A:$A)-1)*RAND()+1,1)),"")</f>
        <v/>
      </c>
      <c r="B181" s="1" t="str">
        <f>IF(ROW()&lt;=Results!$C$1+1,VLOOKUP($A181,Data!$A$2:$C$117,2,TRUE),"")</f>
        <v/>
      </c>
      <c r="C181" s="14" t="str">
        <f>IF(ROW()&lt;=Results!$C$1+1,IF(B181&lt;=0,"",LN(B181)),"")</f>
        <v/>
      </c>
      <c r="D181" s="1" t="str">
        <f>IF(ROW()&lt;=Results!$C$1+1,VLOOKUP($A181,Data!$A$2:$C$117,3,TRUE),"")</f>
        <v/>
      </c>
      <c r="E181" s="14" t="str">
        <f>IF(ROW()&lt;=Results!$C$1+1,IF(D181&lt;=0,"",LN(D181)),"")</f>
        <v/>
      </c>
      <c r="F181" s="53" t="str">
        <f>IF(ROW()&lt;=Results!$C$1+1,IF(ISERROR(C181-E181),"",C181-E181),"")</f>
        <v/>
      </c>
    </row>
    <row r="182" spans="1:6" x14ac:dyDescent="0.2">
      <c r="A182" s="1" t="str">
        <f ca="1">IF(ROW()&lt;=Results!$C$1+1,INDEX(Data!$A:$A,CEILING((COUNTA(Data!$A:$A)-1)*RAND()+1,1)),"")</f>
        <v/>
      </c>
      <c r="B182" s="1" t="str">
        <f>IF(ROW()&lt;=Results!$C$1+1,VLOOKUP($A182,Data!$A$2:$C$117,2,TRUE),"")</f>
        <v/>
      </c>
      <c r="C182" s="14" t="str">
        <f>IF(ROW()&lt;=Results!$C$1+1,IF(B182&lt;=0,"",LN(B182)),"")</f>
        <v/>
      </c>
      <c r="D182" s="1" t="str">
        <f>IF(ROW()&lt;=Results!$C$1+1,VLOOKUP($A182,Data!$A$2:$C$117,3,TRUE),"")</f>
        <v/>
      </c>
      <c r="E182" s="14" t="str">
        <f>IF(ROW()&lt;=Results!$C$1+1,IF(D182&lt;=0,"",LN(D182)),"")</f>
        <v/>
      </c>
      <c r="F182" s="53" t="str">
        <f>IF(ROW()&lt;=Results!$C$1+1,IF(ISERROR(C182-E182),"",C182-E182),"")</f>
        <v/>
      </c>
    </row>
    <row r="183" spans="1:6" x14ac:dyDescent="0.2">
      <c r="A183" s="1" t="str">
        <f ca="1">IF(ROW()&lt;=Results!$C$1+1,INDEX(Data!$A:$A,CEILING((COUNTA(Data!$A:$A)-1)*RAND()+1,1)),"")</f>
        <v/>
      </c>
      <c r="B183" s="1" t="str">
        <f>IF(ROW()&lt;=Results!$C$1+1,VLOOKUP($A183,Data!$A$2:$C$117,2,TRUE),"")</f>
        <v/>
      </c>
      <c r="C183" s="14" t="str">
        <f>IF(ROW()&lt;=Results!$C$1+1,IF(B183&lt;=0,"",LN(B183)),"")</f>
        <v/>
      </c>
      <c r="D183" s="1" t="str">
        <f>IF(ROW()&lt;=Results!$C$1+1,VLOOKUP($A183,Data!$A$2:$C$117,3,TRUE),"")</f>
        <v/>
      </c>
      <c r="E183" s="14" t="str">
        <f>IF(ROW()&lt;=Results!$C$1+1,IF(D183&lt;=0,"",LN(D183)),"")</f>
        <v/>
      </c>
      <c r="F183" s="53" t="str">
        <f>IF(ROW()&lt;=Results!$C$1+1,IF(ISERROR(C183-E183),"",C183-E183),"")</f>
        <v/>
      </c>
    </row>
    <row r="184" spans="1:6" x14ac:dyDescent="0.2">
      <c r="A184" s="1" t="str">
        <f ca="1">IF(ROW()&lt;=Results!$C$1+1,INDEX(Data!$A:$A,CEILING((COUNTA(Data!$A:$A)-1)*RAND()+1,1)),"")</f>
        <v/>
      </c>
      <c r="B184" s="1" t="str">
        <f>IF(ROW()&lt;=Results!$C$1+1,VLOOKUP($A184,Data!$A$2:$C$117,2,TRUE),"")</f>
        <v/>
      </c>
      <c r="C184" s="14" t="str">
        <f>IF(ROW()&lt;=Results!$C$1+1,IF(B184&lt;=0,"",LN(B184)),"")</f>
        <v/>
      </c>
      <c r="D184" s="1" t="str">
        <f>IF(ROW()&lt;=Results!$C$1+1,VLOOKUP($A184,Data!$A$2:$C$117,3,TRUE),"")</f>
        <v/>
      </c>
      <c r="E184" s="14" t="str">
        <f>IF(ROW()&lt;=Results!$C$1+1,IF(D184&lt;=0,"",LN(D184)),"")</f>
        <v/>
      </c>
      <c r="F184" s="53" t="str">
        <f>IF(ROW()&lt;=Results!$C$1+1,IF(ISERROR(C184-E184),"",C184-E184),"")</f>
        <v/>
      </c>
    </row>
    <row r="185" spans="1:6" x14ac:dyDescent="0.2">
      <c r="A185" s="1" t="str">
        <f ca="1">IF(ROW()&lt;=Results!$C$1+1,INDEX(Data!$A:$A,CEILING((COUNTA(Data!$A:$A)-1)*RAND()+1,1)),"")</f>
        <v/>
      </c>
      <c r="B185" s="1" t="str">
        <f>IF(ROW()&lt;=Results!$C$1+1,VLOOKUP($A185,Data!$A$2:$C$117,2,TRUE),"")</f>
        <v/>
      </c>
      <c r="C185" s="14" t="str">
        <f>IF(ROW()&lt;=Results!$C$1+1,IF(B185&lt;=0,"",LN(B185)),"")</f>
        <v/>
      </c>
      <c r="D185" s="1" t="str">
        <f>IF(ROW()&lt;=Results!$C$1+1,VLOOKUP($A185,Data!$A$2:$C$117,3,TRUE),"")</f>
        <v/>
      </c>
      <c r="E185" s="14" t="str">
        <f>IF(ROW()&lt;=Results!$C$1+1,IF(D185&lt;=0,"",LN(D185)),"")</f>
        <v/>
      </c>
      <c r="F185" s="53" t="str">
        <f>IF(ROW()&lt;=Results!$C$1+1,IF(ISERROR(C185-E185),"",C185-E185),"")</f>
        <v/>
      </c>
    </row>
    <row r="186" spans="1:6" x14ac:dyDescent="0.2">
      <c r="A186" s="1" t="str">
        <f ca="1">IF(ROW()&lt;=Results!$C$1+1,INDEX(Data!$A:$A,CEILING((COUNTA(Data!$A:$A)-1)*RAND()+1,1)),"")</f>
        <v/>
      </c>
      <c r="B186" s="1" t="str">
        <f>IF(ROW()&lt;=Results!$C$1+1,VLOOKUP($A186,Data!$A$2:$C$117,2,TRUE),"")</f>
        <v/>
      </c>
      <c r="C186" s="14" t="str">
        <f>IF(ROW()&lt;=Results!$C$1+1,IF(B186&lt;=0,"",LN(B186)),"")</f>
        <v/>
      </c>
      <c r="D186" s="1" t="str">
        <f>IF(ROW()&lt;=Results!$C$1+1,VLOOKUP($A186,Data!$A$2:$C$117,3,TRUE),"")</f>
        <v/>
      </c>
      <c r="E186" s="14" t="str">
        <f>IF(ROW()&lt;=Results!$C$1+1,IF(D186&lt;=0,"",LN(D186)),"")</f>
        <v/>
      </c>
      <c r="F186" s="53" t="str">
        <f>IF(ROW()&lt;=Results!$C$1+1,IF(ISERROR(C186-E186),"",C186-E186),"")</f>
        <v/>
      </c>
    </row>
    <row r="187" spans="1:6" x14ac:dyDescent="0.2">
      <c r="A187" s="1" t="str">
        <f ca="1">IF(ROW()&lt;=Results!$C$1+1,INDEX(Data!$A:$A,CEILING((COUNTA(Data!$A:$A)-1)*RAND()+1,1)),"")</f>
        <v/>
      </c>
      <c r="B187" s="1" t="str">
        <f>IF(ROW()&lt;=Results!$C$1+1,VLOOKUP($A187,Data!$A$2:$C$117,2,TRUE),"")</f>
        <v/>
      </c>
      <c r="C187" s="14" t="str">
        <f>IF(ROW()&lt;=Results!$C$1+1,IF(B187&lt;=0,"",LN(B187)),"")</f>
        <v/>
      </c>
      <c r="D187" s="1" t="str">
        <f>IF(ROW()&lt;=Results!$C$1+1,VLOOKUP($A187,Data!$A$2:$C$117,3,TRUE),"")</f>
        <v/>
      </c>
      <c r="E187" s="14" t="str">
        <f>IF(ROW()&lt;=Results!$C$1+1,IF(D187&lt;=0,"",LN(D187)),"")</f>
        <v/>
      </c>
      <c r="F187" s="53" t="str">
        <f>IF(ROW()&lt;=Results!$C$1+1,IF(ISERROR(C187-E187),"",C187-E187),"")</f>
        <v/>
      </c>
    </row>
    <row r="188" spans="1:6" x14ac:dyDescent="0.2">
      <c r="A188" s="1" t="str">
        <f ca="1">IF(ROW()&lt;=Results!$C$1+1,INDEX(Data!$A:$A,CEILING((COUNTA(Data!$A:$A)-1)*RAND()+1,1)),"")</f>
        <v/>
      </c>
      <c r="B188" s="1" t="str">
        <f>IF(ROW()&lt;=Results!$C$1+1,VLOOKUP($A188,Data!$A$2:$C$117,2,TRUE),"")</f>
        <v/>
      </c>
      <c r="C188" s="14" t="str">
        <f>IF(ROW()&lt;=Results!$C$1+1,IF(B188&lt;=0,"",LN(B188)),"")</f>
        <v/>
      </c>
      <c r="D188" s="1" t="str">
        <f>IF(ROW()&lt;=Results!$C$1+1,VLOOKUP($A188,Data!$A$2:$C$117,3,TRUE),"")</f>
        <v/>
      </c>
      <c r="E188" s="14" t="str">
        <f>IF(ROW()&lt;=Results!$C$1+1,IF(D188&lt;=0,"",LN(D188)),"")</f>
        <v/>
      </c>
      <c r="F188" s="53" t="str">
        <f>IF(ROW()&lt;=Results!$C$1+1,IF(ISERROR(C188-E188),"",C188-E188),"")</f>
        <v/>
      </c>
    </row>
    <row r="189" spans="1:6" x14ac:dyDescent="0.2">
      <c r="A189" s="1" t="str">
        <f ca="1">IF(ROW()&lt;=Results!$C$1+1,INDEX(Data!$A:$A,CEILING((COUNTA(Data!$A:$A)-1)*RAND()+1,1)),"")</f>
        <v/>
      </c>
      <c r="B189" s="1" t="str">
        <f>IF(ROW()&lt;=Results!$C$1+1,VLOOKUP($A189,Data!$A$2:$C$117,2,TRUE),"")</f>
        <v/>
      </c>
      <c r="C189" s="14" t="str">
        <f>IF(ROW()&lt;=Results!$C$1+1,IF(B189&lt;=0,"",LN(B189)),"")</f>
        <v/>
      </c>
      <c r="D189" s="1" t="str">
        <f>IF(ROW()&lt;=Results!$C$1+1,VLOOKUP($A189,Data!$A$2:$C$117,3,TRUE),"")</f>
        <v/>
      </c>
      <c r="E189" s="14" t="str">
        <f>IF(ROW()&lt;=Results!$C$1+1,IF(D189&lt;=0,"",LN(D189)),"")</f>
        <v/>
      </c>
      <c r="F189" s="53" t="str">
        <f>IF(ROW()&lt;=Results!$C$1+1,IF(ISERROR(C189-E189),"",C189-E189),"")</f>
        <v/>
      </c>
    </row>
    <row r="190" spans="1:6" x14ac:dyDescent="0.2">
      <c r="A190" s="1" t="str">
        <f ca="1">IF(ROW()&lt;=Results!$C$1+1,INDEX(Data!$A:$A,CEILING((COUNTA(Data!$A:$A)-1)*RAND()+1,1)),"")</f>
        <v/>
      </c>
      <c r="B190" s="1" t="str">
        <f>IF(ROW()&lt;=Results!$C$1+1,VLOOKUP($A190,Data!$A$2:$C$117,2,TRUE),"")</f>
        <v/>
      </c>
      <c r="C190" s="14" t="str">
        <f>IF(ROW()&lt;=Results!$C$1+1,IF(B190&lt;=0,"",LN(B190)),"")</f>
        <v/>
      </c>
      <c r="D190" s="1" t="str">
        <f>IF(ROW()&lt;=Results!$C$1+1,VLOOKUP($A190,Data!$A$2:$C$117,3,TRUE),"")</f>
        <v/>
      </c>
      <c r="E190" s="14" t="str">
        <f>IF(ROW()&lt;=Results!$C$1+1,IF(D190&lt;=0,"",LN(D190)),"")</f>
        <v/>
      </c>
      <c r="F190" s="53" t="str">
        <f>IF(ROW()&lt;=Results!$C$1+1,IF(ISERROR(C190-E190),"",C190-E190),"")</f>
        <v/>
      </c>
    </row>
    <row r="191" spans="1:6" x14ac:dyDescent="0.2">
      <c r="A191" s="1" t="str">
        <f ca="1">IF(ROW()&lt;=Results!$C$1+1,INDEX(Data!$A:$A,CEILING((COUNTA(Data!$A:$A)-1)*RAND()+1,1)),"")</f>
        <v/>
      </c>
      <c r="B191" s="1" t="str">
        <f>IF(ROW()&lt;=Results!$C$1+1,VLOOKUP($A191,Data!$A$2:$C$117,2,TRUE),"")</f>
        <v/>
      </c>
      <c r="C191" s="14" t="str">
        <f>IF(ROW()&lt;=Results!$C$1+1,IF(B191&lt;=0,"",LN(B191)),"")</f>
        <v/>
      </c>
      <c r="D191" s="1" t="str">
        <f>IF(ROW()&lt;=Results!$C$1+1,VLOOKUP($A191,Data!$A$2:$C$117,3,TRUE),"")</f>
        <v/>
      </c>
      <c r="E191" s="14" t="str">
        <f>IF(ROW()&lt;=Results!$C$1+1,IF(D191&lt;=0,"",LN(D191)),"")</f>
        <v/>
      </c>
      <c r="F191" s="53" t="str">
        <f>IF(ROW()&lt;=Results!$C$1+1,IF(ISERROR(C191-E191),"",C191-E191),"")</f>
        <v/>
      </c>
    </row>
    <row r="192" spans="1:6" x14ac:dyDescent="0.2">
      <c r="A192" s="1" t="str">
        <f ca="1">IF(ROW()&lt;=Results!$C$1+1,INDEX(Data!$A:$A,CEILING((COUNTA(Data!$A:$A)-1)*RAND()+1,1)),"")</f>
        <v/>
      </c>
      <c r="B192" s="1" t="str">
        <f>IF(ROW()&lt;=Results!$C$1+1,VLOOKUP($A192,Data!$A$2:$C$117,2,TRUE),"")</f>
        <v/>
      </c>
      <c r="C192" s="14" t="str">
        <f>IF(ROW()&lt;=Results!$C$1+1,IF(B192&lt;=0,"",LN(B192)),"")</f>
        <v/>
      </c>
      <c r="D192" s="1" t="str">
        <f>IF(ROW()&lt;=Results!$C$1+1,VLOOKUP($A192,Data!$A$2:$C$117,3,TRUE),"")</f>
        <v/>
      </c>
      <c r="E192" s="14" t="str">
        <f>IF(ROW()&lt;=Results!$C$1+1,IF(D192&lt;=0,"",LN(D192)),"")</f>
        <v/>
      </c>
      <c r="F192" s="53" t="str">
        <f>IF(ROW()&lt;=Results!$C$1+1,IF(ISERROR(C192-E192),"",C192-E192),"")</f>
        <v/>
      </c>
    </row>
    <row r="193" spans="1:6" x14ac:dyDescent="0.2">
      <c r="A193" s="1" t="str">
        <f ca="1">IF(ROW()&lt;=Results!$C$1+1,INDEX(Data!$A:$A,CEILING((COUNTA(Data!$A:$A)-1)*RAND()+1,1)),"")</f>
        <v/>
      </c>
      <c r="B193" s="1" t="str">
        <f>IF(ROW()&lt;=Results!$C$1+1,VLOOKUP($A193,Data!$A$2:$C$117,2,TRUE),"")</f>
        <v/>
      </c>
      <c r="C193" s="14" t="str">
        <f>IF(ROW()&lt;=Results!$C$1+1,IF(B193&lt;=0,"",LN(B193)),"")</f>
        <v/>
      </c>
      <c r="D193" s="1" t="str">
        <f>IF(ROW()&lt;=Results!$C$1+1,VLOOKUP($A193,Data!$A$2:$C$117,3,TRUE),"")</f>
        <v/>
      </c>
      <c r="E193" s="14" t="str">
        <f>IF(ROW()&lt;=Results!$C$1+1,IF(D193&lt;=0,"",LN(D193)),"")</f>
        <v/>
      </c>
      <c r="F193" s="53" t="str">
        <f>IF(ROW()&lt;=Results!$C$1+1,IF(ISERROR(C193-E193),"",C193-E193),"")</f>
        <v/>
      </c>
    </row>
    <row r="194" spans="1:6" x14ac:dyDescent="0.2">
      <c r="A194" s="1" t="str">
        <f ca="1">IF(ROW()&lt;=Results!$C$1+1,INDEX(Data!$A:$A,CEILING((COUNTA(Data!$A:$A)-1)*RAND()+1,1)),"")</f>
        <v/>
      </c>
      <c r="B194" s="1" t="str">
        <f>IF(ROW()&lt;=Results!$C$1+1,VLOOKUP($A194,Data!$A$2:$C$117,2,TRUE),"")</f>
        <v/>
      </c>
      <c r="C194" s="14" t="str">
        <f>IF(ROW()&lt;=Results!$C$1+1,IF(B194&lt;=0,"",LN(B194)),"")</f>
        <v/>
      </c>
      <c r="D194" s="1" t="str">
        <f>IF(ROW()&lt;=Results!$C$1+1,VLOOKUP($A194,Data!$A$2:$C$117,3,TRUE),"")</f>
        <v/>
      </c>
      <c r="E194" s="14" t="str">
        <f>IF(ROW()&lt;=Results!$C$1+1,IF(D194&lt;=0,"",LN(D194)),"")</f>
        <v/>
      </c>
      <c r="F194" s="53" t="str">
        <f>IF(ROW()&lt;=Results!$C$1+1,IF(ISERROR(C194-E194),"",C194-E194),"")</f>
        <v/>
      </c>
    </row>
    <row r="195" spans="1:6" x14ac:dyDescent="0.2">
      <c r="A195" s="1" t="str">
        <f ca="1">IF(ROW()&lt;=Results!$C$1+1,INDEX(Data!$A:$A,CEILING((COUNTA(Data!$A:$A)-1)*RAND()+1,1)),"")</f>
        <v/>
      </c>
      <c r="B195" s="1" t="str">
        <f>IF(ROW()&lt;=Results!$C$1+1,VLOOKUP($A195,Data!$A$2:$C$117,2,TRUE),"")</f>
        <v/>
      </c>
      <c r="C195" s="14" t="str">
        <f>IF(ROW()&lt;=Results!$C$1+1,IF(B195&lt;=0,"",LN(B195)),"")</f>
        <v/>
      </c>
      <c r="D195" s="1" t="str">
        <f>IF(ROW()&lt;=Results!$C$1+1,VLOOKUP($A195,Data!$A$2:$C$117,3,TRUE),"")</f>
        <v/>
      </c>
      <c r="E195" s="14" t="str">
        <f>IF(ROW()&lt;=Results!$C$1+1,IF(D195&lt;=0,"",LN(D195)),"")</f>
        <v/>
      </c>
      <c r="F195" s="53" t="str">
        <f>IF(ROW()&lt;=Results!$C$1+1,IF(ISERROR(C195-E195),"",C195-E195),"")</f>
        <v/>
      </c>
    </row>
    <row r="196" spans="1:6" x14ac:dyDescent="0.2">
      <c r="A196" s="1" t="str">
        <f ca="1">IF(ROW()&lt;=Results!$C$1+1,INDEX(Data!$A:$A,CEILING((COUNTA(Data!$A:$A)-1)*RAND()+1,1)),"")</f>
        <v/>
      </c>
      <c r="B196" s="1" t="str">
        <f>IF(ROW()&lt;=Results!$C$1+1,VLOOKUP($A196,Data!$A$2:$C$117,2,TRUE),"")</f>
        <v/>
      </c>
      <c r="C196" s="14" t="str">
        <f>IF(ROW()&lt;=Results!$C$1+1,IF(B196&lt;=0,"",LN(B196)),"")</f>
        <v/>
      </c>
      <c r="D196" s="1" t="str">
        <f>IF(ROW()&lt;=Results!$C$1+1,VLOOKUP($A196,Data!$A$2:$C$117,3,TRUE),"")</f>
        <v/>
      </c>
      <c r="E196" s="14" t="str">
        <f>IF(ROW()&lt;=Results!$C$1+1,IF(D196&lt;=0,"",LN(D196)),"")</f>
        <v/>
      </c>
      <c r="F196" s="53" t="str">
        <f>IF(ROW()&lt;=Results!$C$1+1,IF(ISERROR(C196-E196),"",C196-E196),"")</f>
        <v/>
      </c>
    </row>
    <row r="197" spans="1:6" x14ac:dyDescent="0.2">
      <c r="A197" s="1" t="str">
        <f ca="1">IF(ROW()&lt;=Results!$C$1+1,INDEX(Data!$A:$A,CEILING((COUNTA(Data!$A:$A)-1)*RAND()+1,1)),"")</f>
        <v/>
      </c>
      <c r="B197" s="1" t="str">
        <f>IF(ROW()&lt;=Results!$C$1+1,VLOOKUP($A197,Data!$A$2:$C$117,2,TRUE),"")</f>
        <v/>
      </c>
      <c r="C197" s="14" t="str">
        <f>IF(ROW()&lt;=Results!$C$1+1,IF(B197&lt;=0,"",LN(B197)),"")</f>
        <v/>
      </c>
      <c r="D197" s="1" t="str">
        <f>IF(ROW()&lt;=Results!$C$1+1,VLOOKUP($A197,Data!$A$2:$C$117,3,TRUE),"")</f>
        <v/>
      </c>
      <c r="E197" s="14" t="str">
        <f>IF(ROW()&lt;=Results!$C$1+1,IF(D197&lt;=0,"",LN(D197)),"")</f>
        <v/>
      </c>
      <c r="F197" s="53" t="str">
        <f>IF(ROW()&lt;=Results!$C$1+1,IF(ISERROR(C197-E197),"",C197-E197),"")</f>
        <v/>
      </c>
    </row>
    <row r="198" spans="1:6" x14ac:dyDescent="0.2">
      <c r="A198" s="1" t="str">
        <f ca="1">IF(ROW()&lt;=Results!$C$1+1,INDEX(Data!$A:$A,CEILING((COUNTA(Data!$A:$A)-1)*RAND()+1,1)),"")</f>
        <v/>
      </c>
      <c r="B198" s="1" t="str">
        <f>IF(ROW()&lt;=Results!$C$1+1,VLOOKUP($A198,Data!$A$2:$C$117,2,TRUE),"")</f>
        <v/>
      </c>
      <c r="C198" s="14" t="str">
        <f>IF(ROW()&lt;=Results!$C$1+1,IF(B198&lt;=0,"",LN(B198)),"")</f>
        <v/>
      </c>
      <c r="D198" s="1" t="str">
        <f>IF(ROW()&lt;=Results!$C$1+1,VLOOKUP($A198,Data!$A$2:$C$117,3,TRUE),"")</f>
        <v/>
      </c>
      <c r="E198" s="14" t="str">
        <f>IF(ROW()&lt;=Results!$C$1+1,IF(D198&lt;=0,"",LN(D198)),"")</f>
        <v/>
      </c>
      <c r="F198" s="53" t="str">
        <f>IF(ROW()&lt;=Results!$C$1+1,IF(ISERROR(C198-E198),"",C198-E198),"")</f>
        <v/>
      </c>
    </row>
    <row r="199" spans="1:6" x14ac:dyDescent="0.2">
      <c r="A199" s="1" t="str">
        <f ca="1">IF(ROW()&lt;=Results!$C$1+1,INDEX(Data!$A:$A,CEILING((COUNTA(Data!$A:$A)-1)*RAND()+1,1)),"")</f>
        <v/>
      </c>
      <c r="B199" s="1" t="str">
        <f>IF(ROW()&lt;=Results!$C$1+1,VLOOKUP($A199,Data!$A$2:$C$117,2,TRUE),"")</f>
        <v/>
      </c>
      <c r="C199" s="14" t="str">
        <f>IF(ROW()&lt;=Results!$C$1+1,IF(B199&lt;=0,"",LN(B199)),"")</f>
        <v/>
      </c>
      <c r="D199" s="1" t="str">
        <f>IF(ROW()&lt;=Results!$C$1+1,VLOOKUP($A199,Data!$A$2:$C$117,3,TRUE),"")</f>
        <v/>
      </c>
      <c r="E199" s="14" t="str">
        <f>IF(ROW()&lt;=Results!$C$1+1,IF(D199&lt;=0,"",LN(D199)),"")</f>
        <v/>
      </c>
      <c r="F199" s="53" t="str">
        <f>IF(ROW()&lt;=Results!$C$1+1,IF(ISERROR(C199-E199),"",C199-E199),"")</f>
        <v/>
      </c>
    </row>
    <row r="200" spans="1:6" x14ac:dyDescent="0.2">
      <c r="A200" s="1" t="str">
        <f ca="1">IF(ROW()&lt;=Results!$C$1+1,INDEX(Data!$A:$A,CEILING((COUNTA(Data!$A:$A)-1)*RAND()+1,1)),"")</f>
        <v/>
      </c>
      <c r="B200" s="1" t="str">
        <f>IF(ROW()&lt;=Results!$C$1+1,VLOOKUP($A200,Data!$A$2:$C$117,2,TRUE),"")</f>
        <v/>
      </c>
      <c r="C200" s="14" t="str">
        <f>IF(ROW()&lt;=Results!$C$1+1,IF(B200&lt;=0,"",LN(B200)),"")</f>
        <v/>
      </c>
      <c r="D200" s="1" t="str">
        <f>IF(ROW()&lt;=Results!$C$1+1,VLOOKUP($A200,Data!$A$2:$C$117,3,TRUE),"")</f>
        <v/>
      </c>
      <c r="E200" s="14" t="str">
        <f>IF(ROW()&lt;=Results!$C$1+1,IF(D200&lt;=0,"",LN(D200)),"")</f>
        <v/>
      </c>
      <c r="F200" s="53" t="str">
        <f>IF(ROW()&lt;=Results!$C$1+1,IF(ISERROR(C200-E200),"",C200-E200),"")</f>
        <v/>
      </c>
    </row>
    <row r="201" spans="1:6" x14ac:dyDescent="0.2">
      <c r="A201" s="1" t="str">
        <f ca="1">IF(ROW()&lt;=Results!$C$1+1,INDEX(Data!$A:$A,CEILING((COUNTA(Data!$A:$A)-1)*RAND()+1,1)),"")</f>
        <v/>
      </c>
      <c r="B201" s="1" t="str">
        <f>IF(ROW()&lt;=Results!$C$1+1,VLOOKUP($A201,Data!$A$2:$C$117,2,TRUE),"")</f>
        <v/>
      </c>
      <c r="C201" s="14" t="str">
        <f>IF(ROW()&lt;=Results!$C$1+1,IF(B201&lt;=0,"",LN(B201)),"")</f>
        <v/>
      </c>
      <c r="D201" s="1" t="str">
        <f>IF(ROW()&lt;=Results!$C$1+1,VLOOKUP($A201,Data!$A$2:$C$117,3,TRUE),"")</f>
        <v/>
      </c>
      <c r="E201" s="14" t="str">
        <f>IF(ROW()&lt;=Results!$C$1+1,IF(D201&lt;=0,"",LN(D201)),"")</f>
        <v/>
      </c>
      <c r="F201" s="53" t="str">
        <f>IF(ROW()&lt;=Results!$C$1+1,IF(ISERROR(C201-E201),"",C201-E201),"")</f>
        <v/>
      </c>
    </row>
    <row r="202" spans="1:6" x14ac:dyDescent="0.2">
      <c r="A202" s="1" t="str">
        <f ca="1">IF(ROW()&lt;=Results!$C$1+1,INDEX(Data!$A:$A,CEILING((COUNTA(Data!$A:$A)-1)*RAND()+1,1)),"")</f>
        <v/>
      </c>
      <c r="B202" s="1" t="str">
        <f>IF(ROW()&lt;=Results!$C$1+1,VLOOKUP($A202,Data!$A$2:$C$117,2,TRUE),"")</f>
        <v/>
      </c>
      <c r="C202" s="14" t="str">
        <f>IF(ROW()&lt;=Results!$C$1+1,IF(B202&lt;=0,"",LN(B202)),"")</f>
        <v/>
      </c>
      <c r="D202" s="1" t="str">
        <f>IF(ROW()&lt;=Results!$C$1+1,VLOOKUP($A202,Data!$A$2:$C$117,3,TRUE),"")</f>
        <v/>
      </c>
      <c r="E202" s="14" t="str">
        <f>IF(ROW()&lt;=Results!$C$1+1,IF(D202&lt;=0,"",LN(D202)),"")</f>
        <v/>
      </c>
      <c r="F202" s="53" t="str">
        <f>IF(ROW()&lt;=Results!$C$1+1,IF(ISERROR(C202-E202),"",C202-E202),"")</f>
        <v/>
      </c>
    </row>
    <row r="203" spans="1:6" x14ac:dyDescent="0.2">
      <c r="A203" s="1" t="str">
        <f ca="1">IF(ROW()&lt;=Results!$C$1+1,INDEX(Data!$A:$A,CEILING((COUNTA(Data!$A:$A)-1)*RAND()+1,1)),"")</f>
        <v/>
      </c>
      <c r="B203" s="1" t="str">
        <f>IF(ROW()&lt;=Results!$C$1+1,VLOOKUP($A203,Data!$A$2:$C$117,2,TRUE),"")</f>
        <v/>
      </c>
      <c r="C203" s="14" t="str">
        <f>IF(ROW()&lt;=Results!$C$1+1,IF(B203&lt;=0,"",LN(B203)),"")</f>
        <v/>
      </c>
      <c r="D203" s="1" t="str">
        <f>IF(ROW()&lt;=Results!$C$1+1,VLOOKUP($A203,Data!$A$2:$C$117,3,TRUE),"")</f>
        <v/>
      </c>
      <c r="E203" s="14" t="str">
        <f>IF(ROW()&lt;=Results!$C$1+1,IF(D203&lt;=0,"",LN(D203)),"")</f>
        <v/>
      </c>
      <c r="F203" s="53" t="str">
        <f>IF(ROW()&lt;=Results!$C$1+1,IF(ISERROR(C203-E203),"",C203-E203),"")</f>
        <v/>
      </c>
    </row>
    <row r="204" spans="1:6" x14ac:dyDescent="0.2">
      <c r="A204" s="1" t="str">
        <f ca="1">IF(ROW()&lt;=Results!$C$1+1,INDEX(Data!$A:$A,CEILING((COUNTA(Data!$A:$A)-1)*RAND()+1,1)),"")</f>
        <v/>
      </c>
      <c r="B204" s="1" t="str">
        <f>IF(ROW()&lt;=Results!$C$1+1,VLOOKUP($A204,Data!$A$2:$C$117,2,TRUE),"")</f>
        <v/>
      </c>
      <c r="C204" s="14" t="str">
        <f>IF(ROW()&lt;=Results!$C$1+1,IF(B204&lt;=0,"",LN(B204)),"")</f>
        <v/>
      </c>
      <c r="D204" s="1" t="str">
        <f>IF(ROW()&lt;=Results!$C$1+1,VLOOKUP($A204,Data!$A$2:$C$117,3,TRUE),"")</f>
        <v/>
      </c>
      <c r="E204" s="14" t="str">
        <f>IF(ROW()&lt;=Results!$C$1+1,IF(D204&lt;=0,"",LN(D204)),"")</f>
        <v/>
      </c>
      <c r="F204" s="53" t="str">
        <f>IF(ROW()&lt;=Results!$C$1+1,IF(ISERROR(C204-E204),"",C204-E204),"")</f>
        <v/>
      </c>
    </row>
    <row r="205" spans="1:6" x14ac:dyDescent="0.2">
      <c r="A205" s="1" t="str">
        <f ca="1">IF(ROW()&lt;=Results!$C$1+1,INDEX(Data!$A:$A,CEILING((COUNTA(Data!$A:$A)-1)*RAND()+1,1)),"")</f>
        <v/>
      </c>
      <c r="B205" s="1" t="str">
        <f>IF(ROW()&lt;=Results!$C$1+1,VLOOKUP($A205,Data!$A$2:$C$117,2,TRUE),"")</f>
        <v/>
      </c>
      <c r="C205" s="14" t="str">
        <f>IF(ROW()&lt;=Results!$C$1+1,IF(B205&lt;=0,"",LN(B205)),"")</f>
        <v/>
      </c>
      <c r="D205" s="1" t="str">
        <f>IF(ROW()&lt;=Results!$C$1+1,VLOOKUP($A205,Data!$A$2:$C$117,3,TRUE),"")</f>
        <v/>
      </c>
      <c r="E205" s="14" t="str">
        <f>IF(ROW()&lt;=Results!$C$1+1,IF(D205&lt;=0,"",LN(D205)),"")</f>
        <v/>
      </c>
      <c r="F205" s="53" t="str">
        <f>IF(ROW()&lt;=Results!$C$1+1,IF(ISERROR(C205-E205),"",C205-E205),"")</f>
        <v/>
      </c>
    </row>
    <row r="206" spans="1:6" x14ac:dyDescent="0.2">
      <c r="A206" s="1" t="str">
        <f ca="1">IF(ROW()&lt;=Results!$C$1+1,INDEX(Data!$A:$A,CEILING((COUNTA(Data!$A:$A)-1)*RAND()+1,1)),"")</f>
        <v/>
      </c>
      <c r="B206" s="1" t="str">
        <f>IF(ROW()&lt;=Results!$C$1+1,VLOOKUP($A206,Data!$A$2:$C$117,2,TRUE),"")</f>
        <v/>
      </c>
      <c r="C206" s="14" t="str">
        <f>IF(ROW()&lt;=Results!$C$1+1,IF(B206&lt;=0,"",LN(B206)),"")</f>
        <v/>
      </c>
      <c r="D206" s="1" t="str">
        <f>IF(ROW()&lt;=Results!$C$1+1,VLOOKUP($A206,Data!$A$2:$C$117,3,TRUE),"")</f>
        <v/>
      </c>
      <c r="E206" s="14" t="str">
        <f>IF(ROW()&lt;=Results!$C$1+1,IF(D206&lt;=0,"",LN(D206)),"")</f>
        <v/>
      </c>
      <c r="F206" s="53" t="str">
        <f>IF(ROW()&lt;=Results!$C$1+1,IF(ISERROR(C206-E206),"",C206-E206),"")</f>
        <v/>
      </c>
    </row>
    <row r="207" spans="1:6" x14ac:dyDescent="0.2">
      <c r="A207" s="1" t="str">
        <f ca="1">IF(ROW()&lt;=Results!$C$1+1,INDEX(Data!$A:$A,CEILING((COUNTA(Data!$A:$A)-1)*RAND()+1,1)),"")</f>
        <v/>
      </c>
      <c r="B207" s="1" t="str">
        <f>IF(ROW()&lt;=Results!$C$1+1,VLOOKUP($A207,Data!$A$2:$C$117,2,TRUE),"")</f>
        <v/>
      </c>
      <c r="C207" s="14" t="str">
        <f>IF(ROW()&lt;=Results!$C$1+1,IF(B207&lt;=0,"",LN(B207)),"")</f>
        <v/>
      </c>
      <c r="D207" s="1" t="str">
        <f>IF(ROW()&lt;=Results!$C$1+1,VLOOKUP($A207,Data!$A$2:$C$117,3,TRUE),"")</f>
        <v/>
      </c>
      <c r="E207" s="14" t="str">
        <f>IF(ROW()&lt;=Results!$C$1+1,IF(D207&lt;=0,"",LN(D207)),"")</f>
        <v/>
      </c>
      <c r="F207" s="53" t="str">
        <f>IF(ROW()&lt;=Results!$C$1+1,IF(ISERROR(C207-E207),"",C207-E207),"")</f>
        <v/>
      </c>
    </row>
    <row r="208" spans="1:6" x14ac:dyDescent="0.2">
      <c r="A208" s="1" t="str">
        <f ca="1">IF(ROW()&lt;=Results!$C$1+1,INDEX(Data!$A:$A,CEILING((COUNTA(Data!$A:$A)-1)*RAND()+1,1)),"")</f>
        <v/>
      </c>
      <c r="B208" s="1" t="str">
        <f>IF(ROW()&lt;=Results!$C$1+1,VLOOKUP($A208,Data!$A$2:$C$117,2,TRUE),"")</f>
        <v/>
      </c>
      <c r="C208" s="14" t="str">
        <f>IF(ROW()&lt;=Results!$C$1+1,IF(B208&lt;=0,"",LN(B208)),"")</f>
        <v/>
      </c>
      <c r="D208" s="1" t="str">
        <f>IF(ROW()&lt;=Results!$C$1+1,VLOOKUP($A208,Data!$A$2:$C$117,3,TRUE),"")</f>
        <v/>
      </c>
      <c r="E208" s="14" t="str">
        <f>IF(ROW()&lt;=Results!$C$1+1,IF(D208&lt;=0,"",LN(D208)),"")</f>
        <v/>
      </c>
      <c r="F208" s="53" t="str">
        <f>IF(ROW()&lt;=Results!$C$1+1,IF(ISERROR(C208-E208),"",C208-E208),"")</f>
        <v/>
      </c>
    </row>
    <row r="209" spans="1:6" x14ac:dyDescent="0.2">
      <c r="A209" s="1" t="str">
        <f ca="1">IF(ROW()&lt;=Results!$C$1+1,INDEX(Data!$A:$A,CEILING((COUNTA(Data!$A:$A)-1)*RAND()+1,1)),"")</f>
        <v/>
      </c>
      <c r="B209" s="1" t="str">
        <f>IF(ROW()&lt;=Results!$C$1+1,VLOOKUP($A209,Data!$A$2:$C$117,2,TRUE),"")</f>
        <v/>
      </c>
      <c r="C209" s="14" t="str">
        <f>IF(ROW()&lt;=Results!$C$1+1,IF(B209&lt;=0,"",LN(B209)),"")</f>
        <v/>
      </c>
      <c r="D209" s="1" t="str">
        <f>IF(ROW()&lt;=Results!$C$1+1,VLOOKUP($A209,Data!$A$2:$C$117,3,TRUE),"")</f>
        <v/>
      </c>
      <c r="E209" s="14" t="str">
        <f>IF(ROW()&lt;=Results!$C$1+1,IF(D209&lt;=0,"",LN(D209)),"")</f>
        <v/>
      </c>
      <c r="F209" s="53" t="str">
        <f>IF(ROW()&lt;=Results!$C$1+1,IF(ISERROR(C209-E209),"",C209-E209),"")</f>
        <v/>
      </c>
    </row>
    <row r="210" spans="1:6" x14ac:dyDescent="0.2">
      <c r="A210" s="1" t="str">
        <f ca="1">IF(ROW()&lt;=Results!$C$1+1,INDEX(Data!$A:$A,CEILING((COUNTA(Data!$A:$A)-1)*RAND()+1,1)),"")</f>
        <v/>
      </c>
      <c r="B210" s="1" t="str">
        <f>IF(ROW()&lt;=Results!$C$1+1,VLOOKUP($A210,Data!$A$2:$C$117,2,TRUE),"")</f>
        <v/>
      </c>
      <c r="C210" s="14" t="str">
        <f>IF(ROW()&lt;=Results!$C$1+1,IF(B210&lt;=0,"",LN(B210)),"")</f>
        <v/>
      </c>
      <c r="D210" s="1" t="str">
        <f>IF(ROW()&lt;=Results!$C$1+1,VLOOKUP($A210,Data!$A$2:$C$117,3,TRUE),"")</f>
        <v/>
      </c>
      <c r="E210" s="14" t="str">
        <f>IF(ROW()&lt;=Results!$C$1+1,IF(D210&lt;=0,"",LN(D210)),"")</f>
        <v/>
      </c>
      <c r="F210" s="53" t="str">
        <f>IF(ROW()&lt;=Results!$C$1+1,IF(ISERROR(C210-E210),"",C210-E210),"")</f>
        <v/>
      </c>
    </row>
    <row r="211" spans="1:6" x14ac:dyDescent="0.2">
      <c r="A211" s="1" t="str">
        <f ca="1">IF(ROW()&lt;=Results!$C$1+1,INDEX(Data!$A:$A,CEILING((COUNTA(Data!$A:$A)-1)*RAND()+1,1)),"")</f>
        <v/>
      </c>
      <c r="B211" s="1" t="str">
        <f>IF(ROW()&lt;=Results!$C$1+1,VLOOKUP($A211,Data!$A$2:$C$117,2,TRUE),"")</f>
        <v/>
      </c>
      <c r="C211" s="14" t="str">
        <f>IF(ROW()&lt;=Results!$C$1+1,IF(B211&lt;=0,"",LN(B211)),"")</f>
        <v/>
      </c>
      <c r="D211" s="1" t="str">
        <f>IF(ROW()&lt;=Results!$C$1+1,VLOOKUP($A211,Data!$A$2:$C$117,3,TRUE),"")</f>
        <v/>
      </c>
      <c r="E211" s="14" t="str">
        <f>IF(ROW()&lt;=Results!$C$1+1,IF(D211&lt;=0,"",LN(D211)),"")</f>
        <v/>
      </c>
      <c r="F211" s="53" t="str">
        <f>IF(ROW()&lt;=Results!$C$1+1,IF(ISERROR(C211-E211),"",C211-E211),"")</f>
        <v/>
      </c>
    </row>
    <row r="212" spans="1:6" x14ac:dyDescent="0.2">
      <c r="A212" s="1" t="str">
        <f ca="1">IF(ROW()&lt;=Results!$C$1+1,INDEX(Data!$A:$A,CEILING((COUNTA(Data!$A:$A)-1)*RAND()+1,1)),"")</f>
        <v/>
      </c>
      <c r="B212" s="1" t="str">
        <f>IF(ROW()&lt;=Results!$C$1+1,VLOOKUP($A212,Data!$A$2:$C$117,2,TRUE),"")</f>
        <v/>
      </c>
      <c r="C212" s="14" t="str">
        <f>IF(ROW()&lt;=Results!$C$1+1,IF(B212&lt;=0,"",LN(B212)),"")</f>
        <v/>
      </c>
      <c r="D212" s="1" t="str">
        <f>IF(ROW()&lt;=Results!$C$1+1,VLOOKUP($A212,Data!$A$2:$C$117,3,TRUE),"")</f>
        <v/>
      </c>
      <c r="E212" s="14" t="str">
        <f>IF(ROW()&lt;=Results!$C$1+1,IF(D212&lt;=0,"",LN(D212)),"")</f>
        <v/>
      </c>
      <c r="F212" s="53" t="str">
        <f>IF(ROW()&lt;=Results!$C$1+1,IF(ISERROR(C212-E212),"",C212-E212),"")</f>
        <v/>
      </c>
    </row>
    <row r="213" spans="1:6" x14ac:dyDescent="0.2">
      <c r="A213" s="1" t="str">
        <f ca="1">IF(ROW()&lt;=Results!$C$1+1,INDEX(Data!$A:$A,CEILING((COUNTA(Data!$A:$A)-1)*RAND()+1,1)),"")</f>
        <v/>
      </c>
      <c r="B213" s="1" t="str">
        <f>IF(ROW()&lt;=Results!$C$1+1,VLOOKUP($A213,Data!$A$2:$C$117,2,TRUE),"")</f>
        <v/>
      </c>
      <c r="C213" s="14" t="str">
        <f>IF(ROW()&lt;=Results!$C$1+1,IF(B213&lt;=0,"",LN(B213)),"")</f>
        <v/>
      </c>
      <c r="D213" s="1" t="str">
        <f>IF(ROW()&lt;=Results!$C$1+1,VLOOKUP($A213,Data!$A$2:$C$117,3,TRUE),"")</f>
        <v/>
      </c>
      <c r="E213" s="14" t="str">
        <f>IF(ROW()&lt;=Results!$C$1+1,IF(D213&lt;=0,"",LN(D213)),"")</f>
        <v/>
      </c>
      <c r="F213" s="53" t="str">
        <f>IF(ROW()&lt;=Results!$C$1+1,IF(ISERROR(C213-E213),"",C213-E213),"")</f>
        <v/>
      </c>
    </row>
    <row r="214" spans="1:6" x14ac:dyDescent="0.2">
      <c r="A214" s="1" t="str">
        <f ca="1">IF(ROW()&lt;=Results!$C$1+1,INDEX(Data!$A:$A,CEILING((COUNTA(Data!$A:$A)-1)*RAND()+1,1)),"")</f>
        <v/>
      </c>
      <c r="B214" s="1" t="str">
        <f>IF(ROW()&lt;=Results!$C$1+1,VLOOKUP($A214,Data!$A$2:$C$117,2,TRUE),"")</f>
        <v/>
      </c>
      <c r="C214" s="14" t="str">
        <f>IF(ROW()&lt;=Results!$C$1+1,IF(B214&lt;=0,"",LN(B214)),"")</f>
        <v/>
      </c>
      <c r="D214" s="1" t="str">
        <f>IF(ROW()&lt;=Results!$C$1+1,VLOOKUP($A214,Data!$A$2:$C$117,3,TRUE),"")</f>
        <v/>
      </c>
      <c r="E214" s="14" t="str">
        <f>IF(ROW()&lt;=Results!$C$1+1,IF(D214&lt;=0,"",LN(D214)),"")</f>
        <v/>
      </c>
      <c r="F214" s="53" t="str">
        <f>IF(ROW()&lt;=Results!$C$1+1,IF(ISERROR(C214-E214),"",C214-E214),"")</f>
        <v/>
      </c>
    </row>
    <row r="215" spans="1:6" x14ac:dyDescent="0.2">
      <c r="A215" s="1" t="str">
        <f ca="1">IF(ROW()&lt;=Results!$C$1+1,INDEX(Data!$A:$A,CEILING((COUNTA(Data!$A:$A)-1)*RAND()+1,1)),"")</f>
        <v/>
      </c>
      <c r="B215" s="1" t="str">
        <f>IF(ROW()&lt;=Results!$C$1+1,VLOOKUP($A215,Data!$A$2:$C$117,2,TRUE),"")</f>
        <v/>
      </c>
      <c r="C215" s="14" t="str">
        <f>IF(ROW()&lt;=Results!$C$1+1,IF(B215&lt;=0,"",LN(B215)),"")</f>
        <v/>
      </c>
      <c r="D215" s="1" t="str">
        <f>IF(ROW()&lt;=Results!$C$1+1,VLOOKUP($A215,Data!$A$2:$C$117,3,TRUE),"")</f>
        <v/>
      </c>
      <c r="E215" s="14" t="str">
        <f>IF(ROW()&lt;=Results!$C$1+1,IF(D215&lt;=0,"",LN(D215)),"")</f>
        <v/>
      </c>
      <c r="F215" s="53" t="str">
        <f>IF(ROW()&lt;=Results!$C$1+1,IF(ISERROR(C215-E215),"",C215-E215),"")</f>
        <v/>
      </c>
    </row>
    <row r="216" spans="1:6" x14ac:dyDescent="0.2">
      <c r="A216" s="1" t="str">
        <f ca="1">IF(ROW()&lt;=Results!$C$1+1,INDEX(Data!$A:$A,CEILING((COUNTA(Data!$A:$A)-1)*RAND()+1,1)),"")</f>
        <v/>
      </c>
      <c r="B216" s="1" t="str">
        <f>IF(ROW()&lt;=Results!$C$1+1,VLOOKUP($A216,Data!$A$2:$C$117,2,TRUE),"")</f>
        <v/>
      </c>
      <c r="C216" s="14" t="str">
        <f>IF(ROW()&lt;=Results!$C$1+1,IF(B216&lt;=0,"",LN(B216)),"")</f>
        <v/>
      </c>
      <c r="D216" s="1" t="str">
        <f>IF(ROW()&lt;=Results!$C$1+1,VLOOKUP($A216,Data!$A$2:$C$117,3,TRUE),"")</f>
        <v/>
      </c>
      <c r="E216" s="14" t="str">
        <f>IF(ROW()&lt;=Results!$C$1+1,IF(D216&lt;=0,"",LN(D216)),"")</f>
        <v/>
      </c>
      <c r="F216" s="53" t="str">
        <f>IF(ROW()&lt;=Results!$C$1+1,IF(ISERROR(C216-E216),"",C216-E216),"")</f>
        <v/>
      </c>
    </row>
    <row r="217" spans="1:6" x14ac:dyDescent="0.2">
      <c r="A217" s="1" t="str">
        <f ca="1">IF(ROW()&lt;=Results!$C$1+1,INDEX(Data!$A:$A,CEILING((COUNTA(Data!$A:$A)-1)*RAND()+1,1)),"")</f>
        <v/>
      </c>
      <c r="B217" s="1" t="str">
        <f>IF(ROW()&lt;=Results!$C$1+1,VLOOKUP($A217,Data!$A$2:$C$117,2,TRUE),"")</f>
        <v/>
      </c>
      <c r="C217" s="14" t="str">
        <f>IF(ROW()&lt;=Results!$C$1+1,IF(B217&lt;=0,"",LN(B217)),"")</f>
        <v/>
      </c>
      <c r="D217" s="1" t="str">
        <f>IF(ROW()&lt;=Results!$C$1+1,VLOOKUP($A217,Data!$A$2:$C$117,3,TRUE),"")</f>
        <v/>
      </c>
      <c r="E217" s="14" t="str">
        <f>IF(ROW()&lt;=Results!$C$1+1,IF(D217&lt;=0,"",LN(D217)),"")</f>
        <v/>
      </c>
      <c r="F217" s="53" t="str">
        <f>IF(ROW()&lt;=Results!$C$1+1,IF(ISERROR(C217-E217),"",C217-E217),"")</f>
        <v/>
      </c>
    </row>
    <row r="218" spans="1:6" x14ac:dyDescent="0.2">
      <c r="A218" s="1" t="str">
        <f ca="1">IF(ROW()&lt;=Results!$C$1+1,INDEX(Data!$A:$A,CEILING((COUNTA(Data!$A:$A)-1)*RAND()+1,1)),"")</f>
        <v/>
      </c>
      <c r="B218" s="1" t="str">
        <f>IF(ROW()&lt;=Results!$C$1+1,VLOOKUP($A218,Data!$A$2:$C$117,2,TRUE),"")</f>
        <v/>
      </c>
      <c r="C218" s="14" t="str">
        <f>IF(ROW()&lt;=Results!$C$1+1,IF(B218&lt;=0,"",LN(B218)),"")</f>
        <v/>
      </c>
      <c r="D218" s="1" t="str">
        <f>IF(ROW()&lt;=Results!$C$1+1,VLOOKUP($A218,Data!$A$2:$C$117,3,TRUE),"")</f>
        <v/>
      </c>
      <c r="E218" s="14" t="str">
        <f>IF(ROW()&lt;=Results!$C$1+1,IF(D218&lt;=0,"",LN(D218)),"")</f>
        <v/>
      </c>
      <c r="F218" s="53" t="str">
        <f>IF(ROW()&lt;=Results!$C$1+1,IF(ISERROR(C218-E218),"",C218-E218),"")</f>
        <v/>
      </c>
    </row>
    <row r="219" spans="1:6" x14ac:dyDescent="0.2">
      <c r="A219" s="1" t="str">
        <f ca="1">IF(ROW()&lt;=Results!$C$1+1,INDEX(Data!$A:$A,CEILING((COUNTA(Data!$A:$A)-1)*RAND()+1,1)),"")</f>
        <v/>
      </c>
      <c r="B219" s="1" t="str">
        <f>IF(ROW()&lt;=Results!$C$1+1,VLOOKUP($A219,Data!$A$2:$C$117,2,TRUE),"")</f>
        <v/>
      </c>
      <c r="C219" s="14" t="str">
        <f>IF(ROW()&lt;=Results!$C$1+1,IF(B219&lt;=0,"",LN(B219)),"")</f>
        <v/>
      </c>
      <c r="D219" s="1" t="str">
        <f>IF(ROW()&lt;=Results!$C$1+1,VLOOKUP($A219,Data!$A$2:$C$117,3,TRUE),"")</f>
        <v/>
      </c>
      <c r="E219" s="14" t="str">
        <f>IF(ROW()&lt;=Results!$C$1+1,IF(D219&lt;=0,"",LN(D219)),"")</f>
        <v/>
      </c>
      <c r="F219" s="53" t="str">
        <f>IF(ROW()&lt;=Results!$C$1+1,IF(ISERROR(C219-E219),"",C219-E219),"")</f>
        <v/>
      </c>
    </row>
    <row r="220" spans="1:6" x14ac:dyDescent="0.2">
      <c r="A220" s="1" t="str">
        <f ca="1">IF(ROW()&lt;=Results!$C$1+1,INDEX(Data!$A:$A,CEILING((COUNTA(Data!$A:$A)-1)*RAND()+1,1)),"")</f>
        <v/>
      </c>
      <c r="B220" s="1" t="str">
        <f>IF(ROW()&lt;=Results!$C$1+1,VLOOKUP($A220,Data!$A$2:$C$117,2,TRUE),"")</f>
        <v/>
      </c>
      <c r="C220" s="14" t="str">
        <f>IF(ROW()&lt;=Results!$C$1+1,IF(B220&lt;=0,"",LN(B220)),"")</f>
        <v/>
      </c>
      <c r="D220" s="1" t="str">
        <f>IF(ROW()&lt;=Results!$C$1+1,VLOOKUP($A220,Data!$A$2:$C$117,3,TRUE),"")</f>
        <v/>
      </c>
      <c r="E220" s="14" t="str">
        <f>IF(ROW()&lt;=Results!$C$1+1,IF(D220&lt;=0,"",LN(D220)),"")</f>
        <v/>
      </c>
      <c r="F220" s="53" t="str">
        <f>IF(ROW()&lt;=Results!$C$1+1,IF(ISERROR(C220-E220),"",C220-E220),"")</f>
        <v/>
      </c>
    </row>
    <row r="221" spans="1:6" x14ac:dyDescent="0.2">
      <c r="A221" s="1" t="str">
        <f ca="1">IF(ROW()&lt;=Results!$C$1+1,INDEX(Data!$A:$A,CEILING((COUNTA(Data!$A:$A)-1)*RAND()+1,1)),"")</f>
        <v/>
      </c>
      <c r="B221" s="1" t="str">
        <f>IF(ROW()&lt;=Results!$C$1+1,VLOOKUP($A221,Data!$A$2:$C$117,2,TRUE),"")</f>
        <v/>
      </c>
      <c r="C221" s="14" t="str">
        <f>IF(ROW()&lt;=Results!$C$1+1,IF(B221&lt;=0,"",LN(B221)),"")</f>
        <v/>
      </c>
      <c r="D221" s="1" t="str">
        <f>IF(ROW()&lt;=Results!$C$1+1,VLOOKUP($A221,Data!$A$2:$C$117,3,TRUE),"")</f>
        <v/>
      </c>
      <c r="E221" s="14" t="str">
        <f>IF(ROW()&lt;=Results!$C$1+1,IF(D221&lt;=0,"",LN(D221)),"")</f>
        <v/>
      </c>
      <c r="F221" s="53" t="str">
        <f>IF(ROW()&lt;=Results!$C$1+1,IF(ISERROR(C221-E221),"",C221-E221),"")</f>
        <v/>
      </c>
    </row>
    <row r="222" spans="1:6" x14ac:dyDescent="0.2">
      <c r="A222" s="1" t="str">
        <f ca="1">IF(ROW()&lt;=Results!$C$1+1,INDEX(Data!$A:$A,CEILING((COUNTA(Data!$A:$A)-1)*RAND()+1,1)),"")</f>
        <v/>
      </c>
      <c r="B222" s="1" t="str">
        <f>IF(ROW()&lt;=Results!$C$1+1,VLOOKUP($A222,Data!$A$2:$C$117,2,TRUE),"")</f>
        <v/>
      </c>
      <c r="C222" s="14" t="str">
        <f>IF(ROW()&lt;=Results!$C$1+1,IF(B222&lt;=0,"",LN(B222)),"")</f>
        <v/>
      </c>
      <c r="D222" s="1" t="str">
        <f>IF(ROW()&lt;=Results!$C$1+1,VLOOKUP($A222,Data!$A$2:$C$117,3,TRUE),"")</f>
        <v/>
      </c>
      <c r="E222" s="14" t="str">
        <f>IF(ROW()&lt;=Results!$C$1+1,IF(D222&lt;=0,"",LN(D222)),"")</f>
        <v/>
      </c>
      <c r="F222" s="53" t="str">
        <f>IF(ROW()&lt;=Results!$C$1+1,IF(ISERROR(C222-E222),"",C222-E222),"")</f>
        <v/>
      </c>
    </row>
    <row r="223" spans="1:6" x14ac:dyDescent="0.2">
      <c r="A223" s="1" t="str">
        <f ca="1">IF(ROW()&lt;=Results!$C$1+1,INDEX(Data!$A:$A,CEILING((COUNTA(Data!$A:$A)-1)*RAND()+1,1)),"")</f>
        <v/>
      </c>
      <c r="B223" s="1" t="str">
        <f>IF(ROW()&lt;=Results!$C$1+1,VLOOKUP($A223,Data!$A$2:$C$117,2,TRUE),"")</f>
        <v/>
      </c>
      <c r="C223" s="14" t="str">
        <f>IF(ROW()&lt;=Results!$C$1+1,IF(B223&lt;=0,"",LN(B223)),"")</f>
        <v/>
      </c>
      <c r="D223" s="1" t="str">
        <f>IF(ROW()&lt;=Results!$C$1+1,VLOOKUP($A223,Data!$A$2:$C$117,3,TRUE),"")</f>
        <v/>
      </c>
      <c r="E223" s="14" t="str">
        <f>IF(ROW()&lt;=Results!$C$1+1,IF(D223&lt;=0,"",LN(D223)),"")</f>
        <v/>
      </c>
      <c r="F223" s="53" t="str">
        <f>IF(ROW()&lt;=Results!$C$1+1,IF(ISERROR(C223-E223),"",C223-E223),"")</f>
        <v/>
      </c>
    </row>
    <row r="224" spans="1:6" x14ac:dyDescent="0.2">
      <c r="A224" s="1" t="str">
        <f ca="1">IF(ROW()&lt;=Results!$C$1+1,INDEX(Data!$A:$A,CEILING((COUNTA(Data!$A:$A)-1)*RAND()+1,1)),"")</f>
        <v/>
      </c>
      <c r="B224" s="1" t="str">
        <f>IF(ROW()&lt;=Results!$C$1+1,VLOOKUP($A224,Data!$A$2:$C$117,2,TRUE),"")</f>
        <v/>
      </c>
      <c r="C224" s="14" t="str">
        <f>IF(ROW()&lt;=Results!$C$1+1,IF(B224&lt;=0,"",LN(B224)),"")</f>
        <v/>
      </c>
      <c r="D224" s="1" t="str">
        <f>IF(ROW()&lt;=Results!$C$1+1,VLOOKUP($A224,Data!$A$2:$C$117,3,TRUE),"")</f>
        <v/>
      </c>
      <c r="E224" s="14" t="str">
        <f>IF(ROW()&lt;=Results!$C$1+1,IF(D224&lt;=0,"",LN(D224)),"")</f>
        <v/>
      </c>
      <c r="F224" s="53" t="str">
        <f>IF(ROW()&lt;=Results!$C$1+1,IF(ISERROR(C224-E224),"",C224-E224),"")</f>
        <v/>
      </c>
    </row>
    <row r="225" spans="1:6" x14ac:dyDescent="0.2">
      <c r="A225" s="1" t="str">
        <f ca="1">IF(ROW()&lt;=Results!$C$1+1,INDEX(Data!$A:$A,CEILING((COUNTA(Data!$A:$A)-1)*RAND()+1,1)),"")</f>
        <v/>
      </c>
      <c r="B225" s="1" t="str">
        <f>IF(ROW()&lt;=Results!$C$1+1,VLOOKUP($A225,Data!$A$2:$C$117,2,TRUE),"")</f>
        <v/>
      </c>
      <c r="C225" s="14" t="str">
        <f>IF(ROW()&lt;=Results!$C$1+1,IF(B225&lt;=0,"",LN(B225)),"")</f>
        <v/>
      </c>
      <c r="D225" s="1" t="str">
        <f>IF(ROW()&lt;=Results!$C$1+1,VLOOKUP($A225,Data!$A$2:$C$117,3,TRUE),"")</f>
        <v/>
      </c>
      <c r="E225" s="14" t="str">
        <f>IF(ROW()&lt;=Results!$C$1+1,IF(D225&lt;=0,"",LN(D225)),"")</f>
        <v/>
      </c>
      <c r="F225" s="53" t="str">
        <f>IF(ROW()&lt;=Results!$C$1+1,IF(ISERROR(C225-E225),"",C225-E225),"")</f>
        <v/>
      </c>
    </row>
    <row r="226" spans="1:6" x14ac:dyDescent="0.2">
      <c r="A226" s="1" t="str">
        <f ca="1">IF(ROW()&lt;=Results!$C$1+1,INDEX(Data!$A:$A,CEILING((COUNTA(Data!$A:$A)-1)*RAND()+1,1)),"")</f>
        <v/>
      </c>
      <c r="B226" s="1" t="str">
        <f>IF(ROW()&lt;=Results!$C$1+1,VLOOKUP($A226,Data!$A$2:$C$117,2,TRUE),"")</f>
        <v/>
      </c>
      <c r="C226" s="14" t="str">
        <f>IF(ROW()&lt;=Results!$C$1+1,IF(B226&lt;=0,"",LN(B226)),"")</f>
        <v/>
      </c>
      <c r="D226" s="1" t="str">
        <f>IF(ROW()&lt;=Results!$C$1+1,VLOOKUP($A226,Data!$A$2:$C$117,3,TRUE),"")</f>
        <v/>
      </c>
      <c r="E226" s="14" t="str">
        <f>IF(ROW()&lt;=Results!$C$1+1,IF(D226&lt;=0,"",LN(D226)),"")</f>
        <v/>
      </c>
      <c r="F226" s="53" t="str">
        <f>IF(ROW()&lt;=Results!$C$1+1,IF(ISERROR(C226-E226),"",C226-E226),"")</f>
        <v/>
      </c>
    </row>
    <row r="227" spans="1:6" x14ac:dyDescent="0.2">
      <c r="A227" s="1" t="str">
        <f ca="1">IF(ROW()&lt;=Results!$C$1+1,INDEX(Data!$A:$A,CEILING((COUNTA(Data!$A:$A)-1)*RAND()+1,1)),"")</f>
        <v/>
      </c>
      <c r="B227" s="1" t="str">
        <f>IF(ROW()&lt;=Results!$C$1+1,VLOOKUP($A227,Data!$A$2:$C$117,2,TRUE),"")</f>
        <v/>
      </c>
      <c r="C227" s="14" t="str">
        <f>IF(ROW()&lt;=Results!$C$1+1,IF(B227&lt;=0,"",LN(B227)),"")</f>
        <v/>
      </c>
      <c r="D227" s="1" t="str">
        <f>IF(ROW()&lt;=Results!$C$1+1,VLOOKUP($A227,Data!$A$2:$C$117,3,TRUE),"")</f>
        <v/>
      </c>
      <c r="E227" s="14" t="str">
        <f>IF(ROW()&lt;=Results!$C$1+1,IF(D227&lt;=0,"",LN(D227)),"")</f>
        <v/>
      </c>
      <c r="F227" s="53" t="str">
        <f>IF(ROW()&lt;=Results!$C$1+1,IF(ISERROR(C227-E227),"",C227-E227),"")</f>
        <v/>
      </c>
    </row>
    <row r="228" spans="1:6" x14ac:dyDescent="0.2">
      <c r="A228" s="1" t="str">
        <f ca="1">IF(ROW()&lt;=Results!$C$1+1,INDEX(Data!$A:$A,CEILING((COUNTA(Data!$A:$A)-1)*RAND()+1,1)),"")</f>
        <v/>
      </c>
      <c r="B228" s="1" t="str">
        <f>IF(ROW()&lt;=Results!$C$1+1,VLOOKUP($A228,Data!$A$2:$C$117,2,TRUE),"")</f>
        <v/>
      </c>
      <c r="C228" s="14" t="str">
        <f>IF(ROW()&lt;=Results!$C$1+1,IF(B228&lt;=0,"",LN(B228)),"")</f>
        <v/>
      </c>
      <c r="D228" s="1" t="str">
        <f>IF(ROW()&lt;=Results!$C$1+1,VLOOKUP($A228,Data!$A$2:$C$117,3,TRUE),"")</f>
        <v/>
      </c>
      <c r="E228" s="14" t="str">
        <f>IF(ROW()&lt;=Results!$C$1+1,IF(D228&lt;=0,"",LN(D228)),"")</f>
        <v/>
      </c>
      <c r="F228" s="53" t="str">
        <f>IF(ROW()&lt;=Results!$C$1+1,IF(ISERROR(C228-E228),"",C228-E228),"")</f>
        <v/>
      </c>
    </row>
    <row r="229" spans="1:6" x14ac:dyDescent="0.2">
      <c r="A229" s="1" t="str">
        <f ca="1">IF(ROW()&lt;=Results!$C$1+1,INDEX(Data!$A:$A,CEILING((COUNTA(Data!$A:$A)-1)*RAND()+1,1)),"")</f>
        <v/>
      </c>
      <c r="B229" s="1" t="str">
        <f>IF(ROW()&lt;=Results!$C$1+1,VLOOKUP($A229,Data!$A$2:$C$117,2,TRUE),"")</f>
        <v/>
      </c>
      <c r="C229" s="14" t="str">
        <f>IF(ROW()&lt;=Results!$C$1+1,IF(B229&lt;=0,"",LN(B229)),"")</f>
        <v/>
      </c>
      <c r="D229" s="1" t="str">
        <f>IF(ROW()&lt;=Results!$C$1+1,VLOOKUP($A229,Data!$A$2:$C$117,3,TRUE),"")</f>
        <v/>
      </c>
      <c r="E229" s="14" t="str">
        <f>IF(ROW()&lt;=Results!$C$1+1,IF(D229&lt;=0,"",LN(D229)),"")</f>
        <v/>
      </c>
      <c r="F229" s="53" t="str">
        <f>IF(ROW()&lt;=Results!$C$1+1,IF(ISERROR(C229-E229),"",C229-E229),"")</f>
        <v/>
      </c>
    </row>
    <row r="230" spans="1:6" x14ac:dyDescent="0.2">
      <c r="A230" s="1" t="str">
        <f ca="1">IF(ROW()&lt;=Results!$C$1+1,INDEX(Data!$A:$A,CEILING((COUNTA(Data!$A:$A)-1)*RAND()+1,1)),"")</f>
        <v/>
      </c>
      <c r="B230" s="1" t="str">
        <f>IF(ROW()&lt;=Results!$C$1+1,VLOOKUP($A230,Data!$A$2:$C$117,2,TRUE),"")</f>
        <v/>
      </c>
      <c r="C230" s="14" t="str">
        <f>IF(ROW()&lt;=Results!$C$1+1,IF(B230&lt;=0,"",LN(B230)),"")</f>
        <v/>
      </c>
      <c r="D230" s="1" t="str">
        <f>IF(ROW()&lt;=Results!$C$1+1,VLOOKUP($A230,Data!$A$2:$C$117,3,TRUE),"")</f>
        <v/>
      </c>
      <c r="E230" s="14" t="str">
        <f>IF(ROW()&lt;=Results!$C$1+1,IF(D230&lt;=0,"",LN(D230)),"")</f>
        <v/>
      </c>
      <c r="F230" s="53" t="str">
        <f>IF(ROW()&lt;=Results!$C$1+1,IF(ISERROR(C230-E230),"",C230-E230),"")</f>
        <v/>
      </c>
    </row>
    <row r="231" spans="1:6" x14ac:dyDescent="0.2">
      <c r="A231" s="1" t="str">
        <f ca="1">IF(ROW()&lt;=Results!$C$1+1,INDEX(Data!$A:$A,CEILING((COUNTA(Data!$A:$A)-1)*RAND()+1,1)),"")</f>
        <v/>
      </c>
      <c r="B231" s="1" t="str">
        <f>IF(ROW()&lt;=Results!$C$1+1,VLOOKUP($A231,Data!$A$2:$C$117,2,TRUE),"")</f>
        <v/>
      </c>
      <c r="C231" s="14" t="str">
        <f>IF(ROW()&lt;=Results!$C$1+1,IF(B231&lt;=0,"",LN(B231)),"")</f>
        <v/>
      </c>
      <c r="D231" s="1" t="str">
        <f>IF(ROW()&lt;=Results!$C$1+1,VLOOKUP($A231,Data!$A$2:$C$117,3,TRUE),"")</f>
        <v/>
      </c>
      <c r="E231" s="14" t="str">
        <f>IF(ROW()&lt;=Results!$C$1+1,IF(D231&lt;=0,"",LN(D231)),"")</f>
        <v/>
      </c>
      <c r="F231" s="53" t="str">
        <f>IF(ROW()&lt;=Results!$C$1+1,IF(ISERROR(C231-E231),"",C231-E231),"")</f>
        <v/>
      </c>
    </row>
    <row r="232" spans="1:6" x14ac:dyDescent="0.2">
      <c r="A232" s="1" t="str">
        <f ca="1">IF(ROW()&lt;=Results!$C$1+1,INDEX(Data!$A:$A,CEILING((COUNTA(Data!$A:$A)-1)*RAND()+1,1)),"")</f>
        <v/>
      </c>
      <c r="B232" s="1" t="str">
        <f>IF(ROW()&lt;=Results!$C$1+1,VLOOKUP($A232,Data!$A$2:$C$117,2,TRUE),"")</f>
        <v/>
      </c>
      <c r="C232" s="14" t="str">
        <f>IF(ROW()&lt;=Results!$C$1+1,IF(B232&lt;=0,"",LN(B232)),"")</f>
        <v/>
      </c>
      <c r="D232" s="1" t="str">
        <f>IF(ROW()&lt;=Results!$C$1+1,VLOOKUP($A232,Data!$A$2:$C$117,3,TRUE),"")</f>
        <v/>
      </c>
      <c r="E232" s="14" t="str">
        <f>IF(ROW()&lt;=Results!$C$1+1,IF(D232&lt;=0,"",LN(D232)),"")</f>
        <v/>
      </c>
      <c r="F232" s="53" t="str">
        <f>IF(ROW()&lt;=Results!$C$1+1,IF(ISERROR(C232-E232),"",C232-E232),"")</f>
        <v/>
      </c>
    </row>
    <row r="233" spans="1:6" x14ac:dyDescent="0.2">
      <c r="A233" s="1" t="str">
        <f ca="1">IF(ROW()&lt;=Results!$C$1+1,INDEX(Data!$A:$A,CEILING((COUNTA(Data!$A:$A)-1)*RAND()+1,1)),"")</f>
        <v/>
      </c>
      <c r="B233" s="1" t="str">
        <f>IF(ROW()&lt;=Results!$C$1+1,VLOOKUP($A233,Data!$A$2:$C$117,2,TRUE),"")</f>
        <v/>
      </c>
      <c r="C233" s="14" t="str">
        <f>IF(ROW()&lt;=Results!$C$1+1,IF(B233&lt;=0,"",LN(B233)),"")</f>
        <v/>
      </c>
      <c r="D233" s="1" t="str">
        <f>IF(ROW()&lt;=Results!$C$1+1,VLOOKUP($A233,Data!$A$2:$C$117,3,TRUE),"")</f>
        <v/>
      </c>
      <c r="E233" s="14" t="str">
        <f>IF(ROW()&lt;=Results!$C$1+1,IF(D233&lt;=0,"",LN(D233)),"")</f>
        <v/>
      </c>
      <c r="F233" s="53" t="str">
        <f>IF(ROW()&lt;=Results!$C$1+1,IF(ISERROR(C233-E233),"",C233-E233),"")</f>
        <v/>
      </c>
    </row>
    <row r="234" spans="1:6" x14ac:dyDescent="0.2">
      <c r="A234" s="1" t="str">
        <f ca="1">IF(ROW()&lt;=Results!$C$1+1,INDEX(Data!$A:$A,CEILING((COUNTA(Data!$A:$A)-1)*RAND()+1,1)),"")</f>
        <v/>
      </c>
      <c r="B234" s="1" t="str">
        <f>IF(ROW()&lt;=Results!$C$1+1,VLOOKUP($A234,Data!$A$2:$C$117,2,TRUE),"")</f>
        <v/>
      </c>
      <c r="C234" s="14" t="str">
        <f>IF(ROW()&lt;=Results!$C$1+1,IF(B234&lt;=0,"",LN(B234)),"")</f>
        <v/>
      </c>
      <c r="D234" s="1" t="str">
        <f>IF(ROW()&lt;=Results!$C$1+1,VLOOKUP($A234,Data!$A$2:$C$117,3,TRUE),"")</f>
        <v/>
      </c>
      <c r="E234" s="14" t="str">
        <f>IF(ROW()&lt;=Results!$C$1+1,IF(D234&lt;=0,"",LN(D234)),"")</f>
        <v/>
      </c>
      <c r="F234" s="53" t="str">
        <f>IF(ROW()&lt;=Results!$C$1+1,IF(ISERROR(C234-E234),"",C234-E234),"")</f>
        <v/>
      </c>
    </row>
    <row r="235" spans="1:6" x14ac:dyDescent="0.2">
      <c r="A235" s="1" t="str">
        <f ca="1">IF(ROW()&lt;=Results!$C$1+1,INDEX(Data!$A:$A,CEILING((COUNTA(Data!$A:$A)-1)*RAND()+1,1)),"")</f>
        <v/>
      </c>
      <c r="B235" s="1" t="str">
        <f>IF(ROW()&lt;=Results!$C$1+1,VLOOKUP($A235,Data!$A$2:$C$117,2,TRUE),"")</f>
        <v/>
      </c>
      <c r="C235" s="14" t="str">
        <f>IF(ROW()&lt;=Results!$C$1+1,IF(B235&lt;=0,"",LN(B235)),"")</f>
        <v/>
      </c>
      <c r="D235" s="1" t="str">
        <f>IF(ROW()&lt;=Results!$C$1+1,VLOOKUP($A235,Data!$A$2:$C$117,3,TRUE),"")</f>
        <v/>
      </c>
      <c r="E235" s="14" t="str">
        <f>IF(ROW()&lt;=Results!$C$1+1,IF(D235&lt;=0,"",LN(D235)),"")</f>
        <v/>
      </c>
      <c r="F235" s="53" t="str">
        <f>IF(ROW()&lt;=Results!$C$1+1,IF(ISERROR(C235-E235),"",C235-E235),"")</f>
        <v/>
      </c>
    </row>
    <row r="236" spans="1:6" x14ac:dyDescent="0.2">
      <c r="A236" s="1" t="str">
        <f ca="1">IF(ROW()&lt;=Results!$C$1+1,INDEX(Data!$A:$A,CEILING((COUNTA(Data!$A:$A)-1)*RAND()+1,1)),"")</f>
        <v/>
      </c>
      <c r="B236" s="1" t="str">
        <f>IF(ROW()&lt;=Results!$C$1+1,VLOOKUP($A236,Data!$A$2:$C$117,2,TRUE),"")</f>
        <v/>
      </c>
      <c r="C236" s="14" t="str">
        <f>IF(ROW()&lt;=Results!$C$1+1,IF(B236&lt;=0,"",LN(B236)),"")</f>
        <v/>
      </c>
      <c r="D236" s="1" t="str">
        <f>IF(ROW()&lt;=Results!$C$1+1,VLOOKUP($A236,Data!$A$2:$C$117,3,TRUE),"")</f>
        <v/>
      </c>
      <c r="E236" s="14" t="str">
        <f>IF(ROW()&lt;=Results!$C$1+1,IF(D236&lt;=0,"",LN(D236)),"")</f>
        <v/>
      </c>
      <c r="F236" s="53" t="str">
        <f>IF(ROW()&lt;=Results!$C$1+1,IF(ISERROR(C236-E236),"",C236-E236),"")</f>
        <v/>
      </c>
    </row>
    <row r="237" spans="1:6" x14ac:dyDescent="0.2">
      <c r="A237" s="1" t="str">
        <f ca="1">IF(ROW()&lt;=Results!$C$1+1,INDEX(Data!$A:$A,CEILING((COUNTA(Data!$A:$A)-1)*RAND()+1,1)),"")</f>
        <v/>
      </c>
      <c r="B237" s="1" t="str">
        <f>IF(ROW()&lt;=Results!$C$1+1,VLOOKUP($A237,Data!$A$2:$C$117,2,TRUE),"")</f>
        <v/>
      </c>
      <c r="C237" s="14" t="str">
        <f>IF(ROW()&lt;=Results!$C$1+1,IF(B237&lt;=0,"",LN(B237)),"")</f>
        <v/>
      </c>
      <c r="D237" s="1" t="str">
        <f>IF(ROW()&lt;=Results!$C$1+1,VLOOKUP($A237,Data!$A$2:$C$117,3,TRUE),"")</f>
        <v/>
      </c>
      <c r="E237" s="14" t="str">
        <f>IF(ROW()&lt;=Results!$C$1+1,IF(D237&lt;=0,"",LN(D237)),"")</f>
        <v/>
      </c>
      <c r="F237" s="53" t="str">
        <f>IF(ROW()&lt;=Results!$C$1+1,IF(ISERROR(C237-E237),"",C237-E237),"")</f>
        <v/>
      </c>
    </row>
    <row r="238" spans="1:6" x14ac:dyDescent="0.2">
      <c r="A238" s="1" t="str">
        <f ca="1">IF(ROW()&lt;=Results!$C$1+1,INDEX(Data!$A:$A,CEILING((COUNTA(Data!$A:$A)-1)*RAND()+1,1)),"")</f>
        <v/>
      </c>
      <c r="B238" s="1" t="str">
        <f>IF(ROW()&lt;=Results!$C$1+1,VLOOKUP($A238,Data!$A$2:$C$117,2,TRUE),"")</f>
        <v/>
      </c>
      <c r="C238" s="14" t="str">
        <f>IF(ROW()&lt;=Results!$C$1+1,IF(B238&lt;=0,"",LN(B238)),"")</f>
        <v/>
      </c>
      <c r="D238" s="1" t="str">
        <f>IF(ROW()&lt;=Results!$C$1+1,VLOOKUP($A238,Data!$A$2:$C$117,3,TRUE),"")</f>
        <v/>
      </c>
      <c r="E238" s="14" t="str">
        <f>IF(ROW()&lt;=Results!$C$1+1,IF(D238&lt;=0,"",LN(D238)),"")</f>
        <v/>
      </c>
      <c r="F238" s="53" t="str">
        <f>IF(ROW()&lt;=Results!$C$1+1,IF(ISERROR(C238-E238),"",C238-E238),"")</f>
        <v/>
      </c>
    </row>
    <row r="239" spans="1:6" x14ac:dyDescent="0.2">
      <c r="A239" s="1" t="str">
        <f ca="1">IF(ROW()&lt;=Results!$C$1+1,INDEX(Data!$A:$A,CEILING((COUNTA(Data!$A:$A)-1)*RAND()+1,1)),"")</f>
        <v/>
      </c>
      <c r="B239" s="1" t="str">
        <f>IF(ROW()&lt;=Results!$C$1+1,VLOOKUP($A239,Data!$A$2:$C$117,2,TRUE),"")</f>
        <v/>
      </c>
      <c r="C239" s="14" t="str">
        <f>IF(ROW()&lt;=Results!$C$1+1,IF(B239&lt;=0,"",LN(B239)),"")</f>
        <v/>
      </c>
      <c r="D239" s="1" t="str">
        <f>IF(ROW()&lt;=Results!$C$1+1,VLOOKUP($A239,Data!$A$2:$C$117,3,TRUE),"")</f>
        <v/>
      </c>
      <c r="E239" s="14" t="str">
        <f>IF(ROW()&lt;=Results!$C$1+1,IF(D239&lt;=0,"",LN(D239)),"")</f>
        <v/>
      </c>
      <c r="F239" s="53" t="str">
        <f>IF(ROW()&lt;=Results!$C$1+1,IF(ISERROR(C239-E239),"",C239-E239),"")</f>
        <v/>
      </c>
    </row>
    <row r="240" spans="1:6" x14ac:dyDescent="0.2">
      <c r="A240" s="1" t="str">
        <f ca="1">IF(ROW()&lt;=Results!$C$1+1,INDEX(Data!$A:$A,CEILING((COUNTA(Data!$A:$A)-1)*RAND()+1,1)),"")</f>
        <v/>
      </c>
      <c r="B240" s="1" t="str">
        <f>IF(ROW()&lt;=Results!$C$1+1,VLOOKUP($A240,Data!$A$2:$C$117,2,TRUE),"")</f>
        <v/>
      </c>
      <c r="C240" s="14" t="str">
        <f>IF(ROW()&lt;=Results!$C$1+1,IF(B240&lt;=0,"",LN(B240)),"")</f>
        <v/>
      </c>
      <c r="D240" s="1" t="str">
        <f>IF(ROW()&lt;=Results!$C$1+1,VLOOKUP($A240,Data!$A$2:$C$117,3,TRUE),"")</f>
        <v/>
      </c>
      <c r="E240" s="14" t="str">
        <f>IF(ROW()&lt;=Results!$C$1+1,IF(D240&lt;=0,"",LN(D240)),"")</f>
        <v/>
      </c>
      <c r="F240" s="53" t="str">
        <f>IF(ROW()&lt;=Results!$C$1+1,IF(ISERROR(C240-E240),"",C240-E240),"")</f>
        <v/>
      </c>
    </row>
    <row r="241" spans="1:6" x14ac:dyDescent="0.2">
      <c r="A241" s="1" t="str">
        <f ca="1">IF(ROW()&lt;=Results!$C$1+1,INDEX(Data!$A:$A,CEILING((COUNTA(Data!$A:$A)-1)*RAND()+1,1)),"")</f>
        <v/>
      </c>
      <c r="B241" s="1" t="str">
        <f>IF(ROW()&lt;=Results!$C$1+1,VLOOKUP($A241,Data!$A$2:$C$117,2,TRUE),"")</f>
        <v/>
      </c>
      <c r="C241" s="14" t="str">
        <f>IF(ROW()&lt;=Results!$C$1+1,IF(B241&lt;=0,"",LN(B241)),"")</f>
        <v/>
      </c>
      <c r="D241" s="1" t="str">
        <f>IF(ROW()&lt;=Results!$C$1+1,VLOOKUP($A241,Data!$A$2:$C$117,3,TRUE),"")</f>
        <v/>
      </c>
      <c r="E241" s="14" t="str">
        <f>IF(ROW()&lt;=Results!$C$1+1,IF(D241&lt;=0,"",LN(D241)),"")</f>
        <v/>
      </c>
      <c r="F241" s="53" t="str">
        <f>IF(ROW()&lt;=Results!$C$1+1,IF(ISERROR(C241-E241),"",C241-E241),"")</f>
        <v/>
      </c>
    </row>
    <row r="242" spans="1:6" x14ac:dyDescent="0.2">
      <c r="A242" s="1" t="str">
        <f ca="1">IF(ROW()&lt;=Results!$C$1+1,INDEX(Data!$A:$A,CEILING((COUNTA(Data!$A:$A)-1)*RAND()+1,1)),"")</f>
        <v/>
      </c>
      <c r="B242" s="1" t="str">
        <f>IF(ROW()&lt;=Results!$C$1+1,VLOOKUP($A242,Data!$A$2:$C$117,2,TRUE),"")</f>
        <v/>
      </c>
      <c r="C242" s="14" t="str">
        <f>IF(ROW()&lt;=Results!$C$1+1,IF(B242&lt;=0,"",LN(B242)),"")</f>
        <v/>
      </c>
      <c r="D242" s="1" t="str">
        <f>IF(ROW()&lt;=Results!$C$1+1,VLOOKUP($A242,Data!$A$2:$C$117,3,TRUE),"")</f>
        <v/>
      </c>
      <c r="E242" s="14" t="str">
        <f>IF(ROW()&lt;=Results!$C$1+1,IF(D242&lt;=0,"",LN(D242)),"")</f>
        <v/>
      </c>
      <c r="F242" s="53" t="str">
        <f>IF(ROW()&lt;=Results!$C$1+1,IF(ISERROR(C242-E242),"",C242-E242),"")</f>
        <v/>
      </c>
    </row>
    <row r="243" spans="1:6" x14ac:dyDescent="0.2">
      <c r="A243" s="1" t="str">
        <f ca="1">IF(ROW()&lt;=Results!$C$1+1,INDEX(Data!$A:$A,CEILING((COUNTA(Data!$A:$A)-1)*RAND()+1,1)),"")</f>
        <v/>
      </c>
      <c r="B243" s="1" t="str">
        <f>IF(ROW()&lt;=Results!$C$1+1,VLOOKUP($A243,Data!$A$2:$C$117,2,TRUE),"")</f>
        <v/>
      </c>
      <c r="C243" s="14" t="str">
        <f>IF(ROW()&lt;=Results!$C$1+1,IF(B243&lt;=0,"",LN(B243)),"")</f>
        <v/>
      </c>
      <c r="D243" s="1" t="str">
        <f>IF(ROW()&lt;=Results!$C$1+1,VLOOKUP($A243,Data!$A$2:$C$117,3,TRUE),"")</f>
        <v/>
      </c>
      <c r="E243" s="14" t="str">
        <f>IF(ROW()&lt;=Results!$C$1+1,IF(D243&lt;=0,"",LN(D243)),"")</f>
        <v/>
      </c>
      <c r="F243" s="53" t="str">
        <f>IF(ROW()&lt;=Results!$C$1+1,IF(ISERROR(C243-E243),"",C243-E243),"")</f>
        <v/>
      </c>
    </row>
    <row r="244" spans="1:6" x14ac:dyDescent="0.2">
      <c r="A244" s="1" t="str">
        <f ca="1">IF(ROW()&lt;=Results!$C$1+1,INDEX(Data!$A:$A,CEILING((COUNTA(Data!$A:$A)-1)*RAND()+1,1)),"")</f>
        <v/>
      </c>
      <c r="B244" s="1" t="str">
        <f>IF(ROW()&lt;=Results!$C$1+1,VLOOKUP($A244,Data!$A$2:$C$117,2,TRUE),"")</f>
        <v/>
      </c>
      <c r="C244" s="14" t="str">
        <f>IF(ROW()&lt;=Results!$C$1+1,IF(B244&lt;=0,"",LN(B244)),"")</f>
        <v/>
      </c>
      <c r="D244" s="1" t="str">
        <f>IF(ROW()&lt;=Results!$C$1+1,VLOOKUP($A244,Data!$A$2:$C$117,3,TRUE),"")</f>
        <v/>
      </c>
      <c r="E244" s="14" t="str">
        <f>IF(ROW()&lt;=Results!$C$1+1,IF(D244&lt;=0,"",LN(D244)),"")</f>
        <v/>
      </c>
      <c r="F244" s="53" t="str">
        <f>IF(ROW()&lt;=Results!$C$1+1,IF(ISERROR(C244-E244),"",C244-E244),"")</f>
        <v/>
      </c>
    </row>
    <row r="245" spans="1:6" x14ac:dyDescent="0.2">
      <c r="A245" s="1" t="str">
        <f ca="1">IF(ROW()&lt;=Results!$C$1+1,INDEX(Data!$A:$A,CEILING((COUNTA(Data!$A:$A)-1)*RAND()+1,1)),"")</f>
        <v/>
      </c>
      <c r="B245" s="1" t="str">
        <f>IF(ROW()&lt;=Results!$C$1+1,VLOOKUP($A245,Data!$A$2:$C$117,2,TRUE),"")</f>
        <v/>
      </c>
      <c r="C245" s="14" t="str">
        <f>IF(ROW()&lt;=Results!$C$1+1,IF(B245&lt;=0,"",LN(B245)),"")</f>
        <v/>
      </c>
      <c r="D245" s="1" t="str">
        <f>IF(ROW()&lt;=Results!$C$1+1,VLOOKUP($A245,Data!$A$2:$C$117,3,TRUE),"")</f>
        <v/>
      </c>
      <c r="E245" s="14" t="str">
        <f>IF(ROW()&lt;=Results!$C$1+1,IF(D245&lt;=0,"",LN(D245)),"")</f>
        <v/>
      </c>
      <c r="F245" s="53" t="str">
        <f>IF(ROW()&lt;=Results!$C$1+1,IF(ISERROR(C245-E245),"",C245-E245),"")</f>
        <v/>
      </c>
    </row>
    <row r="246" spans="1:6" x14ac:dyDescent="0.2">
      <c r="A246" s="1" t="str">
        <f ca="1">IF(ROW()&lt;=Results!$C$1+1,INDEX(Data!$A:$A,CEILING((COUNTA(Data!$A:$A)-1)*RAND()+1,1)),"")</f>
        <v/>
      </c>
      <c r="B246" s="1" t="str">
        <f>IF(ROW()&lt;=Results!$C$1+1,VLOOKUP($A246,Data!$A$2:$C$117,2,TRUE),"")</f>
        <v/>
      </c>
      <c r="C246" s="14" t="str">
        <f>IF(ROW()&lt;=Results!$C$1+1,IF(B246&lt;=0,"",LN(B246)),"")</f>
        <v/>
      </c>
      <c r="D246" s="1" t="str">
        <f>IF(ROW()&lt;=Results!$C$1+1,VLOOKUP($A246,Data!$A$2:$C$117,3,TRUE),"")</f>
        <v/>
      </c>
      <c r="E246" s="14" t="str">
        <f>IF(ROW()&lt;=Results!$C$1+1,IF(D246&lt;=0,"",LN(D246)),"")</f>
        <v/>
      </c>
      <c r="F246" s="53" t="str">
        <f>IF(ROW()&lt;=Results!$C$1+1,IF(ISERROR(C246-E246),"",C246-E246),"")</f>
        <v/>
      </c>
    </row>
    <row r="247" spans="1:6" x14ac:dyDescent="0.2">
      <c r="A247" s="1" t="str">
        <f ca="1">IF(ROW()&lt;=Results!$C$1+1,INDEX(Data!$A:$A,CEILING((COUNTA(Data!$A:$A)-1)*RAND()+1,1)),"")</f>
        <v/>
      </c>
      <c r="B247" s="1" t="str">
        <f>IF(ROW()&lt;=Results!$C$1+1,VLOOKUP($A247,Data!$A$2:$C$117,2,TRUE),"")</f>
        <v/>
      </c>
      <c r="C247" s="14" t="str">
        <f>IF(ROW()&lt;=Results!$C$1+1,IF(B247&lt;=0,"",LN(B247)),"")</f>
        <v/>
      </c>
      <c r="D247" s="1" t="str">
        <f>IF(ROW()&lt;=Results!$C$1+1,VLOOKUP($A247,Data!$A$2:$C$117,3,TRUE),"")</f>
        <v/>
      </c>
      <c r="E247" s="14" t="str">
        <f>IF(ROW()&lt;=Results!$C$1+1,IF(D247&lt;=0,"",LN(D247)),"")</f>
        <v/>
      </c>
      <c r="F247" s="53" t="str">
        <f>IF(ROW()&lt;=Results!$C$1+1,IF(ISERROR(C247-E247),"",C247-E247),"")</f>
        <v/>
      </c>
    </row>
    <row r="248" spans="1:6" x14ac:dyDescent="0.2">
      <c r="A248" s="1" t="str">
        <f ca="1">IF(ROW()&lt;=Results!$C$1+1,INDEX(Data!$A:$A,CEILING((COUNTA(Data!$A:$A)-1)*RAND()+1,1)),"")</f>
        <v/>
      </c>
      <c r="B248" s="1" t="str">
        <f>IF(ROW()&lt;=Results!$C$1+1,VLOOKUP($A248,Data!$A$2:$C$117,2,TRUE),"")</f>
        <v/>
      </c>
      <c r="C248" s="14" t="str">
        <f>IF(ROW()&lt;=Results!$C$1+1,IF(B248&lt;=0,"",LN(B248)),"")</f>
        <v/>
      </c>
      <c r="D248" s="1" t="str">
        <f>IF(ROW()&lt;=Results!$C$1+1,VLOOKUP($A248,Data!$A$2:$C$117,3,TRUE),"")</f>
        <v/>
      </c>
      <c r="E248" s="14" t="str">
        <f>IF(ROW()&lt;=Results!$C$1+1,IF(D248&lt;=0,"",LN(D248)),"")</f>
        <v/>
      </c>
      <c r="F248" s="53" t="str">
        <f>IF(ROW()&lt;=Results!$C$1+1,IF(ISERROR(C248-E248),"",C248-E248),"")</f>
        <v/>
      </c>
    </row>
    <row r="249" spans="1:6" x14ac:dyDescent="0.2">
      <c r="A249" s="1" t="str">
        <f ca="1">IF(ROW()&lt;=Results!$C$1+1,INDEX(Data!$A:$A,CEILING((COUNTA(Data!$A:$A)-1)*RAND()+1,1)),"")</f>
        <v/>
      </c>
      <c r="B249" s="1" t="str">
        <f>IF(ROW()&lt;=Results!$C$1+1,VLOOKUP($A249,Data!$A$2:$C$117,2,TRUE),"")</f>
        <v/>
      </c>
      <c r="C249" s="14" t="str">
        <f>IF(ROW()&lt;=Results!$C$1+1,IF(B249&lt;=0,"",LN(B249)),"")</f>
        <v/>
      </c>
      <c r="D249" s="1" t="str">
        <f>IF(ROW()&lt;=Results!$C$1+1,VLOOKUP($A249,Data!$A$2:$C$117,3,TRUE),"")</f>
        <v/>
      </c>
      <c r="E249" s="14" t="str">
        <f>IF(ROW()&lt;=Results!$C$1+1,IF(D249&lt;=0,"",LN(D249)),"")</f>
        <v/>
      </c>
      <c r="F249" s="53" t="str">
        <f>IF(ROW()&lt;=Results!$C$1+1,IF(ISERROR(C249-E249),"",C249-E249),"")</f>
        <v/>
      </c>
    </row>
    <row r="250" spans="1:6" x14ac:dyDescent="0.2">
      <c r="A250" s="1" t="str">
        <f ca="1">IF(ROW()&lt;=Results!$C$1+1,INDEX(Data!$A:$A,CEILING((COUNTA(Data!$A:$A)-1)*RAND()+1,1)),"")</f>
        <v/>
      </c>
      <c r="B250" s="1" t="str">
        <f>IF(ROW()&lt;=Results!$C$1+1,VLOOKUP($A250,Data!$A$2:$C$117,2,TRUE),"")</f>
        <v/>
      </c>
      <c r="C250" s="14" t="str">
        <f>IF(ROW()&lt;=Results!$C$1+1,IF(B250&lt;=0,"",LN(B250)),"")</f>
        <v/>
      </c>
      <c r="D250" s="1" t="str">
        <f>IF(ROW()&lt;=Results!$C$1+1,VLOOKUP($A250,Data!$A$2:$C$117,3,TRUE),"")</f>
        <v/>
      </c>
      <c r="E250" s="14" t="str">
        <f>IF(ROW()&lt;=Results!$C$1+1,IF(D250&lt;=0,"",LN(D250)),"")</f>
        <v/>
      </c>
      <c r="F250" s="53" t="str">
        <f>IF(ROW()&lt;=Results!$C$1+1,IF(ISERROR(C250-E250),"",C250-E250),"")</f>
        <v/>
      </c>
    </row>
    <row r="251" spans="1:6" x14ac:dyDescent="0.2">
      <c r="A251" s="1" t="str">
        <f ca="1">IF(ROW()&lt;=Results!$C$1+1,INDEX(Data!$A:$A,CEILING((COUNTA(Data!$A:$A)-1)*RAND()+1,1)),"")</f>
        <v/>
      </c>
      <c r="B251" s="1" t="str">
        <f>IF(ROW()&lt;=Results!$C$1+1,VLOOKUP($A251,Data!$A$2:$C$117,2,TRUE),"")</f>
        <v/>
      </c>
      <c r="C251" s="14" t="str">
        <f>IF(ROW()&lt;=Results!$C$1+1,IF(B251&lt;=0,"",LN(B251)),"")</f>
        <v/>
      </c>
      <c r="D251" s="1" t="str">
        <f>IF(ROW()&lt;=Results!$C$1+1,VLOOKUP($A251,Data!$A$2:$C$117,3,TRUE),"")</f>
        <v/>
      </c>
      <c r="E251" s="14" t="str">
        <f>IF(ROW()&lt;=Results!$C$1+1,IF(D251&lt;=0,"",LN(D251)),"")</f>
        <v/>
      </c>
      <c r="F251" s="53" t="str">
        <f>IF(ROW()&lt;=Results!$C$1+1,IF(ISERROR(C251-E251),"",C251-E251),"")</f>
        <v/>
      </c>
    </row>
    <row r="252" spans="1:6" x14ac:dyDescent="0.2">
      <c r="A252" s="1" t="str">
        <f ca="1">IF(ROW()&lt;=Results!$C$1+1,INDEX(Data!$A:$A,CEILING((COUNTA(Data!$A:$A)-1)*RAND()+1,1)),"")</f>
        <v/>
      </c>
      <c r="B252" s="1" t="str">
        <f>IF(ROW()&lt;=Results!$C$1+1,VLOOKUP($A252,Data!$A$2:$C$117,2,TRUE),"")</f>
        <v/>
      </c>
      <c r="C252" s="14" t="str">
        <f>IF(ROW()&lt;=Results!$C$1+1,IF(B252&lt;=0,"",LN(B252)),"")</f>
        <v/>
      </c>
      <c r="D252" s="1" t="str">
        <f>IF(ROW()&lt;=Results!$C$1+1,VLOOKUP($A252,Data!$A$2:$C$117,3,TRUE),"")</f>
        <v/>
      </c>
      <c r="E252" s="14" t="str">
        <f>IF(ROW()&lt;=Results!$C$1+1,IF(D252&lt;=0,"",LN(D252)),"")</f>
        <v/>
      </c>
      <c r="F252" s="53" t="str">
        <f>IF(ROW()&lt;=Results!$C$1+1,IF(ISERROR(C252-E252),"",C252-E252),"")</f>
        <v/>
      </c>
    </row>
    <row r="253" spans="1:6" x14ac:dyDescent="0.2">
      <c r="A253" s="1" t="str">
        <f ca="1">IF(ROW()&lt;=Results!$C$1+1,INDEX(Data!$A:$A,CEILING((COUNTA(Data!$A:$A)-1)*RAND()+1,1)),"")</f>
        <v/>
      </c>
      <c r="B253" s="1" t="str">
        <f>IF(ROW()&lt;=Results!$C$1+1,VLOOKUP($A253,Data!$A$2:$C$117,2,TRUE),"")</f>
        <v/>
      </c>
      <c r="C253" s="14" t="str">
        <f>IF(ROW()&lt;=Results!$C$1+1,IF(B253&lt;=0,"",LN(B253)),"")</f>
        <v/>
      </c>
      <c r="D253" s="1" t="str">
        <f>IF(ROW()&lt;=Results!$C$1+1,VLOOKUP($A253,Data!$A$2:$C$117,3,TRUE),"")</f>
        <v/>
      </c>
      <c r="E253" s="14" t="str">
        <f>IF(ROW()&lt;=Results!$C$1+1,IF(D253&lt;=0,"",LN(D253)),"")</f>
        <v/>
      </c>
      <c r="F253" s="53" t="str">
        <f>IF(ROW()&lt;=Results!$C$1+1,IF(ISERROR(C253-E253),"",C253-E253),"")</f>
        <v/>
      </c>
    </row>
    <row r="254" spans="1:6" x14ac:dyDescent="0.2">
      <c r="A254" s="1" t="str">
        <f ca="1">IF(ROW()&lt;=Results!$C$1+1,INDEX(Data!$A:$A,CEILING((COUNTA(Data!$A:$A)-1)*RAND()+1,1)),"")</f>
        <v/>
      </c>
      <c r="B254" s="1" t="str">
        <f>IF(ROW()&lt;=Results!$C$1+1,VLOOKUP($A254,Data!$A$2:$C$117,2,TRUE),"")</f>
        <v/>
      </c>
      <c r="C254" s="14" t="str">
        <f>IF(ROW()&lt;=Results!$C$1+1,IF(B254&lt;=0,"",LN(B254)),"")</f>
        <v/>
      </c>
      <c r="D254" s="1" t="str">
        <f>IF(ROW()&lt;=Results!$C$1+1,VLOOKUP($A254,Data!$A$2:$C$117,3,TRUE),"")</f>
        <v/>
      </c>
      <c r="E254" s="14" t="str">
        <f>IF(ROW()&lt;=Results!$C$1+1,IF(D254&lt;=0,"",LN(D254)),"")</f>
        <v/>
      </c>
      <c r="F254" s="53" t="str">
        <f>IF(ROW()&lt;=Results!$C$1+1,IF(ISERROR(C254-E254),"",C254-E254),"")</f>
        <v/>
      </c>
    </row>
    <row r="255" spans="1:6" x14ac:dyDescent="0.2">
      <c r="A255" s="1" t="str">
        <f ca="1">IF(ROW()&lt;=Results!$C$1+1,INDEX(Data!$A:$A,CEILING((COUNTA(Data!$A:$A)-1)*RAND()+1,1)),"")</f>
        <v/>
      </c>
      <c r="B255" s="1" t="str">
        <f>IF(ROW()&lt;=Results!$C$1+1,VLOOKUP($A255,Data!$A$2:$C$117,2,TRUE),"")</f>
        <v/>
      </c>
      <c r="C255" s="14" t="str">
        <f>IF(ROW()&lt;=Results!$C$1+1,IF(B255&lt;=0,"",LN(B255)),"")</f>
        <v/>
      </c>
      <c r="D255" s="1" t="str">
        <f>IF(ROW()&lt;=Results!$C$1+1,VLOOKUP($A255,Data!$A$2:$C$117,3,TRUE),"")</f>
        <v/>
      </c>
      <c r="E255" s="14" t="str">
        <f>IF(ROW()&lt;=Results!$C$1+1,IF(D255&lt;=0,"",LN(D255)),"")</f>
        <v/>
      </c>
      <c r="F255" s="53" t="str">
        <f>IF(ROW()&lt;=Results!$C$1+1,IF(ISERROR(C255-E255),"",C255-E255),"")</f>
        <v/>
      </c>
    </row>
    <row r="256" spans="1:6" x14ac:dyDescent="0.2">
      <c r="A256" s="1" t="str">
        <f ca="1">IF(ROW()&lt;=Results!$C$1+1,INDEX(Data!$A:$A,CEILING((COUNTA(Data!$A:$A)-1)*RAND()+1,1)),"")</f>
        <v/>
      </c>
      <c r="B256" s="1" t="str">
        <f>IF(ROW()&lt;=Results!$C$1+1,VLOOKUP($A256,Data!$A$2:$C$117,2,TRUE),"")</f>
        <v/>
      </c>
      <c r="C256" s="14" t="str">
        <f>IF(ROW()&lt;=Results!$C$1+1,IF(B256&lt;=0,"",LN(B256)),"")</f>
        <v/>
      </c>
      <c r="D256" s="1" t="str">
        <f>IF(ROW()&lt;=Results!$C$1+1,VLOOKUP($A256,Data!$A$2:$C$117,3,TRUE),"")</f>
        <v/>
      </c>
      <c r="E256" s="14" t="str">
        <f>IF(ROW()&lt;=Results!$C$1+1,IF(D256&lt;=0,"",LN(D256)),"")</f>
        <v/>
      </c>
      <c r="F256" s="53" t="str">
        <f>IF(ROW()&lt;=Results!$C$1+1,IF(ISERROR(C256-E256),"",C256-E256),"")</f>
        <v/>
      </c>
    </row>
    <row r="257" spans="1:6" x14ac:dyDescent="0.2">
      <c r="A257" s="1" t="str">
        <f ca="1">IF(ROW()&lt;=Results!$C$1+1,INDEX(Data!$A:$A,CEILING((COUNTA(Data!$A:$A)-1)*RAND()+1,1)),"")</f>
        <v/>
      </c>
      <c r="B257" s="1" t="str">
        <f>IF(ROW()&lt;=Results!$C$1+1,VLOOKUP($A257,Data!$A$2:$C$117,2,TRUE),"")</f>
        <v/>
      </c>
      <c r="C257" s="14" t="str">
        <f>IF(ROW()&lt;=Results!$C$1+1,IF(B257&lt;=0,"",LN(B257)),"")</f>
        <v/>
      </c>
      <c r="D257" s="1" t="str">
        <f>IF(ROW()&lt;=Results!$C$1+1,VLOOKUP($A257,Data!$A$2:$C$117,3,TRUE),"")</f>
        <v/>
      </c>
      <c r="E257" s="14" t="str">
        <f>IF(ROW()&lt;=Results!$C$1+1,IF(D257&lt;=0,"",LN(D257)),"")</f>
        <v/>
      </c>
      <c r="F257" s="53" t="str">
        <f>IF(ROW()&lt;=Results!$C$1+1,IF(ISERROR(C257-E257),"",C257-E257),"")</f>
        <v/>
      </c>
    </row>
    <row r="258" spans="1:6" x14ac:dyDescent="0.2">
      <c r="A258" s="1" t="str">
        <f ca="1">IF(ROW()&lt;=Results!$C$1+1,INDEX(Data!$A:$A,CEILING((COUNTA(Data!$A:$A)-1)*RAND()+1,1)),"")</f>
        <v/>
      </c>
      <c r="B258" s="1" t="str">
        <f>IF(ROW()&lt;=Results!$C$1+1,VLOOKUP($A258,Data!$A$2:$C$117,2,TRUE),"")</f>
        <v/>
      </c>
      <c r="C258" s="14" t="str">
        <f>IF(ROW()&lt;=Results!$C$1+1,IF(B258&lt;=0,"",LN(B258)),"")</f>
        <v/>
      </c>
      <c r="D258" s="1" t="str">
        <f>IF(ROW()&lt;=Results!$C$1+1,VLOOKUP($A258,Data!$A$2:$C$117,3,TRUE),"")</f>
        <v/>
      </c>
      <c r="E258" s="14" t="str">
        <f>IF(ROW()&lt;=Results!$C$1+1,IF(D258&lt;=0,"",LN(D258)),"")</f>
        <v/>
      </c>
      <c r="F258" s="53" t="str">
        <f>IF(ROW()&lt;=Results!$C$1+1,IF(ISERROR(C258-E258),"",C258-E258),"")</f>
        <v/>
      </c>
    </row>
    <row r="259" spans="1:6" x14ac:dyDescent="0.2">
      <c r="A259" s="1" t="str">
        <f ca="1">IF(ROW()&lt;=Results!$C$1+1,INDEX(Data!$A:$A,CEILING((COUNTA(Data!$A:$A)-1)*RAND()+1,1)),"")</f>
        <v/>
      </c>
      <c r="B259" s="1" t="str">
        <f>IF(ROW()&lt;=Results!$C$1+1,VLOOKUP($A259,Data!$A$2:$C$117,2,TRUE),"")</f>
        <v/>
      </c>
      <c r="C259" s="14" t="str">
        <f>IF(ROW()&lt;=Results!$C$1+1,IF(B259&lt;=0,"",LN(B259)),"")</f>
        <v/>
      </c>
      <c r="D259" s="1" t="str">
        <f>IF(ROW()&lt;=Results!$C$1+1,VLOOKUP($A259,Data!$A$2:$C$117,3,TRUE),"")</f>
        <v/>
      </c>
      <c r="E259" s="14" t="str">
        <f>IF(ROW()&lt;=Results!$C$1+1,IF(D259&lt;=0,"",LN(D259)),"")</f>
        <v/>
      </c>
      <c r="F259" s="53" t="str">
        <f>IF(ROW()&lt;=Results!$C$1+1,IF(ISERROR(C259-E259),"",C259-E259),"")</f>
        <v/>
      </c>
    </row>
    <row r="260" spans="1:6" x14ac:dyDescent="0.2">
      <c r="A260" s="1" t="str">
        <f ca="1">IF(ROW()&lt;=Results!$C$1+1,INDEX(Data!$A:$A,CEILING((COUNTA(Data!$A:$A)-1)*RAND()+1,1)),"")</f>
        <v/>
      </c>
      <c r="B260" s="1" t="str">
        <f>IF(ROW()&lt;=Results!$C$1+1,VLOOKUP($A260,Data!$A$2:$C$117,2,TRUE),"")</f>
        <v/>
      </c>
      <c r="C260" s="14" t="str">
        <f>IF(ROW()&lt;=Results!$C$1+1,IF(B260&lt;=0,"",LN(B260)),"")</f>
        <v/>
      </c>
      <c r="D260" s="1" t="str">
        <f>IF(ROW()&lt;=Results!$C$1+1,VLOOKUP($A260,Data!$A$2:$C$117,3,TRUE),"")</f>
        <v/>
      </c>
      <c r="E260" s="14" t="str">
        <f>IF(ROW()&lt;=Results!$C$1+1,IF(D260&lt;=0,"",LN(D260)),"")</f>
        <v/>
      </c>
      <c r="F260" s="53" t="str">
        <f>IF(ROW()&lt;=Results!$C$1+1,IF(ISERROR(C260-E260),"",C260-E260),"")</f>
        <v/>
      </c>
    </row>
    <row r="261" spans="1:6" x14ac:dyDescent="0.2">
      <c r="A261" s="1" t="str">
        <f ca="1">IF(ROW()&lt;=Results!$C$1+1,INDEX(Data!$A:$A,CEILING((COUNTA(Data!$A:$A)-1)*RAND()+1,1)),"")</f>
        <v/>
      </c>
      <c r="B261" s="1" t="str">
        <f>IF(ROW()&lt;=Results!$C$1+1,VLOOKUP($A261,Data!$A$2:$C$117,2,TRUE),"")</f>
        <v/>
      </c>
      <c r="C261" s="14" t="str">
        <f>IF(ROW()&lt;=Results!$C$1+1,IF(B261&lt;=0,"",LN(B261)),"")</f>
        <v/>
      </c>
      <c r="D261" s="1" t="str">
        <f>IF(ROW()&lt;=Results!$C$1+1,VLOOKUP($A261,Data!$A$2:$C$117,3,TRUE),"")</f>
        <v/>
      </c>
      <c r="E261" s="14" t="str">
        <f>IF(ROW()&lt;=Results!$C$1+1,IF(D261&lt;=0,"",LN(D261)),"")</f>
        <v/>
      </c>
      <c r="F261" s="53" t="str">
        <f>IF(ROW()&lt;=Results!$C$1+1,IF(ISERROR(C261-E261),"",C261-E261),"")</f>
        <v/>
      </c>
    </row>
    <row r="262" spans="1:6" x14ac:dyDescent="0.2">
      <c r="A262" s="1" t="str">
        <f ca="1">IF(ROW()&lt;=Results!$C$1+1,INDEX(Data!$A:$A,CEILING((COUNTA(Data!$A:$A)-1)*RAND()+1,1)),"")</f>
        <v/>
      </c>
      <c r="B262" s="1" t="str">
        <f>IF(ROW()&lt;=Results!$C$1+1,VLOOKUP($A262,Data!$A$2:$C$117,2,TRUE),"")</f>
        <v/>
      </c>
      <c r="C262" s="14" t="str">
        <f>IF(ROW()&lt;=Results!$C$1+1,IF(B262&lt;=0,"",LN(B262)),"")</f>
        <v/>
      </c>
      <c r="D262" s="1" t="str">
        <f>IF(ROW()&lt;=Results!$C$1+1,VLOOKUP($A262,Data!$A$2:$C$117,3,TRUE),"")</f>
        <v/>
      </c>
      <c r="E262" s="14" t="str">
        <f>IF(ROW()&lt;=Results!$C$1+1,IF(D262&lt;=0,"",LN(D262)),"")</f>
        <v/>
      </c>
      <c r="F262" s="53" t="str">
        <f>IF(ROW()&lt;=Results!$C$1+1,IF(ISERROR(C262-E262),"",C262-E262),"")</f>
        <v/>
      </c>
    </row>
    <row r="263" spans="1:6" x14ac:dyDescent="0.2">
      <c r="A263" s="1" t="str">
        <f ca="1">IF(ROW()&lt;=Results!$C$1+1,INDEX(Data!$A:$A,CEILING((COUNTA(Data!$A:$A)-1)*RAND()+1,1)),"")</f>
        <v/>
      </c>
      <c r="B263" s="1" t="str">
        <f>IF(ROW()&lt;=Results!$C$1+1,VLOOKUP($A263,Data!$A$2:$C$117,2,TRUE),"")</f>
        <v/>
      </c>
      <c r="C263" s="14" t="str">
        <f>IF(ROW()&lt;=Results!$C$1+1,IF(B263&lt;=0,"",LN(B263)),"")</f>
        <v/>
      </c>
      <c r="D263" s="1" t="str">
        <f>IF(ROW()&lt;=Results!$C$1+1,VLOOKUP($A263,Data!$A$2:$C$117,3,TRUE),"")</f>
        <v/>
      </c>
      <c r="E263" s="14" t="str">
        <f>IF(ROW()&lt;=Results!$C$1+1,IF(D263&lt;=0,"",LN(D263)),"")</f>
        <v/>
      </c>
      <c r="F263" s="53" t="str">
        <f>IF(ROW()&lt;=Results!$C$1+1,IF(ISERROR(C263-E263),"",C263-E263),"")</f>
        <v/>
      </c>
    </row>
    <row r="264" spans="1:6" x14ac:dyDescent="0.2">
      <c r="A264" s="1" t="str">
        <f ca="1">IF(ROW()&lt;=Results!$C$1+1,INDEX(Data!$A:$A,CEILING((COUNTA(Data!$A:$A)-1)*RAND()+1,1)),"")</f>
        <v/>
      </c>
      <c r="B264" s="1" t="str">
        <f>IF(ROW()&lt;=Results!$C$1+1,VLOOKUP($A264,Data!$A$2:$C$117,2,TRUE),"")</f>
        <v/>
      </c>
      <c r="C264" s="14" t="str">
        <f>IF(ROW()&lt;=Results!$C$1+1,IF(B264&lt;=0,"",LN(B264)),"")</f>
        <v/>
      </c>
      <c r="D264" s="1" t="str">
        <f>IF(ROW()&lt;=Results!$C$1+1,VLOOKUP($A264,Data!$A$2:$C$117,3,TRUE),"")</f>
        <v/>
      </c>
      <c r="E264" s="14" t="str">
        <f>IF(ROW()&lt;=Results!$C$1+1,IF(D264&lt;=0,"",LN(D264)),"")</f>
        <v/>
      </c>
      <c r="F264" s="53" t="str">
        <f>IF(ROW()&lt;=Results!$C$1+1,IF(ISERROR(C264-E264),"",C264-E264),"")</f>
        <v/>
      </c>
    </row>
    <row r="265" spans="1:6" x14ac:dyDescent="0.2">
      <c r="A265" s="1" t="str">
        <f ca="1">IF(ROW()&lt;=Results!$C$1+1,INDEX(Data!$A:$A,CEILING((COUNTA(Data!$A:$A)-1)*RAND()+1,1)),"")</f>
        <v/>
      </c>
      <c r="B265" s="1" t="str">
        <f>IF(ROW()&lt;=Results!$C$1+1,VLOOKUP($A265,Data!$A$2:$C$117,2,TRUE),"")</f>
        <v/>
      </c>
      <c r="C265" s="14" t="str">
        <f>IF(ROW()&lt;=Results!$C$1+1,IF(B265&lt;=0,"",LN(B265)),"")</f>
        <v/>
      </c>
      <c r="D265" s="1" t="str">
        <f>IF(ROW()&lt;=Results!$C$1+1,VLOOKUP($A265,Data!$A$2:$C$117,3,TRUE),"")</f>
        <v/>
      </c>
      <c r="E265" s="14" t="str">
        <f>IF(ROW()&lt;=Results!$C$1+1,IF(D265&lt;=0,"",LN(D265)),"")</f>
        <v/>
      </c>
      <c r="F265" s="53" t="str">
        <f>IF(ROW()&lt;=Results!$C$1+1,IF(ISERROR(C265-E265),"",C265-E265),"")</f>
        <v/>
      </c>
    </row>
    <row r="266" spans="1:6" x14ac:dyDescent="0.2">
      <c r="A266" s="1" t="str">
        <f ca="1">IF(ROW()&lt;=Results!$C$1+1,INDEX(Data!$A:$A,CEILING((COUNTA(Data!$A:$A)-1)*RAND()+1,1)),"")</f>
        <v/>
      </c>
      <c r="B266" s="1" t="str">
        <f>IF(ROW()&lt;=Results!$C$1+1,VLOOKUP($A266,Data!$A$2:$C$117,2,TRUE),"")</f>
        <v/>
      </c>
      <c r="C266" s="14" t="str">
        <f>IF(ROW()&lt;=Results!$C$1+1,IF(B266&lt;=0,"",LN(B266)),"")</f>
        <v/>
      </c>
      <c r="D266" s="1" t="str">
        <f>IF(ROW()&lt;=Results!$C$1+1,VLOOKUP($A266,Data!$A$2:$C$117,3,TRUE),"")</f>
        <v/>
      </c>
      <c r="E266" s="14" t="str">
        <f>IF(ROW()&lt;=Results!$C$1+1,IF(D266&lt;=0,"",LN(D266)),"")</f>
        <v/>
      </c>
      <c r="F266" s="53" t="str">
        <f>IF(ROW()&lt;=Results!$C$1+1,IF(ISERROR(C266-E266),"",C266-E266),"")</f>
        <v/>
      </c>
    </row>
    <row r="267" spans="1:6" x14ac:dyDescent="0.2">
      <c r="A267" s="1" t="str">
        <f ca="1">IF(ROW()&lt;=Results!$C$1+1,INDEX(Data!$A:$A,CEILING((COUNTA(Data!$A:$A)-1)*RAND()+1,1)),"")</f>
        <v/>
      </c>
      <c r="B267" s="1" t="str">
        <f>IF(ROW()&lt;=Results!$C$1+1,VLOOKUP($A267,Data!$A$2:$C$117,2,TRUE),"")</f>
        <v/>
      </c>
      <c r="C267" s="14" t="str">
        <f>IF(ROW()&lt;=Results!$C$1+1,IF(B267&lt;=0,"",LN(B267)),"")</f>
        <v/>
      </c>
      <c r="D267" s="1" t="str">
        <f>IF(ROW()&lt;=Results!$C$1+1,VLOOKUP($A267,Data!$A$2:$C$117,3,TRUE),"")</f>
        <v/>
      </c>
      <c r="E267" s="14" t="str">
        <f>IF(ROW()&lt;=Results!$C$1+1,IF(D267&lt;=0,"",LN(D267)),"")</f>
        <v/>
      </c>
      <c r="F267" s="53" t="str">
        <f>IF(ROW()&lt;=Results!$C$1+1,IF(ISERROR(C267-E267),"",C267-E267),"")</f>
        <v/>
      </c>
    </row>
    <row r="268" spans="1:6" x14ac:dyDescent="0.2">
      <c r="A268" s="1" t="str">
        <f ca="1">IF(ROW()&lt;=Results!$C$1+1,INDEX(Data!$A:$A,CEILING((COUNTA(Data!$A:$A)-1)*RAND()+1,1)),"")</f>
        <v/>
      </c>
      <c r="B268" s="1" t="str">
        <f>IF(ROW()&lt;=Results!$C$1+1,VLOOKUP($A268,Data!$A$2:$C$117,2,TRUE),"")</f>
        <v/>
      </c>
      <c r="C268" s="14" t="str">
        <f>IF(ROW()&lt;=Results!$C$1+1,IF(B268&lt;=0,"",LN(B268)),"")</f>
        <v/>
      </c>
      <c r="D268" s="1" t="str">
        <f>IF(ROW()&lt;=Results!$C$1+1,VLOOKUP($A268,Data!$A$2:$C$117,3,TRUE),"")</f>
        <v/>
      </c>
      <c r="E268" s="14" t="str">
        <f>IF(ROW()&lt;=Results!$C$1+1,IF(D268&lt;=0,"",LN(D268)),"")</f>
        <v/>
      </c>
      <c r="F268" s="53" t="str">
        <f>IF(ROW()&lt;=Results!$C$1+1,IF(ISERROR(C268-E268),"",C268-E268),"")</f>
        <v/>
      </c>
    </row>
    <row r="269" spans="1:6" x14ac:dyDescent="0.2">
      <c r="A269" s="1" t="str">
        <f ca="1">IF(ROW()&lt;=Results!$C$1+1,INDEX(Data!$A:$A,CEILING((COUNTA(Data!$A:$A)-1)*RAND()+1,1)),"")</f>
        <v/>
      </c>
      <c r="B269" s="1" t="str">
        <f>IF(ROW()&lt;=Results!$C$1+1,VLOOKUP($A269,Data!$A$2:$C$117,2,TRUE),"")</f>
        <v/>
      </c>
      <c r="C269" s="14" t="str">
        <f>IF(ROW()&lt;=Results!$C$1+1,IF(B269&lt;=0,"",LN(B269)),"")</f>
        <v/>
      </c>
      <c r="D269" s="1" t="str">
        <f>IF(ROW()&lt;=Results!$C$1+1,VLOOKUP($A269,Data!$A$2:$C$117,3,TRUE),"")</f>
        <v/>
      </c>
      <c r="E269" s="14" t="str">
        <f>IF(ROW()&lt;=Results!$C$1+1,IF(D269&lt;=0,"",LN(D269)),"")</f>
        <v/>
      </c>
      <c r="F269" s="53" t="str">
        <f>IF(ROW()&lt;=Results!$C$1+1,IF(ISERROR(C269-E269),"",C269-E269),"")</f>
        <v/>
      </c>
    </row>
    <row r="270" spans="1:6" x14ac:dyDescent="0.2">
      <c r="A270" s="1" t="str">
        <f ca="1">IF(ROW()&lt;=Results!$C$1+1,INDEX(Data!$A:$A,CEILING((COUNTA(Data!$A:$A)-1)*RAND()+1,1)),"")</f>
        <v/>
      </c>
      <c r="B270" s="1" t="str">
        <f>IF(ROW()&lt;=Results!$C$1+1,VLOOKUP($A270,Data!$A$2:$C$117,2,TRUE),"")</f>
        <v/>
      </c>
      <c r="C270" s="14" t="str">
        <f>IF(ROW()&lt;=Results!$C$1+1,IF(B270&lt;=0,"",LN(B270)),"")</f>
        <v/>
      </c>
      <c r="D270" s="1" t="str">
        <f>IF(ROW()&lt;=Results!$C$1+1,VLOOKUP($A270,Data!$A$2:$C$117,3,TRUE),"")</f>
        <v/>
      </c>
      <c r="E270" s="14" t="str">
        <f>IF(ROW()&lt;=Results!$C$1+1,IF(D270&lt;=0,"",LN(D270)),"")</f>
        <v/>
      </c>
      <c r="F270" s="53" t="str">
        <f>IF(ROW()&lt;=Results!$C$1+1,IF(ISERROR(C270-E270),"",C270-E270),"")</f>
        <v/>
      </c>
    </row>
    <row r="271" spans="1:6" x14ac:dyDescent="0.2">
      <c r="A271" s="1" t="str">
        <f ca="1">IF(ROW()&lt;=Results!$C$1+1,INDEX(Data!$A:$A,CEILING((COUNTA(Data!$A:$A)-1)*RAND()+1,1)),"")</f>
        <v/>
      </c>
      <c r="B271" s="1" t="str">
        <f>IF(ROW()&lt;=Results!$C$1+1,VLOOKUP($A271,Data!$A$2:$C$117,2,TRUE),"")</f>
        <v/>
      </c>
      <c r="C271" s="14" t="str">
        <f>IF(ROW()&lt;=Results!$C$1+1,IF(B271&lt;=0,"",LN(B271)),"")</f>
        <v/>
      </c>
      <c r="D271" s="1" t="str">
        <f>IF(ROW()&lt;=Results!$C$1+1,VLOOKUP($A271,Data!$A$2:$C$117,3,TRUE),"")</f>
        <v/>
      </c>
      <c r="E271" s="14" t="str">
        <f>IF(ROW()&lt;=Results!$C$1+1,IF(D271&lt;=0,"",LN(D271)),"")</f>
        <v/>
      </c>
      <c r="F271" s="53" t="str">
        <f>IF(ROW()&lt;=Results!$C$1+1,IF(ISERROR(C271-E271),"",C271-E271),"")</f>
        <v/>
      </c>
    </row>
    <row r="272" spans="1:6" x14ac:dyDescent="0.2">
      <c r="A272" s="1" t="str">
        <f ca="1">IF(ROW()&lt;=Results!$C$1+1,INDEX(Data!$A:$A,CEILING((COUNTA(Data!$A:$A)-1)*RAND()+1,1)),"")</f>
        <v/>
      </c>
      <c r="B272" s="1" t="str">
        <f>IF(ROW()&lt;=Results!$C$1+1,VLOOKUP($A272,Data!$A$2:$C$117,2,TRUE),"")</f>
        <v/>
      </c>
      <c r="C272" s="14" t="str">
        <f>IF(ROW()&lt;=Results!$C$1+1,IF(B272&lt;=0,"",LN(B272)),"")</f>
        <v/>
      </c>
      <c r="D272" s="1" t="str">
        <f>IF(ROW()&lt;=Results!$C$1+1,VLOOKUP($A272,Data!$A$2:$C$117,3,TRUE),"")</f>
        <v/>
      </c>
      <c r="E272" s="14" t="str">
        <f>IF(ROW()&lt;=Results!$C$1+1,IF(D272&lt;=0,"",LN(D272)),"")</f>
        <v/>
      </c>
      <c r="F272" s="53" t="str">
        <f>IF(ROW()&lt;=Results!$C$1+1,IF(ISERROR(C272-E272),"",C272-E272),"")</f>
        <v/>
      </c>
    </row>
    <row r="273" spans="1:6" x14ac:dyDescent="0.2">
      <c r="A273" s="1" t="str">
        <f ca="1">IF(ROW()&lt;=Results!$C$1+1,INDEX(Data!$A:$A,CEILING((COUNTA(Data!$A:$A)-1)*RAND()+1,1)),"")</f>
        <v/>
      </c>
      <c r="B273" s="1" t="str">
        <f>IF(ROW()&lt;=Results!$C$1+1,VLOOKUP($A273,Data!$A$2:$C$117,2,TRUE),"")</f>
        <v/>
      </c>
      <c r="C273" s="14" t="str">
        <f>IF(ROW()&lt;=Results!$C$1+1,IF(B273&lt;=0,"",LN(B273)),"")</f>
        <v/>
      </c>
      <c r="D273" s="1" t="str">
        <f>IF(ROW()&lt;=Results!$C$1+1,VLOOKUP($A273,Data!$A$2:$C$117,3,TRUE),"")</f>
        <v/>
      </c>
      <c r="E273" s="14" t="str">
        <f>IF(ROW()&lt;=Results!$C$1+1,IF(D273&lt;=0,"",LN(D273)),"")</f>
        <v/>
      </c>
      <c r="F273" s="53" t="str">
        <f>IF(ROW()&lt;=Results!$C$1+1,IF(ISERROR(C273-E273),"",C273-E273),"")</f>
        <v/>
      </c>
    </row>
    <row r="274" spans="1:6" x14ac:dyDescent="0.2">
      <c r="A274" s="1" t="str">
        <f ca="1">IF(ROW()&lt;=Results!$C$1+1,INDEX(Data!$A:$A,CEILING((COUNTA(Data!$A:$A)-1)*RAND()+1,1)),"")</f>
        <v/>
      </c>
      <c r="B274" s="1" t="str">
        <f>IF(ROW()&lt;=Results!$C$1+1,VLOOKUP($A274,Data!$A$2:$C$117,2,TRUE),"")</f>
        <v/>
      </c>
      <c r="C274" s="14" t="str">
        <f>IF(ROW()&lt;=Results!$C$1+1,IF(B274&lt;=0,"",LN(B274)),"")</f>
        <v/>
      </c>
      <c r="D274" s="1" t="str">
        <f>IF(ROW()&lt;=Results!$C$1+1,VLOOKUP($A274,Data!$A$2:$C$117,3,TRUE),"")</f>
        <v/>
      </c>
      <c r="E274" s="14" t="str">
        <f>IF(ROW()&lt;=Results!$C$1+1,IF(D274&lt;=0,"",LN(D274)),"")</f>
        <v/>
      </c>
      <c r="F274" s="53" t="str">
        <f>IF(ROW()&lt;=Results!$C$1+1,IF(ISERROR(C274-E274),"",C274-E274),"")</f>
        <v/>
      </c>
    </row>
    <row r="275" spans="1:6" x14ac:dyDescent="0.2">
      <c r="A275" s="1" t="str">
        <f ca="1">IF(ROW()&lt;=Results!$C$1+1,INDEX(Data!$A:$A,CEILING((COUNTA(Data!$A:$A)-1)*RAND()+1,1)),"")</f>
        <v/>
      </c>
      <c r="B275" s="1" t="str">
        <f>IF(ROW()&lt;=Results!$C$1+1,VLOOKUP($A275,Data!$A$2:$C$117,2,TRUE),"")</f>
        <v/>
      </c>
      <c r="C275" s="14" t="str">
        <f>IF(ROW()&lt;=Results!$C$1+1,IF(B275&lt;=0,"",LN(B275)),"")</f>
        <v/>
      </c>
      <c r="D275" s="1" t="str">
        <f>IF(ROW()&lt;=Results!$C$1+1,VLOOKUP($A275,Data!$A$2:$C$117,3,TRUE),"")</f>
        <v/>
      </c>
      <c r="E275" s="14" t="str">
        <f>IF(ROW()&lt;=Results!$C$1+1,IF(D275&lt;=0,"",LN(D275)),"")</f>
        <v/>
      </c>
      <c r="F275" s="53" t="str">
        <f>IF(ROW()&lt;=Results!$C$1+1,IF(ISERROR(C275-E275),"",C275-E275),"")</f>
        <v/>
      </c>
    </row>
    <row r="276" spans="1:6" x14ac:dyDescent="0.2">
      <c r="A276" s="1" t="str">
        <f ca="1">IF(ROW()&lt;=Results!$C$1+1,INDEX(Data!$A:$A,CEILING((COUNTA(Data!$A:$A)-1)*RAND()+1,1)),"")</f>
        <v/>
      </c>
      <c r="B276" s="1" t="str">
        <f>IF(ROW()&lt;=Results!$C$1+1,VLOOKUP($A276,Data!$A$2:$C$117,2,TRUE),"")</f>
        <v/>
      </c>
      <c r="C276" s="14" t="str">
        <f>IF(ROW()&lt;=Results!$C$1+1,IF(B276&lt;=0,"",LN(B276)),"")</f>
        <v/>
      </c>
      <c r="D276" s="1" t="str">
        <f>IF(ROW()&lt;=Results!$C$1+1,VLOOKUP($A276,Data!$A$2:$C$117,3,TRUE),"")</f>
        <v/>
      </c>
      <c r="E276" s="14" t="str">
        <f>IF(ROW()&lt;=Results!$C$1+1,IF(D276&lt;=0,"",LN(D276)),"")</f>
        <v/>
      </c>
      <c r="F276" s="53" t="str">
        <f>IF(ROW()&lt;=Results!$C$1+1,IF(ISERROR(C276-E276),"",C276-E276),"")</f>
        <v/>
      </c>
    </row>
    <row r="277" spans="1:6" x14ac:dyDescent="0.2">
      <c r="A277" s="1" t="str">
        <f ca="1">IF(ROW()&lt;=Results!$C$1+1,INDEX(Data!$A:$A,CEILING((COUNTA(Data!$A:$A)-1)*RAND()+1,1)),"")</f>
        <v/>
      </c>
      <c r="B277" s="1" t="str">
        <f>IF(ROW()&lt;=Results!$C$1+1,VLOOKUP($A277,Data!$A$2:$C$117,2,TRUE),"")</f>
        <v/>
      </c>
      <c r="C277" s="14" t="str">
        <f>IF(ROW()&lt;=Results!$C$1+1,IF(B277&lt;=0,"",LN(B277)),"")</f>
        <v/>
      </c>
      <c r="D277" s="1" t="str">
        <f>IF(ROW()&lt;=Results!$C$1+1,VLOOKUP($A277,Data!$A$2:$C$117,3,TRUE),"")</f>
        <v/>
      </c>
      <c r="E277" s="14" t="str">
        <f>IF(ROW()&lt;=Results!$C$1+1,IF(D277&lt;=0,"",LN(D277)),"")</f>
        <v/>
      </c>
      <c r="F277" s="53" t="str">
        <f>IF(ROW()&lt;=Results!$C$1+1,IF(ISERROR(C277-E277),"",C277-E277),"")</f>
        <v/>
      </c>
    </row>
    <row r="278" spans="1:6" x14ac:dyDescent="0.2">
      <c r="A278" s="1" t="str">
        <f ca="1">IF(ROW()&lt;=Results!$C$1+1,INDEX(Data!$A:$A,CEILING((COUNTA(Data!$A:$A)-1)*RAND()+1,1)),"")</f>
        <v/>
      </c>
      <c r="B278" s="1" t="str">
        <f>IF(ROW()&lt;=Results!$C$1+1,VLOOKUP($A278,Data!$A$2:$C$117,2,TRUE),"")</f>
        <v/>
      </c>
      <c r="C278" s="14" t="str">
        <f>IF(ROW()&lt;=Results!$C$1+1,IF(B278&lt;=0,"",LN(B278)),"")</f>
        <v/>
      </c>
      <c r="D278" s="1" t="str">
        <f>IF(ROW()&lt;=Results!$C$1+1,VLOOKUP($A278,Data!$A$2:$C$117,3,TRUE),"")</f>
        <v/>
      </c>
      <c r="E278" s="14" t="str">
        <f>IF(ROW()&lt;=Results!$C$1+1,IF(D278&lt;=0,"",LN(D278)),"")</f>
        <v/>
      </c>
      <c r="F278" s="53" t="str">
        <f>IF(ROW()&lt;=Results!$C$1+1,IF(ISERROR(C278-E278),"",C278-E278),"")</f>
        <v/>
      </c>
    </row>
    <row r="279" spans="1:6" x14ac:dyDescent="0.2">
      <c r="A279" s="1" t="str">
        <f ca="1">IF(ROW()&lt;=Results!$C$1+1,INDEX(Data!$A:$A,CEILING((COUNTA(Data!$A:$A)-1)*RAND()+1,1)),"")</f>
        <v/>
      </c>
      <c r="B279" s="1" t="str">
        <f>IF(ROW()&lt;=Results!$C$1+1,VLOOKUP($A279,Data!$A$2:$C$117,2,TRUE),"")</f>
        <v/>
      </c>
      <c r="C279" s="14" t="str">
        <f>IF(ROW()&lt;=Results!$C$1+1,IF(B279&lt;=0,"",LN(B279)),"")</f>
        <v/>
      </c>
      <c r="D279" s="1" t="str">
        <f>IF(ROW()&lt;=Results!$C$1+1,VLOOKUP($A279,Data!$A$2:$C$117,3,TRUE),"")</f>
        <v/>
      </c>
      <c r="E279" s="14" t="str">
        <f>IF(ROW()&lt;=Results!$C$1+1,IF(D279&lt;=0,"",LN(D279)),"")</f>
        <v/>
      </c>
      <c r="F279" s="53" t="str">
        <f>IF(ROW()&lt;=Results!$C$1+1,IF(ISERROR(C279-E279),"",C279-E279),"")</f>
        <v/>
      </c>
    </row>
    <row r="280" spans="1:6" x14ac:dyDescent="0.2">
      <c r="A280" s="1" t="str">
        <f ca="1">IF(ROW()&lt;=Results!$C$1+1,INDEX(Data!$A:$A,CEILING((COUNTA(Data!$A:$A)-1)*RAND()+1,1)),"")</f>
        <v/>
      </c>
      <c r="B280" s="1" t="str">
        <f>IF(ROW()&lt;=Results!$C$1+1,VLOOKUP($A280,Data!$A$2:$C$117,2,TRUE),"")</f>
        <v/>
      </c>
      <c r="C280" s="14" t="str">
        <f>IF(ROW()&lt;=Results!$C$1+1,IF(B280&lt;=0,"",LN(B280)),"")</f>
        <v/>
      </c>
      <c r="D280" s="1" t="str">
        <f>IF(ROW()&lt;=Results!$C$1+1,VLOOKUP($A280,Data!$A$2:$C$117,3,TRUE),"")</f>
        <v/>
      </c>
      <c r="E280" s="14" t="str">
        <f>IF(ROW()&lt;=Results!$C$1+1,IF(D280&lt;=0,"",LN(D280)),"")</f>
        <v/>
      </c>
      <c r="F280" s="53" t="str">
        <f>IF(ROW()&lt;=Results!$C$1+1,IF(ISERROR(C280-E280),"",C280-E280),"")</f>
        <v/>
      </c>
    </row>
    <row r="281" spans="1:6" x14ac:dyDescent="0.2">
      <c r="A281" s="1" t="str">
        <f ca="1">IF(ROW()&lt;=Results!$C$1+1,INDEX(Data!$A:$A,CEILING((COUNTA(Data!$A:$A)-1)*RAND()+1,1)),"")</f>
        <v/>
      </c>
      <c r="B281" s="1" t="str">
        <f>IF(ROW()&lt;=Results!$C$1+1,VLOOKUP($A281,Data!$A$2:$C$117,2,TRUE),"")</f>
        <v/>
      </c>
      <c r="C281" s="14" t="str">
        <f>IF(ROW()&lt;=Results!$C$1+1,IF(B281&lt;=0,"",LN(B281)),"")</f>
        <v/>
      </c>
      <c r="D281" s="1" t="str">
        <f>IF(ROW()&lt;=Results!$C$1+1,VLOOKUP($A281,Data!$A$2:$C$117,3,TRUE),"")</f>
        <v/>
      </c>
      <c r="E281" s="14" t="str">
        <f>IF(ROW()&lt;=Results!$C$1+1,IF(D281&lt;=0,"",LN(D281)),"")</f>
        <v/>
      </c>
      <c r="F281" s="53" t="str">
        <f>IF(ROW()&lt;=Results!$C$1+1,IF(ISERROR(C281-E281),"",C281-E281),"")</f>
        <v/>
      </c>
    </row>
    <row r="282" spans="1:6" x14ac:dyDescent="0.2">
      <c r="A282" s="1" t="str">
        <f ca="1">IF(ROW()&lt;=Results!$C$1+1,INDEX(Data!$A:$A,CEILING((COUNTA(Data!$A:$A)-1)*RAND()+1,1)),"")</f>
        <v/>
      </c>
      <c r="B282" s="1" t="str">
        <f>IF(ROW()&lt;=Results!$C$1+1,VLOOKUP($A282,Data!$A$2:$C$117,2,TRUE),"")</f>
        <v/>
      </c>
      <c r="C282" s="14" t="str">
        <f>IF(ROW()&lt;=Results!$C$1+1,IF(B282&lt;=0,"",LN(B282)),"")</f>
        <v/>
      </c>
      <c r="D282" s="1" t="str">
        <f>IF(ROW()&lt;=Results!$C$1+1,VLOOKUP($A282,Data!$A$2:$C$117,3,TRUE),"")</f>
        <v/>
      </c>
      <c r="E282" s="14" t="str">
        <f>IF(ROW()&lt;=Results!$C$1+1,IF(D282&lt;=0,"",LN(D282)),"")</f>
        <v/>
      </c>
      <c r="F282" s="53" t="str">
        <f>IF(ROW()&lt;=Results!$C$1+1,IF(ISERROR(C282-E282),"",C282-E282),"")</f>
        <v/>
      </c>
    </row>
    <row r="283" spans="1:6" x14ac:dyDescent="0.2">
      <c r="A283" s="1" t="str">
        <f ca="1">IF(ROW()&lt;=Results!$C$1+1,INDEX(Data!$A:$A,CEILING((COUNTA(Data!$A:$A)-1)*RAND()+1,1)),"")</f>
        <v/>
      </c>
      <c r="B283" s="1" t="str">
        <f>IF(ROW()&lt;=Results!$C$1+1,VLOOKUP($A283,Data!$A$2:$C$117,2,TRUE),"")</f>
        <v/>
      </c>
      <c r="C283" s="14" t="str">
        <f>IF(ROW()&lt;=Results!$C$1+1,IF(B283&lt;=0,"",LN(B283)),"")</f>
        <v/>
      </c>
      <c r="D283" s="1" t="str">
        <f>IF(ROW()&lt;=Results!$C$1+1,VLOOKUP($A283,Data!$A$2:$C$117,3,TRUE),"")</f>
        <v/>
      </c>
      <c r="E283" s="14" t="str">
        <f>IF(ROW()&lt;=Results!$C$1+1,IF(D283&lt;=0,"",LN(D283)),"")</f>
        <v/>
      </c>
      <c r="F283" s="53" t="str">
        <f>IF(ROW()&lt;=Results!$C$1+1,IF(ISERROR(C283-E283),"",C283-E283),"")</f>
        <v/>
      </c>
    </row>
    <row r="284" spans="1:6" x14ac:dyDescent="0.2">
      <c r="A284" s="1" t="str">
        <f ca="1">IF(ROW()&lt;=Results!$C$1+1,INDEX(Data!$A:$A,CEILING((COUNTA(Data!$A:$A)-1)*RAND()+1,1)),"")</f>
        <v/>
      </c>
      <c r="B284" s="1" t="str">
        <f>IF(ROW()&lt;=Results!$C$1+1,VLOOKUP($A284,Data!$A$2:$C$117,2,TRUE),"")</f>
        <v/>
      </c>
      <c r="C284" s="14" t="str">
        <f>IF(ROW()&lt;=Results!$C$1+1,IF(B284&lt;=0,"",LN(B284)),"")</f>
        <v/>
      </c>
      <c r="D284" s="1" t="str">
        <f>IF(ROW()&lt;=Results!$C$1+1,VLOOKUP($A284,Data!$A$2:$C$117,3,TRUE),"")</f>
        <v/>
      </c>
      <c r="E284" s="14" t="str">
        <f>IF(ROW()&lt;=Results!$C$1+1,IF(D284&lt;=0,"",LN(D284)),"")</f>
        <v/>
      </c>
      <c r="F284" s="53" t="str">
        <f>IF(ROW()&lt;=Results!$C$1+1,IF(ISERROR(C284-E284),"",C284-E284),"")</f>
        <v/>
      </c>
    </row>
    <row r="285" spans="1:6" x14ac:dyDescent="0.2">
      <c r="A285" s="1" t="str">
        <f ca="1">IF(ROW()&lt;=Results!$C$1+1,INDEX(Data!$A:$A,CEILING((COUNTA(Data!$A:$A)-1)*RAND()+1,1)),"")</f>
        <v/>
      </c>
      <c r="B285" s="1" t="str">
        <f>IF(ROW()&lt;=Results!$C$1+1,VLOOKUP($A285,Data!$A$2:$C$117,2,TRUE),"")</f>
        <v/>
      </c>
      <c r="C285" s="14" t="str">
        <f>IF(ROW()&lt;=Results!$C$1+1,IF(B285&lt;=0,"",LN(B285)),"")</f>
        <v/>
      </c>
      <c r="D285" s="1" t="str">
        <f>IF(ROW()&lt;=Results!$C$1+1,VLOOKUP($A285,Data!$A$2:$C$117,3,TRUE),"")</f>
        <v/>
      </c>
      <c r="E285" s="14" t="str">
        <f>IF(ROW()&lt;=Results!$C$1+1,IF(D285&lt;=0,"",LN(D285)),"")</f>
        <v/>
      </c>
      <c r="F285" s="53" t="str">
        <f>IF(ROW()&lt;=Results!$C$1+1,IF(ISERROR(C285-E285),"",C285-E285),"")</f>
        <v/>
      </c>
    </row>
    <row r="286" spans="1:6" x14ac:dyDescent="0.2">
      <c r="A286" s="1" t="str">
        <f ca="1">IF(ROW()&lt;=Results!$C$1+1,INDEX(Data!$A:$A,CEILING((COUNTA(Data!$A:$A)-1)*RAND()+1,1)),"")</f>
        <v/>
      </c>
      <c r="B286" s="1" t="str">
        <f>IF(ROW()&lt;=Results!$C$1+1,VLOOKUP($A286,Data!$A$2:$C$117,2,TRUE),"")</f>
        <v/>
      </c>
      <c r="C286" s="14" t="str">
        <f>IF(ROW()&lt;=Results!$C$1+1,IF(B286&lt;=0,"",LN(B286)),"")</f>
        <v/>
      </c>
      <c r="D286" s="1" t="str">
        <f>IF(ROW()&lt;=Results!$C$1+1,VLOOKUP($A286,Data!$A$2:$C$117,3,TRUE),"")</f>
        <v/>
      </c>
      <c r="E286" s="14" t="str">
        <f>IF(ROW()&lt;=Results!$C$1+1,IF(D286&lt;=0,"",LN(D286)),"")</f>
        <v/>
      </c>
      <c r="F286" s="53" t="str">
        <f>IF(ROW()&lt;=Results!$C$1+1,IF(ISERROR(C286-E286),"",C286-E286),"")</f>
        <v/>
      </c>
    </row>
    <row r="287" spans="1:6" x14ac:dyDescent="0.2">
      <c r="A287" s="1" t="str">
        <f ca="1">IF(ROW()&lt;=Results!$C$1+1,INDEX(Data!$A:$A,CEILING((COUNTA(Data!$A:$A)-1)*RAND()+1,1)),"")</f>
        <v/>
      </c>
      <c r="B287" s="1" t="str">
        <f>IF(ROW()&lt;=Results!$C$1+1,VLOOKUP($A287,Data!$A$2:$C$117,2,TRUE),"")</f>
        <v/>
      </c>
      <c r="C287" s="14" t="str">
        <f>IF(ROW()&lt;=Results!$C$1+1,IF(B287&lt;=0,"",LN(B287)),"")</f>
        <v/>
      </c>
      <c r="D287" s="1" t="str">
        <f>IF(ROW()&lt;=Results!$C$1+1,VLOOKUP($A287,Data!$A$2:$C$117,3,TRUE),"")</f>
        <v/>
      </c>
      <c r="E287" s="14" t="str">
        <f>IF(ROW()&lt;=Results!$C$1+1,IF(D287&lt;=0,"",LN(D287)),"")</f>
        <v/>
      </c>
      <c r="F287" s="53" t="str">
        <f>IF(ROW()&lt;=Results!$C$1+1,IF(ISERROR(C287-E287),"",C287-E287),"")</f>
        <v/>
      </c>
    </row>
    <row r="288" spans="1:6" x14ac:dyDescent="0.2">
      <c r="A288" s="1" t="str">
        <f ca="1">IF(ROW()&lt;=Results!$C$1+1,INDEX(Data!$A:$A,CEILING((COUNTA(Data!$A:$A)-1)*RAND()+1,1)),"")</f>
        <v/>
      </c>
      <c r="B288" s="1" t="str">
        <f>IF(ROW()&lt;=Results!$C$1+1,VLOOKUP($A288,Data!$A$2:$C$117,2,TRUE),"")</f>
        <v/>
      </c>
      <c r="C288" s="14" t="str">
        <f>IF(ROW()&lt;=Results!$C$1+1,IF(B288&lt;=0,"",LN(B288)),"")</f>
        <v/>
      </c>
      <c r="D288" s="1" t="str">
        <f>IF(ROW()&lt;=Results!$C$1+1,VLOOKUP($A288,Data!$A$2:$C$117,3,TRUE),"")</f>
        <v/>
      </c>
      <c r="E288" s="14" t="str">
        <f>IF(ROW()&lt;=Results!$C$1+1,IF(D288&lt;=0,"",LN(D288)),"")</f>
        <v/>
      </c>
      <c r="F288" s="53" t="str">
        <f>IF(ROW()&lt;=Results!$C$1+1,IF(ISERROR(C288-E288),"",C288-E288),"")</f>
        <v/>
      </c>
    </row>
    <row r="289" spans="1:6" x14ac:dyDescent="0.2">
      <c r="A289" s="1" t="str">
        <f ca="1">IF(ROW()&lt;=Results!$C$1+1,INDEX(Data!$A:$A,CEILING((COUNTA(Data!$A:$A)-1)*RAND()+1,1)),"")</f>
        <v/>
      </c>
      <c r="B289" s="1" t="str">
        <f>IF(ROW()&lt;=Results!$C$1+1,VLOOKUP($A289,Data!$A$2:$C$117,2,TRUE),"")</f>
        <v/>
      </c>
      <c r="C289" s="14" t="str">
        <f>IF(ROW()&lt;=Results!$C$1+1,IF(B289&lt;=0,"",LN(B289)),"")</f>
        <v/>
      </c>
      <c r="D289" s="1" t="str">
        <f>IF(ROW()&lt;=Results!$C$1+1,VLOOKUP($A289,Data!$A$2:$C$117,3,TRUE),"")</f>
        <v/>
      </c>
      <c r="E289" s="14" t="str">
        <f>IF(ROW()&lt;=Results!$C$1+1,IF(D289&lt;=0,"",LN(D289)),"")</f>
        <v/>
      </c>
      <c r="F289" s="53" t="str">
        <f>IF(ROW()&lt;=Results!$C$1+1,IF(ISERROR(C289-E289),"",C289-E289),"")</f>
        <v/>
      </c>
    </row>
    <row r="290" spans="1:6" x14ac:dyDescent="0.2">
      <c r="A290" s="1" t="str">
        <f ca="1">IF(ROW()&lt;=Results!$C$1+1,INDEX(Data!$A:$A,CEILING((COUNTA(Data!$A:$A)-1)*RAND()+1,1)),"")</f>
        <v/>
      </c>
      <c r="B290" s="1" t="str">
        <f>IF(ROW()&lt;=Results!$C$1+1,VLOOKUP($A290,Data!$A$2:$C$117,2,TRUE),"")</f>
        <v/>
      </c>
      <c r="C290" s="14" t="str">
        <f>IF(ROW()&lt;=Results!$C$1+1,IF(B290&lt;=0,"",LN(B290)),"")</f>
        <v/>
      </c>
      <c r="D290" s="1" t="str">
        <f>IF(ROW()&lt;=Results!$C$1+1,VLOOKUP($A290,Data!$A$2:$C$117,3,TRUE),"")</f>
        <v/>
      </c>
      <c r="E290" s="14" t="str">
        <f>IF(ROW()&lt;=Results!$C$1+1,IF(D290&lt;=0,"",LN(D290)),"")</f>
        <v/>
      </c>
      <c r="F290" s="53" t="str">
        <f>IF(ROW()&lt;=Results!$C$1+1,IF(ISERROR(C290-E290),"",C290-E290),"")</f>
        <v/>
      </c>
    </row>
    <row r="291" spans="1:6" x14ac:dyDescent="0.2">
      <c r="A291" s="1" t="str">
        <f ca="1">IF(ROW()&lt;=Results!$C$1+1,INDEX(Data!$A:$A,CEILING((COUNTA(Data!$A:$A)-1)*RAND()+1,1)),"")</f>
        <v/>
      </c>
      <c r="B291" s="1" t="str">
        <f>IF(ROW()&lt;=Results!$C$1+1,VLOOKUP($A291,Data!$A$2:$C$117,2,TRUE),"")</f>
        <v/>
      </c>
      <c r="C291" s="14" t="str">
        <f>IF(ROW()&lt;=Results!$C$1+1,IF(B291&lt;=0,"",LN(B291)),"")</f>
        <v/>
      </c>
      <c r="D291" s="1" t="str">
        <f>IF(ROW()&lt;=Results!$C$1+1,VLOOKUP($A291,Data!$A$2:$C$117,3,TRUE),"")</f>
        <v/>
      </c>
      <c r="E291" s="14" t="str">
        <f>IF(ROW()&lt;=Results!$C$1+1,IF(D291&lt;=0,"",LN(D291)),"")</f>
        <v/>
      </c>
      <c r="F291" s="53" t="str">
        <f>IF(ROW()&lt;=Results!$C$1+1,IF(ISERROR(C291-E291),"",C291-E291),"")</f>
        <v/>
      </c>
    </row>
    <row r="292" spans="1:6" x14ac:dyDescent="0.2">
      <c r="A292" s="1" t="str">
        <f ca="1">IF(ROW()&lt;=Results!$C$1+1,INDEX(Data!$A:$A,CEILING((COUNTA(Data!$A:$A)-1)*RAND()+1,1)),"")</f>
        <v/>
      </c>
      <c r="B292" s="1" t="str">
        <f>IF(ROW()&lt;=Results!$C$1+1,VLOOKUP($A292,Data!$A$2:$C$117,2,TRUE),"")</f>
        <v/>
      </c>
      <c r="C292" s="14" t="str">
        <f>IF(ROW()&lt;=Results!$C$1+1,IF(B292&lt;=0,"",LN(B292)),"")</f>
        <v/>
      </c>
      <c r="D292" s="1" t="str">
        <f>IF(ROW()&lt;=Results!$C$1+1,VLOOKUP($A292,Data!$A$2:$C$117,3,TRUE),"")</f>
        <v/>
      </c>
      <c r="E292" s="14" t="str">
        <f>IF(ROW()&lt;=Results!$C$1+1,IF(D292&lt;=0,"",LN(D292)),"")</f>
        <v/>
      </c>
      <c r="F292" s="53" t="str">
        <f>IF(ROW()&lt;=Results!$C$1+1,IF(ISERROR(C292-E292),"",C292-E292),"")</f>
        <v/>
      </c>
    </row>
    <row r="293" spans="1:6" x14ac:dyDescent="0.2">
      <c r="A293" s="1" t="str">
        <f ca="1">IF(ROW()&lt;=Results!$C$1+1,INDEX(Data!$A:$A,CEILING((COUNTA(Data!$A:$A)-1)*RAND()+1,1)),"")</f>
        <v/>
      </c>
      <c r="B293" s="1" t="str">
        <f>IF(ROW()&lt;=Results!$C$1+1,VLOOKUP($A293,Data!$A$2:$C$117,2,TRUE),"")</f>
        <v/>
      </c>
      <c r="C293" s="14" t="str">
        <f>IF(ROW()&lt;=Results!$C$1+1,IF(B293&lt;=0,"",LN(B293)),"")</f>
        <v/>
      </c>
      <c r="D293" s="1" t="str">
        <f>IF(ROW()&lt;=Results!$C$1+1,VLOOKUP($A293,Data!$A$2:$C$117,3,TRUE),"")</f>
        <v/>
      </c>
      <c r="E293" s="14" t="str">
        <f>IF(ROW()&lt;=Results!$C$1+1,IF(D293&lt;=0,"",LN(D293)),"")</f>
        <v/>
      </c>
      <c r="F293" s="53" t="str">
        <f>IF(ROW()&lt;=Results!$C$1+1,IF(ISERROR(C293-E293),"",C293-E293),"")</f>
        <v/>
      </c>
    </row>
    <row r="294" spans="1:6" x14ac:dyDescent="0.2">
      <c r="A294" s="1" t="str">
        <f ca="1">IF(ROW()&lt;=Results!$C$1+1,INDEX(Data!$A:$A,CEILING((COUNTA(Data!$A:$A)-1)*RAND()+1,1)),"")</f>
        <v/>
      </c>
      <c r="B294" s="1" t="str">
        <f>IF(ROW()&lt;=Results!$C$1+1,VLOOKUP($A294,Data!$A$2:$C$117,2,TRUE),"")</f>
        <v/>
      </c>
      <c r="C294" s="14" t="str">
        <f>IF(ROW()&lt;=Results!$C$1+1,IF(B294&lt;=0,"",LN(B294)),"")</f>
        <v/>
      </c>
      <c r="D294" s="1" t="str">
        <f>IF(ROW()&lt;=Results!$C$1+1,VLOOKUP($A294,Data!$A$2:$C$117,3,TRUE),"")</f>
        <v/>
      </c>
      <c r="E294" s="14" t="str">
        <f>IF(ROW()&lt;=Results!$C$1+1,IF(D294&lt;=0,"",LN(D294)),"")</f>
        <v/>
      </c>
      <c r="F294" s="53" t="str">
        <f>IF(ROW()&lt;=Results!$C$1+1,IF(ISERROR(C294-E294),"",C294-E294),"")</f>
        <v/>
      </c>
    </row>
    <row r="295" spans="1:6" x14ac:dyDescent="0.2">
      <c r="A295" s="1" t="str">
        <f ca="1">IF(ROW()&lt;=Results!$C$1+1,INDEX(Data!$A:$A,CEILING((COUNTA(Data!$A:$A)-1)*RAND()+1,1)),"")</f>
        <v/>
      </c>
      <c r="B295" s="1" t="str">
        <f>IF(ROW()&lt;=Results!$C$1+1,VLOOKUP($A295,Data!$A$2:$C$117,2,TRUE),"")</f>
        <v/>
      </c>
      <c r="C295" s="14" t="str">
        <f>IF(ROW()&lt;=Results!$C$1+1,IF(B295&lt;=0,"",LN(B295)),"")</f>
        <v/>
      </c>
      <c r="D295" s="1" t="str">
        <f>IF(ROW()&lt;=Results!$C$1+1,VLOOKUP($A295,Data!$A$2:$C$117,3,TRUE),"")</f>
        <v/>
      </c>
      <c r="E295" s="14" t="str">
        <f>IF(ROW()&lt;=Results!$C$1+1,IF(D295&lt;=0,"",LN(D295)),"")</f>
        <v/>
      </c>
      <c r="F295" s="53" t="str">
        <f>IF(ROW()&lt;=Results!$C$1+1,IF(ISERROR(C295-E295),"",C295-E295),"")</f>
        <v/>
      </c>
    </row>
    <row r="296" spans="1:6" x14ac:dyDescent="0.2">
      <c r="A296" s="1" t="str">
        <f ca="1">IF(ROW()&lt;=Results!$C$1+1,INDEX(Data!$A:$A,CEILING((COUNTA(Data!$A:$A)-1)*RAND()+1,1)),"")</f>
        <v/>
      </c>
      <c r="B296" s="1" t="str">
        <f>IF(ROW()&lt;=Results!$C$1+1,VLOOKUP($A296,Data!$A$2:$C$117,2,TRUE),"")</f>
        <v/>
      </c>
      <c r="C296" s="14" t="str">
        <f>IF(ROW()&lt;=Results!$C$1+1,IF(B296&lt;=0,"",LN(B296)),"")</f>
        <v/>
      </c>
      <c r="D296" s="1" t="str">
        <f>IF(ROW()&lt;=Results!$C$1+1,VLOOKUP($A296,Data!$A$2:$C$117,3,TRUE),"")</f>
        <v/>
      </c>
      <c r="E296" s="14" t="str">
        <f>IF(ROW()&lt;=Results!$C$1+1,IF(D296&lt;=0,"",LN(D296)),"")</f>
        <v/>
      </c>
      <c r="F296" s="53" t="str">
        <f>IF(ROW()&lt;=Results!$C$1+1,IF(ISERROR(C296-E296),"",C296-E296),"")</f>
        <v/>
      </c>
    </row>
    <row r="297" spans="1:6" x14ac:dyDescent="0.2">
      <c r="A297" s="1" t="str">
        <f ca="1">IF(ROW()&lt;=Results!$C$1+1,INDEX(Data!$A:$A,CEILING((COUNTA(Data!$A:$A)-1)*RAND()+1,1)),"")</f>
        <v/>
      </c>
      <c r="B297" s="1" t="str">
        <f>IF(ROW()&lt;=Results!$C$1+1,VLOOKUP($A297,Data!$A$2:$C$117,2,TRUE),"")</f>
        <v/>
      </c>
      <c r="C297" s="14" t="str">
        <f>IF(ROW()&lt;=Results!$C$1+1,IF(B297&lt;=0,"",LN(B297)),"")</f>
        <v/>
      </c>
      <c r="D297" s="1" t="str">
        <f>IF(ROW()&lt;=Results!$C$1+1,VLOOKUP($A297,Data!$A$2:$C$117,3,TRUE),"")</f>
        <v/>
      </c>
      <c r="E297" s="14" t="str">
        <f>IF(ROW()&lt;=Results!$C$1+1,IF(D297&lt;=0,"",LN(D297)),"")</f>
        <v/>
      </c>
      <c r="F297" s="53" t="str">
        <f>IF(ROW()&lt;=Results!$C$1+1,IF(ISERROR(C297-E297),"",C297-E297),"")</f>
        <v/>
      </c>
    </row>
    <row r="298" spans="1:6" x14ac:dyDescent="0.2">
      <c r="A298" s="1" t="str">
        <f ca="1">IF(ROW()&lt;=Results!$C$1+1,INDEX(Data!$A:$A,CEILING((COUNTA(Data!$A:$A)-1)*RAND()+1,1)),"")</f>
        <v/>
      </c>
      <c r="B298" s="1" t="str">
        <f>IF(ROW()&lt;=Results!$C$1+1,VLOOKUP($A298,Data!$A$2:$C$117,2,TRUE),"")</f>
        <v/>
      </c>
      <c r="C298" s="14" t="str">
        <f>IF(ROW()&lt;=Results!$C$1+1,IF(B298&lt;=0,"",LN(B298)),"")</f>
        <v/>
      </c>
      <c r="D298" s="1" t="str">
        <f>IF(ROW()&lt;=Results!$C$1+1,VLOOKUP($A298,Data!$A$2:$C$117,3,TRUE),"")</f>
        <v/>
      </c>
      <c r="E298" s="14" t="str">
        <f>IF(ROW()&lt;=Results!$C$1+1,IF(D298&lt;=0,"",LN(D298)),"")</f>
        <v/>
      </c>
      <c r="F298" s="53" t="str">
        <f>IF(ROW()&lt;=Results!$C$1+1,IF(ISERROR(C298-E298),"",C298-E298),"")</f>
        <v/>
      </c>
    </row>
    <row r="299" spans="1:6" x14ac:dyDescent="0.2">
      <c r="A299" s="1" t="str">
        <f ca="1">IF(ROW()&lt;=Results!$C$1+1,INDEX(Data!$A:$A,CEILING((COUNTA(Data!$A:$A)-1)*RAND()+1,1)),"")</f>
        <v/>
      </c>
      <c r="B299" s="1" t="str">
        <f>IF(ROW()&lt;=Results!$C$1+1,VLOOKUP($A299,Data!$A$2:$C$117,2,TRUE),"")</f>
        <v/>
      </c>
      <c r="C299" s="14" t="str">
        <f>IF(ROW()&lt;=Results!$C$1+1,IF(B299&lt;=0,"",LN(B299)),"")</f>
        <v/>
      </c>
      <c r="D299" s="1" t="str">
        <f>IF(ROW()&lt;=Results!$C$1+1,VLOOKUP($A299,Data!$A$2:$C$117,3,TRUE),"")</f>
        <v/>
      </c>
      <c r="E299" s="14" t="str">
        <f>IF(ROW()&lt;=Results!$C$1+1,IF(D299&lt;=0,"",LN(D299)),"")</f>
        <v/>
      </c>
      <c r="F299" s="53" t="str">
        <f>IF(ROW()&lt;=Results!$C$1+1,IF(ISERROR(C299-E299),"",C299-E299),"")</f>
        <v/>
      </c>
    </row>
    <row r="300" spans="1:6" x14ac:dyDescent="0.2">
      <c r="A300" s="1" t="str">
        <f ca="1">IF(ROW()&lt;=Results!$C$1+1,INDEX(Data!$A:$A,CEILING((COUNTA(Data!$A:$A)-1)*RAND()+1,1)),"")</f>
        <v/>
      </c>
      <c r="B300" s="1" t="str">
        <f>IF(ROW()&lt;=Results!$C$1+1,VLOOKUP($A300,Data!$A$2:$C$117,2,TRUE),"")</f>
        <v/>
      </c>
      <c r="C300" s="14" t="str">
        <f>IF(ROW()&lt;=Results!$C$1+1,IF(B300&lt;=0,"",LN(B300)),"")</f>
        <v/>
      </c>
      <c r="D300" s="1" t="str">
        <f>IF(ROW()&lt;=Results!$C$1+1,VLOOKUP($A300,Data!$A$2:$C$117,3,TRUE),"")</f>
        <v/>
      </c>
      <c r="E300" s="14" t="str">
        <f>IF(ROW()&lt;=Results!$C$1+1,IF(D300&lt;=0,"",LN(D300)),"")</f>
        <v/>
      </c>
      <c r="F300" s="53" t="str">
        <f>IF(ROW()&lt;=Results!$C$1+1,IF(ISERROR(C300-E300),"",C300-E300),"")</f>
        <v/>
      </c>
    </row>
    <row r="301" spans="1:6" x14ac:dyDescent="0.2">
      <c r="A301" s="1" t="str">
        <f ca="1">IF(ROW()&lt;=Results!$C$1+1,INDEX(Data!$A:$A,CEILING((COUNTA(Data!$A:$A)-1)*RAND()+1,1)),"")</f>
        <v/>
      </c>
      <c r="B301" s="1" t="str">
        <f>IF(ROW()&lt;=Results!$C$1+1,VLOOKUP($A301,Data!$A$2:$C$117,2,TRUE),"")</f>
        <v/>
      </c>
      <c r="C301" s="14" t="str">
        <f>IF(ROW()&lt;=Results!$C$1+1,IF(B301&lt;=0,"",LN(B301)),"")</f>
        <v/>
      </c>
      <c r="D301" s="1" t="str">
        <f>IF(ROW()&lt;=Results!$C$1+1,VLOOKUP($A301,Data!$A$2:$C$117,3,TRUE),"")</f>
        <v/>
      </c>
      <c r="E301" s="14" t="str">
        <f>IF(ROW()&lt;=Results!$C$1+1,IF(D301&lt;=0,"",LN(D301)),"")</f>
        <v/>
      </c>
      <c r="F301" s="53" t="str">
        <f>IF(ROW()&lt;=Results!$C$1+1,IF(ISERROR(C301-E301),"",C301-E301),"")</f>
        <v/>
      </c>
    </row>
    <row r="302" spans="1:6" x14ac:dyDescent="0.2">
      <c r="A302" s="1" t="str">
        <f ca="1">IF(ROW()&lt;=Results!$C$1+1,INDEX(Data!$A:$A,CEILING((COUNTA(Data!$A:$A)-1)*RAND()+1,1)),"")</f>
        <v/>
      </c>
      <c r="B302" s="1" t="str">
        <f>IF(ROW()&lt;=Results!$C$1+1,VLOOKUP($A302,Data!$A$2:$C$117,2,TRUE),"")</f>
        <v/>
      </c>
      <c r="C302" s="14" t="str">
        <f>IF(ROW()&lt;=Results!$C$1+1,IF(B302&lt;=0,"",LN(B302)),"")</f>
        <v/>
      </c>
      <c r="D302" s="1" t="str">
        <f>IF(ROW()&lt;=Results!$C$1+1,VLOOKUP($A302,Data!$A$2:$C$117,3,TRUE),"")</f>
        <v/>
      </c>
      <c r="E302" s="14" t="str">
        <f>IF(ROW()&lt;=Results!$C$1+1,IF(D302&lt;=0,"",LN(D302)),"")</f>
        <v/>
      </c>
      <c r="F302" s="53" t="str">
        <f>IF(ROW()&lt;=Results!$C$1+1,IF(ISERROR(C302-E302),"",C302-E302),"")</f>
        <v/>
      </c>
    </row>
    <row r="303" spans="1:6" x14ac:dyDescent="0.2">
      <c r="A303" s="1" t="str">
        <f ca="1">IF(ROW()&lt;=Results!$C$1+1,INDEX(Data!$A:$A,CEILING((COUNTA(Data!$A:$A)-1)*RAND()+1,1)),"")</f>
        <v/>
      </c>
      <c r="B303" s="1" t="str">
        <f>IF(ROW()&lt;=Results!$C$1+1,VLOOKUP($A303,Data!$A$2:$C$117,2,TRUE),"")</f>
        <v/>
      </c>
      <c r="C303" s="14" t="str">
        <f>IF(ROW()&lt;=Results!$C$1+1,IF(B303&lt;=0,"",LN(B303)),"")</f>
        <v/>
      </c>
      <c r="D303" s="1" t="str">
        <f>IF(ROW()&lt;=Results!$C$1+1,VLOOKUP($A303,Data!$A$2:$C$117,3,TRUE),"")</f>
        <v/>
      </c>
      <c r="E303" s="14" t="str">
        <f>IF(ROW()&lt;=Results!$C$1+1,IF(D303&lt;=0,"",LN(D303)),"")</f>
        <v/>
      </c>
      <c r="F303" s="53" t="str">
        <f>IF(ROW()&lt;=Results!$C$1+1,IF(ISERROR(C303-E303),"",C303-E303),"")</f>
        <v/>
      </c>
    </row>
    <row r="304" spans="1:6" x14ac:dyDescent="0.2">
      <c r="A304" s="1" t="str">
        <f ca="1">IF(ROW()&lt;=Results!$C$1+1,INDEX(Data!$A:$A,CEILING((COUNTA(Data!$A:$A)-1)*RAND()+1,1)),"")</f>
        <v/>
      </c>
      <c r="B304" s="1" t="str">
        <f>IF(ROW()&lt;=Results!$C$1+1,VLOOKUP($A304,Data!$A$2:$C$117,2,TRUE),"")</f>
        <v/>
      </c>
      <c r="C304" s="14" t="str">
        <f>IF(ROW()&lt;=Results!$C$1+1,IF(B304&lt;=0,"",LN(B304)),"")</f>
        <v/>
      </c>
      <c r="D304" s="1" t="str">
        <f>IF(ROW()&lt;=Results!$C$1+1,VLOOKUP($A304,Data!$A$2:$C$117,3,TRUE),"")</f>
        <v/>
      </c>
      <c r="E304" s="14" t="str">
        <f>IF(ROW()&lt;=Results!$C$1+1,IF(D304&lt;=0,"",LN(D304)),"")</f>
        <v/>
      </c>
      <c r="F304" s="53" t="str">
        <f>IF(ROW()&lt;=Results!$C$1+1,IF(ISERROR(C304-E304),"",C304-E304),"")</f>
        <v/>
      </c>
    </row>
    <row r="305" spans="1:6" x14ac:dyDescent="0.2">
      <c r="A305" s="1" t="str">
        <f ca="1">IF(ROW()&lt;=Results!$C$1+1,INDEX(Data!$A:$A,CEILING((COUNTA(Data!$A:$A)-1)*RAND()+1,1)),"")</f>
        <v/>
      </c>
      <c r="B305" s="1" t="str">
        <f>IF(ROW()&lt;=Results!$C$1+1,VLOOKUP($A305,Data!$A$2:$C$117,2,TRUE),"")</f>
        <v/>
      </c>
      <c r="C305" s="14" t="str">
        <f>IF(ROW()&lt;=Results!$C$1+1,IF(B305&lt;=0,"",LN(B305)),"")</f>
        <v/>
      </c>
      <c r="D305" s="1" t="str">
        <f>IF(ROW()&lt;=Results!$C$1+1,VLOOKUP($A305,Data!$A$2:$C$117,3,TRUE),"")</f>
        <v/>
      </c>
      <c r="E305" s="14" t="str">
        <f>IF(ROW()&lt;=Results!$C$1+1,IF(D305&lt;=0,"",LN(D305)),"")</f>
        <v/>
      </c>
      <c r="F305" s="53" t="str">
        <f>IF(ROW()&lt;=Results!$C$1+1,IF(ISERROR(C305-E305),"",C305-E305),"")</f>
        <v/>
      </c>
    </row>
    <row r="306" spans="1:6" x14ac:dyDescent="0.2">
      <c r="A306" s="1" t="str">
        <f ca="1">IF(ROW()&lt;=Results!$C$1+1,INDEX(Data!$A:$A,CEILING((COUNTA(Data!$A:$A)-1)*RAND()+1,1)),"")</f>
        <v/>
      </c>
      <c r="B306" s="1" t="str">
        <f>IF(ROW()&lt;=Results!$C$1+1,VLOOKUP($A306,Data!$A$2:$C$117,2,TRUE),"")</f>
        <v/>
      </c>
      <c r="C306" s="14" t="str">
        <f>IF(ROW()&lt;=Results!$C$1+1,IF(B306&lt;=0,"",LN(B306)),"")</f>
        <v/>
      </c>
      <c r="D306" s="1" t="str">
        <f>IF(ROW()&lt;=Results!$C$1+1,VLOOKUP($A306,Data!$A$2:$C$117,3,TRUE),"")</f>
        <v/>
      </c>
      <c r="E306" s="14" t="str">
        <f>IF(ROW()&lt;=Results!$C$1+1,IF(D306&lt;=0,"",LN(D306)),"")</f>
        <v/>
      </c>
      <c r="F306" s="53" t="str">
        <f>IF(ROW()&lt;=Results!$C$1+1,IF(ISERROR(C306-E306),"",C306-E306),"")</f>
        <v/>
      </c>
    </row>
    <row r="307" spans="1:6" x14ac:dyDescent="0.2">
      <c r="A307" s="1" t="str">
        <f ca="1">IF(ROW()&lt;=Results!$C$1+1,INDEX(Data!$A:$A,CEILING((COUNTA(Data!$A:$A)-1)*RAND()+1,1)),"")</f>
        <v/>
      </c>
      <c r="B307" s="1" t="str">
        <f>IF(ROW()&lt;=Results!$C$1+1,VLOOKUP($A307,Data!$A$2:$C$117,2,TRUE),"")</f>
        <v/>
      </c>
      <c r="C307" s="14" t="str">
        <f>IF(ROW()&lt;=Results!$C$1+1,IF(B307&lt;=0,"",LN(B307)),"")</f>
        <v/>
      </c>
      <c r="D307" s="1" t="str">
        <f>IF(ROW()&lt;=Results!$C$1+1,VLOOKUP($A307,Data!$A$2:$C$117,3,TRUE),"")</f>
        <v/>
      </c>
      <c r="E307" s="14" t="str">
        <f>IF(ROW()&lt;=Results!$C$1+1,IF(D307&lt;=0,"",LN(D307)),"")</f>
        <v/>
      </c>
      <c r="F307" s="53" t="str">
        <f>IF(ROW()&lt;=Results!$C$1+1,IF(ISERROR(C307-E307),"",C307-E307),"")</f>
        <v/>
      </c>
    </row>
    <row r="308" spans="1:6" x14ac:dyDescent="0.2">
      <c r="A308" s="1" t="str">
        <f ca="1">IF(ROW()&lt;=Results!$C$1+1,INDEX(Data!$A:$A,CEILING((COUNTA(Data!$A:$A)-1)*RAND()+1,1)),"")</f>
        <v/>
      </c>
      <c r="B308" s="1" t="str">
        <f>IF(ROW()&lt;=Results!$C$1+1,VLOOKUP($A308,Data!$A$2:$C$117,2,TRUE),"")</f>
        <v/>
      </c>
      <c r="C308" s="14" t="str">
        <f>IF(ROW()&lt;=Results!$C$1+1,IF(B308&lt;=0,"",LN(B308)),"")</f>
        <v/>
      </c>
      <c r="D308" s="1" t="str">
        <f>IF(ROW()&lt;=Results!$C$1+1,VLOOKUP($A308,Data!$A$2:$C$117,3,TRUE),"")</f>
        <v/>
      </c>
      <c r="E308" s="14" t="str">
        <f>IF(ROW()&lt;=Results!$C$1+1,IF(D308&lt;=0,"",LN(D308)),"")</f>
        <v/>
      </c>
      <c r="F308" s="53" t="str">
        <f>IF(ROW()&lt;=Results!$C$1+1,IF(ISERROR(C308-E308),"",C308-E308),"")</f>
        <v/>
      </c>
    </row>
    <row r="309" spans="1:6" x14ac:dyDescent="0.2">
      <c r="A309" s="1" t="str">
        <f ca="1">IF(ROW()&lt;=Results!$C$1+1,INDEX(Data!$A:$A,CEILING((COUNTA(Data!$A:$A)-1)*RAND()+1,1)),"")</f>
        <v/>
      </c>
      <c r="B309" s="1" t="str">
        <f>IF(ROW()&lt;=Results!$C$1+1,VLOOKUP($A309,Data!$A$2:$C$117,2,TRUE),"")</f>
        <v/>
      </c>
      <c r="C309" s="14" t="str">
        <f>IF(ROW()&lt;=Results!$C$1+1,IF(B309&lt;=0,"",LN(B309)),"")</f>
        <v/>
      </c>
      <c r="D309" s="1" t="str">
        <f>IF(ROW()&lt;=Results!$C$1+1,VLOOKUP($A309,Data!$A$2:$C$117,3,TRUE),"")</f>
        <v/>
      </c>
      <c r="E309" s="14" t="str">
        <f>IF(ROW()&lt;=Results!$C$1+1,IF(D309&lt;=0,"",LN(D309)),"")</f>
        <v/>
      </c>
      <c r="F309" s="53" t="str">
        <f>IF(ROW()&lt;=Results!$C$1+1,IF(ISERROR(C309-E309),"",C309-E309),"")</f>
        <v/>
      </c>
    </row>
    <row r="310" spans="1:6" x14ac:dyDescent="0.2">
      <c r="A310" s="1" t="str">
        <f ca="1">IF(ROW()&lt;=Results!$C$1+1,INDEX(Data!$A:$A,CEILING((COUNTA(Data!$A:$A)-1)*RAND()+1,1)),"")</f>
        <v/>
      </c>
      <c r="B310" s="1" t="str">
        <f>IF(ROW()&lt;=Results!$C$1+1,VLOOKUP($A310,Data!$A$2:$C$117,2,TRUE),"")</f>
        <v/>
      </c>
      <c r="C310" s="14" t="str">
        <f>IF(ROW()&lt;=Results!$C$1+1,IF(B310&lt;=0,"",LN(B310)),"")</f>
        <v/>
      </c>
      <c r="D310" s="1" t="str">
        <f>IF(ROW()&lt;=Results!$C$1+1,VLOOKUP($A310,Data!$A$2:$C$117,3,TRUE),"")</f>
        <v/>
      </c>
      <c r="E310" s="14" t="str">
        <f>IF(ROW()&lt;=Results!$C$1+1,IF(D310&lt;=0,"",LN(D310)),"")</f>
        <v/>
      </c>
      <c r="F310" s="53" t="str">
        <f>IF(ROW()&lt;=Results!$C$1+1,IF(ISERROR(C310-E310),"",C310-E310),"")</f>
        <v/>
      </c>
    </row>
    <row r="311" spans="1:6" x14ac:dyDescent="0.2">
      <c r="A311" s="1" t="str">
        <f ca="1">IF(ROW()&lt;=Results!$C$1+1,INDEX(Data!$A:$A,CEILING((COUNTA(Data!$A:$A)-1)*RAND()+1,1)),"")</f>
        <v/>
      </c>
      <c r="B311" s="1" t="str">
        <f>IF(ROW()&lt;=Results!$C$1+1,VLOOKUP($A311,Data!$A$2:$C$117,2,TRUE),"")</f>
        <v/>
      </c>
      <c r="C311" s="14" t="str">
        <f>IF(ROW()&lt;=Results!$C$1+1,IF(B311&lt;=0,"",LN(B311)),"")</f>
        <v/>
      </c>
      <c r="D311" s="1" t="str">
        <f>IF(ROW()&lt;=Results!$C$1+1,VLOOKUP($A311,Data!$A$2:$C$117,3,TRUE),"")</f>
        <v/>
      </c>
      <c r="E311" s="14" t="str">
        <f>IF(ROW()&lt;=Results!$C$1+1,IF(D311&lt;=0,"",LN(D311)),"")</f>
        <v/>
      </c>
      <c r="F311" s="53" t="str">
        <f>IF(ROW()&lt;=Results!$C$1+1,IF(ISERROR(C311-E311),"",C311-E311),"")</f>
        <v/>
      </c>
    </row>
    <row r="312" spans="1:6" x14ac:dyDescent="0.2">
      <c r="A312" s="1" t="str">
        <f ca="1">IF(ROW()&lt;=Results!$C$1+1,INDEX(Data!$A:$A,CEILING((COUNTA(Data!$A:$A)-1)*RAND()+1,1)),"")</f>
        <v/>
      </c>
      <c r="B312" s="1" t="str">
        <f>IF(ROW()&lt;=Results!$C$1+1,VLOOKUP($A312,Data!$A$2:$C$117,2,TRUE),"")</f>
        <v/>
      </c>
      <c r="C312" s="14" t="str">
        <f>IF(ROW()&lt;=Results!$C$1+1,IF(B312&lt;=0,"",LN(B312)),"")</f>
        <v/>
      </c>
      <c r="D312" s="1" t="str">
        <f>IF(ROW()&lt;=Results!$C$1+1,VLOOKUP($A312,Data!$A$2:$C$117,3,TRUE),"")</f>
        <v/>
      </c>
      <c r="E312" s="14" t="str">
        <f>IF(ROW()&lt;=Results!$C$1+1,IF(D312&lt;=0,"",LN(D312)),"")</f>
        <v/>
      </c>
      <c r="F312" s="53" t="str">
        <f>IF(ROW()&lt;=Results!$C$1+1,IF(ISERROR(C312-E312),"",C312-E312),"")</f>
        <v/>
      </c>
    </row>
    <row r="313" spans="1:6" x14ac:dyDescent="0.2">
      <c r="A313" s="1" t="str">
        <f ca="1">IF(ROW()&lt;=Results!$C$1+1,INDEX(Data!$A:$A,CEILING((COUNTA(Data!$A:$A)-1)*RAND()+1,1)),"")</f>
        <v/>
      </c>
      <c r="B313" s="1" t="str">
        <f>IF(ROW()&lt;=Results!$C$1+1,VLOOKUP($A313,Data!$A$2:$C$117,2,TRUE),"")</f>
        <v/>
      </c>
      <c r="C313" s="14" t="str">
        <f>IF(ROW()&lt;=Results!$C$1+1,IF(B313&lt;=0,"",LN(B313)),"")</f>
        <v/>
      </c>
      <c r="D313" s="1" t="str">
        <f>IF(ROW()&lt;=Results!$C$1+1,VLOOKUP($A313,Data!$A$2:$C$117,3,TRUE),"")</f>
        <v/>
      </c>
      <c r="E313" s="14" t="str">
        <f>IF(ROW()&lt;=Results!$C$1+1,IF(D313&lt;=0,"",LN(D313)),"")</f>
        <v/>
      </c>
      <c r="F313" s="53" t="str">
        <f>IF(ROW()&lt;=Results!$C$1+1,IF(ISERROR(C313-E313),"",C313-E313),"")</f>
        <v/>
      </c>
    </row>
    <row r="314" spans="1:6" x14ac:dyDescent="0.2">
      <c r="A314" s="1" t="str">
        <f ca="1">IF(ROW()&lt;=Results!$C$1+1,INDEX(Data!$A:$A,CEILING((COUNTA(Data!$A:$A)-1)*RAND()+1,1)),"")</f>
        <v/>
      </c>
      <c r="B314" s="1" t="str">
        <f>IF(ROW()&lt;=Results!$C$1+1,VLOOKUP($A314,Data!$A$2:$C$117,2,TRUE),"")</f>
        <v/>
      </c>
      <c r="C314" s="14" t="str">
        <f>IF(ROW()&lt;=Results!$C$1+1,IF(B314&lt;=0,"",LN(B314)),"")</f>
        <v/>
      </c>
      <c r="D314" s="1" t="str">
        <f>IF(ROW()&lt;=Results!$C$1+1,VLOOKUP($A314,Data!$A$2:$C$117,3,TRUE),"")</f>
        <v/>
      </c>
      <c r="E314" s="14" t="str">
        <f>IF(ROW()&lt;=Results!$C$1+1,IF(D314&lt;=0,"",LN(D314)),"")</f>
        <v/>
      </c>
      <c r="F314" s="53" t="str">
        <f>IF(ROW()&lt;=Results!$C$1+1,IF(ISERROR(C314-E314),"",C314-E314),"")</f>
        <v/>
      </c>
    </row>
    <row r="315" spans="1:6" x14ac:dyDescent="0.2">
      <c r="A315" s="1" t="str">
        <f ca="1">IF(ROW()&lt;=Results!$C$1+1,INDEX(Data!$A:$A,CEILING((COUNTA(Data!$A:$A)-1)*RAND()+1,1)),"")</f>
        <v/>
      </c>
      <c r="B315" s="1" t="str">
        <f>IF(ROW()&lt;=Results!$C$1+1,VLOOKUP($A315,Data!$A$2:$C$117,2,TRUE),"")</f>
        <v/>
      </c>
      <c r="C315" s="14" t="str">
        <f>IF(ROW()&lt;=Results!$C$1+1,IF(B315&lt;=0,"",LN(B315)),"")</f>
        <v/>
      </c>
      <c r="D315" s="1" t="str">
        <f>IF(ROW()&lt;=Results!$C$1+1,VLOOKUP($A315,Data!$A$2:$C$117,3,TRUE),"")</f>
        <v/>
      </c>
      <c r="E315" s="14" t="str">
        <f>IF(ROW()&lt;=Results!$C$1+1,IF(D315&lt;=0,"",LN(D315)),"")</f>
        <v/>
      </c>
      <c r="F315" s="53" t="str">
        <f>IF(ROW()&lt;=Results!$C$1+1,IF(ISERROR(C315-E315),"",C315-E315),"")</f>
        <v/>
      </c>
    </row>
    <row r="316" spans="1:6" x14ac:dyDescent="0.2">
      <c r="A316" s="1" t="str">
        <f ca="1">IF(ROW()&lt;=Results!$C$1+1,INDEX(Data!$A:$A,CEILING((COUNTA(Data!$A:$A)-1)*RAND()+1,1)),"")</f>
        <v/>
      </c>
      <c r="B316" s="1" t="str">
        <f>IF(ROW()&lt;=Results!$C$1+1,VLOOKUP($A316,Data!$A$2:$C$117,2,TRUE),"")</f>
        <v/>
      </c>
      <c r="C316" s="14" t="str">
        <f>IF(ROW()&lt;=Results!$C$1+1,IF(B316&lt;=0,"",LN(B316)),"")</f>
        <v/>
      </c>
      <c r="D316" s="1" t="str">
        <f>IF(ROW()&lt;=Results!$C$1+1,VLOOKUP($A316,Data!$A$2:$C$117,3,TRUE),"")</f>
        <v/>
      </c>
      <c r="E316" s="14" t="str">
        <f>IF(ROW()&lt;=Results!$C$1+1,IF(D316&lt;=0,"",LN(D316)),"")</f>
        <v/>
      </c>
      <c r="F316" s="53" t="str">
        <f>IF(ROW()&lt;=Results!$C$1+1,IF(ISERROR(C316-E316),"",C316-E316),"")</f>
        <v/>
      </c>
    </row>
    <row r="317" spans="1:6" x14ac:dyDescent="0.2">
      <c r="A317" s="1" t="str">
        <f ca="1">IF(ROW()&lt;=Results!$C$1+1,INDEX(Data!$A:$A,CEILING((COUNTA(Data!$A:$A)-1)*RAND()+1,1)),"")</f>
        <v/>
      </c>
      <c r="B317" s="1" t="str">
        <f>IF(ROW()&lt;=Results!$C$1+1,VLOOKUP($A317,Data!$A$2:$C$117,2,TRUE),"")</f>
        <v/>
      </c>
      <c r="C317" s="14" t="str">
        <f>IF(ROW()&lt;=Results!$C$1+1,IF(B317&lt;=0,"",LN(B317)),"")</f>
        <v/>
      </c>
      <c r="D317" s="1" t="str">
        <f>IF(ROW()&lt;=Results!$C$1+1,VLOOKUP($A317,Data!$A$2:$C$117,3,TRUE),"")</f>
        <v/>
      </c>
      <c r="E317" s="14" t="str">
        <f>IF(ROW()&lt;=Results!$C$1+1,IF(D317&lt;=0,"",LN(D317)),"")</f>
        <v/>
      </c>
      <c r="F317" s="53" t="str">
        <f>IF(ROW()&lt;=Results!$C$1+1,IF(ISERROR(C317-E317),"",C317-E317),"")</f>
        <v/>
      </c>
    </row>
    <row r="318" spans="1:6" x14ac:dyDescent="0.2">
      <c r="A318" s="1" t="str">
        <f ca="1">IF(ROW()&lt;=Results!$C$1+1,INDEX(Data!$A:$A,CEILING((COUNTA(Data!$A:$A)-1)*RAND()+1,1)),"")</f>
        <v/>
      </c>
      <c r="B318" s="1" t="str">
        <f>IF(ROW()&lt;=Results!$C$1+1,VLOOKUP($A318,Data!$A$2:$C$117,2,TRUE),"")</f>
        <v/>
      </c>
      <c r="C318" s="14" t="str">
        <f>IF(ROW()&lt;=Results!$C$1+1,IF(B318&lt;=0,"",LN(B318)),"")</f>
        <v/>
      </c>
      <c r="D318" s="1" t="str">
        <f>IF(ROW()&lt;=Results!$C$1+1,VLOOKUP($A318,Data!$A$2:$C$117,3,TRUE),"")</f>
        <v/>
      </c>
      <c r="E318" s="14" t="str">
        <f>IF(ROW()&lt;=Results!$C$1+1,IF(D318&lt;=0,"",LN(D318)),"")</f>
        <v/>
      </c>
      <c r="F318" s="53" t="str">
        <f>IF(ROW()&lt;=Results!$C$1+1,IF(ISERROR(C318-E318),"",C318-E318),"")</f>
        <v/>
      </c>
    </row>
    <row r="319" spans="1:6" x14ac:dyDescent="0.2">
      <c r="A319" s="1" t="str">
        <f ca="1">IF(ROW()&lt;=Results!$C$1+1,INDEX(Data!$A:$A,CEILING((COUNTA(Data!$A:$A)-1)*RAND()+1,1)),"")</f>
        <v/>
      </c>
      <c r="B319" s="1" t="str">
        <f>IF(ROW()&lt;=Results!$C$1+1,VLOOKUP($A319,Data!$A$2:$C$117,2,TRUE),"")</f>
        <v/>
      </c>
      <c r="C319" s="14" t="str">
        <f>IF(ROW()&lt;=Results!$C$1+1,IF(B319&lt;=0,"",LN(B319)),"")</f>
        <v/>
      </c>
      <c r="D319" s="1" t="str">
        <f>IF(ROW()&lt;=Results!$C$1+1,VLOOKUP($A319,Data!$A$2:$C$117,3,TRUE),"")</f>
        <v/>
      </c>
      <c r="E319" s="14" t="str">
        <f>IF(ROW()&lt;=Results!$C$1+1,IF(D319&lt;=0,"",LN(D319)),"")</f>
        <v/>
      </c>
      <c r="F319" s="53" t="str">
        <f>IF(ROW()&lt;=Results!$C$1+1,IF(ISERROR(C319-E319),"",C319-E319),"")</f>
        <v/>
      </c>
    </row>
    <row r="320" spans="1:6" x14ac:dyDescent="0.2">
      <c r="A320" s="1" t="str">
        <f ca="1">IF(ROW()&lt;=Results!$C$1+1,INDEX(Data!$A:$A,CEILING((COUNTA(Data!$A:$A)-1)*RAND()+1,1)),"")</f>
        <v/>
      </c>
      <c r="B320" s="1" t="str">
        <f>IF(ROW()&lt;=Results!$C$1+1,VLOOKUP($A320,Data!$A$2:$C$117,2,TRUE),"")</f>
        <v/>
      </c>
      <c r="C320" s="14" t="str">
        <f>IF(ROW()&lt;=Results!$C$1+1,IF(B320&lt;=0,"",LN(B320)),"")</f>
        <v/>
      </c>
      <c r="D320" s="1" t="str">
        <f>IF(ROW()&lt;=Results!$C$1+1,VLOOKUP($A320,Data!$A$2:$C$117,3,TRUE),"")</f>
        <v/>
      </c>
      <c r="E320" s="14" t="str">
        <f>IF(ROW()&lt;=Results!$C$1+1,IF(D320&lt;=0,"",LN(D320)),"")</f>
        <v/>
      </c>
      <c r="F320" s="53" t="str">
        <f>IF(ROW()&lt;=Results!$C$1+1,IF(ISERROR(C320-E320),"",C320-E320),"")</f>
        <v/>
      </c>
    </row>
    <row r="321" spans="1:6" x14ac:dyDescent="0.2">
      <c r="A321" s="1" t="str">
        <f ca="1">IF(ROW()&lt;=Results!$C$1+1,INDEX(Data!$A:$A,CEILING((COUNTA(Data!$A:$A)-1)*RAND()+1,1)),"")</f>
        <v/>
      </c>
      <c r="B321" s="1" t="str">
        <f>IF(ROW()&lt;=Results!$C$1+1,VLOOKUP($A321,Data!$A$2:$C$117,2,TRUE),"")</f>
        <v/>
      </c>
      <c r="C321" s="14" t="str">
        <f>IF(ROW()&lt;=Results!$C$1+1,IF(B321&lt;=0,"",LN(B321)),"")</f>
        <v/>
      </c>
      <c r="D321" s="1" t="str">
        <f>IF(ROW()&lt;=Results!$C$1+1,VLOOKUP($A321,Data!$A$2:$C$117,3,TRUE),"")</f>
        <v/>
      </c>
      <c r="E321" s="14" t="str">
        <f>IF(ROW()&lt;=Results!$C$1+1,IF(D321&lt;=0,"",LN(D321)),"")</f>
        <v/>
      </c>
      <c r="F321" s="53" t="str">
        <f>IF(ROW()&lt;=Results!$C$1+1,IF(ISERROR(C321-E321),"",C321-E321),"")</f>
        <v/>
      </c>
    </row>
    <row r="322" spans="1:6" x14ac:dyDescent="0.2">
      <c r="A322" s="1" t="str">
        <f ca="1">IF(ROW()&lt;=Results!$C$1+1,INDEX(Data!$A:$A,CEILING((COUNTA(Data!$A:$A)-1)*RAND()+1,1)),"")</f>
        <v/>
      </c>
      <c r="B322" s="1" t="str">
        <f>IF(ROW()&lt;=Results!$C$1+1,VLOOKUP($A322,Data!$A$2:$C$117,2,TRUE),"")</f>
        <v/>
      </c>
      <c r="C322" s="14" t="str">
        <f>IF(ROW()&lt;=Results!$C$1+1,IF(B322&lt;=0,"",LN(B322)),"")</f>
        <v/>
      </c>
      <c r="D322" s="1" t="str">
        <f>IF(ROW()&lt;=Results!$C$1+1,VLOOKUP($A322,Data!$A$2:$C$117,3,TRUE),"")</f>
        <v/>
      </c>
      <c r="E322" s="14" t="str">
        <f>IF(ROW()&lt;=Results!$C$1+1,IF(D322&lt;=0,"",LN(D322)),"")</f>
        <v/>
      </c>
      <c r="F322" s="53" t="str">
        <f>IF(ROW()&lt;=Results!$C$1+1,IF(ISERROR(C322-E322),"",C322-E322),"")</f>
        <v/>
      </c>
    </row>
    <row r="323" spans="1:6" x14ac:dyDescent="0.2">
      <c r="A323" s="1" t="str">
        <f ca="1">IF(ROW()&lt;=Results!$C$1+1,INDEX(Data!$A:$A,CEILING((COUNTA(Data!$A:$A)-1)*RAND()+1,1)),"")</f>
        <v/>
      </c>
      <c r="B323" s="1" t="str">
        <f>IF(ROW()&lt;=Results!$C$1+1,VLOOKUP($A323,Data!$A$2:$C$117,2,TRUE),"")</f>
        <v/>
      </c>
      <c r="C323" s="14" t="str">
        <f>IF(ROW()&lt;=Results!$C$1+1,IF(B323&lt;=0,"",LN(B323)),"")</f>
        <v/>
      </c>
      <c r="D323" s="1" t="str">
        <f>IF(ROW()&lt;=Results!$C$1+1,VLOOKUP($A323,Data!$A$2:$C$117,3,TRUE),"")</f>
        <v/>
      </c>
      <c r="E323" s="14" t="str">
        <f>IF(ROW()&lt;=Results!$C$1+1,IF(D323&lt;=0,"",LN(D323)),"")</f>
        <v/>
      </c>
      <c r="F323" s="53" t="str">
        <f>IF(ROW()&lt;=Results!$C$1+1,IF(ISERROR(C323-E323),"",C323-E323),"")</f>
        <v/>
      </c>
    </row>
    <row r="324" spans="1:6" x14ac:dyDescent="0.2">
      <c r="A324" s="1" t="str">
        <f ca="1">IF(ROW()&lt;=Results!$C$1+1,INDEX(Data!$A:$A,CEILING((COUNTA(Data!$A:$A)-1)*RAND()+1,1)),"")</f>
        <v/>
      </c>
      <c r="B324" s="1" t="str">
        <f>IF(ROW()&lt;=Results!$C$1+1,VLOOKUP($A324,Data!$A$2:$C$117,2,TRUE),"")</f>
        <v/>
      </c>
      <c r="C324" s="14" t="str">
        <f>IF(ROW()&lt;=Results!$C$1+1,IF(B324&lt;=0,"",LN(B324)),"")</f>
        <v/>
      </c>
      <c r="D324" s="1" t="str">
        <f>IF(ROW()&lt;=Results!$C$1+1,VLOOKUP($A324,Data!$A$2:$C$117,3,TRUE),"")</f>
        <v/>
      </c>
      <c r="E324" s="14" t="str">
        <f>IF(ROW()&lt;=Results!$C$1+1,IF(D324&lt;=0,"",LN(D324)),"")</f>
        <v/>
      </c>
      <c r="F324" s="53" t="str">
        <f>IF(ROW()&lt;=Results!$C$1+1,IF(ISERROR(C324-E324),"",C324-E324),"")</f>
        <v/>
      </c>
    </row>
    <row r="325" spans="1:6" x14ac:dyDescent="0.2">
      <c r="A325" s="1" t="str">
        <f ca="1">IF(ROW()&lt;=Results!$C$1+1,INDEX(Data!$A:$A,CEILING((COUNTA(Data!$A:$A)-1)*RAND()+1,1)),"")</f>
        <v/>
      </c>
      <c r="B325" s="1" t="str">
        <f>IF(ROW()&lt;=Results!$C$1+1,VLOOKUP($A325,Data!$A$2:$C$117,2,TRUE),"")</f>
        <v/>
      </c>
      <c r="C325" s="14" t="str">
        <f>IF(ROW()&lt;=Results!$C$1+1,IF(B325&lt;=0,"",LN(B325)),"")</f>
        <v/>
      </c>
      <c r="D325" s="1" t="str">
        <f>IF(ROW()&lt;=Results!$C$1+1,VLOOKUP($A325,Data!$A$2:$C$117,3,TRUE),"")</f>
        <v/>
      </c>
      <c r="E325" s="14" t="str">
        <f>IF(ROW()&lt;=Results!$C$1+1,IF(D325&lt;=0,"",LN(D325)),"")</f>
        <v/>
      </c>
      <c r="F325" s="53" t="str">
        <f>IF(ROW()&lt;=Results!$C$1+1,IF(ISERROR(C325-E325),"",C325-E325),"")</f>
        <v/>
      </c>
    </row>
    <row r="326" spans="1:6" x14ac:dyDescent="0.2">
      <c r="A326" s="1" t="str">
        <f ca="1">IF(ROW()&lt;=Results!$C$1+1,INDEX(Data!$A:$A,CEILING((COUNTA(Data!$A:$A)-1)*RAND()+1,1)),"")</f>
        <v/>
      </c>
      <c r="B326" s="1" t="str">
        <f>IF(ROW()&lt;=Results!$C$1+1,VLOOKUP($A326,Data!$A$2:$C$117,2,TRUE),"")</f>
        <v/>
      </c>
      <c r="C326" s="14" t="str">
        <f>IF(ROW()&lt;=Results!$C$1+1,IF(B326&lt;=0,"",LN(B326)),"")</f>
        <v/>
      </c>
      <c r="D326" s="1" t="str">
        <f>IF(ROW()&lt;=Results!$C$1+1,VLOOKUP($A326,Data!$A$2:$C$117,3,TRUE),"")</f>
        <v/>
      </c>
      <c r="E326" s="14" t="str">
        <f>IF(ROW()&lt;=Results!$C$1+1,IF(D326&lt;=0,"",LN(D326)),"")</f>
        <v/>
      </c>
      <c r="F326" s="53" t="str">
        <f>IF(ROW()&lt;=Results!$C$1+1,IF(ISERROR(C326-E326),"",C326-E326),"")</f>
        <v/>
      </c>
    </row>
    <row r="327" spans="1:6" x14ac:dyDescent="0.2">
      <c r="A327" s="1" t="str">
        <f ca="1">IF(ROW()&lt;=Results!$C$1+1,INDEX(Data!$A:$A,CEILING((COUNTA(Data!$A:$A)-1)*RAND()+1,1)),"")</f>
        <v/>
      </c>
      <c r="B327" s="1" t="str">
        <f>IF(ROW()&lt;=Results!$C$1+1,VLOOKUP($A327,Data!$A$2:$C$117,2,TRUE),"")</f>
        <v/>
      </c>
      <c r="C327" s="14" t="str">
        <f>IF(ROW()&lt;=Results!$C$1+1,IF(B327&lt;=0,"",LN(B327)),"")</f>
        <v/>
      </c>
      <c r="D327" s="1" t="str">
        <f>IF(ROW()&lt;=Results!$C$1+1,VLOOKUP($A327,Data!$A$2:$C$117,3,TRUE),"")</f>
        <v/>
      </c>
      <c r="E327" s="14" t="str">
        <f>IF(ROW()&lt;=Results!$C$1+1,IF(D327&lt;=0,"",LN(D327)),"")</f>
        <v/>
      </c>
      <c r="F327" s="53" t="str">
        <f>IF(ROW()&lt;=Results!$C$1+1,IF(ISERROR(C327-E327),"",C327-E327),"")</f>
        <v/>
      </c>
    </row>
    <row r="328" spans="1:6" x14ac:dyDescent="0.2">
      <c r="A328" s="1" t="str">
        <f ca="1">IF(ROW()&lt;=Results!$C$1+1,INDEX(Data!$A:$A,CEILING((COUNTA(Data!$A:$A)-1)*RAND()+1,1)),"")</f>
        <v/>
      </c>
      <c r="B328" s="1" t="str">
        <f>IF(ROW()&lt;=Results!$C$1+1,VLOOKUP($A328,Data!$A$2:$C$117,2,TRUE),"")</f>
        <v/>
      </c>
      <c r="C328" s="14" t="str">
        <f>IF(ROW()&lt;=Results!$C$1+1,IF(B328&lt;=0,"",LN(B328)),"")</f>
        <v/>
      </c>
      <c r="D328" s="1" t="str">
        <f>IF(ROW()&lt;=Results!$C$1+1,VLOOKUP($A328,Data!$A$2:$C$117,3,TRUE),"")</f>
        <v/>
      </c>
      <c r="E328" s="14" t="str">
        <f>IF(ROW()&lt;=Results!$C$1+1,IF(D328&lt;=0,"",LN(D328)),"")</f>
        <v/>
      </c>
      <c r="F328" s="53" t="str">
        <f>IF(ROW()&lt;=Results!$C$1+1,IF(ISERROR(C328-E328),"",C328-E328),"")</f>
        <v/>
      </c>
    </row>
    <row r="329" spans="1:6" x14ac:dyDescent="0.2">
      <c r="A329" s="1" t="str">
        <f ca="1">IF(ROW()&lt;=Results!$C$1+1,INDEX(Data!$A:$A,CEILING((COUNTA(Data!$A:$A)-1)*RAND()+1,1)),"")</f>
        <v/>
      </c>
      <c r="B329" s="1" t="str">
        <f>IF(ROW()&lt;=Results!$C$1+1,VLOOKUP($A329,Data!$A$2:$C$117,2,TRUE),"")</f>
        <v/>
      </c>
      <c r="C329" s="14" t="str">
        <f>IF(ROW()&lt;=Results!$C$1+1,IF(B329&lt;=0,"",LN(B329)),"")</f>
        <v/>
      </c>
      <c r="D329" s="1" t="str">
        <f>IF(ROW()&lt;=Results!$C$1+1,VLOOKUP($A329,Data!$A$2:$C$117,3,TRUE),"")</f>
        <v/>
      </c>
      <c r="E329" s="14" t="str">
        <f>IF(ROW()&lt;=Results!$C$1+1,IF(D329&lt;=0,"",LN(D329)),"")</f>
        <v/>
      </c>
      <c r="F329" s="53" t="str">
        <f>IF(ROW()&lt;=Results!$C$1+1,IF(ISERROR(C329-E329),"",C329-E329),"")</f>
        <v/>
      </c>
    </row>
    <row r="330" spans="1:6" x14ac:dyDescent="0.2">
      <c r="A330" s="1" t="str">
        <f ca="1">IF(ROW()&lt;=Results!$C$1+1,INDEX(Data!$A:$A,CEILING((COUNTA(Data!$A:$A)-1)*RAND()+1,1)),"")</f>
        <v/>
      </c>
      <c r="B330" s="1" t="str">
        <f>IF(ROW()&lt;=Results!$C$1+1,VLOOKUP($A330,Data!$A$2:$C$117,2,TRUE),"")</f>
        <v/>
      </c>
      <c r="C330" s="14" t="str">
        <f>IF(ROW()&lt;=Results!$C$1+1,IF(B330&lt;=0,"",LN(B330)),"")</f>
        <v/>
      </c>
      <c r="D330" s="1" t="str">
        <f>IF(ROW()&lt;=Results!$C$1+1,VLOOKUP($A330,Data!$A$2:$C$117,3,TRUE),"")</f>
        <v/>
      </c>
      <c r="E330" s="14" t="str">
        <f>IF(ROW()&lt;=Results!$C$1+1,IF(D330&lt;=0,"",LN(D330)),"")</f>
        <v/>
      </c>
      <c r="F330" s="53" t="str">
        <f>IF(ROW()&lt;=Results!$C$1+1,IF(ISERROR(C330-E330),"",C330-E330),"")</f>
        <v/>
      </c>
    </row>
    <row r="331" spans="1:6" x14ac:dyDescent="0.2">
      <c r="A331" s="1" t="str">
        <f ca="1">IF(ROW()&lt;=Results!$C$1+1,INDEX(Data!$A:$A,CEILING((COUNTA(Data!$A:$A)-1)*RAND()+1,1)),"")</f>
        <v/>
      </c>
      <c r="B331" s="1" t="str">
        <f>IF(ROW()&lt;=Results!$C$1+1,VLOOKUP($A331,Data!$A$2:$C$117,2,TRUE),"")</f>
        <v/>
      </c>
      <c r="C331" s="14" t="str">
        <f>IF(ROW()&lt;=Results!$C$1+1,IF(B331&lt;=0,"",LN(B331)),"")</f>
        <v/>
      </c>
      <c r="D331" s="1" t="str">
        <f>IF(ROW()&lt;=Results!$C$1+1,VLOOKUP($A331,Data!$A$2:$C$117,3,TRUE),"")</f>
        <v/>
      </c>
      <c r="E331" s="14" t="str">
        <f>IF(ROW()&lt;=Results!$C$1+1,IF(D331&lt;=0,"",LN(D331)),"")</f>
        <v/>
      </c>
      <c r="F331" s="53" t="str">
        <f>IF(ROW()&lt;=Results!$C$1+1,IF(ISERROR(C331-E331),"",C331-E331),"")</f>
        <v/>
      </c>
    </row>
    <row r="332" spans="1:6" x14ac:dyDescent="0.2">
      <c r="A332" s="1" t="str">
        <f ca="1">IF(ROW()&lt;=Results!$C$1+1,INDEX(Data!$A:$A,CEILING((COUNTA(Data!$A:$A)-1)*RAND()+1,1)),"")</f>
        <v/>
      </c>
      <c r="B332" s="1" t="str">
        <f>IF(ROW()&lt;=Results!$C$1+1,VLOOKUP($A332,Data!$A$2:$C$117,2,TRUE),"")</f>
        <v/>
      </c>
      <c r="C332" s="14" t="str">
        <f>IF(ROW()&lt;=Results!$C$1+1,IF(B332&lt;=0,"",LN(B332)),"")</f>
        <v/>
      </c>
      <c r="D332" s="1" t="str">
        <f>IF(ROW()&lt;=Results!$C$1+1,VLOOKUP($A332,Data!$A$2:$C$117,3,TRUE),"")</f>
        <v/>
      </c>
      <c r="E332" s="14" t="str">
        <f>IF(ROW()&lt;=Results!$C$1+1,IF(D332&lt;=0,"",LN(D332)),"")</f>
        <v/>
      </c>
      <c r="F332" s="53" t="str">
        <f>IF(ROW()&lt;=Results!$C$1+1,IF(ISERROR(C332-E332),"",C332-E332),"")</f>
        <v/>
      </c>
    </row>
    <row r="333" spans="1:6" x14ac:dyDescent="0.2">
      <c r="A333" s="1" t="str">
        <f ca="1">IF(ROW()&lt;=Results!$C$1+1,INDEX(Data!$A:$A,CEILING((COUNTA(Data!$A:$A)-1)*RAND()+1,1)),"")</f>
        <v/>
      </c>
      <c r="B333" s="1" t="str">
        <f>IF(ROW()&lt;=Results!$C$1+1,VLOOKUP($A333,Data!$A$2:$C$117,2,TRUE),"")</f>
        <v/>
      </c>
      <c r="C333" s="14" t="str">
        <f>IF(ROW()&lt;=Results!$C$1+1,IF(B333&lt;=0,"",LN(B333)),"")</f>
        <v/>
      </c>
      <c r="D333" s="1" t="str">
        <f>IF(ROW()&lt;=Results!$C$1+1,VLOOKUP($A333,Data!$A$2:$C$117,3,TRUE),"")</f>
        <v/>
      </c>
      <c r="E333" s="14" t="str">
        <f>IF(ROW()&lt;=Results!$C$1+1,IF(D333&lt;=0,"",LN(D333)),"")</f>
        <v/>
      </c>
      <c r="F333" s="53" t="str">
        <f>IF(ROW()&lt;=Results!$C$1+1,IF(ISERROR(C333-E333),"",C333-E333),"")</f>
        <v/>
      </c>
    </row>
    <row r="334" spans="1:6" x14ac:dyDescent="0.2">
      <c r="A334" s="1" t="str">
        <f ca="1">IF(ROW()&lt;=Results!$C$1+1,INDEX(Data!$A:$A,CEILING((COUNTA(Data!$A:$A)-1)*RAND()+1,1)),"")</f>
        <v/>
      </c>
      <c r="B334" s="1" t="str">
        <f>IF(ROW()&lt;=Results!$C$1+1,VLOOKUP($A334,Data!$A$2:$C$117,2,TRUE),"")</f>
        <v/>
      </c>
      <c r="C334" s="14" t="str">
        <f>IF(ROW()&lt;=Results!$C$1+1,IF(B334&lt;=0,"",LN(B334)),"")</f>
        <v/>
      </c>
      <c r="D334" s="1" t="str">
        <f>IF(ROW()&lt;=Results!$C$1+1,VLOOKUP($A334,Data!$A$2:$C$117,3,TRUE),"")</f>
        <v/>
      </c>
      <c r="E334" s="14" t="str">
        <f>IF(ROW()&lt;=Results!$C$1+1,IF(D334&lt;=0,"",LN(D334)),"")</f>
        <v/>
      </c>
      <c r="F334" s="53" t="str">
        <f>IF(ROW()&lt;=Results!$C$1+1,IF(ISERROR(C334-E334),"",C334-E334),"")</f>
        <v/>
      </c>
    </row>
    <row r="335" spans="1:6" x14ac:dyDescent="0.2">
      <c r="A335" s="1" t="str">
        <f ca="1">IF(ROW()&lt;=Results!$C$1+1,INDEX(Data!$A:$A,CEILING((COUNTA(Data!$A:$A)-1)*RAND()+1,1)),"")</f>
        <v/>
      </c>
      <c r="B335" s="1" t="str">
        <f>IF(ROW()&lt;=Results!$C$1+1,VLOOKUP($A335,Data!$A$2:$C$117,2,TRUE),"")</f>
        <v/>
      </c>
      <c r="C335" s="14" t="str">
        <f>IF(ROW()&lt;=Results!$C$1+1,IF(B335&lt;=0,"",LN(B335)),"")</f>
        <v/>
      </c>
      <c r="D335" s="1" t="str">
        <f>IF(ROW()&lt;=Results!$C$1+1,VLOOKUP($A335,Data!$A$2:$C$117,3,TRUE),"")</f>
        <v/>
      </c>
      <c r="E335" s="14" t="str">
        <f>IF(ROW()&lt;=Results!$C$1+1,IF(D335&lt;=0,"",LN(D335)),"")</f>
        <v/>
      </c>
      <c r="F335" s="53" t="str">
        <f>IF(ROW()&lt;=Results!$C$1+1,IF(ISERROR(C335-E335),"",C335-E335),"")</f>
        <v/>
      </c>
    </row>
    <row r="336" spans="1:6" x14ac:dyDescent="0.2">
      <c r="A336" s="1" t="str">
        <f ca="1">IF(ROW()&lt;=Results!$C$1+1,INDEX(Data!$A:$A,CEILING((COUNTA(Data!$A:$A)-1)*RAND()+1,1)),"")</f>
        <v/>
      </c>
      <c r="B336" s="1" t="str">
        <f>IF(ROW()&lt;=Results!$C$1+1,VLOOKUP($A336,Data!$A$2:$C$117,2,TRUE),"")</f>
        <v/>
      </c>
      <c r="C336" s="14" t="str">
        <f>IF(ROW()&lt;=Results!$C$1+1,IF(B336&lt;=0,"",LN(B336)),"")</f>
        <v/>
      </c>
      <c r="D336" s="1" t="str">
        <f>IF(ROW()&lt;=Results!$C$1+1,VLOOKUP($A336,Data!$A$2:$C$117,3,TRUE),"")</f>
        <v/>
      </c>
      <c r="E336" s="14" t="str">
        <f>IF(ROW()&lt;=Results!$C$1+1,IF(D336&lt;=0,"",LN(D336)),"")</f>
        <v/>
      </c>
      <c r="F336" s="53" t="str">
        <f>IF(ROW()&lt;=Results!$C$1+1,IF(ISERROR(C336-E336),"",C336-E336),"")</f>
        <v/>
      </c>
    </row>
    <row r="337" spans="1:6" x14ac:dyDescent="0.2">
      <c r="A337" s="1" t="str">
        <f ca="1">IF(ROW()&lt;=Results!$C$1+1,INDEX(Data!$A:$A,CEILING((COUNTA(Data!$A:$A)-1)*RAND()+1,1)),"")</f>
        <v/>
      </c>
      <c r="B337" s="1" t="str">
        <f>IF(ROW()&lt;=Results!$C$1+1,VLOOKUP($A337,Data!$A$2:$C$117,2,TRUE),"")</f>
        <v/>
      </c>
      <c r="C337" s="14" t="str">
        <f>IF(ROW()&lt;=Results!$C$1+1,IF(B337&lt;=0,"",LN(B337)),"")</f>
        <v/>
      </c>
      <c r="D337" s="1" t="str">
        <f>IF(ROW()&lt;=Results!$C$1+1,VLOOKUP($A337,Data!$A$2:$C$117,3,TRUE),"")</f>
        <v/>
      </c>
      <c r="E337" s="14" t="str">
        <f>IF(ROW()&lt;=Results!$C$1+1,IF(D337&lt;=0,"",LN(D337)),"")</f>
        <v/>
      </c>
      <c r="F337" s="53" t="str">
        <f>IF(ROW()&lt;=Results!$C$1+1,IF(ISERROR(C337-E337),"",C337-E337),"")</f>
        <v/>
      </c>
    </row>
    <row r="338" spans="1:6" x14ac:dyDescent="0.2">
      <c r="A338" s="1" t="str">
        <f ca="1">IF(ROW()&lt;=Results!$C$1+1,INDEX(Data!$A:$A,CEILING((COUNTA(Data!$A:$A)-1)*RAND()+1,1)),"")</f>
        <v/>
      </c>
      <c r="B338" s="1" t="str">
        <f>IF(ROW()&lt;=Results!$C$1+1,VLOOKUP($A338,Data!$A$2:$C$117,2,TRUE),"")</f>
        <v/>
      </c>
      <c r="C338" s="14" t="str">
        <f>IF(ROW()&lt;=Results!$C$1+1,IF(B338&lt;=0,"",LN(B338)),"")</f>
        <v/>
      </c>
      <c r="D338" s="1" t="str">
        <f>IF(ROW()&lt;=Results!$C$1+1,VLOOKUP($A338,Data!$A$2:$C$117,3,TRUE),"")</f>
        <v/>
      </c>
      <c r="E338" s="14" t="str">
        <f>IF(ROW()&lt;=Results!$C$1+1,IF(D338&lt;=0,"",LN(D338)),"")</f>
        <v/>
      </c>
      <c r="F338" s="53" t="str">
        <f>IF(ROW()&lt;=Results!$C$1+1,IF(ISERROR(C338-E338),"",C338-E338),"")</f>
        <v/>
      </c>
    </row>
    <row r="339" spans="1:6" x14ac:dyDescent="0.2">
      <c r="A339" s="1" t="str">
        <f ca="1">IF(ROW()&lt;=Results!$C$1+1,INDEX(Data!$A:$A,CEILING((COUNTA(Data!$A:$A)-1)*RAND()+1,1)),"")</f>
        <v/>
      </c>
      <c r="B339" s="1" t="str">
        <f>IF(ROW()&lt;=Results!$C$1+1,VLOOKUP($A339,Data!$A$2:$C$117,2,TRUE),"")</f>
        <v/>
      </c>
      <c r="C339" s="14" t="str">
        <f>IF(ROW()&lt;=Results!$C$1+1,IF(B339&lt;=0,"",LN(B339)),"")</f>
        <v/>
      </c>
      <c r="D339" s="1" t="str">
        <f>IF(ROW()&lt;=Results!$C$1+1,VLOOKUP($A339,Data!$A$2:$C$117,3,TRUE),"")</f>
        <v/>
      </c>
      <c r="E339" s="14" t="str">
        <f>IF(ROW()&lt;=Results!$C$1+1,IF(D339&lt;=0,"",LN(D339)),"")</f>
        <v/>
      </c>
      <c r="F339" s="53" t="str">
        <f>IF(ROW()&lt;=Results!$C$1+1,IF(ISERROR(C339-E339),"",C339-E339),"")</f>
        <v/>
      </c>
    </row>
    <row r="340" spans="1:6" x14ac:dyDescent="0.2">
      <c r="A340" s="1" t="str">
        <f ca="1">IF(ROW()&lt;=Results!$C$1+1,INDEX(Data!$A:$A,CEILING((COUNTA(Data!$A:$A)-1)*RAND()+1,1)),"")</f>
        <v/>
      </c>
      <c r="B340" s="1" t="str">
        <f>IF(ROW()&lt;=Results!$C$1+1,VLOOKUP($A340,Data!$A$2:$C$117,2,TRUE),"")</f>
        <v/>
      </c>
      <c r="C340" s="14" t="str">
        <f>IF(ROW()&lt;=Results!$C$1+1,IF(B340&lt;=0,"",LN(B340)),"")</f>
        <v/>
      </c>
      <c r="D340" s="1" t="str">
        <f>IF(ROW()&lt;=Results!$C$1+1,VLOOKUP($A340,Data!$A$2:$C$117,3,TRUE),"")</f>
        <v/>
      </c>
      <c r="E340" s="14" t="str">
        <f>IF(ROW()&lt;=Results!$C$1+1,IF(D340&lt;=0,"",LN(D340)),"")</f>
        <v/>
      </c>
      <c r="F340" s="53" t="str">
        <f>IF(ROW()&lt;=Results!$C$1+1,IF(ISERROR(C340-E340),"",C340-E340),"")</f>
        <v/>
      </c>
    </row>
    <row r="341" spans="1:6" x14ac:dyDescent="0.2">
      <c r="A341" s="1" t="str">
        <f ca="1">IF(ROW()&lt;=Results!$C$1+1,INDEX(Data!$A:$A,CEILING((COUNTA(Data!$A:$A)-1)*RAND()+1,1)),"")</f>
        <v/>
      </c>
      <c r="B341" s="1" t="str">
        <f>IF(ROW()&lt;=Results!$C$1+1,VLOOKUP($A341,Data!$A$2:$C$117,2,TRUE),"")</f>
        <v/>
      </c>
      <c r="C341" s="14" t="str">
        <f>IF(ROW()&lt;=Results!$C$1+1,IF(B341&lt;=0,"",LN(B341)),"")</f>
        <v/>
      </c>
      <c r="D341" s="1" t="str">
        <f>IF(ROW()&lt;=Results!$C$1+1,VLOOKUP($A341,Data!$A$2:$C$117,3,TRUE),"")</f>
        <v/>
      </c>
      <c r="E341" s="14" t="str">
        <f>IF(ROW()&lt;=Results!$C$1+1,IF(D341&lt;=0,"",LN(D341)),"")</f>
        <v/>
      </c>
      <c r="F341" s="53" t="str">
        <f>IF(ROW()&lt;=Results!$C$1+1,IF(ISERROR(C341-E341),"",C341-E341),"")</f>
        <v/>
      </c>
    </row>
    <row r="342" spans="1:6" x14ac:dyDescent="0.2">
      <c r="A342" s="1" t="str">
        <f ca="1">IF(ROW()&lt;=Results!$C$1+1,INDEX(Data!$A:$A,CEILING((COUNTA(Data!$A:$A)-1)*RAND()+1,1)),"")</f>
        <v/>
      </c>
      <c r="B342" s="1" t="str">
        <f>IF(ROW()&lt;=Results!$C$1+1,VLOOKUP($A342,Data!$A$2:$C$117,2,TRUE),"")</f>
        <v/>
      </c>
      <c r="C342" s="14" t="str">
        <f>IF(ROW()&lt;=Results!$C$1+1,IF(B342&lt;=0,"",LN(B342)),"")</f>
        <v/>
      </c>
      <c r="D342" s="1" t="str">
        <f>IF(ROW()&lt;=Results!$C$1+1,VLOOKUP($A342,Data!$A$2:$C$117,3,TRUE),"")</f>
        <v/>
      </c>
      <c r="E342" s="14" t="str">
        <f>IF(ROW()&lt;=Results!$C$1+1,IF(D342&lt;=0,"",LN(D342)),"")</f>
        <v/>
      </c>
      <c r="F342" s="53" t="str">
        <f>IF(ROW()&lt;=Results!$C$1+1,IF(ISERROR(C342-E342),"",C342-E342),"")</f>
        <v/>
      </c>
    </row>
    <row r="343" spans="1:6" x14ac:dyDescent="0.2">
      <c r="A343" s="1" t="str">
        <f ca="1">IF(ROW()&lt;=Results!$C$1+1,INDEX(Data!$A:$A,CEILING((COUNTA(Data!$A:$A)-1)*RAND()+1,1)),"")</f>
        <v/>
      </c>
      <c r="B343" s="1" t="str">
        <f>IF(ROW()&lt;=Results!$C$1+1,VLOOKUP($A343,Data!$A$2:$C$117,2,TRUE),"")</f>
        <v/>
      </c>
      <c r="C343" s="14" t="str">
        <f>IF(ROW()&lt;=Results!$C$1+1,IF(B343&lt;=0,"",LN(B343)),"")</f>
        <v/>
      </c>
      <c r="D343" s="1" t="str">
        <f>IF(ROW()&lt;=Results!$C$1+1,VLOOKUP($A343,Data!$A$2:$C$117,3,TRUE),"")</f>
        <v/>
      </c>
      <c r="E343" s="14" t="str">
        <f>IF(ROW()&lt;=Results!$C$1+1,IF(D343&lt;=0,"",LN(D343)),"")</f>
        <v/>
      </c>
      <c r="F343" s="53" t="str">
        <f>IF(ROW()&lt;=Results!$C$1+1,IF(ISERROR(C343-E343),"",C343-E343),"")</f>
        <v/>
      </c>
    </row>
    <row r="344" spans="1:6" x14ac:dyDescent="0.2">
      <c r="A344" s="1" t="str">
        <f ca="1">IF(ROW()&lt;=Results!$C$1+1,INDEX(Data!$A:$A,CEILING((COUNTA(Data!$A:$A)-1)*RAND()+1,1)),"")</f>
        <v/>
      </c>
      <c r="B344" s="1" t="str">
        <f>IF(ROW()&lt;=Results!$C$1+1,VLOOKUP($A344,Data!$A$2:$C$117,2,TRUE),"")</f>
        <v/>
      </c>
      <c r="C344" s="14" t="str">
        <f>IF(ROW()&lt;=Results!$C$1+1,IF(B344&lt;=0,"",LN(B344)),"")</f>
        <v/>
      </c>
      <c r="D344" s="1" t="str">
        <f>IF(ROW()&lt;=Results!$C$1+1,VLOOKUP($A344,Data!$A$2:$C$117,3,TRUE),"")</f>
        <v/>
      </c>
      <c r="E344" s="14" t="str">
        <f>IF(ROW()&lt;=Results!$C$1+1,IF(D344&lt;=0,"",LN(D344)),"")</f>
        <v/>
      </c>
      <c r="F344" s="53" t="str">
        <f>IF(ROW()&lt;=Results!$C$1+1,IF(ISERROR(C344-E344),"",C344-E344),"")</f>
        <v/>
      </c>
    </row>
    <row r="345" spans="1:6" x14ac:dyDescent="0.2">
      <c r="A345" s="1" t="str">
        <f ca="1">IF(ROW()&lt;=Results!$C$1+1,INDEX(Data!$A:$A,CEILING((COUNTA(Data!$A:$A)-1)*RAND()+1,1)),"")</f>
        <v/>
      </c>
      <c r="B345" s="1" t="str">
        <f>IF(ROW()&lt;=Results!$C$1+1,VLOOKUP($A345,Data!$A$2:$C$117,2,TRUE),"")</f>
        <v/>
      </c>
      <c r="C345" s="14" t="str">
        <f>IF(ROW()&lt;=Results!$C$1+1,IF(B345&lt;=0,"",LN(B345)),"")</f>
        <v/>
      </c>
      <c r="D345" s="1" t="str">
        <f>IF(ROW()&lt;=Results!$C$1+1,VLOOKUP($A345,Data!$A$2:$C$117,3,TRUE),"")</f>
        <v/>
      </c>
      <c r="E345" s="14" t="str">
        <f>IF(ROW()&lt;=Results!$C$1+1,IF(D345&lt;=0,"",LN(D345)),"")</f>
        <v/>
      </c>
      <c r="F345" s="53" t="str">
        <f>IF(ROW()&lt;=Results!$C$1+1,IF(ISERROR(C345-E345),"",C345-E345),"")</f>
        <v/>
      </c>
    </row>
    <row r="346" spans="1:6" x14ac:dyDescent="0.2">
      <c r="A346" s="1" t="str">
        <f ca="1">IF(ROW()&lt;=Results!$C$1+1,INDEX(Data!$A:$A,CEILING((COUNTA(Data!$A:$A)-1)*RAND()+1,1)),"")</f>
        <v/>
      </c>
      <c r="B346" s="1" t="str">
        <f>IF(ROW()&lt;=Results!$C$1+1,VLOOKUP($A346,Data!$A$2:$C$117,2,TRUE),"")</f>
        <v/>
      </c>
      <c r="C346" s="14" t="str">
        <f>IF(ROW()&lt;=Results!$C$1+1,IF(B346&lt;=0,"",LN(B346)),"")</f>
        <v/>
      </c>
      <c r="D346" s="1" t="str">
        <f>IF(ROW()&lt;=Results!$C$1+1,VLOOKUP($A346,Data!$A$2:$C$117,3,TRUE),"")</f>
        <v/>
      </c>
      <c r="E346" s="14" t="str">
        <f>IF(ROW()&lt;=Results!$C$1+1,IF(D346&lt;=0,"",LN(D346)),"")</f>
        <v/>
      </c>
      <c r="F346" s="53" t="str">
        <f>IF(ROW()&lt;=Results!$C$1+1,IF(ISERROR(C346-E346),"",C346-E346),"")</f>
        <v/>
      </c>
    </row>
    <row r="347" spans="1:6" x14ac:dyDescent="0.2">
      <c r="A347" s="1" t="str">
        <f ca="1">IF(ROW()&lt;=Results!$C$1+1,INDEX(Data!$A:$A,CEILING((COUNTA(Data!$A:$A)-1)*RAND()+1,1)),"")</f>
        <v/>
      </c>
      <c r="B347" s="1" t="str">
        <f>IF(ROW()&lt;=Results!$C$1+1,VLOOKUP($A347,Data!$A$2:$C$117,2,TRUE),"")</f>
        <v/>
      </c>
      <c r="C347" s="14" t="str">
        <f>IF(ROW()&lt;=Results!$C$1+1,IF(B347&lt;=0,"",LN(B347)),"")</f>
        <v/>
      </c>
      <c r="D347" s="1" t="str">
        <f>IF(ROW()&lt;=Results!$C$1+1,VLOOKUP($A347,Data!$A$2:$C$117,3,TRUE),"")</f>
        <v/>
      </c>
      <c r="E347" s="14" t="str">
        <f>IF(ROW()&lt;=Results!$C$1+1,IF(D347&lt;=0,"",LN(D347)),"")</f>
        <v/>
      </c>
      <c r="F347" s="53" t="str">
        <f>IF(ROW()&lt;=Results!$C$1+1,IF(ISERROR(C347-E347),"",C347-E347),"")</f>
        <v/>
      </c>
    </row>
    <row r="348" spans="1:6" x14ac:dyDescent="0.2">
      <c r="A348" s="1" t="str">
        <f ca="1">IF(ROW()&lt;=Results!$C$1+1,INDEX(Data!$A:$A,CEILING((COUNTA(Data!$A:$A)-1)*RAND()+1,1)),"")</f>
        <v/>
      </c>
      <c r="B348" s="1" t="str">
        <f>IF(ROW()&lt;=Results!$C$1+1,VLOOKUP($A348,Data!$A$2:$C$117,2,TRUE),"")</f>
        <v/>
      </c>
      <c r="C348" s="14" t="str">
        <f>IF(ROW()&lt;=Results!$C$1+1,IF(B348&lt;=0,"",LN(B348)),"")</f>
        <v/>
      </c>
      <c r="D348" s="1" t="str">
        <f>IF(ROW()&lt;=Results!$C$1+1,VLOOKUP($A348,Data!$A$2:$C$117,3,TRUE),"")</f>
        <v/>
      </c>
      <c r="E348" s="14" t="str">
        <f>IF(ROW()&lt;=Results!$C$1+1,IF(D348&lt;=0,"",LN(D348)),"")</f>
        <v/>
      </c>
      <c r="F348" s="53" t="str">
        <f>IF(ROW()&lt;=Results!$C$1+1,IF(ISERROR(C348-E348),"",C348-E348),"")</f>
        <v/>
      </c>
    </row>
    <row r="349" spans="1:6" x14ac:dyDescent="0.2">
      <c r="A349" s="1" t="str">
        <f ca="1">IF(ROW()&lt;=Results!$C$1+1,INDEX(Data!$A:$A,CEILING((COUNTA(Data!$A:$A)-1)*RAND()+1,1)),"")</f>
        <v/>
      </c>
      <c r="B349" s="1" t="str">
        <f>IF(ROW()&lt;=Results!$C$1+1,VLOOKUP($A349,Data!$A$2:$C$117,2,TRUE),"")</f>
        <v/>
      </c>
      <c r="C349" s="14" t="str">
        <f>IF(ROW()&lt;=Results!$C$1+1,IF(B349&lt;=0,"",LN(B349)),"")</f>
        <v/>
      </c>
      <c r="D349" s="1" t="str">
        <f>IF(ROW()&lt;=Results!$C$1+1,VLOOKUP($A349,Data!$A$2:$C$117,3,TRUE),"")</f>
        <v/>
      </c>
      <c r="E349" s="14" t="str">
        <f>IF(ROW()&lt;=Results!$C$1+1,IF(D349&lt;=0,"",LN(D349)),"")</f>
        <v/>
      </c>
      <c r="F349" s="53" t="str">
        <f>IF(ROW()&lt;=Results!$C$1+1,IF(ISERROR(C349-E349),"",C349-E349),"")</f>
        <v/>
      </c>
    </row>
    <row r="350" spans="1:6" x14ac:dyDescent="0.2">
      <c r="A350" s="1" t="str">
        <f ca="1">IF(ROW()&lt;=Results!$C$1+1,INDEX(Data!$A:$A,CEILING((COUNTA(Data!$A:$A)-1)*RAND()+1,1)),"")</f>
        <v/>
      </c>
      <c r="B350" s="1" t="str">
        <f>IF(ROW()&lt;=Results!$C$1+1,VLOOKUP($A350,Data!$A$2:$C$117,2,TRUE),"")</f>
        <v/>
      </c>
      <c r="C350" s="14" t="str">
        <f>IF(ROW()&lt;=Results!$C$1+1,IF(B350&lt;=0,"",LN(B350)),"")</f>
        <v/>
      </c>
      <c r="D350" s="1" t="str">
        <f>IF(ROW()&lt;=Results!$C$1+1,VLOOKUP($A350,Data!$A$2:$C$117,3,TRUE),"")</f>
        <v/>
      </c>
      <c r="E350" s="14" t="str">
        <f>IF(ROW()&lt;=Results!$C$1+1,IF(D350&lt;=0,"",LN(D350)),"")</f>
        <v/>
      </c>
      <c r="F350" s="53" t="str">
        <f>IF(ROW()&lt;=Results!$C$1+1,IF(ISERROR(C350-E350),"",C350-E350),"")</f>
        <v/>
      </c>
    </row>
    <row r="351" spans="1:6" x14ac:dyDescent="0.2">
      <c r="A351" s="1" t="str">
        <f ca="1">IF(ROW()&lt;=Results!$C$1+1,INDEX(Data!$A:$A,CEILING((COUNTA(Data!$A:$A)-1)*RAND()+1,1)),"")</f>
        <v/>
      </c>
      <c r="B351" s="1" t="str">
        <f>IF(ROW()&lt;=Results!$C$1+1,VLOOKUP($A351,Data!$A$2:$C$117,2,TRUE),"")</f>
        <v/>
      </c>
      <c r="C351" s="14" t="str">
        <f>IF(ROW()&lt;=Results!$C$1+1,IF(B351&lt;=0,"",LN(B351)),"")</f>
        <v/>
      </c>
      <c r="D351" s="1" t="str">
        <f>IF(ROW()&lt;=Results!$C$1+1,VLOOKUP($A351,Data!$A$2:$C$117,3,TRUE),"")</f>
        <v/>
      </c>
      <c r="E351" s="14" t="str">
        <f>IF(ROW()&lt;=Results!$C$1+1,IF(D351&lt;=0,"",LN(D351)),"")</f>
        <v/>
      </c>
      <c r="F351" s="53" t="str">
        <f>IF(ROW()&lt;=Results!$C$1+1,IF(ISERROR(C351-E351),"",C351-E351),"")</f>
        <v/>
      </c>
    </row>
    <row r="352" spans="1:6" x14ac:dyDescent="0.2">
      <c r="A352" s="1" t="str">
        <f ca="1">IF(ROW()&lt;=Results!$C$1+1,INDEX(Data!$A:$A,CEILING((COUNTA(Data!$A:$A)-1)*RAND()+1,1)),"")</f>
        <v/>
      </c>
      <c r="B352" s="1" t="str">
        <f>IF(ROW()&lt;=Results!$C$1+1,VLOOKUP($A352,Data!$A$2:$C$117,2,TRUE),"")</f>
        <v/>
      </c>
      <c r="C352" s="14" t="str">
        <f>IF(ROW()&lt;=Results!$C$1+1,IF(B352&lt;=0,"",LN(B352)),"")</f>
        <v/>
      </c>
      <c r="D352" s="1" t="str">
        <f>IF(ROW()&lt;=Results!$C$1+1,VLOOKUP($A352,Data!$A$2:$C$117,3,TRUE),"")</f>
        <v/>
      </c>
      <c r="E352" s="14" t="str">
        <f>IF(ROW()&lt;=Results!$C$1+1,IF(D352&lt;=0,"",LN(D352)),"")</f>
        <v/>
      </c>
      <c r="F352" s="53" t="str">
        <f>IF(ROW()&lt;=Results!$C$1+1,IF(ISERROR(C352-E352),"",C352-E352),"")</f>
        <v/>
      </c>
    </row>
    <row r="353" spans="1:6" x14ac:dyDescent="0.2">
      <c r="A353" s="1" t="str">
        <f ca="1">IF(ROW()&lt;=Results!$C$1+1,INDEX(Data!$A:$A,CEILING((COUNTA(Data!$A:$A)-1)*RAND()+1,1)),"")</f>
        <v/>
      </c>
      <c r="B353" s="1" t="str">
        <f>IF(ROW()&lt;=Results!$C$1+1,VLOOKUP($A353,Data!$A$2:$C$117,2,TRUE),"")</f>
        <v/>
      </c>
      <c r="C353" s="14" t="str">
        <f>IF(ROW()&lt;=Results!$C$1+1,IF(B353&lt;=0,"",LN(B353)),"")</f>
        <v/>
      </c>
      <c r="D353" s="1" t="str">
        <f>IF(ROW()&lt;=Results!$C$1+1,VLOOKUP($A353,Data!$A$2:$C$117,3,TRUE),"")</f>
        <v/>
      </c>
      <c r="E353" s="14" t="str">
        <f>IF(ROW()&lt;=Results!$C$1+1,IF(D353&lt;=0,"",LN(D353)),"")</f>
        <v/>
      </c>
      <c r="F353" s="53" t="str">
        <f>IF(ROW()&lt;=Results!$C$1+1,IF(ISERROR(C353-E353),"",C353-E353),"")</f>
        <v/>
      </c>
    </row>
    <row r="354" spans="1:6" x14ac:dyDescent="0.2">
      <c r="A354" s="1" t="str">
        <f ca="1">IF(ROW()&lt;=Results!$C$1+1,INDEX(Data!$A:$A,CEILING((COUNTA(Data!$A:$A)-1)*RAND()+1,1)),"")</f>
        <v/>
      </c>
      <c r="B354" s="1" t="str">
        <f>IF(ROW()&lt;=Results!$C$1+1,VLOOKUP($A354,Data!$A$2:$C$117,2,TRUE),"")</f>
        <v/>
      </c>
      <c r="C354" s="14" t="str">
        <f>IF(ROW()&lt;=Results!$C$1+1,IF(B354&lt;=0,"",LN(B354)),"")</f>
        <v/>
      </c>
      <c r="D354" s="1" t="str">
        <f>IF(ROW()&lt;=Results!$C$1+1,VLOOKUP($A354,Data!$A$2:$C$117,3,TRUE),"")</f>
        <v/>
      </c>
      <c r="E354" s="14" t="str">
        <f>IF(ROW()&lt;=Results!$C$1+1,IF(D354&lt;=0,"",LN(D354)),"")</f>
        <v/>
      </c>
      <c r="F354" s="53" t="str">
        <f>IF(ROW()&lt;=Results!$C$1+1,IF(ISERROR(C354-E354),"",C354-E354),"")</f>
        <v/>
      </c>
    </row>
    <row r="355" spans="1:6" x14ac:dyDescent="0.2">
      <c r="A355" s="1" t="str">
        <f ca="1">IF(ROW()&lt;=Results!$C$1+1,INDEX(Data!$A:$A,CEILING((COUNTA(Data!$A:$A)-1)*RAND()+1,1)),"")</f>
        <v/>
      </c>
      <c r="B355" s="1" t="str">
        <f>IF(ROW()&lt;=Results!$C$1+1,VLOOKUP($A355,Data!$A$2:$C$117,2,TRUE),"")</f>
        <v/>
      </c>
      <c r="C355" s="14" t="str">
        <f>IF(ROW()&lt;=Results!$C$1+1,IF(B355&lt;=0,"",LN(B355)),"")</f>
        <v/>
      </c>
      <c r="D355" s="1" t="str">
        <f>IF(ROW()&lt;=Results!$C$1+1,VLOOKUP($A355,Data!$A$2:$C$117,3,TRUE),"")</f>
        <v/>
      </c>
      <c r="E355" s="14" t="str">
        <f>IF(ROW()&lt;=Results!$C$1+1,IF(D355&lt;=0,"",LN(D355)),"")</f>
        <v/>
      </c>
      <c r="F355" s="53" t="str">
        <f>IF(ROW()&lt;=Results!$C$1+1,IF(ISERROR(C355-E355),"",C355-E355),"")</f>
        <v/>
      </c>
    </row>
    <row r="356" spans="1:6" x14ac:dyDescent="0.2">
      <c r="A356" s="1" t="str">
        <f ca="1">IF(ROW()&lt;=Results!$C$1+1,INDEX(Data!$A:$A,CEILING((COUNTA(Data!$A:$A)-1)*RAND()+1,1)),"")</f>
        <v/>
      </c>
      <c r="B356" s="1" t="str">
        <f>IF(ROW()&lt;=Results!$C$1+1,VLOOKUP($A356,Data!$A$2:$C$117,2,TRUE),"")</f>
        <v/>
      </c>
      <c r="C356" s="14" t="str">
        <f>IF(ROW()&lt;=Results!$C$1+1,IF(B356&lt;=0,"",LN(B356)),"")</f>
        <v/>
      </c>
      <c r="D356" s="1" t="str">
        <f>IF(ROW()&lt;=Results!$C$1+1,VLOOKUP($A356,Data!$A$2:$C$117,3,TRUE),"")</f>
        <v/>
      </c>
      <c r="E356" s="14" t="str">
        <f>IF(ROW()&lt;=Results!$C$1+1,IF(D356&lt;=0,"",LN(D356)),"")</f>
        <v/>
      </c>
      <c r="F356" s="53" t="str">
        <f>IF(ROW()&lt;=Results!$C$1+1,IF(ISERROR(C356-E356),"",C356-E356),"")</f>
        <v/>
      </c>
    </row>
    <row r="357" spans="1:6" x14ac:dyDescent="0.2">
      <c r="A357" s="1" t="str">
        <f ca="1">IF(ROW()&lt;=Results!$C$1+1,INDEX(Data!$A:$A,CEILING((COUNTA(Data!$A:$A)-1)*RAND()+1,1)),"")</f>
        <v/>
      </c>
      <c r="B357" s="1" t="str">
        <f>IF(ROW()&lt;=Results!$C$1+1,VLOOKUP($A357,Data!$A$2:$C$117,2,TRUE),"")</f>
        <v/>
      </c>
      <c r="C357" s="14" t="str">
        <f>IF(ROW()&lt;=Results!$C$1+1,IF(B357&lt;=0,"",LN(B357)),"")</f>
        <v/>
      </c>
      <c r="D357" s="1" t="str">
        <f>IF(ROW()&lt;=Results!$C$1+1,VLOOKUP($A357,Data!$A$2:$C$117,3,TRUE),"")</f>
        <v/>
      </c>
      <c r="E357" s="14" t="str">
        <f>IF(ROW()&lt;=Results!$C$1+1,IF(D357&lt;=0,"",LN(D357)),"")</f>
        <v/>
      </c>
      <c r="F357" s="53" t="str">
        <f>IF(ROW()&lt;=Results!$C$1+1,IF(ISERROR(C357-E357),"",C357-E357),"")</f>
        <v/>
      </c>
    </row>
    <row r="358" spans="1:6" x14ac:dyDescent="0.2">
      <c r="A358" s="1" t="str">
        <f ca="1">IF(ROW()&lt;=Results!$C$1+1,INDEX(Data!$A:$A,CEILING((COUNTA(Data!$A:$A)-1)*RAND()+1,1)),"")</f>
        <v/>
      </c>
      <c r="B358" s="1" t="str">
        <f>IF(ROW()&lt;=Results!$C$1+1,VLOOKUP($A358,Data!$A$2:$C$117,2,TRUE),"")</f>
        <v/>
      </c>
      <c r="C358" s="14" t="str">
        <f>IF(ROW()&lt;=Results!$C$1+1,IF(B358&lt;=0,"",LN(B358)),"")</f>
        <v/>
      </c>
      <c r="D358" s="1" t="str">
        <f>IF(ROW()&lt;=Results!$C$1+1,VLOOKUP($A358,Data!$A$2:$C$117,3,TRUE),"")</f>
        <v/>
      </c>
      <c r="E358" s="14" t="str">
        <f>IF(ROW()&lt;=Results!$C$1+1,IF(D358&lt;=0,"",LN(D358)),"")</f>
        <v/>
      </c>
      <c r="F358" s="53" t="str">
        <f>IF(ROW()&lt;=Results!$C$1+1,IF(ISERROR(C358-E358),"",C358-E358),"")</f>
        <v/>
      </c>
    </row>
    <row r="359" spans="1:6" x14ac:dyDescent="0.2">
      <c r="A359" s="1" t="str">
        <f ca="1">IF(ROW()&lt;=Results!$C$1+1,INDEX(Data!$A:$A,CEILING((COUNTA(Data!$A:$A)-1)*RAND()+1,1)),"")</f>
        <v/>
      </c>
      <c r="B359" s="1" t="str">
        <f>IF(ROW()&lt;=Results!$C$1+1,VLOOKUP($A359,Data!$A$2:$C$117,2,TRUE),"")</f>
        <v/>
      </c>
      <c r="C359" s="14" t="str">
        <f>IF(ROW()&lt;=Results!$C$1+1,IF(B359&lt;=0,"",LN(B359)),"")</f>
        <v/>
      </c>
      <c r="D359" s="1" t="str">
        <f>IF(ROW()&lt;=Results!$C$1+1,VLOOKUP($A359,Data!$A$2:$C$117,3,TRUE),"")</f>
        <v/>
      </c>
      <c r="E359" s="14" t="str">
        <f>IF(ROW()&lt;=Results!$C$1+1,IF(D359&lt;=0,"",LN(D359)),"")</f>
        <v/>
      </c>
      <c r="F359" s="53" t="str">
        <f>IF(ROW()&lt;=Results!$C$1+1,IF(ISERROR(C359-E359),"",C359-E359),"")</f>
        <v/>
      </c>
    </row>
    <row r="360" spans="1:6" x14ac:dyDescent="0.2">
      <c r="A360" s="1" t="str">
        <f ca="1">IF(ROW()&lt;=Results!$C$1+1,INDEX(Data!$A:$A,CEILING((COUNTA(Data!$A:$A)-1)*RAND()+1,1)),"")</f>
        <v/>
      </c>
      <c r="B360" s="1" t="str">
        <f>IF(ROW()&lt;=Results!$C$1+1,VLOOKUP($A360,Data!$A$2:$C$117,2,TRUE),"")</f>
        <v/>
      </c>
      <c r="C360" s="14" t="str">
        <f>IF(ROW()&lt;=Results!$C$1+1,IF(B360&lt;=0,"",LN(B360)),"")</f>
        <v/>
      </c>
      <c r="D360" s="1" t="str">
        <f>IF(ROW()&lt;=Results!$C$1+1,VLOOKUP($A360,Data!$A$2:$C$117,3,TRUE),"")</f>
        <v/>
      </c>
      <c r="E360" s="14" t="str">
        <f>IF(ROW()&lt;=Results!$C$1+1,IF(D360&lt;=0,"",LN(D360)),"")</f>
        <v/>
      </c>
      <c r="F360" s="53" t="str">
        <f>IF(ROW()&lt;=Results!$C$1+1,IF(ISERROR(C360-E360),"",C360-E360),"")</f>
        <v/>
      </c>
    </row>
    <row r="361" spans="1:6" x14ac:dyDescent="0.2">
      <c r="A361" s="1" t="str">
        <f ca="1">IF(ROW()&lt;=Results!$C$1+1,INDEX(Data!$A:$A,CEILING((COUNTA(Data!$A:$A)-1)*RAND()+1,1)),"")</f>
        <v/>
      </c>
      <c r="B361" s="1" t="str">
        <f>IF(ROW()&lt;=Results!$C$1+1,VLOOKUP($A361,Data!$A$2:$C$117,2,TRUE),"")</f>
        <v/>
      </c>
      <c r="C361" s="14" t="str">
        <f>IF(ROW()&lt;=Results!$C$1+1,IF(B361&lt;=0,"",LN(B361)),"")</f>
        <v/>
      </c>
      <c r="D361" s="1" t="str">
        <f>IF(ROW()&lt;=Results!$C$1+1,VLOOKUP($A361,Data!$A$2:$C$117,3,TRUE),"")</f>
        <v/>
      </c>
      <c r="E361" s="14" t="str">
        <f>IF(ROW()&lt;=Results!$C$1+1,IF(D361&lt;=0,"",LN(D361)),"")</f>
        <v/>
      </c>
      <c r="F361" s="53" t="str">
        <f>IF(ROW()&lt;=Results!$C$1+1,IF(ISERROR(C361-E361),"",C361-E361),"")</f>
        <v/>
      </c>
    </row>
    <row r="362" spans="1:6" x14ac:dyDescent="0.2">
      <c r="A362" s="1" t="str">
        <f ca="1">IF(ROW()&lt;=Results!$C$1+1,INDEX(Data!$A:$A,CEILING((COUNTA(Data!$A:$A)-1)*RAND()+1,1)),"")</f>
        <v/>
      </c>
      <c r="B362" s="1" t="str">
        <f>IF(ROW()&lt;=Results!$C$1+1,VLOOKUP($A362,Data!$A$2:$C$117,2,TRUE),"")</f>
        <v/>
      </c>
      <c r="C362" s="14" t="str">
        <f>IF(ROW()&lt;=Results!$C$1+1,IF(B362&lt;=0,"",LN(B362)),"")</f>
        <v/>
      </c>
      <c r="D362" s="1" t="str">
        <f>IF(ROW()&lt;=Results!$C$1+1,VLOOKUP($A362,Data!$A$2:$C$117,3,TRUE),"")</f>
        <v/>
      </c>
      <c r="E362" s="14" t="str">
        <f>IF(ROW()&lt;=Results!$C$1+1,IF(D362&lt;=0,"",LN(D362)),"")</f>
        <v/>
      </c>
      <c r="F362" s="53" t="str">
        <f>IF(ROW()&lt;=Results!$C$1+1,IF(ISERROR(C362-E362),"",C362-E362),"")</f>
        <v/>
      </c>
    </row>
    <row r="363" spans="1:6" x14ac:dyDescent="0.2">
      <c r="A363" s="1" t="str">
        <f ca="1">IF(ROW()&lt;=Results!$C$1+1,INDEX(Data!$A:$A,CEILING((COUNTA(Data!$A:$A)-1)*RAND()+1,1)),"")</f>
        <v/>
      </c>
      <c r="B363" s="1" t="str">
        <f>IF(ROW()&lt;=Results!$C$1+1,VLOOKUP($A363,Data!$A$2:$C$117,2,TRUE),"")</f>
        <v/>
      </c>
      <c r="C363" s="14" t="str">
        <f>IF(ROW()&lt;=Results!$C$1+1,IF(B363&lt;=0,"",LN(B363)),"")</f>
        <v/>
      </c>
      <c r="D363" s="1" t="str">
        <f>IF(ROW()&lt;=Results!$C$1+1,VLOOKUP($A363,Data!$A$2:$C$117,3,TRUE),"")</f>
        <v/>
      </c>
      <c r="E363" s="14" t="str">
        <f>IF(ROW()&lt;=Results!$C$1+1,IF(D363&lt;=0,"",LN(D363)),"")</f>
        <v/>
      </c>
      <c r="F363" s="53" t="str">
        <f>IF(ROW()&lt;=Results!$C$1+1,IF(ISERROR(C363-E363),"",C363-E363),"")</f>
        <v/>
      </c>
    </row>
    <row r="364" spans="1:6" x14ac:dyDescent="0.2">
      <c r="A364" s="1" t="str">
        <f ca="1">IF(ROW()&lt;=Results!$C$1+1,INDEX(Data!$A:$A,CEILING((COUNTA(Data!$A:$A)-1)*RAND()+1,1)),"")</f>
        <v/>
      </c>
      <c r="B364" s="1" t="str">
        <f>IF(ROW()&lt;=Results!$C$1+1,VLOOKUP($A364,Data!$A$2:$C$117,2,TRUE),"")</f>
        <v/>
      </c>
      <c r="C364" s="14" t="str">
        <f>IF(ROW()&lt;=Results!$C$1+1,IF(B364&lt;=0,"",LN(B364)),"")</f>
        <v/>
      </c>
      <c r="D364" s="1" t="str">
        <f>IF(ROW()&lt;=Results!$C$1+1,VLOOKUP($A364,Data!$A$2:$C$117,3,TRUE),"")</f>
        <v/>
      </c>
      <c r="E364" s="14" t="str">
        <f>IF(ROW()&lt;=Results!$C$1+1,IF(D364&lt;=0,"",LN(D364)),"")</f>
        <v/>
      </c>
      <c r="F364" s="53" t="str">
        <f>IF(ROW()&lt;=Results!$C$1+1,IF(ISERROR(C364-E364),"",C364-E364),"")</f>
        <v/>
      </c>
    </row>
    <row r="365" spans="1:6" x14ac:dyDescent="0.2">
      <c r="A365" s="1" t="str">
        <f ca="1">IF(ROW()&lt;=Results!$C$1+1,INDEX(Data!$A:$A,CEILING((COUNTA(Data!$A:$A)-1)*RAND()+1,1)),"")</f>
        <v/>
      </c>
      <c r="B365" s="1" t="str">
        <f>IF(ROW()&lt;=Results!$C$1+1,VLOOKUP($A365,Data!$A$2:$C$117,2,TRUE),"")</f>
        <v/>
      </c>
      <c r="C365" s="14" t="str">
        <f>IF(ROW()&lt;=Results!$C$1+1,IF(B365&lt;=0,"",LN(B365)),"")</f>
        <v/>
      </c>
      <c r="D365" s="1" t="str">
        <f>IF(ROW()&lt;=Results!$C$1+1,VLOOKUP($A365,Data!$A$2:$C$117,3,TRUE),"")</f>
        <v/>
      </c>
      <c r="E365" s="14" t="str">
        <f>IF(ROW()&lt;=Results!$C$1+1,IF(D365&lt;=0,"",LN(D365)),"")</f>
        <v/>
      </c>
      <c r="F365" s="53" t="str">
        <f>IF(ROW()&lt;=Results!$C$1+1,IF(ISERROR(C365-E365),"",C365-E365),"")</f>
        <v/>
      </c>
    </row>
    <row r="366" spans="1:6" x14ac:dyDescent="0.2">
      <c r="A366" s="1" t="str">
        <f ca="1">IF(ROW()&lt;=Results!$C$1+1,INDEX(Data!$A:$A,CEILING((COUNTA(Data!$A:$A)-1)*RAND()+1,1)),"")</f>
        <v/>
      </c>
      <c r="B366" s="1" t="str">
        <f>IF(ROW()&lt;=Results!$C$1+1,VLOOKUP($A366,Data!$A$2:$C$117,2,TRUE),"")</f>
        <v/>
      </c>
      <c r="C366" s="14" t="str">
        <f>IF(ROW()&lt;=Results!$C$1+1,IF(B366&lt;=0,"",LN(B366)),"")</f>
        <v/>
      </c>
      <c r="D366" s="1" t="str">
        <f>IF(ROW()&lt;=Results!$C$1+1,VLOOKUP($A366,Data!$A$2:$C$117,3,TRUE),"")</f>
        <v/>
      </c>
      <c r="E366" s="14" t="str">
        <f>IF(ROW()&lt;=Results!$C$1+1,IF(D366&lt;=0,"",LN(D366)),"")</f>
        <v/>
      </c>
      <c r="F366" s="53" t="str">
        <f>IF(ROW()&lt;=Results!$C$1+1,IF(ISERROR(C366-E366),"",C366-E366),"")</f>
        <v/>
      </c>
    </row>
    <row r="367" spans="1:6" x14ac:dyDescent="0.2">
      <c r="A367" s="1" t="str">
        <f ca="1">IF(ROW()&lt;=Results!$C$1+1,INDEX(Data!$A:$A,CEILING((COUNTA(Data!$A:$A)-1)*RAND()+1,1)),"")</f>
        <v/>
      </c>
      <c r="B367" s="1" t="str">
        <f>IF(ROW()&lt;=Results!$C$1+1,VLOOKUP($A367,Data!$A$2:$C$117,2,TRUE),"")</f>
        <v/>
      </c>
      <c r="C367" s="14" t="str">
        <f>IF(ROW()&lt;=Results!$C$1+1,IF(B367&lt;=0,"",LN(B367)),"")</f>
        <v/>
      </c>
      <c r="D367" s="1" t="str">
        <f>IF(ROW()&lt;=Results!$C$1+1,VLOOKUP($A367,Data!$A$2:$C$117,3,TRUE),"")</f>
        <v/>
      </c>
      <c r="E367" s="14" t="str">
        <f>IF(ROW()&lt;=Results!$C$1+1,IF(D367&lt;=0,"",LN(D367)),"")</f>
        <v/>
      </c>
      <c r="F367" s="53" t="str">
        <f>IF(ROW()&lt;=Results!$C$1+1,IF(ISERROR(C367-E367),"",C367-E367),"")</f>
        <v/>
      </c>
    </row>
    <row r="368" spans="1:6" x14ac:dyDescent="0.2">
      <c r="A368" s="1" t="str">
        <f ca="1">IF(ROW()&lt;=Results!$C$1+1,INDEX(Data!$A:$A,CEILING((COUNTA(Data!$A:$A)-1)*RAND()+1,1)),"")</f>
        <v/>
      </c>
      <c r="B368" s="1" t="str">
        <f>IF(ROW()&lt;=Results!$C$1+1,VLOOKUP($A368,Data!$A$2:$C$117,2,TRUE),"")</f>
        <v/>
      </c>
      <c r="C368" s="14" t="str">
        <f>IF(ROW()&lt;=Results!$C$1+1,IF(B368&lt;=0,"",LN(B368)),"")</f>
        <v/>
      </c>
      <c r="D368" s="1" t="str">
        <f>IF(ROW()&lt;=Results!$C$1+1,VLOOKUP($A368,Data!$A$2:$C$117,3,TRUE),"")</f>
        <v/>
      </c>
      <c r="E368" s="14" t="str">
        <f>IF(ROW()&lt;=Results!$C$1+1,IF(D368&lt;=0,"",LN(D368)),"")</f>
        <v/>
      </c>
      <c r="F368" s="53" t="str">
        <f>IF(ROW()&lt;=Results!$C$1+1,IF(ISERROR(C368-E368),"",C368-E368),"")</f>
        <v/>
      </c>
    </row>
    <row r="369" spans="1:6" x14ac:dyDescent="0.2">
      <c r="A369" s="1" t="str">
        <f ca="1">IF(ROW()&lt;=Results!$C$1+1,INDEX(Data!$A:$A,CEILING((COUNTA(Data!$A:$A)-1)*RAND()+1,1)),"")</f>
        <v/>
      </c>
      <c r="B369" s="1" t="str">
        <f>IF(ROW()&lt;=Results!$C$1+1,VLOOKUP($A369,Data!$A$2:$C$117,2,TRUE),"")</f>
        <v/>
      </c>
      <c r="C369" s="14" t="str">
        <f>IF(ROW()&lt;=Results!$C$1+1,IF(B369&lt;=0,"",LN(B369)),"")</f>
        <v/>
      </c>
      <c r="D369" s="1" t="str">
        <f>IF(ROW()&lt;=Results!$C$1+1,VLOOKUP($A369,Data!$A$2:$C$117,3,TRUE),"")</f>
        <v/>
      </c>
      <c r="E369" s="14" t="str">
        <f>IF(ROW()&lt;=Results!$C$1+1,IF(D369&lt;=0,"",LN(D369)),"")</f>
        <v/>
      </c>
      <c r="F369" s="53" t="str">
        <f>IF(ROW()&lt;=Results!$C$1+1,IF(ISERROR(C369-E369),"",C369-E369),"")</f>
        <v/>
      </c>
    </row>
    <row r="370" spans="1:6" x14ac:dyDescent="0.2">
      <c r="A370" s="1" t="str">
        <f ca="1">IF(ROW()&lt;=Results!$C$1+1,INDEX(Data!$A:$A,CEILING((COUNTA(Data!$A:$A)-1)*RAND()+1,1)),"")</f>
        <v/>
      </c>
      <c r="B370" s="1" t="str">
        <f>IF(ROW()&lt;=Results!$C$1+1,VLOOKUP($A370,Data!$A$2:$C$117,2,TRUE),"")</f>
        <v/>
      </c>
      <c r="C370" s="14" t="str">
        <f>IF(ROW()&lt;=Results!$C$1+1,IF(B370&lt;=0,"",LN(B370)),"")</f>
        <v/>
      </c>
      <c r="D370" s="1" t="str">
        <f>IF(ROW()&lt;=Results!$C$1+1,VLOOKUP($A370,Data!$A$2:$C$117,3,TRUE),"")</f>
        <v/>
      </c>
      <c r="E370" s="14" t="str">
        <f>IF(ROW()&lt;=Results!$C$1+1,IF(D370&lt;=0,"",LN(D370)),"")</f>
        <v/>
      </c>
      <c r="F370" s="53" t="str">
        <f>IF(ROW()&lt;=Results!$C$1+1,IF(ISERROR(C370-E370),"",C370-E370),"")</f>
        <v/>
      </c>
    </row>
    <row r="371" spans="1:6" x14ac:dyDescent="0.2">
      <c r="A371" s="1" t="str">
        <f ca="1">IF(ROW()&lt;=Results!$C$1+1,INDEX(Data!$A:$A,CEILING((COUNTA(Data!$A:$A)-1)*RAND()+1,1)),"")</f>
        <v/>
      </c>
      <c r="B371" s="1" t="str">
        <f>IF(ROW()&lt;=Results!$C$1+1,VLOOKUP($A371,Data!$A$2:$C$117,2,TRUE),"")</f>
        <v/>
      </c>
      <c r="C371" s="14" t="str">
        <f>IF(ROW()&lt;=Results!$C$1+1,IF(B371&lt;=0,"",LN(B371)),"")</f>
        <v/>
      </c>
      <c r="D371" s="1" t="str">
        <f>IF(ROW()&lt;=Results!$C$1+1,VLOOKUP($A371,Data!$A$2:$C$117,3,TRUE),"")</f>
        <v/>
      </c>
      <c r="E371" s="14" t="str">
        <f>IF(ROW()&lt;=Results!$C$1+1,IF(D371&lt;=0,"",LN(D371)),"")</f>
        <v/>
      </c>
      <c r="F371" s="53" t="str">
        <f>IF(ROW()&lt;=Results!$C$1+1,IF(ISERROR(C371-E371),"",C371-E371),"")</f>
        <v/>
      </c>
    </row>
    <row r="372" spans="1:6" x14ac:dyDescent="0.2">
      <c r="A372" s="1" t="str">
        <f ca="1">IF(ROW()&lt;=Results!$C$1+1,INDEX(Data!$A:$A,CEILING((COUNTA(Data!$A:$A)-1)*RAND()+1,1)),"")</f>
        <v/>
      </c>
      <c r="B372" s="1" t="str">
        <f>IF(ROW()&lt;=Results!$C$1+1,VLOOKUP($A372,Data!$A$2:$C$117,2,TRUE),"")</f>
        <v/>
      </c>
      <c r="C372" s="14" t="str">
        <f>IF(ROW()&lt;=Results!$C$1+1,IF(B372&lt;=0,"",LN(B372)),"")</f>
        <v/>
      </c>
      <c r="D372" s="1" t="str">
        <f>IF(ROW()&lt;=Results!$C$1+1,VLOOKUP($A372,Data!$A$2:$C$117,3,TRUE),"")</f>
        <v/>
      </c>
      <c r="E372" s="14" t="str">
        <f>IF(ROW()&lt;=Results!$C$1+1,IF(D372&lt;=0,"",LN(D372)),"")</f>
        <v/>
      </c>
      <c r="F372" s="53" t="str">
        <f>IF(ROW()&lt;=Results!$C$1+1,IF(ISERROR(C372-E372),"",C372-E372),"")</f>
        <v/>
      </c>
    </row>
    <row r="373" spans="1:6" x14ac:dyDescent="0.2">
      <c r="A373" s="1" t="str">
        <f ca="1">IF(ROW()&lt;=Results!$C$1+1,INDEX(Data!$A:$A,CEILING((COUNTA(Data!$A:$A)-1)*RAND()+1,1)),"")</f>
        <v/>
      </c>
      <c r="B373" s="1" t="str">
        <f>IF(ROW()&lt;=Results!$C$1+1,VLOOKUP($A373,Data!$A$2:$C$117,2,TRUE),"")</f>
        <v/>
      </c>
      <c r="C373" s="14" t="str">
        <f>IF(ROW()&lt;=Results!$C$1+1,IF(B373&lt;=0,"",LN(B373)),"")</f>
        <v/>
      </c>
      <c r="D373" s="1" t="str">
        <f>IF(ROW()&lt;=Results!$C$1+1,VLOOKUP($A373,Data!$A$2:$C$117,3,TRUE),"")</f>
        <v/>
      </c>
      <c r="E373" s="14" t="str">
        <f>IF(ROW()&lt;=Results!$C$1+1,IF(D373&lt;=0,"",LN(D373)),"")</f>
        <v/>
      </c>
      <c r="F373" s="53" t="str">
        <f>IF(ROW()&lt;=Results!$C$1+1,IF(ISERROR(C373-E373),"",C373-E373),"")</f>
        <v/>
      </c>
    </row>
    <row r="374" spans="1:6" x14ac:dyDescent="0.2">
      <c r="A374" s="1" t="str">
        <f ca="1">IF(ROW()&lt;=Results!$C$1+1,INDEX(Data!$A:$A,CEILING((COUNTA(Data!$A:$A)-1)*RAND()+1,1)),"")</f>
        <v/>
      </c>
      <c r="B374" s="1" t="str">
        <f>IF(ROW()&lt;=Results!$C$1+1,VLOOKUP($A374,Data!$A$2:$C$117,2,TRUE),"")</f>
        <v/>
      </c>
      <c r="C374" s="14" t="str">
        <f>IF(ROW()&lt;=Results!$C$1+1,IF(B374&lt;=0,"",LN(B374)),"")</f>
        <v/>
      </c>
      <c r="D374" s="1" t="str">
        <f>IF(ROW()&lt;=Results!$C$1+1,VLOOKUP($A374,Data!$A$2:$C$117,3,TRUE),"")</f>
        <v/>
      </c>
      <c r="E374" s="14" t="str">
        <f>IF(ROW()&lt;=Results!$C$1+1,IF(D374&lt;=0,"",LN(D374)),"")</f>
        <v/>
      </c>
      <c r="F374" s="53" t="str">
        <f>IF(ROW()&lt;=Results!$C$1+1,IF(ISERROR(C374-E374),"",C374-E374),"")</f>
        <v/>
      </c>
    </row>
    <row r="375" spans="1:6" x14ac:dyDescent="0.2">
      <c r="A375" s="1" t="str">
        <f ca="1">IF(ROW()&lt;=Results!$C$1+1,INDEX(Data!$A:$A,CEILING((COUNTA(Data!$A:$A)-1)*RAND()+1,1)),"")</f>
        <v/>
      </c>
      <c r="B375" s="1" t="str">
        <f>IF(ROW()&lt;=Results!$C$1+1,VLOOKUP($A375,Data!$A$2:$C$117,2,TRUE),"")</f>
        <v/>
      </c>
      <c r="C375" s="14" t="str">
        <f>IF(ROW()&lt;=Results!$C$1+1,IF(B375&lt;=0,"",LN(B375)),"")</f>
        <v/>
      </c>
      <c r="D375" s="1" t="str">
        <f>IF(ROW()&lt;=Results!$C$1+1,VLOOKUP($A375,Data!$A$2:$C$117,3,TRUE),"")</f>
        <v/>
      </c>
      <c r="E375" s="14" t="str">
        <f>IF(ROW()&lt;=Results!$C$1+1,IF(D375&lt;=0,"",LN(D375)),"")</f>
        <v/>
      </c>
      <c r="F375" s="53" t="str">
        <f>IF(ROW()&lt;=Results!$C$1+1,IF(ISERROR(C375-E375),"",C375-E375),"")</f>
        <v/>
      </c>
    </row>
    <row r="376" spans="1:6" x14ac:dyDescent="0.2">
      <c r="A376" s="1" t="str">
        <f ca="1">IF(ROW()&lt;=Results!$C$1+1,INDEX(Data!$A:$A,CEILING((COUNTA(Data!$A:$A)-1)*RAND()+1,1)),"")</f>
        <v/>
      </c>
      <c r="B376" s="1" t="str">
        <f>IF(ROW()&lt;=Results!$C$1+1,VLOOKUP($A376,Data!$A$2:$C$117,2,TRUE),"")</f>
        <v/>
      </c>
      <c r="C376" s="14" t="str">
        <f>IF(ROW()&lt;=Results!$C$1+1,IF(B376&lt;=0,"",LN(B376)),"")</f>
        <v/>
      </c>
      <c r="D376" s="1" t="str">
        <f>IF(ROW()&lt;=Results!$C$1+1,VLOOKUP($A376,Data!$A$2:$C$117,3,TRUE),"")</f>
        <v/>
      </c>
      <c r="E376" s="14" t="str">
        <f>IF(ROW()&lt;=Results!$C$1+1,IF(D376&lt;=0,"",LN(D376)),"")</f>
        <v/>
      </c>
      <c r="F376" s="53" t="str">
        <f>IF(ROW()&lt;=Results!$C$1+1,IF(ISERROR(C376-E376),"",C376-E376),"")</f>
        <v/>
      </c>
    </row>
    <row r="377" spans="1:6" x14ac:dyDescent="0.2">
      <c r="A377" s="1" t="str">
        <f ca="1">IF(ROW()&lt;=Results!$C$1+1,INDEX(Data!$A:$A,CEILING((COUNTA(Data!$A:$A)-1)*RAND()+1,1)),"")</f>
        <v/>
      </c>
      <c r="B377" s="1" t="str">
        <f>IF(ROW()&lt;=Results!$C$1+1,VLOOKUP($A377,Data!$A$2:$C$117,2,TRUE),"")</f>
        <v/>
      </c>
      <c r="C377" s="14" t="str">
        <f>IF(ROW()&lt;=Results!$C$1+1,IF(B377&lt;=0,"",LN(B377)),"")</f>
        <v/>
      </c>
      <c r="D377" s="1" t="str">
        <f>IF(ROW()&lt;=Results!$C$1+1,VLOOKUP($A377,Data!$A$2:$C$117,3,TRUE),"")</f>
        <v/>
      </c>
      <c r="E377" s="14" t="str">
        <f>IF(ROW()&lt;=Results!$C$1+1,IF(D377&lt;=0,"",LN(D377)),"")</f>
        <v/>
      </c>
      <c r="F377" s="53" t="str">
        <f>IF(ROW()&lt;=Results!$C$1+1,IF(ISERROR(C377-E377),"",C377-E377),"")</f>
        <v/>
      </c>
    </row>
    <row r="378" spans="1:6" x14ac:dyDescent="0.2">
      <c r="A378" s="1" t="str">
        <f ca="1">IF(ROW()&lt;=Results!$C$1+1,INDEX(Data!$A:$A,CEILING((COUNTA(Data!$A:$A)-1)*RAND()+1,1)),"")</f>
        <v/>
      </c>
      <c r="B378" s="1" t="str">
        <f>IF(ROW()&lt;=Results!$C$1+1,VLOOKUP($A378,Data!$A$2:$C$117,2,TRUE),"")</f>
        <v/>
      </c>
      <c r="C378" s="14" t="str">
        <f>IF(ROW()&lt;=Results!$C$1+1,IF(B378&lt;=0,"",LN(B378)),"")</f>
        <v/>
      </c>
      <c r="D378" s="1" t="str">
        <f>IF(ROW()&lt;=Results!$C$1+1,VLOOKUP($A378,Data!$A$2:$C$117,3,TRUE),"")</f>
        <v/>
      </c>
      <c r="E378" s="14" t="str">
        <f>IF(ROW()&lt;=Results!$C$1+1,IF(D378&lt;=0,"",LN(D378)),"")</f>
        <v/>
      </c>
      <c r="F378" s="53" t="str">
        <f>IF(ROW()&lt;=Results!$C$1+1,IF(ISERROR(C378-E378),"",C378-E378),"")</f>
        <v/>
      </c>
    </row>
    <row r="379" spans="1:6" x14ac:dyDescent="0.2">
      <c r="A379" s="1" t="str">
        <f ca="1">IF(ROW()&lt;=Results!$C$1+1,INDEX(Data!$A:$A,CEILING((COUNTA(Data!$A:$A)-1)*RAND()+1,1)),"")</f>
        <v/>
      </c>
      <c r="B379" s="1" t="str">
        <f>IF(ROW()&lt;=Results!$C$1+1,VLOOKUP($A379,Data!$A$2:$C$117,2,TRUE),"")</f>
        <v/>
      </c>
      <c r="C379" s="14" t="str">
        <f>IF(ROW()&lt;=Results!$C$1+1,IF(B379&lt;=0,"",LN(B379)),"")</f>
        <v/>
      </c>
      <c r="D379" s="1" t="str">
        <f>IF(ROW()&lt;=Results!$C$1+1,VLOOKUP($A379,Data!$A$2:$C$117,3,TRUE),"")</f>
        <v/>
      </c>
      <c r="E379" s="14" t="str">
        <f>IF(ROW()&lt;=Results!$C$1+1,IF(D379&lt;=0,"",LN(D379)),"")</f>
        <v/>
      </c>
      <c r="F379" s="53" t="str">
        <f>IF(ROW()&lt;=Results!$C$1+1,IF(ISERROR(C379-E379),"",C379-E379),"")</f>
        <v/>
      </c>
    </row>
    <row r="380" spans="1:6" x14ac:dyDescent="0.2">
      <c r="A380" s="1" t="str">
        <f ca="1">IF(ROW()&lt;=Results!$C$1+1,INDEX(Data!$A:$A,CEILING((COUNTA(Data!$A:$A)-1)*RAND()+1,1)),"")</f>
        <v/>
      </c>
      <c r="B380" s="1" t="str">
        <f>IF(ROW()&lt;=Results!$C$1+1,VLOOKUP($A380,Data!$A$2:$C$117,2,TRUE),"")</f>
        <v/>
      </c>
      <c r="C380" s="14" t="str">
        <f>IF(ROW()&lt;=Results!$C$1+1,IF(B380&lt;=0,"",LN(B380)),"")</f>
        <v/>
      </c>
      <c r="D380" s="1" t="str">
        <f>IF(ROW()&lt;=Results!$C$1+1,VLOOKUP($A380,Data!$A$2:$C$117,3,TRUE),"")</f>
        <v/>
      </c>
      <c r="E380" s="14" t="str">
        <f>IF(ROW()&lt;=Results!$C$1+1,IF(D380&lt;=0,"",LN(D380)),"")</f>
        <v/>
      </c>
      <c r="F380" s="53" t="str">
        <f>IF(ROW()&lt;=Results!$C$1+1,IF(ISERROR(C380-E380),"",C380-E380),"")</f>
        <v/>
      </c>
    </row>
    <row r="381" spans="1:6" x14ac:dyDescent="0.2">
      <c r="A381" s="1" t="str">
        <f ca="1">IF(ROW()&lt;=Results!$C$1+1,INDEX(Data!$A:$A,CEILING((COUNTA(Data!$A:$A)-1)*RAND()+1,1)),"")</f>
        <v/>
      </c>
      <c r="B381" s="1" t="str">
        <f>IF(ROW()&lt;=Results!$C$1+1,VLOOKUP($A381,Data!$A$2:$C$117,2,TRUE),"")</f>
        <v/>
      </c>
      <c r="C381" s="14" t="str">
        <f>IF(ROW()&lt;=Results!$C$1+1,IF(B381&lt;=0,"",LN(B381)),"")</f>
        <v/>
      </c>
      <c r="D381" s="1" t="str">
        <f>IF(ROW()&lt;=Results!$C$1+1,VLOOKUP($A381,Data!$A$2:$C$117,3,TRUE),"")</f>
        <v/>
      </c>
      <c r="E381" s="14" t="str">
        <f>IF(ROW()&lt;=Results!$C$1+1,IF(D381&lt;=0,"",LN(D381)),"")</f>
        <v/>
      </c>
      <c r="F381" s="53" t="str">
        <f>IF(ROW()&lt;=Results!$C$1+1,IF(ISERROR(C381-E381),"",C381-E381),"")</f>
        <v/>
      </c>
    </row>
    <row r="382" spans="1:6" x14ac:dyDescent="0.2">
      <c r="A382" s="1" t="str">
        <f ca="1">IF(ROW()&lt;=Results!$C$1+1,INDEX(Data!$A:$A,CEILING((COUNTA(Data!$A:$A)-1)*RAND()+1,1)),"")</f>
        <v/>
      </c>
      <c r="B382" s="1" t="str">
        <f>IF(ROW()&lt;=Results!$C$1+1,VLOOKUP($A382,Data!$A$2:$C$117,2,TRUE),"")</f>
        <v/>
      </c>
      <c r="C382" s="14" t="str">
        <f>IF(ROW()&lt;=Results!$C$1+1,IF(B382&lt;=0,"",LN(B382)),"")</f>
        <v/>
      </c>
      <c r="D382" s="1" t="str">
        <f>IF(ROW()&lt;=Results!$C$1+1,VLOOKUP($A382,Data!$A$2:$C$117,3,TRUE),"")</f>
        <v/>
      </c>
      <c r="E382" s="14" t="str">
        <f>IF(ROW()&lt;=Results!$C$1+1,IF(D382&lt;=0,"",LN(D382)),"")</f>
        <v/>
      </c>
      <c r="F382" s="53" t="str">
        <f>IF(ROW()&lt;=Results!$C$1+1,IF(ISERROR(C382-E382),"",C382-E382),"")</f>
        <v/>
      </c>
    </row>
    <row r="383" spans="1:6" x14ac:dyDescent="0.2">
      <c r="A383" s="1" t="str">
        <f ca="1">IF(ROW()&lt;=Results!$C$1+1,INDEX(Data!$A:$A,CEILING((COUNTA(Data!$A:$A)-1)*RAND()+1,1)),"")</f>
        <v/>
      </c>
      <c r="B383" s="1" t="str">
        <f>IF(ROW()&lt;=Results!$C$1+1,VLOOKUP($A383,Data!$A$2:$C$117,2,TRUE),"")</f>
        <v/>
      </c>
      <c r="C383" s="14" t="str">
        <f>IF(ROW()&lt;=Results!$C$1+1,IF(B383&lt;=0,"",LN(B383)),"")</f>
        <v/>
      </c>
      <c r="D383" s="1" t="str">
        <f>IF(ROW()&lt;=Results!$C$1+1,VLOOKUP($A383,Data!$A$2:$C$117,3,TRUE),"")</f>
        <v/>
      </c>
      <c r="E383" s="14" t="str">
        <f>IF(ROW()&lt;=Results!$C$1+1,IF(D383&lt;=0,"",LN(D383)),"")</f>
        <v/>
      </c>
      <c r="F383" s="53" t="str">
        <f>IF(ROW()&lt;=Results!$C$1+1,IF(ISERROR(C383-E383),"",C383-E383),"")</f>
        <v/>
      </c>
    </row>
    <row r="384" spans="1:6" x14ac:dyDescent="0.2">
      <c r="A384" s="1" t="str">
        <f ca="1">IF(ROW()&lt;=Results!$C$1+1,INDEX(Data!$A:$A,CEILING((COUNTA(Data!$A:$A)-1)*RAND()+1,1)),"")</f>
        <v/>
      </c>
      <c r="B384" s="1" t="str">
        <f>IF(ROW()&lt;=Results!$C$1+1,VLOOKUP($A384,Data!$A$2:$C$117,2,TRUE),"")</f>
        <v/>
      </c>
      <c r="C384" s="14" t="str">
        <f>IF(ROW()&lt;=Results!$C$1+1,IF(B384&lt;=0,"",LN(B384)),"")</f>
        <v/>
      </c>
      <c r="D384" s="1" t="str">
        <f>IF(ROW()&lt;=Results!$C$1+1,VLOOKUP($A384,Data!$A$2:$C$117,3,TRUE),"")</f>
        <v/>
      </c>
      <c r="E384" s="14" t="str">
        <f>IF(ROW()&lt;=Results!$C$1+1,IF(D384&lt;=0,"",LN(D384)),"")</f>
        <v/>
      </c>
      <c r="F384" s="53" t="str">
        <f>IF(ROW()&lt;=Results!$C$1+1,IF(ISERROR(C384-E384),"",C384-E384),"")</f>
        <v/>
      </c>
    </row>
    <row r="385" spans="1:6" x14ac:dyDescent="0.2">
      <c r="A385" s="1" t="str">
        <f ca="1">IF(ROW()&lt;=Results!$C$1+1,INDEX(Data!$A:$A,CEILING((COUNTA(Data!$A:$A)-1)*RAND()+1,1)),"")</f>
        <v/>
      </c>
      <c r="B385" s="1" t="str">
        <f>IF(ROW()&lt;=Results!$C$1+1,VLOOKUP($A385,Data!$A$2:$C$117,2,TRUE),"")</f>
        <v/>
      </c>
      <c r="C385" s="14" t="str">
        <f>IF(ROW()&lt;=Results!$C$1+1,IF(B385&lt;=0,"",LN(B385)),"")</f>
        <v/>
      </c>
      <c r="D385" s="1" t="str">
        <f>IF(ROW()&lt;=Results!$C$1+1,VLOOKUP($A385,Data!$A$2:$C$117,3,TRUE),"")</f>
        <v/>
      </c>
      <c r="E385" s="14" t="str">
        <f>IF(ROW()&lt;=Results!$C$1+1,IF(D385&lt;=0,"",LN(D385)),"")</f>
        <v/>
      </c>
      <c r="F385" s="53" t="str">
        <f>IF(ROW()&lt;=Results!$C$1+1,IF(ISERROR(C385-E385),"",C385-E385),"")</f>
        <v/>
      </c>
    </row>
    <row r="386" spans="1:6" x14ac:dyDescent="0.2">
      <c r="A386" s="1" t="str">
        <f ca="1">IF(ROW()&lt;=Results!$C$1+1,INDEX(Data!$A:$A,CEILING((COUNTA(Data!$A:$A)-1)*RAND()+1,1)),"")</f>
        <v/>
      </c>
      <c r="B386" s="1" t="str">
        <f>IF(ROW()&lt;=Results!$C$1+1,VLOOKUP($A386,Data!$A$2:$C$117,2,TRUE),"")</f>
        <v/>
      </c>
      <c r="C386" s="14" t="str">
        <f>IF(ROW()&lt;=Results!$C$1+1,IF(B386&lt;=0,"",LN(B386)),"")</f>
        <v/>
      </c>
      <c r="D386" s="1" t="str">
        <f>IF(ROW()&lt;=Results!$C$1+1,VLOOKUP($A386,Data!$A$2:$C$117,3,TRUE),"")</f>
        <v/>
      </c>
      <c r="E386" s="14" t="str">
        <f>IF(ROW()&lt;=Results!$C$1+1,IF(D386&lt;=0,"",LN(D386)),"")</f>
        <v/>
      </c>
      <c r="F386" s="53" t="str">
        <f>IF(ROW()&lt;=Results!$C$1+1,IF(ISERROR(C386-E386),"",C386-E386),"")</f>
        <v/>
      </c>
    </row>
    <row r="387" spans="1:6" x14ac:dyDescent="0.2">
      <c r="A387" s="1" t="str">
        <f ca="1">IF(ROW()&lt;=Results!$C$1+1,INDEX(Data!$A:$A,CEILING((COUNTA(Data!$A:$A)-1)*RAND()+1,1)),"")</f>
        <v/>
      </c>
      <c r="B387" s="1" t="str">
        <f>IF(ROW()&lt;=Results!$C$1+1,VLOOKUP($A387,Data!$A$2:$C$117,2,TRUE),"")</f>
        <v/>
      </c>
      <c r="C387" s="14" t="str">
        <f>IF(ROW()&lt;=Results!$C$1+1,IF(B387&lt;=0,"",LN(B387)),"")</f>
        <v/>
      </c>
      <c r="D387" s="1" t="str">
        <f>IF(ROW()&lt;=Results!$C$1+1,VLOOKUP($A387,Data!$A$2:$C$117,3,TRUE),"")</f>
        <v/>
      </c>
      <c r="E387" s="14" t="str">
        <f>IF(ROW()&lt;=Results!$C$1+1,IF(D387&lt;=0,"",LN(D387)),"")</f>
        <v/>
      </c>
      <c r="F387" s="53" t="str">
        <f>IF(ROW()&lt;=Results!$C$1+1,IF(ISERROR(C387-E387),"",C387-E387),"")</f>
        <v/>
      </c>
    </row>
    <row r="388" spans="1:6" x14ac:dyDescent="0.2">
      <c r="A388" s="1" t="str">
        <f ca="1">IF(ROW()&lt;=Results!$C$1+1,INDEX(Data!$A:$A,CEILING((COUNTA(Data!$A:$A)-1)*RAND()+1,1)),"")</f>
        <v/>
      </c>
      <c r="B388" s="1" t="str">
        <f>IF(ROW()&lt;=Results!$C$1+1,VLOOKUP($A388,Data!$A$2:$C$117,2,TRUE),"")</f>
        <v/>
      </c>
      <c r="C388" s="14" t="str">
        <f>IF(ROW()&lt;=Results!$C$1+1,IF(B388&lt;=0,"",LN(B388)),"")</f>
        <v/>
      </c>
      <c r="D388" s="1" t="str">
        <f>IF(ROW()&lt;=Results!$C$1+1,VLOOKUP($A388,Data!$A$2:$C$117,3,TRUE),"")</f>
        <v/>
      </c>
      <c r="E388" s="14" t="str">
        <f>IF(ROW()&lt;=Results!$C$1+1,IF(D388&lt;=0,"",LN(D388)),"")</f>
        <v/>
      </c>
      <c r="F388" s="53" t="str">
        <f>IF(ROW()&lt;=Results!$C$1+1,IF(ISERROR(C388-E388),"",C388-E388),"")</f>
        <v/>
      </c>
    </row>
    <row r="389" spans="1:6" x14ac:dyDescent="0.2">
      <c r="A389" s="1" t="str">
        <f ca="1">IF(ROW()&lt;=Results!$C$1+1,INDEX(Data!$A:$A,CEILING((COUNTA(Data!$A:$A)-1)*RAND()+1,1)),"")</f>
        <v/>
      </c>
      <c r="B389" s="1" t="str">
        <f>IF(ROW()&lt;=Results!$C$1+1,VLOOKUP($A389,Data!$A$2:$C$117,2,TRUE),"")</f>
        <v/>
      </c>
      <c r="C389" s="14" t="str">
        <f>IF(ROW()&lt;=Results!$C$1+1,IF(B389&lt;=0,"",LN(B389)),"")</f>
        <v/>
      </c>
      <c r="D389" s="1" t="str">
        <f>IF(ROW()&lt;=Results!$C$1+1,VLOOKUP($A389,Data!$A$2:$C$117,3,TRUE),"")</f>
        <v/>
      </c>
      <c r="E389" s="14" t="str">
        <f>IF(ROW()&lt;=Results!$C$1+1,IF(D389&lt;=0,"",LN(D389)),"")</f>
        <v/>
      </c>
      <c r="F389" s="53" t="str">
        <f>IF(ROW()&lt;=Results!$C$1+1,IF(ISERROR(C389-E389),"",C389-E389),"")</f>
        <v/>
      </c>
    </row>
    <row r="390" spans="1:6" x14ac:dyDescent="0.2">
      <c r="A390" s="1" t="str">
        <f ca="1">IF(ROW()&lt;=Results!$C$1+1,INDEX(Data!$A:$A,CEILING((COUNTA(Data!$A:$A)-1)*RAND()+1,1)),"")</f>
        <v/>
      </c>
      <c r="B390" s="1" t="str">
        <f>IF(ROW()&lt;=Results!$C$1+1,VLOOKUP($A390,Data!$A$2:$C$117,2,TRUE),"")</f>
        <v/>
      </c>
      <c r="C390" s="14" t="str">
        <f>IF(ROW()&lt;=Results!$C$1+1,IF(B390&lt;=0,"",LN(B390)),"")</f>
        <v/>
      </c>
      <c r="D390" s="1" t="str">
        <f>IF(ROW()&lt;=Results!$C$1+1,VLOOKUP($A390,Data!$A$2:$C$117,3,TRUE),"")</f>
        <v/>
      </c>
      <c r="E390" s="14" t="str">
        <f>IF(ROW()&lt;=Results!$C$1+1,IF(D390&lt;=0,"",LN(D390)),"")</f>
        <v/>
      </c>
      <c r="F390" s="53" t="str">
        <f>IF(ROW()&lt;=Results!$C$1+1,IF(ISERROR(C390-E390),"",C390-E390),"")</f>
        <v/>
      </c>
    </row>
    <row r="391" spans="1:6" x14ac:dyDescent="0.2">
      <c r="A391" s="1" t="str">
        <f ca="1">IF(ROW()&lt;=Results!$C$1+1,INDEX(Data!$A:$A,CEILING((COUNTA(Data!$A:$A)-1)*RAND()+1,1)),"")</f>
        <v/>
      </c>
      <c r="B391" s="1" t="str">
        <f>IF(ROW()&lt;=Results!$C$1+1,VLOOKUP($A391,Data!$A$2:$C$117,2,TRUE),"")</f>
        <v/>
      </c>
      <c r="C391" s="14" t="str">
        <f>IF(ROW()&lt;=Results!$C$1+1,IF(B391&lt;=0,"",LN(B391)),"")</f>
        <v/>
      </c>
      <c r="D391" s="1" t="str">
        <f>IF(ROW()&lt;=Results!$C$1+1,VLOOKUP($A391,Data!$A$2:$C$117,3,TRUE),"")</f>
        <v/>
      </c>
      <c r="E391" s="14" t="str">
        <f>IF(ROW()&lt;=Results!$C$1+1,IF(D391&lt;=0,"",LN(D391)),"")</f>
        <v/>
      </c>
      <c r="F391" s="53" t="str">
        <f>IF(ROW()&lt;=Results!$C$1+1,IF(ISERROR(C391-E391),"",C391-E391),"")</f>
        <v/>
      </c>
    </row>
    <row r="392" spans="1:6" x14ac:dyDescent="0.2">
      <c r="A392" s="1" t="str">
        <f ca="1">IF(ROW()&lt;=Results!$C$1+1,INDEX(Data!$A:$A,CEILING((COUNTA(Data!$A:$A)-1)*RAND()+1,1)),"")</f>
        <v/>
      </c>
      <c r="B392" s="1" t="str">
        <f>IF(ROW()&lt;=Results!$C$1+1,VLOOKUP($A392,Data!$A$2:$C$117,2,TRUE),"")</f>
        <v/>
      </c>
      <c r="C392" s="14" t="str">
        <f>IF(ROW()&lt;=Results!$C$1+1,IF(B392&lt;=0,"",LN(B392)),"")</f>
        <v/>
      </c>
      <c r="D392" s="1" t="str">
        <f>IF(ROW()&lt;=Results!$C$1+1,VLOOKUP($A392,Data!$A$2:$C$117,3,TRUE),"")</f>
        <v/>
      </c>
      <c r="E392" s="14" t="str">
        <f>IF(ROW()&lt;=Results!$C$1+1,IF(D392&lt;=0,"",LN(D392)),"")</f>
        <v/>
      </c>
      <c r="F392" s="53" t="str">
        <f>IF(ROW()&lt;=Results!$C$1+1,IF(ISERROR(C392-E392),"",C392-E392),"")</f>
        <v/>
      </c>
    </row>
    <row r="393" spans="1:6" x14ac:dyDescent="0.2">
      <c r="A393" s="1" t="str">
        <f ca="1">IF(ROW()&lt;=Results!$C$1+1,INDEX(Data!$A:$A,CEILING((COUNTA(Data!$A:$A)-1)*RAND()+1,1)),"")</f>
        <v/>
      </c>
      <c r="B393" s="1" t="str">
        <f>IF(ROW()&lt;=Results!$C$1+1,VLOOKUP($A393,Data!$A$2:$C$117,2,TRUE),"")</f>
        <v/>
      </c>
      <c r="C393" s="14" t="str">
        <f>IF(ROW()&lt;=Results!$C$1+1,IF(B393&lt;=0,"",LN(B393)),"")</f>
        <v/>
      </c>
      <c r="D393" s="1" t="str">
        <f>IF(ROW()&lt;=Results!$C$1+1,VLOOKUP($A393,Data!$A$2:$C$117,3,TRUE),"")</f>
        <v/>
      </c>
      <c r="E393" s="14" t="str">
        <f>IF(ROW()&lt;=Results!$C$1+1,IF(D393&lt;=0,"",LN(D393)),"")</f>
        <v/>
      </c>
      <c r="F393" s="53" t="str">
        <f>IF(ROW()&lt;=Results!$C$1+1,IF(ISERROR(C393-E393),"",C393-E393),"")</f>
        <v/>
      </c>
    </row>
    <row r="394" spans="1:6" x14ac:dyDescent="0.2">
      <c r="A394" s="1" t="str">
        <f ca="1">IF(ROW()&lt;=Results!$C$1+1,INDEX(Data!$A:$A,CEILING((COUNTA(Data!$A:$A)-1)*RAND()+1,1)),"")</f>
        <v/>
      </c>
      <c r="B394" s="1" t="str">
        <f>IF(ROW()&lt;=Results!$C$1+1,VLOOKUP($A394,Data!$A$2:$C$117,2,TRUE),"")</f>
        <v/>
      </c>
      <c r="C394" s="14" t="str">
        <f>IF(ROW()&lt;=Results!$C$1+1,IF(B394&lt;=0,"",LN(B394)),"")</f>
        <v/>
      </c>
      <c r="D394" s="1" t="str">
        <f>IF(ROW()&lt;=Results!$C$1+1,VLOOKUP($A394,Data!$A$2:$C$117,3,TRUE),"")</f>
        <v/>
      </c>
      <c r="E394" s="14" t="str">
        <f>IF(ROW()&lt;=Results!$C$1+1,IF(D394&lt;=0,"",LN(D394)),"")</f>
        <v/>
      </c>
      <c r="F394" s="53" t="str">
        <f>IF(ROW()&lt;=Results!$C$1+1,IF(ISERROR(C394-E394),"",C394-E394),"")</f>
        <v/>
      </c>
    </row>
    <row r="395" spans="1:6" x14ac:dyDescent="0.2">
      <c r="A395" s="1" t="str">
        <f ca="1">IF(ROW()&lt;=Results!$C$1+1,INDEX(Data!$A:$A,CEILING((COUNTA(Data!$A:$A)-1)*RAND()+1,1)),"")</f>
        <v/>
      </c>
      <c r="B395" s="1" t="str">
        <f>IF(ROW()&lt;=Results!$C$1+1,VLOOKUP($A395,Data!$A$2:$C$117,2,TRUE),"")</f>
        <v/>
      </c>
      <c r="C395" s="14" t="str">
        <f>IF(ROW()&lt;=Results!$C$1+1,IF(B395&lt;=0,"",LN(B395)),"")</f>
        <v/>
      </c>
      <c r="D395" s="1" t="str">
        <f>IF(ROW()&lt;=Results!$C$1+1,VLOOKUP($A395,Data!$A$2:$C$117,3,TRUE),"")</f>
        <v/>
      </c>
      <c r="E395" s="14" t="str">
        <f>IF(ROW()&lt;=Results!$C$1+1,IF(D395&lt;=0,"",LN(D395)),"")</f>
        <v/>
      </c>
      <c r="F395" s="53" t="str">
        <f>IF(ROW()&lt;=Results!$C$1+1,IF(ISERROR(C395-E395),"",C395-E395),"")</f>
        <v/>
      </c>
    </row>
    <row r="396" spans="1:6" x14ac:dyDescent="0.2">
      <c r="A396" s="1" t="str">
        <f ca="1">IF(ROW()&lt;=Results!$C$1+1,INDEX(Data!$A:$A,CEILING((COUNTA(Data!$A:$A)-1)*RAND()+1,1)),"")</f>
        <v/>
      </c>
      <c r="B396" s="1" t="str">
        <f>IF(ROW()&lt;=Results!$C$1+1,VLOOKUP($A396,Data!$A$2:$C$117,2,TRUE),"")</f>
        <v/>
      </c>
      <c r="C396" s="14" t="str">
        <f>IF(ROW()&lt;=Results!$C$1+1,IF(B396&lt;=0,"",LN(B396)),"")</f>
        <v/>
      </c>
      <c r="D396" s="1" t="str">
        <f>IF(ROW()&lt;=Results!$C$1+1,VLOOKUP($A396,Data!$A$2:$C$117,3,TRUE),"")</f>
        <v/>
      </c>
      <c r="E396" s="14" t="str">
        <f>IF(ROW()&lt;=Results!$C$1+1,IF(D396&lt;=0,"",LN(D396)),"")</f>
        <v/>
      </c>
      <c r="F396" s="53" t="str">
        <f>IF(ROW()&lt;=Results!$C$1+1,IF(ISERROR(C396-E396),"",C396-E396),"")</f>
        <v/>
      </c>
    </row>
    <row r="397" spans="1:6" x14ac:dyDescent="0.2">
      <c r="A397" s="1" t="str">
        <f ca="1">IF(ROW()&lt;=Results!$C$1+1,INDEX(Data!$A:$A,CEILING((COUNTA(Data!$A:$A)-1)*RAND()+1,1)),"")</f>
        <v/>
      </c>
      <c r="B397" s="1" t="str">
        <f>IF(ROW()&lt;=Results!$C$1+1,VLOOKUP($A397,Data!$A$2:$C$117,2,TRUE),"")</f>
        <v/>
      </c>
      <c r="C397" s="14" t="str">
        <f>IF(ROW()&lt;=Results!$C$1+1,IF(B397&lt;=0,"",LN(B397)),"")</f>
        <v/>
      </c>
      <c r="D397" s="1" t="str">
        <f>IF(ROW()&lt;=Results!$C$1+1,VLOOKUP($A397,Data!$A$2:$C$117,3,TRUE),"")</f>
        <v/>
      </c>
      <c r="E397" s="14" t="str">
        <f>IF(ROW()&lt;=Results!$C$1+1,IF(D397&lt;=0,"",LN(D397)),"")</f>
        <v/>
      </c>
      <c r="F397" s="53" t="str">
        <f>IF(ROW()&lt;=Results!$C$1+1,IF(ISERROR(C397-E397),"",C397-E397),"")</f>
        <v/>
      </c>
    </row>
    <row r="398" spans="1:6" x14ac:dyDescent="0.2">
      <c r="A398" s="1" t="str">
        <f ca="1">IF(ROW()&lt;=Results!$C$1+1,INDEX(Data!$A:$A,CEILING((COUNTA(Data!$A:$A)-1)*RAND()+1,1)),"")</f>
        <v/>
      </c>
      <c r="B398" s="1" t="str">
        <f>IF(ROW()&lt;=Results!$C$1+1,VLOOKUP($A398,Data!$A$2:$C$117,2,TRUE),"")</f>
        <v/>
      </c>
      <c r="C398" s="14" t="str">
        <f>IF(ROW()&lt;=Results!$C$1+1,IF(B398&lt;=0,"",LN(B398)),"")</f>
        <v/>
      </c>
      <c r="D398" s="1" t="str">
        <f>IF(ROW()&lt;=Results!$C$1+1,VLOOKUP($A398,Data!$A$2:$C$117,3,TRUE),"")</f>
        <v/>
      </c>
      <c r="E398" s="14" t="str">
        <f>IF(ROW()&lt;=Results!$C$1+1,IF(D398&lt;=0,"",LN(D398)),"")</f>
        <v/>
      </c>
      <c r="F398" s="53" t="str">
        <f>IF(ROW()&lt;=Results!$C$1+1,IF(ISERROR(C398-E398),"",C398-E398),"")</f>
        <v/>
      </c>
    </row>
    <row r="399" spans="1:6" x14ac:dyDescent="0.2">
      <c r="A399" s="1" t="str">
        <f ca="1">IF(ROW()&lt;=Results!$C$1+1,INDEX(Data!$A:$A,CEILING((COUNTA(Data!$A:$A)-1)*RAND()+1,1)),"")</f>
        <v/>
      </c>
      <c r="B399" s="1" t="str">
        <f>IF(ROW()&lt;=Results!$C$1+1,VLOOKUP($A399,Data!$A$2:$C$117,2,TRUE),"")</f>
        <v/>
      </c>
      <c r="C399" s="14" t="str">
        <f>IF(ROW()&lt;=Results!$C$1+1,IF(B399&lt;=0,"",LN(B399)),"")</f>
        <v/>
      </c>
      <c r="D399" s="1" t="str">
        <f>IF(ROW()&lt;=Results!$C$1+1,VLOOKUP($A399,Data!$A$2:$C$117,3,TRUE),"")</f>
        <v/>
      </c>
      <c r="E399" s="14" t="str">
        <f>IF(ROW()&lt;=Results!$C$1+1,IF(D399&lt;=0,"",LN(D399)),"")</f>
        <v/>
      </c>
      <c r="F399" s="53" t="str">
        <f>IF(ROW()&lt;=Results!$C$1+1,IF(ISERROR(C399-E399),"",C399-E399),"")</f>
        <v/>
      </c>
    </row>
    <row r="400" spans="1:6" x14ac:dyDescent="0.2">
      <c r="A400" s="1" t="str">
        <f ca="1">IF(ROW()&lt;=Results!$C$1+1,INDEX(Data!$A:$A,CEILING((COUNTA(Data!$A:$A)-1)*RAND()+1,1)),"")</f>
        <v/>
      </c>
      <c r="B400" s="1" t="str">
        <f>IF(ROW()&lt;=Results!$C$1+1,VLOOKUP($A400,Data!$A$2:$C$117,2,TRUE),"")</f>
        <v/>
      </c>
      <c r="C400" s="14" t="str">
        <f>IF(ROW()&lt;=Results!$C$1+1,IF(B400&lt;=0,"",LN(B400)),"")</f>
        <v/>
      </c>
      <c r="D400" s="1" t="str">
        <f>IF(ROW()&lt;=Results!$C$1+1,VLOOKUP($A400,Data!$A$2:$C$117,3,TRUE),"")</f>
        <v/>
      </c>
      <c r="E400" s="14" t="str">
        <f>IF(ROW()&lt;=Results!$C$1+1,IF(D400&lt;=0,"",LN(D400)),"")</f>
        <v/>
      </c>
      <c r="F400" s="53" t="str">
        <f>IF(ROW()&lt;=Results!$C$1+1,IF(ISERROR(C400-E400),"",C400-E400),"")</f>
        <v/>
      </c>
    </row>
    <row r="401" spans="1:6" x14ac:dyDescent="0.2">
      <c r="A401" s="1" t="str">
        <f ca="1">IF(ROW()&lt;=Results!$C$1+1,INDEX(Data!$A:$A,CEILING((COUNTA(Data!$A:$A)-1)*RAND()+1,1)),"")</f>
        <v/>
      </c>
      <c r="B401" s="1" t="str">
        <f>IF(ROW()&lt;=Results!$C$1+1,VLOOKUP($A401,Data!$A$2:$C$117,2,TRUE),"")</f>
        <v/>
      </c>
      <c r="C401" s="14" t="str">
        <f>IF(ROW()&lt;=Results!$C$1+1,IF(B401&lt;=0,"",LN(B401)),"")</f>
        <v/>
      </c>
      <c r="D401" s="1" t="str">
        <f>IF(ROW()&lt;=Results!$C$1+1,VLOOKUP($A401,Data!$A$2:$C$117,3,TRUE),"")</f>
        <v/>
      </c>
      <c r="E401" s="14" t="str">
        <f>IF(ROW()&lt;=Results!$C$1+1,IF(D401&lt;=0,"",LN(D401)),"")</f>
        <v/>
      </c>
      <c r="F401" s="53" t="str">
        <f>IF(ROW()&lt;=Results!$C$1+1,IF(ISERROR(C401-E401),"",C401-E401),"")</f>
        <v/>
      </c>
    </row>
    <row r="402" spans="1:6" x14ac:dyDescent="0.2">
      <c r="A402" s="1" t="str">
        <f ca="1">IF(ROW()&lt;=Results!$C$1+1,INDEX(Data!$A:$A,CEILING((COUNTA(Data!$A:$A)-1)*RAND()+1,1)),"")</f>
        <v/>
      </c>
      <c r="B402" s="1" t="str">
        <f>IF(ROW()&lt;=Results!$C$1+1,VLOOKUP($A402,Data!$A$2:$C$117,2,TRUE),"")</f>
        <v/>
      </c>
      <c r="C402" s="14" t="str">
        <f>IF(ROW()&lt;=Results!$C$1+1,IF(B402&lt;=0,"",LN(B402)),"")</f>
        <v/>
      </c>
      <c r="D402" s="1" t="str">
        <f>IF(ROW()&lt;=Results!$C$1+1,VLOOKUP($A402,Data!$A$2:$C$117,3,TRUE),"")</f>
        <v/>
      </c>
      <c r="E402" s="14" t="str">
        <f>IF(ROW()&lt;=Results!$C$1+1,IF(D402&lt;=0,"",LN(D402)),"")</f>
        <v/>
      </c>
      <c r="F402" s="53" t="str">
        <f>IF(ROW()&lt;=Results!$C$1+1,IF(ISERROR(C402-E402),"",C402-E402),"")</f>
        <v/>
      </c>
    </row>
    <row r="403" spans="1:6" x14ac:dyDescent="0.2">
      <c r="A403" s="1" t="str">
        <f ca="1">IF(ROW()&lt;=Results!$C$1+1,INDEX(Data!$A:$A,CEILING((COUNTA(Data!$A:$A)-1)*RAND()+1,1)),"")</f>
        <v/>
      </c>
      <c r="B403" s="1" t="str">
        <f>IF(ROW()&lt;=Results!$C$1+1,VLOOKUP($A403,Data!$A$2:$C$117,2,TRUE),"")</f>
        <v/>
      </c>
      <c r="C403" s="14" t="str">
        <f>IF(ROW()&lt;=Results!$C$1+1,IF(B403&lt;=0,"",LN(B403)),"")</f>
        <v/>
      </c>
      <c r="D403" s="1" t="str">
        <f>IF(ROW()&lt;=Results!$C$1+1,VLOOKUP($A403,Data!$A$2:$C$117,3,TRUE),"")</f>
        <v/>
      </c>
      <c r="E403" s="14" t="str">
        <f>IF(ROW()&lt;=Results!$C$1+1,IF(D403&lt;=0,"",LN(D403)),"")</f>
        <v/>
      </c>
      <c r="F403" s="53" t="str">
        <f>IF(ROW()&lt;=Results!$C$1+1,IF(ISERROR(C403-E403),"",C403-E403),"")</f>
        <v/>
      </c>
    </row>
    <row r="404" spans="1:6" x14ac:dyDescent="0.2">
      <c r="A404" s="1" t="str">
        <f ca="1">IF(ROW()&lt;=Results!$C$1+1,INDEX(Data!$A:$A,CEILING((COUNTA(Data!$A:$A)-1)*RAND()+1,1)),"")</f>
        <v/>
      </c>
      <c r="B404" s="1" t="str">
        <f>IF(ROW()&lt;=Results!$C$1+1,VLOOKUP($A404,Data!$A$2:$C$117,2,TRUE),"")</f>
        <v/>
      </c>
      <c r="C404" s="14" t="str">
        <f>IF(ROW()&lt;=Results!$C$1+1,IF(B404&lt;=0,"",LN(B404)),"")</f>
        <v/>
      </c>
      <c r="D404" s="1" t="str">
        <f>IF(ROW()&lt;=Results!$C$1+1,VLOOKUP($A404,Data!$A$2:$C$117,3,TRUE),"")</f>
        <v/>
      </c>
      <c r="E404" s="14" t="str">
        <f>IF(ROW()&lt;=Results!$C$1+1,IF(D404&lt;=0,"",LN(D404)),"")</f>
        <v/>
      </c>
      <c r="F404" s="53" t="str">
        <f>IF(ROW()&lt;=Results!$C$1+1,IF(ISERROR(C404-E404),"",C404-E404),"")</f>
        <v/>
      </c>
    </row>
    <row r="405" spans="1:6" x14ac:dyDescent="0.2">
      <c r="A405" s="1" t="str">
        <f ca="1">IF(ROW()&lt;=Results!$C$1+1,INDEX(Data!$A:$A,CEILING((COUNTA(Data!$A:$A)-1)*RAND()+1,1)),"")</f>
        <v/>
      </c>
      <c r="B405" s="1" t="str">
        <f>IF(ROW()&lt;=Results!$C$1+1,VLOOKUP($A405,Data!$A$2:$C$117,2,TRUE),"")</f>
        <v/>
      </c>
      <c r="C405" s="14" t="str">
        <f>IF(ROW()&lt;=Results!$C$1+1,IF(B405&lt;=0,"",LN(B405)),"")</f>
        <v/>
      </c>
      <c r="D405" s="1" t="str">
        <f>IF(ROW()&lt;=Results!$C$1+1,VLOOKUP($A405,Data!$A$2:$C$117,3,TRUE),"")</f>
        <v/>
      </c>
      <c r="E405" s="14" t="str">
        <f>IF(ROW()&lt;=Results!$C$1+1,IF(D405&lt;=0,"",LN(D405)),"")</f>
        <v/>
      </c>
      <c r="F405" s="53" t="str">
        <f>IF(ROW()&lt;=Results!$C$1+1,IF(ISERROR(C405-E405),"",C405-E405),"")</f>
        <v/>
      </c>
    </row>
    <row r="406" spans="1:6" x14ac:dyDescent="0.2">
      <c r="A406" s="1" t="str">
        <f ca="1">IF(ROW()&lt;=Results!$C$1+1,INDEX(Data!$A:$A,CEILING((COUNTA(Data!$A:$A)-1)*RAND()+1,1)),"")</f>
        <v/>
      </c>
      <c r="B406" s="1" t="str">
        <f>IF(ROW()&lt;=Results!$C$1+1,VLOOKUP($A406,Data!$A$2:$C$117,2,TRUE),"")</f>
        <v/>
      </c>
      <c r="C406" s="14" t="str">
        <f>IF(ROW()&lt;=Results!$C$1+1,IF(B406&lt;=0,"",LN(B406)),"")</f>
        <v/>
      </c>
      <c r="D406" s="1" t="str">
        <f>IF(ROW()&lt;=Results!$C$1+1,VLOOKUP($A406,Data!$A$2:$C$117,3,TRUE),"")</f>
        <v/>
      </c>
      <c r="E406" s="14" t="str">
        <f>IF(ROW()&lt;=Results!$C$1+1,IF(D406&lt;=0,"",LN(D406)),"")</f>
        <v/>
      </c>
      <c r="F406" s="53" t="str">
        <f>IF(ROW()&lt;=Results!$C$1+1,IF(ISERROR(C406-E406),"",C406-E406),"")</f>
        <v/>
      </c>
    </row>
    <row r="407" spans="1:6" x14ac:dyDescent="0.2">
      <c r="A407" s="1" t="str">
        <f ca="1">IF(ROW()&lt;=Results!$C$1+1,INDEX(Data!$A:$A,CEILING((COUNTA(Data!$A:$A)-1)*RAND()+1,1)),"")</f>
        <v/>
      </c>
      <c r="B407" s="1" t="str">
        <f>IF(ROW()&lt;=Results!$C$1+1,VLOOKUP($A407,Data!$A$2:$C$117,2,TRUE),"")</f>
        <v/>
      </c>
      <c r="C407" s="14" t="str">
        <f>IF(ROW()&lt;=Results!$C$1+1,IF(B407&lt;=0,"",LN(B407)),"")</f>
        <v/>
      </c>
      <c r="D407" s="1" t="str">
        <f>IF(ROW()&lt;=Results!$C$1+1,VLOOKUP($A407,Data!$A$2:$C$117,3,TRUE),"")</f>
        <v/>
      </c>
      <c r="E407" s="14" t="str">
        <f>IF(ROW()&lt;=Results!$C$1+1,IF(D407&lt;=0,"",LN(D407)),"")</f>
        <v/>
      </c>
      <c r="F407" s="53" t="str">
        <f>IF(ROW()&lt;=Results!$C$1+1,IF(ISERROR(C407-E407),"",C407-E407),"")</f>
        <v/>
      </c>
    </row>
    <row r="408" spans="1:6" x14ac:dyDescent="0.2">
      <c r="A408" s="1" t="str">
        <f ca="1">IF(ROW()&lt;=Results!$C$1+1,INDEX(Data!$A:$A,CEILING((COUNTA(Data!$A:$A)-1)*RAND()+1,1)),"")</f>
        <v/>
      </c>
      <c r="B408" s="1" t="str">
        <f>IF(ROW()&lt;=Results!$C$1+1,VLOOKUP($A408,Data!$A$2:$C$117,2,TRUE),"")</f>
        <v/>
      </c>
      <c r="C408" s="14" t="str">
        <f>IF(ROW()&lt;=Results!$C$1+1,IF(B408&lt;=0,"",LN(B408)),"")</f>
        <v/>
      </c>
      <c r="D408" s="1" t="str">
        <f>IF(ROW()&lt;=Results!$C$1+1,VLOOKUP($A408,Data!$A$2:$C$117,3,TRUE),"")</f>
        <v/>
      </c>
      <c r="E408" s="14" t="str">
        <f>IF(ROW()&lt;=Results!$C$1+1,IF(D408&lt;=0,"",LN(D408)),"")</f>
        <v/>
      </c>
      <c r="F408" s="53" t="str">
        <f>IF(ROW()&lt;=Results!$C$1+1,IF(ISERROR(C408-E408),"",C408-E408),"")</f>
        <v/>
      </c>
    </row>
    <row r="409" spans="1:6" x14ac:dyDescent="0.2">
      <c r="A409" s="1" t="str">
        <f ca="1">IF(ROW()&lt;=Results!$C$1+1,INDEX(Data!$A:$A,CEILING((COUNTA(Data!$A:$A)-1)*RAND()+1,1)),"")</f>
        <v/>
      </c>
      <c r="B409" s="1" t="str">
        <f>IF(ROW()&lt;=Results!$C$1+1,VLOOKUP($A409,Data!$A$2:$C$117,2,TRUE),"")</f>
        <v/>
      </c>
      <c r="C409" s="14" t="str">
        <f>IF(ROW()&lt;=Results!$C$1+1,IF(B409&lt;=0,"",LN(B409)),"")</f>
        <v/>
      </c>
      <c r="D409" s="1" t="str">
        <f>IF(ROW()&lt;=Results!$C$1+1,VLOOKUP($A409,Data!$A$2:$C$117,3,TRUE),"")</f>
        <v/>
      </c>
      <c r="E409" s="14" t="str">
        <f>IF(ROW()&lt;=Results!$C$1+1,IF(D409&lt;=0,"",LN(D409)),"")</f>
        <v/>
      </c>
      <c r="F409" s="53" t="str">
        <f>IF(ROW()&lt;=Results!$C$1+1,IF(ISERROR(C409-E409),"",C409-E409),"")</f>
        <v/>
      </c>
    </row>
    <row r="410" spans="1:6" x14ac:dyDescent="0.2">
      <c r="A410" s="1" t="str">
        <f ca="1">IF(ROW()&lt;=Results!$C$1+1,INDEX(Data!$A:$A,CEILING((COUNTA(Data!$A:$A)-1)*RAND()+1,1)),"")</f>
        <v/>
      </c>
      <c r="B410" s="1" t="str">
        <f>IF(ROW()&lt;=Results!$C$1+1,VLOOKUP($A410,Data!$A$2:$C$117,2,TRUE),"")</f>
        <v/>
      </c>
      <c r="C410" s="14" t="str">
        <f>IF(ROW()&lt;=Results!$C$1+1,IF(B410&lt;=0,"",LN(B410)),"")</f>
        <v/>
      </c>
      <c r="D410" s="1" t="str">
        <f>IF(ROW()&lt;=Results!$C$1+1,VLOOKUP($A410,Data!$A$2:$C$117,3,TRUE),"")</f>
        <v/>
      </c>
      <c r="E410" s="14" t="str">
        <f>IF(ROW()&lt;=Results!$C$1+1,IF(D410&lt;=0,"",LN(D410)),"")</f>
        <v/>
      </c>
      <c r="F410" s="53" t="str">
        <f>IF(ROW()&lt;=Results!$C$1+1,IF(ISERROR(C410-E410),"",C410-E410),"")</f>
        <v/>
      </c>
    </row>
    <row r="411" spans="1:6" x14ac:dyDescent="0.2">
      <c r="A411" s="1" t="str">
        <f ca="1">IF(ROW()&lt;=Results!$C$1+1,INDEX(Data!$A:$A,CEILING((COUNTA(Data!$A:$A)-1)*RAND()+1,1)),"")</f>
        <v/>
      </c>
      <c r="B411" s="1" t="str">
        <f>IF(ROW()&lt;=Results!$C$1+1,VLOOKUP($A411,Data!$A$2:$C$117,2,TRUE),"")</f>
        <v/>
      </c>
      <c r="C411" s="14" t="str">
        <f>IF(ROW()&lt;=Results!$C$1+1,IF(B411&lt;=0,"",LN(B411)),"")</f>
        <v/>
      </c>
      <c r="D411" s="1" t="str">
        <f>IF(ROW()&lt;=Results!$C$1+1,VLOOKUP($A411,Data!$A$2:$C$117,3,TRUE),"")</f>
        <v/>
      </c>
      <c r="E411" s="14" t="str">
        <f>IF(ROW()&lt;=Results!$C$1+1,IF(D411&lt;=0,"",LN(D411)),"")</f>
        <v/>
      </c>
      <c r="F411" s="53" t="str">
        <f>IF(ROW()&lt;=Results!$C$1+1,IF(ISERROR(C411-E411),"",C411-E411),"")</f>
        <v/>
      </c>
    </row>
    <row r="412" spans="1:6" x14ac:dyDescent="0.2">
      <c r="A412" s="1" t="str">
        <f ca="1">IF(ROW()&lt;=Results!$C$1+1,INDEX(Data!$A:$A,CEILING((COUNTA(Data!$A:$A)-1)*RAND()+1,1)),"")</f>
        <v/>
      </c>
      <c r="B412" s="1" t="str">
        <f>IF(ROW()&lt;=Results!$C$1+1,VLOOKUP($A412,Data!$A$2:$C$117,2,TRUE),"")</f>
        <v/>
      </c>
      <c r="C412" s="14" t="str">
        <f>IF(ROW()&lt;=Results!$C$1+1,IF(B412&lt;=0,"",LN(B412)),"")</f>
        <v/>
      </c>
      <c r="D412" s="1" t="str">
        <f>IF(ROW()&lt;=Results!$C$1+1,VLOOKUP($A412,Data!$A$2:$C$117,3,TRUE),"")</f>
        <v/>
      </c>
      <c r="E412" s="14" t="str">
        <f>IF(ROW()&lt;=Results!$C$1+1,IF(D412&lt;=0,"",LN(D412)),"")</f>
        <v/>
      </c>
      <c r="F412" s="53" t="str">
        <f>IF(ROW()&lt;=Results!$C$1+1,IF(ISERROR(C412-E412),"",C412-E412),"")</f>
        <v/>
      </c>
    </row>
    <row r="413" spans="1:6" x14ac:dyDescent="0.2">
      <c r="A413" s="1" t="str">
        <f ca="1">IF(ROW()&lt;=Results!$C$1+1,INDEX(Data!$A:$A,CEILING((COUNTA(Data!$A:$A)-1)*RAND()+1,1)),"")</f>
        <v/>
      </c>
      <c r="B413" s="1" t="str">
        <f>IF(ROW()&lt;=Results!$C$1+1,VLOOKUP($A413,Data!$A$2:$C$117,2,TRUE),"")</f>
        <v/>
      </c>
      <c r="C413" s="14" t="str">
        <f>IF(ROW()&lt;=Results!$C$1+1,IF(B413&lt;=0,"",LN(B413)),"")</f>
        <v/>
      </c>
      <c r="D413" s="1" t="str">
        <f>IF(ROW()&lt;=Results!$C$1+1,VLOOKUP($A413,Data!$A$2:$C$117,3,TRUE),"")</f>
        <v/>
      </c>
      <c r="E413" s="14" t="str">
        <f>IF(ROW()&lt;=Results!$C$1+1,IF(D413&lt;=0,"",LN(D413)),"")</f>
        <v/>
      </c>
      <c r="F413" s="53" t="str">
        <f>IF(ROW()&lt;=Results!$C$1+1,IF(ISERROR(C413-E413),"",C413-E413),"")</f>
        <v/>
      </c>
    </row>
    <row r="414" spans="1:6" x14ac:dyDescent="0.2">
      <c r="A414" s="1" t="str">
        <f ca="1">IF(ROW()&lt;=Results!$C$1+1,INDEX(Data!$A:$A,CEILING((COUNTA(Data!$A:$A)-1)*RAND()+1,1)),"")</f>
        <v/>
      </c>
      <c r="B414" s="1" t="str">
        <f>IF(ROW()&lt;=Results!$C$1+1,VLOOKUP($A414,Data!$A$2:$C$117,2,TRUE),"")</f>
        <v/>
      </c>
      <c r="C414" s="14" t="str">
        <f>IF(ROW()&lt;=Results!$C$1+1,IF(B414&lt;=0,"",LN(B414)),"")</f>
        <v/>
      </c>
      <c r="D414" s="1" t="str">
        <f>IF(ROW()&lt;=Results!$C$1+1,VLOOKUP($A414,Data!$A$2:$C$117,3,TRUE),"")</f>
        <v/>
      </c>
      <c r="E414" s="14" t="str">
        <f>IF(ROW()&lt;=Results!$C$1+1,IF(D414&lt;=0,"",LN(D414)),"")</f>
        <v/>
      </c>
      <c r="F414" s="53" t="str">
        <f>IF(ROW()&lt;=Results!$C$1+1,IF(ISERROR(C414-E414),"",C414-E414),"")</f>
        <v/>
      </c>
    </row>
    <row r="415" spans="1:6" x14ac:dyDescent="0.2">
      <c r="A415" s="1" t="str">
        <f ca="1">IF(ROW()&lt;=Results!$C$1+1,INDEX(Data!$A:$A,CEILING((COUNTA(Data!$A:$A)-1)*RAND()+1,1)),"")</f>
        <v/>
      </c>
      <c r="B415" s="1" t="str">
        <f>IF(ROW()&lt;=Results!$C$1+1,VLOOKUP($A415,Data!$A$2:$C$117,2,TRUE),"")</f>
        <v/>
      </c>
      <c r="C415" s="14" t="str">
        <f>IF(ROW()&lt;=Results!$C$1+1,IF(B415&lt;=0,"",LN(B415)),"")</f>
        <v/>
      </c>
      <c r="D415" s="1" t="str">
        <f>IF(ROW()&lt;=Results!$C$1+1,VLOOKUP($A415,Data!$A$2:$C$117,3,TRUE),"")</f>
        <v/>
      </c>
      <c r="E415" s="14" t="str">
        <f>IF(ROW()&lt;=Results!$C$1+1,IF(D415&lt;=0,"",LN(D415)),"")</f>
        <v/>
      </c>
      <c r="F415" s="53" t="str">
        <f>IF(ROW()&lt;=Results!$C$1+1,IF(ISERROR(C415-E415),"",C415-E415),"")</f>
        <v/>
      </c>
    </row>
    <row r="416" spans="1:6" x14ac:dyDescent="0.2">
      <c r="A416" s="1" t="str">
        <f ca="1">IF(ROW()&lt;=Results!$C$1+1,INDEX(Data!$A:$A,CEILING((COUNTA(Data!$A:$A)-1)*RAND()+1,1)),"")</f>
        <v/>
      </c>
      <c r="B416" s="1" t="str">
        <f>IF(ROW()&lt;=Results!$C$1+1,VLOOKUP($A416,Data!$A$2:$C$117,2,TRUE),"")</f>
        <v/>
      </c>
      <c r="C416" s="14" t="str">
        <f>IF(ROW()&lt;=Results!$C$1+1,IF(B416&lt;=0,"",LN(B416)),"")</f>
        <v/>
      </c>
      <c r="D416" s="1" t="str">
        <f>IF(ROW()&lt;=Results!$C$1+1,VLOOKUP($A416,Data!$A$2:$C$117,3,TRUE),"")</f>
        <v/>
      </c>
      <c r="E416" s="14" t="str">
        <f>IF(ROW()&lt;=Results!$C$1+1,IF(D416&lt;=0,"",LN(D416)),"")</f>
        <v/>
      </c>
      <c r="F416" s="53" t="str">
        <f>IF(ROW()&lt;=Results!$C$1+1,IF(ISERROR(C416-E416),"",C416-E416),"")</f>
        <v/>
      </c>
    </row>
    <row r="417" spans="1:6" x14ac:dyDescent="0.2">
      <c r="A417" s="1" t="str">
        <f ca="1">IF(ROW()&lt;=Results!$C$1+1,INDEX(Data!$A:$A,CEILING((COUNTA(Data!$A:$A)-1)*RAND()+1,1)),"")</f>
        <v/>
      </c>
      <c r="B417" s="1" t="str">
        <f>IF(ROW()&lt;=Results!$C$1+1,VLOOKUP($A417,Data!$A$2:$C$117,2,TRUE),"")</f>
        <v/>
      </c>
      <c r="C417" s="14" t="str">
        <f>IF(ROW()&lt;=Results!$C$1+1,IF(B417&lt;=0,"",LN(B417)),"")</f>
        <v/>
      </c>
      <c r="D417" s="1" t="str">
        <f>IF(ROW()&lt;=Results!$C$1+1,VLOOKUP($A417,Data!$A$2:$C$117,3,TRUE),"")</f>
        <v/>
      </c>
      <c r="E417" s="14" t="str">
        <f>IF(ROW()&lt;=Results!$C$1+1,IF(D417&lt;=0,"",LN(D417)),"")</f>
        <v/>
      </c>
      <c r="F417" s="53" t="str">
        <f>IF(ROW()&lt;=Results!$C$1+1,IF(ISERROR(C417-E417),"",C417-E417),"")</f>
        <v/>
      </c>
    </row>
    <row r="418" spans="1:6" x14ac:dyDescent="0.2">
      <c r="A418" s="1" t="str">
        <f ca="1">IF(ROW()&lt;=Results!$C$1+1,INDEX(Data!$A:$A,CEILING((COUNTA(Data!$A:$A)-1)*RAND()+1,1)),"")</f>
        <v/>
      </c>
      <c r="B418" s="1" t="str">
        <f>IF(ROW()&lt;=Results!$C$1+1,VLOOKUP($A418,Data!$A$2:$C$117,2,TRUE),"")</f>
        <v/>
      </c>
      <c r="C418" s="14" t="str">
        <f>IF(ROW()&lt;=Results!$C$1+1,IF(B418&lt;=0,"",LN(B418)),"")</f>
        <v/>
      </c>
      <c r="D418" s="1" t="str">
        <f>IF(ROW()&lt;=Results!$C$1+1,VLOOKUP($A418,Data!$A$2:$C$117,3,TRUE),"")</f>
        <v/>
      </c>
      <c r="E418" s="14" t="str">
        <f>IF(ROW()&lt;=Results!$C$1+1,IF(D418&lt;=0,"",LN(D418)),"")</f>
        <v/>
      </c>
      <c r="F418" s="53" t="str">
        <f>IF(ROW()&lt;=Results!$C$1+1,IF(ISERROR(C418-E418),"",C418-E418),"")</f>
        <v/>
      </c>
    </row>
    <row r="419" spans="1:6" x14ac:dyDescent="0.2">
      <c r="A419" s="1" t="str">
        <f ca="1">IF(ROW()&lt;=Results!$C$1+1,INDEX(Data!$A:$A,CEILING((COUNTA(Data!$A:$A)-1)*RAND()+1,1)),"")</f>
        <v/>
      </c>
      <c r="B419" s="1" t="str">
        <f>IF(ROW()&lt;=Results!$C$1+1,VLOOKUP($A419,Data!$A$2:$C$117,2,TRUE),"")</f>
        <v/>
      </c>
      <c r="C419" s="14" t="str">
        <f>IF(ROW()&lt;=Results!$C$1+1,IF(B419&lt;=0,"",LN(B419)),"")</f>
        <v/>
      </c>
      <c r="D419" s="1" t="str">
        <f>IF(ROW()&lt;=Results!$C$1+1,VLOOKUP($A419,Data!$A$2:$C$117,3,TRUE),"")</f>
        <v/>
      </c>
      <c r="E419" s="14" t="str">
        <f>IF(ROW()&lt;=Results!$C$1+1,IF(D419&lt;=0,"",LN(D419)),"")</f>
        <v/>
      </c>
      <c r="F419" s="53" t="str">
        <f>IF(ROW()&lt;=Results!$C$1+1,IF(ISERROR(C419-E419),"",C419-E419),"")</f>
        <v/>
      </c>
    </row>
    <row r="420" spans="1:6" x14ac:dyDescent="0.2">
      <c r="A420" s="1" t="str">
        <f ca="1">IF(ROW()&lt;=Results!$C$1+1,INDEX(Data!$A:$A,CEILING((COUNTA(Data!$A:$A)-1)*RAND()+1,1)),"")</f>
        <v/>
      </c>
      <c r="B420" s="1" t="str">
        <f>IF(ROW()&lt;=Results!$C$1+1,VLOOKUP($A420,Data!$A$2:$C$117,2,TRUE),"")</f>
        <v/>
      </c>
      <c r="C420" s="14" t="str">
        <f>IF(ROW()&lt;=Results!$C$1+1,IF(B420&lt;=0,"",LN(B420)),"")</f>
        <v/>
      </c>
      <c r="D420" s="1" t="str">
        <f>IF(ROW()&lt;=Results!$C$1+1,VLOOKUP($A420,Data!$A$2:$C$117,3,TRUE),"")</f>
        <v/>
      </c>
      <c r="E420" s="14" t="str">
        <f>IF(ROW()&lt;=Results!$C$1+1,IF(D420&lt;=0,"",LN(D420)),"")</f>
        <v/>
      </c>
      <c r="F420" s="53" t="str">
        <f>IF(ROW()&lt;=Results!$C$1+1,IF(ISERROR(C420-E420),"",C420-E420),"")</f>
        <v/>
      </c>
    </row>
    <row r="421" spans="1:6" x14ac:dyDescent="0.2">
      <c r="A421" s="1" t="str">
        <f ca="1">IF(ROW()&lt;=Results!$C$1+1,INDEX(Data!$A:$A,CEILING((COUNTA(Data!$A:$A)-1)*RAND()+1,1)),"")</f>
        <v/>
      </c>
      <c r="B421" s="1" t="str">
        <f>IF(ROW()&lt;=Results!$C$1+1,VLOOKUP($A421,Data!$A$2:$C$117,2,TRUE),"")</f>
        <v/>
      </c>
      <c r="C421" s="14" t="str">
        <f>IF(ROW()&lt;=Results!$C$1+1,IF(B421&lt;=0,"",LN(B421)),"")</f>
        <v/>
      </c>
      <c r="D421" s="1" t="str">
        <f>IF(ROW()&lt;=Results!$C$1+1,VLOOKUP($A421,Data!$A$2:$C$117,3,TRUE),"")</f>
        <v/>
      </c>
      <c r="E421" s="14" t="str">
        <f>IF(ROW()&lt;=Results!$C$1+1,IF(D421&lt;=0,"",LN(D421)),"")</f>
        <v/>
      </c>
      <c r="F421" s="53" t="str">
        <f>IF(ROW()&lt;=Results!$C$1+1,IF(ISERROR(C421-E421),"",C421-E421),"")</f>
        <v/>
      </c>
    </row>
    <row r="422" spans="1:6" x14ac:dyDescent="0.2">
      <c r="A422" s="1" t="str">
        <f ca="1">IF(ROW()&lt;=Results!$C$1+1,INDEX(Data!$A:$A,CEILING((COUNTA(Data!$A:$A)-1)*RAND()+1,1)),"")</f>
        <v/>
      </c>
      <c r="B422" s="1" t="str">
        <f>IF(ROW()&lt;=Results!$C$1+1,VLOOKUP($A422,Data!$A$2:$C$117,2,TRUE),"")</f>
        <v/>
      </c>
      <c r="C422" s="14" t="str">
        <f>IF(ROW()&lt;=Results!$C$1+1,IF(B422&lt;=0,"",LN(B422)),"")</f>
        <v/>
      </c>
      <c r="D422" s="1" t="str">
        <f>IF(ROW()&lt;=Results!$C$1+1,VLOOKUP($A422,Data!$A$2:$C$117,3,TRUE),"")</f>
        <v/>
      </c>
      <c r="E422" s="14" t="str">
        <f>IF(ROW()&lt;=Results!$C$1+1,IF(D422&lt;=0,"",LN(D422)),"")</f>
        <v/>
      </c>
      <c r="F422" s="53" t="str">
        <f>IF(ROW()&lt;=Results!$C$1+1,IF(ISERROR(C422-E422),"",C422-E422),"")</f>
        <v/>
      </c>
    </row>
    <row r="423" spans="1:6" x14ac:dyDescent="0.2">
      <c r="A423" s="1" t="str">
        <f ca="1">IF(ROW()&lt;=Results!$C$1+1,INDEX(Data!$A:$A,CEILING((COUNTA(Data!$A:$A)-1)*RAND()+1,1)),"")</f>
        <v/>
      </c>
      <c r="B423" s="1" t="str">
        <f>IF(ROW()&lt;=Results!$C$1+1,VLOOKUP($A423,Data!$A$2:$C$117,2,TRUE),"")</f>
        <v/>
      </c>
      <c r="C423" s="14" t="str">
        <f>IF(ROW()&lt;=Results!$C$1+1,IF(B423&lt;=0,"",LN(B423)),"")</f>
        <v/>
      </c>
      <c r="D423" s="1" t="str">
        <f>IF(ROW()&lt;=Results!$C$1+1,VLOOKUP($A423,Data!$A$2:$C$117,3,TRUE),"")</f>
        <v/>
      </c>
      <c r="E423" s="14" t="str">
        <f>IF(ROW()&lt;=Results!$C$1+1,IF(D423&lt;=0,"",LN(D423)),"")</f>
        <v/>
      </c>
      <c r="F423" s="53" t="str">
        <f>IF(ROW()&lt;=Results!$C$1+1,IF(ISERROR(C423-E423),"",C423-E423),"")</f>
        <v/>
      </c>
    </row>
    <row r="424" spans="1:6" x14ac:dyDescent="0.2">
      <c r="A424" s="1" t="str">
        <f ca="1">IF(ROW()&lt;=Results!$C$1+1,INDEX(Data!$A:$A,CEILING((COUNTA(Data!$A:$A)-1)*RAND()+1,1)),"")</f>
        <v/>
      </c>
      <c r="B424" s="1" t="str">
        <f>IF(ROW()&lt;=Results!$C$1+1,VLOOKUP($A424,Data!$A$2:$C$117,2,TRUE),"")</f>
        <v/>
      </c>
      <c r="C424" s="14" t="str">
        <f>IF(ROW()&lt;=Results!$C$1+1,IF(B424&lt;=0,"",LN(B424)),"")</f>
        <v/>
      </c>
      <c r="D424" s="1" t="str">
        <f>IF(ROW()&lt;=Results!$C$1+1,VLOOKUP($A424,Data!$A$2:$C$117,3,TRUE),"")</f>
        <v/>
      </c>
      <c r="E424" s="14" t="str">
        <f>IF(ROW()&lt;=Results!$C$1+1,IF(D424&lt;=0,"",LN(D424)),"")</f>
        <v/>
      </c>
      <c r="F424" s="53" t="str">
        <f>IF(ROW()&lt;=Results!$C$1+1,IF(ISERROR(C424-E424),"",C424-E424),"")</f>
        <v/>
      </c>
    </row>
    <row r="425" spans="1:6" x14ac:dyDescent="0.2">
      <c r="A425" s="1" t="str">
        <f ca="1">IF(ROW()&lt;=Results!$C$1+1,INDEX(Data!$A:$A,CEILING((COUNTA(Data!$A:$A)-1)*RAND()+1,1)),"")</f>
        <v/>
      </c>
      <c r="B425" s="1" t="str">
        <f>IF(ROW()&lt;=Results!$C$1+1,VLOOKUP($A425,Data!$A$2:$C$117,2,TRUE),"")</f>
        <v/>
      </c>
      <c r="C425" s="14" t="str">
        <f>IF(ROW()&lt;=Results!$C$1+1,IF(B425&lt;=0,"",LN(B425)),"")</f>
        <v/>
      </c>
      <c r="D425" s="1" t="str">
        <f>IF(ROW()&lt;=Results!$C$1+1,VLOOKUP($A425,Data!$A$2:$C$117,3,TRUE),"")</f>
        <v/>
      </c>
      <c r="E425" s="14" t="str">
        <f>IF(ROW()&lt;=Results!$C$1+1,IF(D425&lt;=0,"",LN(D425)),"")</f>
        <v/>
      </c>
      <c r="F425" s="53" t="str">
        <f>IF(ROW()&lt;=Results!$C$1+1,IF(ISERROR(C425-E425),"",C425-E425),"")</f>
        <v/>
      </c>
    </row>
    <row r="426" spans="1:6" x14ac:dyDescent="0.2">
      <c r="A426" s="1" t="str">
        <f ca="1">IF(ROW()&lt;=Results!$C$1+1,INDEX(Data!$A:$A,CEILING((COUNTA(Data!$A:$A)-1)*RAND()+1,1)),"")</f>
        <v/>
      </c>
      <c r="B426" s="1" t="str">
        <f>IF(ROW()&lt;=Results!$C$1+1,VLOOKUP($A426,Data!$A$2:$C$117,2,TRUE),"")</f>
        <v/>
      </c>
      <c r="C426" s="14" t="str">
        <f>IF(ROW()&lt;=Results!$C$1+1,IF(B426&lt;=0,"",LN(B426)),"")</f>
        <v/>
      </c>
      <c r="D426" s="1" t="str">
        <f>IF(ROW()&lt;=Results!$C$1+1,VLOOKUP($A426,Data!$A$2:$C$117,3,TRUE),"")</f>
        <v/>
      </c>
      <c r="E426" s="14" t="str">
        <f>IF(ROW()&lt;=Results!$C$1+1,IF(D426&lt;=0,"",LN(D426)),"")</f>
        <v/>
      </c>
      <c r="F426" s="53" t="str">
        <f>IF(ROW()&lt;=Results!$C$1+1,IF(ISERROR(C426-E426),"",C426-E426),"")</f>
        <v/>
      </c>
    </row>
    <row r="427" spans="1:6" x14ac:dyDescent="0.2">
      <c r="A427" s="1" t="str">
        <f ca="1">IF(ROW()&lt;=Results!$C$1+1,INDEX(Data!$A:$A,CEILING((COUNTA(Data!$A:$A)-1)*RAND()+1,1)),"")</f>
        <v/>
      </c>
      <c r="B427" s="1" t="str">
        <f>IF(ROW()&lt;=Results!$C$1+1,VLOOKUP($A427,Data!$A$2:$C$117,2,TRUE),"")</f>
        <v/>
      </c>
      <c r="C427" s="14" t="str">
        <f>IF(ROW()&lt;=Results!$C$1+1,IF(B427&lt;=0,"",LN(B427)),"")</f>
        <v/>
      </c>
      <c r="D427" s="1" t="str">
        <f>IF(ROW()&lt;=Results!$C$1+1,VLOOKUP($A427,Data!$A$2:$C$117,3,TRUE),"")</f>
        <v/>
      </c>
      <c r="E427" s="14" t="str">
        <f>IF(ROW()&lt;=Results!$C$1+1,IF(D427&lt;=0,"",LN(D427)),"")</f>
        <v/>
      </c>
      <c r="F427" s="53" t="str">
        <f>IF(ROW()&lt;=Results!$C$1+1,IF(ISERROR(C427-E427),"",C427-E427),"")</f>
        <v/>
      </c>
    </row>
    <row r="428" spans="1:6" x14ac:dyDescent="0.2">
      <c r="A428" s="1" t="str">
        <f ca="1">IF(ROW()&lt;=Results!$C$1+1,INDEX(Data!$A:$A,CEILING((COUNTA(Data!$A:$A)-1)*RAND()+1,1)),"")</f>
        <v/>
      </c>
      <c r="B428" s="1" t="str">
        <f>IF(ROW()&lt;=Results!$C$1+1,VLOOKUP($A428,Data!$A$2:$C$117,2,TRUE),"")</f>
        <v/>
      </c>
      <c r="C428" s="14" t="str">
        <f>IF(ROW()&lt;=Results!$C$1+1,IF(B428&lt;=0,"",LN(B428)),"")</f>
        <v/>
      </c>
      <c r="D428" s="1" t="str">
        <f>IF(ROW()&lt;=Results!$C$1+1,VLOOKUP($A428,Data!$A$2:$C$117,3,TRUE),"")</f>
        <v/>
      </c>
      <c r="E428" s="14" t="str">
        <f>IF(ROW()&lt;=Results!$C$1+1,IF(D428&lt;=0,"",LN(D428)),"")</f>
        <v/>
      </c>
      <c r="F428" s="53" t="str">
        <f>IF(ROW()&lt;=Results!$C$1+1,IF(ISERROR(C428-E428),"",C428-E428),"")</f>
        <v/>
      </c>
    </row>
    <row r="429" spans="1:6" x14ac:dyDescent="0.2">
      <c r="A429" s="1" t="str">
        <f ca="1">IF(ROW()&lt;=Results!$C$1+1,INDEX(Data!$A:$A,CEILING((COUNTA(Data!$A:$A)-1)*RAND()+1,1)),"")</f>
        <v/>
      </c>
      <c r="B429" s="1" t="str">
        <f>IF(ROW()&lt;=Results!$C$1+1,VLOOKUP($A429,Data!$A$2:$C$117,2,TRUE),"")</f>
        <v/>
      </c>
      <c r="C429" s="14" t="str">
        <f>IF(ROW()&lt;=Results!$C$1+1,IF(B429&lt;=0,"",LN(B429)),"")</f>
        <v/>
      </c>
      <c r="D429" s="1" t="str">
        <f>IF(ROW()&lt;=Results!$C$1+1,VLOOKUP($A429,Data!$A$2:$C$117,3,TRUE),"")</f>
        <v/>
      </c>
      <c r="E429" s="14" t="str">
        <f>IF(ROW()&lt;=Results!$C$1+1,IF(D429&lt;=0,"",LN(D429)),"")</f>
        <v/>
      </c>
      <c r="F429" s="53" t="str">
        <f>IF(ROW()&lt;=Results!$C$1+1,IF(ISERROR(C429-E429),"",C429-E429),"")</f>
        <v/>
      </c>
    </row>
    <row r="430" spans="1:6" x14ac:dyDescent="0.2">
      <c r="A430" s="1" t="str">
        <f ca="1">IF(ROW()&lt;=Results!$C$1+1,INDEX(Data!$A:$A,CEILING((COUNTA(Data!$A:$A)-1)*RAND()+1,1)),"")</f>
        <v/>
      </c>
      <c r="B430" s="1" t="str">
        <f>IF(ROW()&lt;=Results!$C$1+1,VLOOKUP($A430,Data!$A$2:$C$117,2,TRUE),"")</f>
        <v/>
      </c>
      <c r="C430" s="14" t="str">
        <f>IF(ROW()&lt;=Results!$C$1+1,IF(B430&lt;=0,"",LN(B430)),"")</f>
        <v/>
      </c>
      <c r="D430" s="1" t="str">
        <f>IF(ROW()&lt;=Results!$C$1+1,VLOOKUP($A430,Data!$A$2:$C$117,3,TRUE),"")</f>
        <v/>
      </c>
      <c r="E430" s="14" t="str">
        <f>IF(ROW()&lt;=Results!$C$1+1,IF(D430&lt;=0,"",LN(D430)),"")</f>
        <v/>
      </c>
      <c r="F430" s="53" t="str">
        <f>IF(ROW()&lt;=Results!$C$1+1,IF(ISERROR(C430-E430),"",C430-E430),"")</f>
        <v/>
      </c>
    </row>
    <row r="431" spans="1:6" x14ac:dyDescent="0.2">
      <c r="A431" s="1" t="str">
        <f ca="1">IF(ROW()&lt;=Results!$C$1+1,INDEX(Data!$A:$A,CEILING((COUNTA(Data!$A:$A)-1)*RAND()+1,1)),"")</f>
        <v/>
      </c>
      <c r="B431" s="1" t="str">
        <f>IF(ROW()&lt;=Results!$C$1+1,VLOOKUP($A431,Data!$A$2:$C$117,2,TRUE),"")</f>
        <v/>
      </c>
      <c r="C431" s="14" t="str">
        <f>IF(ROW()&lt;=Results!$C$1+1,IF(B431&lt;=0,"",LN(B431)),"")</f>
        <v/>
      </c>
      <c r="D431" s="1" t="str">
        <f>IF(ROW()&lt;=Results!$C$1+1,VLOOKUP($A431,Data!$A$2:$C$117,3,TRUE),"")</f>
        <v/>
      </c>
      <c r="E431" s="14" t="str">
        <f>IF(ROW()&lt;=Results!$C$1+1,IF(D431&lt;=0,"",LN(D431)),"")</f>
        <v/>
      </c>
      <c r="F431" s="53" t="str">
        <f>IF(ROW()&lt;=Results!$C$1+1,IF(ISERROR(C431-E431),"",C431-E431),"")</f>
        <v/>
      </c>
    </row>
    <row r="432" spans="1:6" x14ac:dyDescent="0.2">
      <c r="A432" s="1" t="str">
        <f ca="1">IF(ROW()&lt;=Results!$C$1+1,INDEX(Data!$A:$A,CEILING((COUNTA(Data!$A:$A)-1)*RAND()+1,1)),"")</f>
        <v/>
      </c>
      <c r="B432" s="1" t="str">
        <f>IF(ROW()&lt;=Results!$C$1+1,VLOOKUP($A432,Data!$A$2:$C$117,2,TRUE),"")</f>
        <v/>
      </c>
      <c r="C432" s="14" t="str">
        <f>IF(ROW()&lt;=Results!$C$1+1,IF(B432&lt;=0,"",LN(B432)),"")</f>
        <v/>
      </c>
      <c r="D432" s="1" t="str">
        <f>IF(ROW()&lt;=Results!$C$1+1,VLOOKUP($A432,Data!$A$2:$C$117,3,TRUE),"")</f>
        <v/>
      </c>
      <c r="E432" s="14" t="str">
        <f>IF(ROW()&lt;=Results!$C$1+1,IF(D432&lt;=0,"",LN(D432)),"")</f>
        <v/>
      </c>
      <c r="F432" s="53" t="str">
        <f>IF(ROW()&lt;=Results!$C$1+1,IF(ISERROR(C432-E432),"",C432-E432),"")</f>
        <v/>
      </c>
    </row>
    <row r="433" spans="1:6" x14ac:dyDescent="0.2">
      <c r="A433" s="1" t="str">
        <f ca="1">IF(ROW()&lt;=Results!$C$1+1,INDEX(Data!$A:$A,CEILING((COUNTA(Data!$A:$A)-1)*RAND()+1,1)),"")</f>
        <v/>
      </c>
      <c r="B433" s="1" t="str">
        <f>IF(ROW()&lt;=Results!$C$1+1,VLOOKUP($A433,Data!$A$2:$C$117,2,TRUE),"")</f>
        <v/>
      </c>
      <c r="C433" s="14" t="str">
        <f>IF(ROW()&lt;=Results!$C$1+1,IF(B433&lt;=0,"",LN(B433)),"")</f>
        <v/>
      </c>
      <c r="D433" s="1" t="str">
        <f>IF(ROW()&lt;=Results!$C$1+1,VLOOKUP($A433,Data!$A$2:$C$117,3,TRUE),"")</f>
        <v/>
      </c>
      <c r="E433" s="14" t="str">
        <f>IF(ROW()&lt;=Results!$C$1+1,IF(D433&lt;=0,"",LN(D433)),"")</f>
        <v/>
      </c>
      <c r="F433" s="53" t="str">
        <f>IF(ROW()&lt;=Results!$C$1+1,IF(ISERROR(C433-E433),"",C433-E433),"")</f>
        <v/>
      </c>
    </row>
    <row r="434" spans="1:6" x14ac:dyDescent="0.2">
      <c r="A434" s="1" t="str">
        <f ca="1">IF(ROW()&lt;=Results!$C$1+1,INDEX(Data!$A:$A,CEILING((COUNTA(Data!$A:$A)-1)*RAND()+1,1)),"")</f>
        <v/>
      </c>
      <c r="B434" s="1" t="str">
        <f>IF(ROW()&lt;=Results!$C$1+1,VLOOKUP($A434,Data!$A$2:$C$117,2,TRUE),"")</f>
        <v/>
      </c>
      <c r="C434" s="14" t="str">
        <f>IF(ROW()&lt;=Results!$C$1+1,IF(B434&lt;=0,"",LN(B434)),"")</f>
        <v/>
      </c>
      <c r="D434" s="1" t="str">
        <f>IF(ROW()&lt;=Results!$C$1+1,VLOOKUP($A434,Data!$A$2:$C$117,3,TRUE),"")</f>
        <v/>
      </c>
      <c r="E434" s="14" t="str">
        <f>IF(ROW()&lt;=Results!$C$1+1,IF(D434&lt;=0,"",LN(D434)),"")</f>
        <v/>
      </c>
      <c r="F434" s="53" t="str">
        <f>IF(ROW()&lt;=Results!$C$1+1,IF(ISERROR(C434-E434),"",C434-E434),"")</f>
        <v/>
      </c>
    </row>
    <row r="435" spans="1:6" x14ac:dyDescent="0.2">
      <c r="A435" s="1" t="str">
        <f ca="1">IF(ROW()&lt;=Results!$C$1+1,INDEX(Data!$A:$A,CEILING((COUNTA(Data!$A:$A)-1)*RAND()+1,1)),"")</f>
        <v/>
      </c>
      <c r="B435" s="1" t="str">
        <f>IF(ROW()&lt;=Results!$C$1+1,VLOOKUP($A435,Data!$A$2:$C$117,2,TRUE),"")</f>
        <v/>
      </c>
      <c r="C435" s="14" t="str">
        <f>IF(ROW()&lt;=Results!$C$1+1,IF(B435&lt;=0,"",LN(B435)),"")</f>
        <v/>
      </c>
      <c r="D435" s="1" t="str">
        <f>IF(ROW()&lt;=Results!$C$1+1,VLOOKUP($A435,Data!$A$2:$C$117,3,TRUE),"")</f>
        <v/>
      </c>
      <c r="E435" s="14" t="str">
        <f>IF(ROW()&lt;=Results!$C$1+1,IF(D435&lt;=0,"",LN(D435)),"")</f>
        <v/>
      </c>
      <c r="F435" s="53" t="str">
        <f>IF(ROW()&lt;=Results!$C$1+1,IF(ISERROR(C435-E435),"",C435-E435),"")</f>
        <v/>
      </c>
    </row>
    <row r="436" spans="1:6" x14ac:dyDescent="0.2">
      <c r="A436" s="1" t="str">
        <f ca="1">IF(ROW()&lt;=Results!$C$1+1,INDEX(Data!$A:$A,CEILING((COUNTA(Data!$A:$A)-1)*RAND()+1,1)),"")</f>
        <v/>
      </c>
      <c r="B436" s="1" t="str">
        <f>IF(ROW()&lt;=Results!$C$1+1,VLOOKUP($A436,Data!$A$2:$C$117,2,TRUE),"")</f>
        <v/>
      </c>
      <c r="C436" s="14" t="str">
        <f>IF(ROW()&lt;=Results!$C$1+1,IF(B436&lt;=0,"",LN(B436)),"")</f>
        <v/>
      </c>
      <c r="D436" s="1" t="str">
        <f>IF(ROW()&lt;=Results!$C$1+1,VLOOKUP($A436,Data!$A$2:$C$117,3,TRUE),"")</f>
        <v/>
      </c>
      <c r="E436" s="14" t="str">
        <f>IF(ROW()&lt;=Results!$C$1+1,IF(D436&lt;=0,"",LN(D436)),"")</f>
        <v/>
      </c>
      <c r="F436" s="53" t="str">
        <f>IF(ROW()&lt;=Results!$C$1+1,IF(ISERROR(C436-E436),"",C436-E436),"")</f>
        <v/>
      </c>
    </row>
    <row r="437" spans="1:6" x14ac:dyDescent="0.2">
      <c r="A437" s="1" t="str">
        <f ca="1">IF(ROW()&lt;=Results!$C$1+1,INDEX(Data!$A:$A,CEILING((COUNTA(Data!$A:$A)-1)*RAND()+1,1)),"")</f>
        <v/>
      </c>
      <c r="B437" s="1" t="str">
        <f>IF(ROW()&lt;=Results!$C$1+1,VLOOKUP($A437,Data!$A$2:$C$117,2,TRUE),"")</f>
        <v/>
      </c>
      <c r="C437" s="14" t="str">
        <f>IF(ROW()&lt;=Results!$C$1+1,IF(B437&lt;=0,"",LN(B437)),"")</f>
        <v/>
      </c>
      <c r="D437" s="1" t="str">
        <f>IF(ROW()&lt;=Results!$C$1+1,VLOOKUP($A437,Data!$A$2:$C$117,3,TRUE),"")</f>
        <v/>
      </c>
      <c r="E437" s="14" t="str">
        <f>IF(ROW()&lt;=Results!$C$1+1,IF(D437&lt;=0,"",LN(D437)),"")</f>
        <v/>
      </c>
      <c r="F437" s="53" t="str">
        <f>IF(ROW()&lt;=Results!$C$1+1,IF(ISERROR(C437-E437),"",C437-E437),"")</f>
        <v/>
      </c>
    </row>
    <row r="438" spans="1:6" x14ac:dyDescent="0.2">
      <c r="A438" s="1" t="str">
        <f ca="1">IF(ROW()&lt;=Results!$C$1+1,INDEX(Data!$A:$A,CEILING((COUNTA(Data!$A:$A)-1)*RAND()+1,1)),"")</f>
        <v/>
      </c>
      <c r="B438" s="1" t="str">
        <f>IF(ROW()&lt;=Results!$C$1+1,VLOOKUP($A438,Data!$A$2:$C$117,2,TRUE),"")</f>
        <v/>
      </c>
      <c r="C438" s="14" t="str">
        <f>IF(ROW()&lt;=Results!$C$1+1,IF(B438&lt;=0,"",LN(B438)),"")</f>
        <v/>
      </c>
      <c r="D438" s="1" t="str">
        <f>IF(ROW()&lt;=Results!$C$1+1,VLOOKUP($A438,Data!$A$2:$C$117,3,TRUE),"")</f>
        <v/>
      </c>
      <c r="E438" s="14" t="str">
        <f>IF(ROW()&lt;=Results!$C$1+1,IF(D438&lt;=0,"",LN(D438)),"")</f>
        <v/>
      </c>
      <c r="F438" s="53" t="str">
        <f>IF(ROW()&lt;=Results!$C$1+1,IF(ISERROR(C438-E438),"",C438-E438),"")</f>
        <v/>
      </c>
    </row>
    <row r="439" spans="1:6" x14ac:dyDescent="0.2">
      <c r="A439" s="1" t="str">
        <f ca="1">IF(ROW()&lt;=Results!$C$1+1,INDEX(Data!$A:$A,CEILING((COUNTA(Data!$A:$A)-1)*RAND()+1,1)),"")</f>
        <v/>
      </c>
      <c r="B439" s="1" t="str">
        <f>IF(ROW()&lt;=Results!$C$1+1,VLOOKUP($A439,Data!$A$2:$C$117,2,TRUE),"")</f>
        <v/>
      </c>
      <c r="C439" s="14" t="str">
        <f>IF(ROW()&lt;=Results!$C$1+1,IF(B439&lt;=0,"",LN(B439)),"")</f>
        <v/>
      </c>
      <c r="D439" s="1" t="str">
        <f>IF(ROW()&lt;=Results!$C$1+1,VLOOKUP($A439,Data!$A$2:$C$117,3,TRUE),"")</f>
        <v/>
      </c>
      <c r="E439" s="14" t="str">
        <f>IF(ROW()&lt;=Results!$C$1+1,IF(D439&lt;=0,"",LN(D439)),"")</f>
        <v/>
      </c>
      <c r="F439" s="53" t="str">
        <f>IF(ROW()&lt;=Results!$C$1+1,IF(ISERROR(C439-E439),"",C439-E439),"")</f>
        <v/>
      </c>
    </row>
    <row r="440" spans="1:6" x14ac:dyDescent="0.2">
      <c r="A440" s="1" t="str">
        <f ca="1">IF(ROW()&lt;=Results!$C$1+1,INDEX(Data!$A:$A,CEILING((COUNTA(Data!$A:$A)-1)*RAND()+1,1)),"")</f>
        <v/>
      </c>
      <c r="B440" s="1" t="str">
        <f>IF(ROW()&lt;=Results!$C$1+1,VLOOKUP($A440,Data!$A$2:$C$117,2,TRUE),"")</f>
        <v/>
      </c>
      <c r="C440" s="14" t="str">
        <f>IF(ROW()&lt;=Results!$C$1+1,IF(B440&lt;=0,"",LN(B440)),"")</f>
        <v/>
      </c>
      <c r="D440" s="1" t="str">
        <f>IF(ROW()&lt;=Results!$C$1+1,VLOOKUP($A440,Data!$A$2:$C$117,3,TRUE),"")</f>
        <v/>
      </c>
      <c r="E440" s="14" t="str">
        <f>IF(ROW()&lt;=Results!$C$1+1,IF(D440&lt;=0,"",LN(D440)),"")</f>
        <v/>
      </c>
      <c r="F440" s="53" t="str">
        <f>IF(ROW()&lt;=Results!$C$1+1,IF(ISERROR(C440-E440),"",C440-E440),"")</f>
        <v/>
      </c>
    </row>
    <row r="441" spans="1:6" x14ac:dyDescent="0.2">
      <c r="A441" s="1" t="str">
        <f ca="1">IF(ROW()&lt;=Results!$C$1+1,INDEX(Data!$A:$A,CEILING((COUNTA(Data!$A:$A)-1)*RAND()+1,1)),"")</f>
        <v/>
      </c>
      <c r="B441" s="1" t="str">
        <f>IF(ROW()&lt;=Results!$C$1+1,VLOOKUP($A441,Data!$A$2:$C$117,2,TRUE),"")</f>
        <v/>
      </c>
      <c r="C441" s="14" t="str">
        <f>IF(ROW()&lt;=Results!$C$1+1,IF(B441&lt;=0,"",LN(B441)),"")</f>
        <v/>
      </c>
      <c r="D441" s="1" t="str">
        <f>IF(ROW()&lt;=Results!$C$1+1,VLOOKUP($A441,Data!$A$2:$C$117,3,TRUE),"")</f>
        <v/>
      </c>
      <c r="E441" s="14" t="str">
        <f>IF(ROW()&lt;=Results!$C$1+1,IF(D441&lt;=0,"",LN(D441)),"")</f>
        <v/>
      </c>
      <c r="F441" s="53" t="str">
        <f>IF(ROW()&lt;=Results!$C$1+1,IF(ISERROR(C441-E441),"",C441-E441),"")</f>
        <v/>
      </c>
    </row>
    <row r="442" spans="1:6" x14ac:dyDescent="0.2">
      <c r="A442" s="1" t="str">
        <f ca="1">IF(ROW()&lt;=Results!$C$1+1,INDEX(Data!$A:$A,CEILING((COUNTA(Data!$A:$A)-1)*RAND()+1,1)),"")</f>
        <v/>
      </c>
      <c r="B442" s="1" t="str">
        <f>IF(ROW()&lt;=Results!$C$1+1,VLOOKUP($A442,Data!$A$2:$C$117,2,TRUE),"")</f>
        <v/>
      </c>
      <c r="C442" s="14" t="str">
        <f>IF(ROW()&lt;=Results!$C$1+1,IF(B442&lt;=0,"",LN(B442)),"")</f>
        <v/>
      </c>
      <c r="D442" s="1" t="str">
        <f>IF(ROW()&lt;=Results!$C$1+1,VLOOKUP($A442,Data!$A$2:$C$117,3,TRUE),"")</f>
        <v/>
      </c>
      <c r="E442" s="14" t="str">
        <f>IF(ROW()&lt;=Results!$C$1+1,IF(D442&lt;=0,"",LN(D442)),"")</f>
        <v/>
      </c>
      <c r="F442" s="53" t="str">
        <f>IF(ROW()&lt;=Results!$C$1+1,IF(ISERROR(C442-E442),"",C442-E442),"")</f>
        <v/>
      </c>
    </row>
    <row r="443" spans="1:6" x14ac:dyDescent="0.2">
      <c r="A443" s="1" t="str">
        <f ca="1">IF(ROW()&lt;=Results!$C$1+1,INDEX(Data!$A:$A,CEILING((COUNTA(Data!$A:$A)-1)*RAND()+1,1)),"")</f>
        <v/>
      </c>
      <c r="B443" s="1" t="str">
        <f>IF(ROW()&lt;=Results!$C$1+1,VLOOKUP($A443,Data!$A$2:$C$117,2,TRUE),"")</f>
        <v/>
      </c>
      <c r="C443" s="14" t="str">
        <f>IF(ROW()&lt;=Results!$C$1+1,IF(B443&lt;=0,"",LN(B443)),"")</f>
        <v/>
      </c>
      <c r="D443" s="1" t="str">
        <f>IF(ROW()&lt;=Results!$C$1+1,VLOOKUP($A443,Data!$A$2:$C$117,3,TRUE),"")</f>
        <v/>
      </c>
      <c r="E443" s="14" t="str">
        <f>IF(ROW()&lt;=Results!$C$1+1,IF(D443&lt;=0,"",LN(D443)),"")</f>
        <v/>
      </c>
      <c r="F443" s="53" t="str">
        <f>IF(ROW()&lt;=Results!$C$1+1,IF(ISERROR(C443-E443),"",C443-E443),"")</f>
        <v/>
      </c>
    </row>
    <row r="444" spans="1:6" x14ac:dyDescent="0.2">
      <c r="A444" s="1" t="str">
        <f ca="1">IF(ROW()&lt;=Results!$C$1+1,INDEX(Data!$A:$A,CEILING((COUNTA(Data!$A:$A)-1)*RAND()+1,1)),"")</f>
        <v/>
      </c>
      <c r="B444" s="1" t="str">
        <f>IF(ROW()&lt;=Results!$C$1+1,VLOOKUP($A444,Data!$A$2:$C$117,2,TRUE),"")</f>
        <v/>
      </c>
      <c r="C444" s="14" t="str">
        <f>IF(ROW()&lt;=Results!$C$1+1,IF(B444&lt;=0,"",LN(B444)),"")</f>
        <v/>
      </c>
      <c r="D444" s="1" t="str">
        <f>IF(ROW()&lt;=Results!$C$1+1,VLOOKUP($A444,Data!$A$2:$C$117,3,TRUE),"")</f>
        <v/>
      </c>
      <c r="E444" s="14" t="str">
        <f>IF(ROW()&lt;=Results!$C$1+1,IF(D444&lt;=0,"",LN(D444)),"")</f>
        <v/>
      </c>
      <c r="F444" s="53" t="str">
        <f>IF(ROW()&lt;=Results!$C$1+1,IF(ISERROR(C444-E444),"",C444-E444),"")</f>
        <v/>
      </c>
    </row>
    <row r="445" spans="1:6" x14ac:dyDescent="0.2">
      <c r="A445" s="1" t="str">
        <f ca="1">IF(ROW()&lt;=Results!$C$1+1,INDEX(Data!$A:$A,CEILING((COUNTA(Data!$A:$A)-1)*RAND()+1,1)),"")</f>
        <v/>
      </c>
      <c r="B445" s="1" t="str">
        <f>IF(ROW()&lt;=Results!$C$1+1,VLOOKUP($A445,Data!$A$2:$C$117,2,TRUE),"")</f>
        <v/>
      </c>
      <c r="C445" s="14" t="str">
        <f>IF(ROW()&lt;=Results!$C$1+1,IF(B445&lt;=0,"",LN(B445)),"")</f>
        <v/>
      </c>
      <c r="D445" s="1" t="str">
        <f>IF(ROW()&lt;=Results!$C$1+1,VLOOKUP($A445,Data!$A$2:$C$117,3,TRUE),"")</f>
        <v/>
      </c>
      <c r="E445" s="14" t="str">
        <f>IF(ROW()&lt;=Results!$C$1+1,IF(D445&lt;=0,"",LN(D445)),"")</f>
        <v/>
      </c>
      <c r="F445" s="53" t="str">
        <f>IF(ROW()&lt;=Results!$C$1+1,IF(ISERROR(C445-E445),"",C445-E445),"")</f>
        <v/>
      </c>
    </row>
    <row r="446" spans="1:6" x14ac:dyDescent="0.2">
      <c r="A446" s="1" t="str">
        <f ca="1">IF(ROW()&lt;=Results!$C$1+1,INDEX(Data!$A:$A,CEILING((COUNTA(Data!$A:$A)-1)*RAND()+1,1)),"")</f>
        <v/>
      </c>
      <c r="B446" s="1" t="str">
        <f>IF(ROW()&lt;=Results!$C$1+1,VLOOKUP($A446,Data!$A$2:$C$117,2,TRUE),"")</f>
        <v/>
      </c>
      <c r="C446" s="14" t="str">
        <f>IF(ROW()&lt;=Results!$C$1+1,IF(B446&lt;=0,"",LN(B446)),"")</f>
        <v/>
      </c>
      <c r="D446" s="1" t="str">
        <f>IF(ROW()&lt;=Results!$C$1+1,VLOOKUP($A446,Data!$A$2:$C$117,3,TRUE),"")</f>
        <v/>
      </c>
      <c r="E446" s="14" t="str">
        <f>IF(ROW()&lt;=Results!$C$1+1,IF(D446&lt;=0,"",LN(D446)),"")</f>
        <v/>
      </c>
      <c r="F446" s="53" t="str">
        <f>IF(ROW()&lt;=Results!$C$1+1,IF(ISERROR(C446-E446),"",C446-E446),"")</f>
        <v/>
      </c>
    </row>
    <row r="447" spans="1:6" x14ac:dyDescent="0.2">
      <c r="A447" s="1" t="str">
        <f ca="1">IF(ROW()&lt;=Results!$C$1+1,INDEX(Data!$A:$A,CEILING((COUNTA(Data!$A:$A)-1)*RAND()+1,1)),"")</f>
        <v/>
      </c>
      <c r="B447" s="1" t="str">
        <f>IF(ROW()&lt;=Results!$C$1+1,VLOOKUP($A447,Data!$A$2:$C$117,2,TRUE),"")</f>
        <v/>
      </c>
      <c r="C447" s="14" t="str">
        <f>IF(ROW()&lt;=Results!$C$1+1,IF(B447&lt;=0,"",LN(B447)),"")</f>
        <v/>
      </c>
      <c r="D447" s="1" t="str">
        <f>IF(ROW()&lt;=Results!$C$1+1,VLOOKUP($A447,Data!$A$2:$C$117,3,TRUE),"")</f>
        <v/>
      </c>
      <c r="E447" s="14" t="str">
        <f>IF(ROW()&lt;=Results!$C$1+1,IF(D447&lt;=0,"",LN(D447)),"")</f>
        <v/>
      </c>
      <c r="F447" s="53" t="str">
        <f>IF(ROW()&lt;=Results!$C$1+1,IF(ISERROR(C447-E447),"",C447-E447),"")</f>
        <v/>
      </c>
    </row>
    <row r="448" spans="1:6" x14ac:dyDescent="0.2">
      <c r="A448" s="1" t="str">
        <f ca="1">IF(ROW()&lt;=Results!$C$1+1,INDEX(Data!$A:$A,CEILING((COUNTA(Data!$A:$A)-1)*RAND()+1,1)),"")</f>
        <v/>
      </c>
      <c r="B448" s="1" t="str">
        <f>IF(ROW()&lt;=Results!$C$1+1,VLOOKUP($A448,Data!$A$2:$C$117,2,TRUE),"")</f>
        <v/>
      </c>
      <c r="C448" s="14" t="str">
        <f>IF(ROW()&lt;=Results!$C$1+1,IF(B448&lt;=0,"",LN(B448)),"")</f>
        <v/>
      </c>
      <c r="D448" s="1" t="str">
        <f>IF(ROW()&lt;=Results!$C$1+1,VLOOKUP($A448,Data!$A$2:$C$117,3,TRUE),"")</f>
        <v/>
      </c>
      <c r="E448" s="14" t="str">
        <f>IF(ROW()&lt;=Results!$C$1+1,IF(D448&lt;=0,"",LN(D448)),"")</f>
        <v/>
      </c>
      <c r="F448" s="53" t="str">
        <f>IF(ROW()&lt;=Results!$C$1+1,IF(ISERROR(C448-E448),"",C448-E448),"")</f>
        <v/>
      </c>
    </row>
    <row r="449" spans="1:6" x14ac:dyDescent="0.2">
      <c r="A449" s="1" t="str">
        <f ca="1">IF(ROW()&lt;=Results!$C$1+1,INDEX(Data!$A:$A,CEILING((COUNTA(Data!$A:$A)-1)*RAND()+1,1)),"")</f>
        <v/>
      </c>
      <c r="B449" s="1" t="str">
        <f>IF(ROW()&lt;=Results!$C$1+1,VLOOKUP($A449,Data!$A$2:$C$117,2,TRUE),"")</f>
        <v/>
      </c>
      <c r="C449" s="14" t="str">
        <f>IF(ROW()&lt;=Results!$C$1+1,IF(B449&lt;=0,"",LN(B449)),"")</f>
        <v/>
      </c>
      <c r="D449" s="1" t="str">
        <f>IF(ROW()&lt;=Results!$C$1+1,VLOOKUP($A449,Data!$A$2:$C$117,3,TRUE),"")</f>
        <v/>
      </c>
      <c r="E449" s="14" t="str">
        <f>IF(ROW()&lt;=Results!$C$1+1,IF(D449&lt;=0,"",LN(D449)),"")</f>
        <v/>
      </c>
      <c r="F449" s="53" t="str">
        <f>IF(ROW()&lt;=Results!$C$1+1,IF(ISERROR(C449-E449),"",C449-E449),"")</f>
        <v/>
      </c>
    </row>
    <row r="450" spans="1:6" x14ac:dyDescent="0.2">
      <c r="A450" s="1" t="str">
        <f ca="1">IF(ROW()&lt;=Results!$C$1+1,INDEX(Data!$A:$A,CEILING((COUNTA(Data!$A:$A)-1)*RAND()+1,1)),"")</f>
        <v/>
      </c>
      <c r="B450" s="1" t="str">
        <f>IF(ROW()&lt;=Results!$C$1+1,VLOOKUP($A450,Data!$A$2:$C$117,2,TRUE),"")</f>
        <v/>
      </c>
      <c r="C450" s="14" t="str">
        <f>IF(ROW()&lt;=Results!$C$1+1,IF(B450&lt;=0,"",LN(B450)),"")</f>
        <v/>
      </c>
      <c r="D450" s="1" t="str">
        <f>IF(ROW()&lt;=Results!$C$1+1,VLOOKUP($A450,Data!$A$2:$C$117,3,TRUE),"")</f>
        <v/>
      </c>
      <c r="E450" s="14" t="str">
        <f>IF(ROW()&lt;=Results!$C$1+1,IF(D450&lt;=0,"",LN(D450)),"")</f>
        <v/>
      </c>
      <c r="F450" s="53" t="str">
        <f>IF(ROW()&lt;=Results!$C$1+1,IF(ISERROR(C450-E450),"",C450-E450),"")</f>
        <v/>
      </c>
    </row>
    <row r="451" spans="1:6" x14ac:dyDescent="0.2">
      <c r="A451" s="1" t="str">
        <f ca="1">IF(ROW()&lt;=Results!$C$1+1,INDEX(Data!$A:$A,CEILING((COUNTA(Data!$A:$A)-1)*RAND()+1,1)),"")</f>
        <v/>
      </c>
      <c r="B451" s="1" t="str">
        <f>IF(ROW()&lt;=Results!$C$1+1,VLOOKUP($A451,Data!$A$2:$C$117,2,TRUE),"")</f>
        <v/>
      </c>
      <c r="C451" s="14" t="str">
        <f>IF(ROW()&lt;=Results!$C$1+1,IF(B451&lt;=0,"",LN(B451)),"")</f>
        <v/>
      </c>
      <c r="D451" s="1" t="str">
        <f>IF(ROW()&lt;=Results!$C$1+1,VLOOKUP($A451,Data!$A$2:$C$117,3,TRUE),"")</f>
        <v/>
      </c>
      <c r="E451" s="14" t="str">
        <f>IF(ROW()&lt;=Results!$C$1+1,IF(D451&lt;=0,"",LN(D451)),"")</f>
        <v/>
      </c>
      <c r="F451" s="53" t="str">
        <f>IF(ROW()&lt;=Results!$C$1+1,IF(ISERROR(C451-E451),"",C451-E451),"")</f>
        <v/>
      </c>
    </row>
    <row r="452" spans="1:6" x14ac:dyDescent="0.2">
      <c r="A452" s="1" t="str">
        <f ca="1">IF(ROW()&lt;=Results!$C$1+1,INDEX(Data!$A:$A,CEILING((COUNTA(Data!$A:$A)-1)*RAND()+1,1)),"")</f>
        <v/>
      </c>
      <c r="B452" s="1" t="str">
        <f>IF(ROW()&lt;=Results!$C$1+1,VLOOKUP($A452,Data!$A$2:$C$117,2,TRUE),"")</f>
        <v/>
      </c>
      <c r="C452" s="14" t="str">
        <f>IF(ROW()&lt;=Results!$C$1+1,IF(B452&lt;=0,"",LN(B452)),"")</f>
        <v/>
      </c>
      <c r="D452" s="1" t="str">
        <f>IF(ROW()&lt;=Results!$C$1+1,VLOOKUP($A452,Data!$A$2:$C$117,3,TRUE),"")</f>
        <v/>
      </c>
      <c r="E452" s="14" t="str">
        <f>IF(ROW()&lt;=Results!$C$1+1,IF(D452&lt;=0,"",LN(D452)),"")</f>
        <v/>
      </c>
      <c r="F452" s="53" t="str">
        <f>IF(ROW()&lt;=Results!$C$1+1,IF(ISERROR(C452-E452),"",C452-E452),"")</f>
        <v/>
      </c>
    </row>
    <row r="453" spans="1:6" x14ac:dyDescent="0.2">
      <c r="A453" s="1" t="str">
        <f ca="1">IF(ROW()&lt;=Results!$C$1+1,INDEX(Data!$A:$A,CEILING((COUNTA(Data!$A:$A)-1)*RAND()+1,1)),"")</f>
        <v/>
      </c>
      <c r="B453" s="1" t="str">
        <f>IF(ROW()&lt;=Results!$C$1+1,VLOOKUP($A453,Data!$A$2:$C$117,2,TRUE),"")</f>
        <v/>
      </c>
      <c r="C453" s="14" t="str">
        <f>IF(ROW()&lt;=Results!$C$1+1,IF(B453&lt;=0,"",LN(B453)),"")</f>
        <v/>
      </c>
      <c r="D453" s="1" t="str">
        <f>IF(ROW()&lt;=Results!$C$1+1,VLOOKUP($A453,Data!$A$2:$C$117,3,TRUE),"")</f>
        <v/>
      </c>
      <c r="E453" s="14" t="str">
        <f>IF(ROW()&lt;=Results!$C$1+1,IF(D453&lt;=0,"",LN(D453)),"")</f>
        <v/>
      </c>
      <c r="F453" s="53" t="str">
        <f>IF(ROW()&lt;=Results!$C$1+1,IF(ISERROR(C453-E453),"",C453-E453),"")</f>
        <v/>
      </c>
    </row>
    <row r="454" spans="1:6" x14ac:dyDescent="0.2">
      <c r="A454" s="1" t="str">
        <f ca="1">IF(ROW()&lt;=Results!$C$1+1,INDEX(Data!$A:$A,CEILING((COUNTA(Data!$A:$A)-1)*RAND()+1,1)),"")</f>
        <v/>
      </c>
      <c r="B454" s="1" t="str">
        <f>IF(ROW()&lt;=Results!$C$1+1,VLOOKUP($A454,Data!$A$2:$C$117,2,TRUE),"")</f>
        <v/>
      </c>
      <c r="C454" s="14" t="str">
        <f>IF(ROW()&lt;=Results!$C$1+1,IF(B454&lt;=0,"",LN(B454)),"")</f>
        <v/>
      </c>
      <c r="D454" s="1" t="str">
        <f>IF(ROW()&lt;=Results!$C$1+1,VLOOKUP($A454,Data!$A$2:$C$117,3,TRUE),"")</f>
        <v/>
      </c>
      <c r="E454" s="14" t="str">
        <f>IF(ROW()&lt;=Results!$C$1+1,IF(D454&lt;=0,"",LN(D454)),"")</f>
        <v/>
      </c>
      <c r="F454" s="53" t="str">
        <f>IF(ROW()&lt;=Results!$C$1+1,IF(ISERROR(C454-E454),"",C454-E454),"")</f>
        <v/>
      </c>
    </row>
    <row r="455" spans="1:6" x14ac:dyDescent="0.2">
      <c r="A455" s="1" t="str">
        <f ca="1">IF(ROW()&lt;=Results!$C$1+1,INDEX(Data!$A:$A,CEILING((COUNTA(Data!$A:$A)-1)*RAND()+1,1)),"")</f>
        <v/>
      </c>
      <c r="B455" s="1" t="str">
        <f>IF(ROW()&lt;=Results!$C$1+1,VLOOKUP($A455,Data!$A$2:$C$117,2,TRUE),"")</f>
        <v/>
      </c>
      <c r="C455" s="14" t="str">
        <f>IF(ROW()&lt;=Results!$C$1+1,IF(B455&lt;=0,"",LN(B455)),"")</f>
        <v/>
      </c>
      <c r="D455" s="1" t="str">
        <f>IF(ROW()&lt;=Results!$C$1+1,VLOOKUP($A455,Data!$A$2:$C$117,3,TRUE),"")</f>
        <v/>
      </c>
      <c r="E455" s="14" t="str">
        <f>IF(ROW()&lt;=Results!$C$1+1,IF(D455&lt;=0,"",LN(D455)),"")</f>
        <v/>
      </c>
      <c r="F455" s="53" t="str">
        <f>IF(ROW()&lt;=Results!$C$1+1,IF(ISERROR(C455-E455),"",C455-E455),"")</f>
        <v/>
      </c>
    </row>
    <row r="456" spans="1:6" x14ac:dyDescent="0.2">
      <c r="A456" s="1" t="str">
        <f ca="1">IF(ROW()&lt;=Results!$C$1+1,INDEX(Data!$A:$A,CEILING((COUNTA(Data!$A:$A)-1)*RAND()+1,1)),"")</f>
        <v/>
      </c>
      <c r="B456" s="1" t="str">
        <f>IF(ROW()&lt;=Results!$C$1+1,VLOOKUP($A456,Data!$A$2:$C$117,2,TRUE),"")</f>
        <v/>
      </c>
      <c r="C456" s="14" t="str">
        <f>IF(ROW()&lt;=Results!$C$1+1,IF(B456&lt;=0,"",LN(B456)),"")</f>
        <v/>
      </c>
      <c r="D456" s="1" t="str">
        <f>IF(ROW()&lt;=Results!$C$1+1,VLOOKUP($A456,Data!$A$2:$C$117,3,TRUE),"")</f>
        <v/>
      </c>
      <c r="E456" s="14" t="str">
        <f>IF(ROW()&lt;=Results!$C$1+1,IF(D456&lt;=0,"",LN(D456)),"")</f>
        <v/>
      </c>
      <c r="F456" s="53" t="str">
        <f>IF(ROW()&lt;=Results!$C$1+1,IF(ISERROR(C456-E456),"",C456-E456),"")</f>
        <v/>
      </c>
    </row>
    <row r="457" spans="1:6" x14ac:dyDescent="0.2">
      <c r="A457" s="1" t="str">
        <f ca="1">IF(ROW()&lt;=Results!$C$1+1,INDEX(Data!$A:$A,CEILING((COUNTA(Data!$A:$A)-1)*RAND()+1,1)),"")</f>
        <v/>
      </c>
      <c r="B457" s="1" t="str">
        <f>IF(ROW()&lt;=Results!$C$1+1,VLOOKUP($A457,Data!$A$2:$C$117,2,TRUE),"")</f>
        <v/>
      </c>
      <c r="C457" s="14" t="str">
        <f>IF(ROW()&lt;=Results!$C$1+1,IF(B457&lt;=0,"",LN(B457)),"")</f>
        <v/>
      </c>
      <c r="D457" s="1" t="str">
        <f>IF(ROW()&lt;=Results!$C$1+1,VLOOKUP($A457,Data!$A$2:$C$117,3,TRUE),"")</f>
        <v/>
      </c>
      <c r="E457" s="14" t="str">
        <f>IF(ROW()&lt;=Results!$C$1+1,IF(D457&lt;=0,"",LN(D457)),"")</f>
        <v/>
      </c>
      <c r="F457" s="53" t="str">
        <f>IF(ROW()&lt;=Results!$C$1+1,IF(ISERROR(C457-E457),"",C457-E457),"")</f>
        <v/>
      </c>
    </row>
    <row r="458" spans="1:6" x14ac:dyDescent="0.2">
      <c r="A458" s="1" t="str">
        <f ca="1">IF(ROW()&lt;=Results!$C$1+1,INDEX(Data!$A:$A,CEILING((COUNTA(Data!$A:$A)-1)*RAND()+1,1)),"")</f>
        <v/>
      </c>
      <c r="B458" s="1" t="str">
        <f>IF(ROW()&lt;=Results!$C$1+1,VLOOKUP($A458,Data!$A$2:$C$117,2,TRUE),"")</f>
        <v/>
      </c>
      <c r="C458" s="14" t="str">
        <f>IF(ROW()&lt;=Results!$C$1+1,IF(B458&lt;=0,"",LN(B458)),"")</f>
        <v/>
      </c>
      <c r="D458" s="1" t="str">
        <f>IF(ROW()&lt;=Results!$C$1+1,VLOOKUP($A458,Data!$A$2:$C$117,3,TRUE),"")</f>
        <v/>
      </c>
      <c r="E458" s="14" t="str">
        <f>IF(ROW()&lt;=Results!$C$1+1,IF(D458&lt;=0,"",LN(D458)),"")</f>
        <v/>
      </c>
      <c r="F458" s="53" t="str">
        <f>IF(ROW()&lt;=Results!$C$1+1,IF(ISERROR(C458-E458),"",C458-E458),"")</f>
        <v/>
      </c>
    </row>
    <row r="459" spans="1:6" x14ac:dyDescent="0.2">
      <c r="A459" s="1" t="str">
        <f ca="1">IF(ROW()&lt;=Results!$C$1+1,INDEX(Data!$A:$A,CEILING((COUNTA(Data!$A:$A)-1)*RAND()+1,1)),"")</f>
        <v/>
      </c>
      <c r="B459" s="1" t="str">
        <f>IF(ROW()&lt;=Results!$C$1+1,VLOOKUP($A459,Data!$A$2:$C$117,2,TRUE),"")</f>
        <v/>
      </c>
      <c r="C459" s="14" t="str">
        <f>IF(ROW()&lt;=Results!$C$1+1,IF(B459&lt;=0,"",LN(B459)),"")</f>
        <v/>
      </c>
      <c r="D459" s="1" t="str">
        <f>IF(ROW()&lt;=Results!$C$1+1,VLOOKUP($A459,Data!$A$2:$C$117,3,TRUE),"")</f>
        <v/>
      </c>
      <c r="E459" s="14" t="str">
        <f>IF(ROW()&lt;=Results!$C$1+1,IF(D459&lt;=0,"",LN(D459)),"")</f>
        <v/>
      </c>
      <c r="F459" s="53" t="str">
        <f>IF(ROW()&lt;=Results!$C$1+1,IF(ISERROR(C459-E459),"",C459-E459),"")</f>
        <v/>
      </c>
    </row>
    <row r="460" spans="1:6" x14ac:dyDescent="0.2">
      <c r="A460" s="1" t="str">
        <f ca="1">IF(ROW()&lt;=Results!$C$1+1,INDEX(Data!$A:$A,CEILING((COUNTA(Data!$A:$A)-1)*RAND()+1,1)),"")</f>
        <v/>
      </c>
      <c r="B460" s="1" t="str">
        <f>IF(ROW()&lt;=Results!$C$1+1,VLOOKUP($A460,Data!$A$2:$C$117,2,TRUE),"")</f>
        <v/>
      </c>
      <c r="C460" s="14" t="str">
        <f>IF(ROW()&lt;=Results!$C$1+1,IF(B460&lt;=0,"",LN(B460)),"")</f>
        <v/>
      </c>
      <c r="D460" s="1" t="str">
        <f>IF(ROW()&lt;=Results!$C$1+1,VLOOKUP($A460,Data!$A$2:$C$117,3,TRUE),"")</f>
        <v/>
      </c>
      <c r="E460" s="14" t="str">
        <f>IF(ROW()&lt;=Results!$C$1+1,IF(D460&lt;=0,"",LN(D460)),"")</f>
        <v/>
      </c>
      <c r="F460" s="53" t="str">
        <f>IF(ROW()&lt;=Results!$C$1+1,IF(ISERROR(C460-E460),"",C460-E460),"")</f>
        <v/>
      </c>
    </row>
    <row r="461" spans="1:6" x14ac:dyDescent="0.2">
      <c r="A461" s="1" t="str">
        <f ca="1">IF(ROW()&lt;=Results!$C$1+1,INDEX(Data!$A:$A,CEILING((COUNTA(Data!$A:$A)-1)*RAND()+1,1)),"")</f>
        <v/>
      </c>
      <c r="B461" s="1" t="str">
        <f>IF(ROW()&lt;=Results!$C$1+1,VLOOKUP($A461,Data!$A$2:$C$117,2,TRUE),"")</f>
        <v/>
      </c>
      <c r="C461" s="14" t="str">
        <f>IF(ROW()&lt;=Results!$C$1+1,IF(B461&lt;=0,"",LN(B461)),"")</f>
        <v/>
      </c>
      <c r="D461" s="1" t="str">
        <f>IF(ROW()&lt;=Results!$C$1+1,VLOOKUP($A461,Data!$A$2:$C$117,3,TRUE),"")</f>
        <v/>
      </c>
      <c r="E461" s="14" t="str">
        <f>IF(ROW()&lt;=Results!$C$1+1,IF(D461&lt;=0,"",LN(D461)),"")</f>
        <v/>
      </c>
      <c r="F461" s="53" t="str">
        <f>IF(ROW()&lt;=Results!$C$1+1,IF(ISERROR(C461-E461),"",C461-E461),"")</f>
        <v/>
      </c>
    </row>
    <row r="462" spans="1:6" x14ac:dyDescent="0.2">
      <c r="A462" s="1" t="str">
        <f ca="1">IF(ROW()&lt;=Results!$C$1+1,INDEX(Data!$A:$A,CEILING((COUNTA(Data!$A:$A)-1)*RAND()+1,1)),"")</f>
        <v/>
      </c>
      <c r="B462" s="1" t="str">
        <f>IF(ROW()&lt;=Results!$C$1+1,VLOOKUP($A462,Data!$A$2:$C$117,2,TRUE),"")</f>
        <v/>
      </c>
      <c r="C462" s="14" t="str">
        <f>IF(ROW()&lt;=Results!$C$1+1,IF(B462&lt;=0,"",LN(B462)),"")</f>
        <v/>
      </c>
      <c r="D462" s="1" t="str">
        <f>IF(ROW()&lt;=Results!$C$1+1,VLOOKUP($A462,Data!$A$2:$C$117,3,TRUE),"")</f>
        <v/>
      </c>
      <c r="E462" s="14" t="str">
        <f>IF(ROW()&lt;=Results!$C$1+1,IF(D462&lt;=0,"",LN(D462)),"")</f>
        <v/>
      </c>
      <c r="F462" s="53" t="str">
        <f>IF(ROW()&lt;=Results!$C$1+1,IF(ISERROR(C462-E462),"",C462-E462),"")</f>
        <v/>
      </c>
    </row>
    <row r="463" spans="1:6" x14ac:dyDescent="0.2">
      <c r="A463" s="1" t="str">
        <f ca="1">IF(ROW()&lt;=Results!$C$1+1,INDEX(Data!$A:$A,CEILING((COUNTA(Data!$A:$A)-1)*RAND()+1,1)),"")</f>
        <v/>
      </c>
      <c r="B463" s="1" t="str">
        <f>IF(ROW()&lt;=Results!$C$1+1,VLOOKUP($A463,Data!$A$2:$C$117,2,TRUE),"")</f>
        <v/>
      </c>
      <c r="C463" s="14" t="str">
        <f>IF(ROW()&lt;=Results!$C$1+1,IF(B463&lt;=0,"",LN(B463)),"")</f>
        <v/>
      </c>
      <c r="D463" s="1" t="str">
        <f>IF(ROW()&lt;=Results!$C$1+1,VLOOKUP($A463,Data!$A$2:$C$117,3,TRUE),"")</f>
        <v/>
      </c>
      <c r="E463" s="14" t="str">
        <f>IF(ROW()&lt;=Results!$C$1+1,IF(D463&lt;=0,"",LN(D463)),"")</f>
        <v/>
      </c>
      <c r="F463" s="53" t="str">
        <f>IF(ROW()&lt;=Results!$C$1+1,IF(ISERROR(C463-E463),"",C463-E463),"")</f>
        <v/>
      </c>
    </row>
    <row r="464" spans="1:6" x14ac:dyDescent="0.2">
      <c r="A464" s="1" t="str">
        <f ca="1">IF(ROW()&lt;=Results!$C$1+1,INDEX(Data!$A:$A,CEILING((COUNTA(Data!$A:$A)-1)*RAND()+1,1)),"")</f>
        <v/>
      </c>
      <c r="B464" s="1" t="str">
        <f>IF(ROW()&lt;=Results!$C$1+1,VLOOKUP($A464,Data!$A$2:$C$117,2,TRUE),"")</f>
        <v/>
      </c>
      <c r="C464" s="14" t="str">
        <f>IF(ROW()&lt;=Results!$C$1+1,IF(B464&lt;=0,"",LN(B464)),"")</f>
        <v/>
      </c>
      <c r="D464" s="1" t="str">
        <f>IF(ROW()&lt;=Results!$C$1+1,VLOOKUP($A464,Data!$A$2:$C$117,3,TRUE),"")</f>
        <v/>
      </c>
      <c r="E464" s="14" t="str">
        <f>IF(ROW()&lt;=Results!$C$1+1,IF(D464&lt;=0,"",LN(D464)),"")</f>
        <v/>
      </c>
      <c r="F464" s="53" t="str">
        <f>IF(ROW()&lt;=Results!$C$1+1,IF(ISERROR(C464-E464),"",C464-E464),"")</f>
        <v/>
      </c>
    </row>
    <row r="465" spans="1:6" x14ac:dyDescent="0.2">
      <c r="A465" s="1" t="str">
        <f ca="1">IF(ROW()&lt;=Results!$C$1+1,INDEX(Data!$A:$A,CEILING((COUNTA(Data!$A:$A)-1)*RAND()+1,1)),"")</f>
        <v/>
      </c>
      <c r="B465" s="1" t="str">
        <f>IF(ROW()&lt;=Results!$C$1+1,VLOOKUP($A465,Data!$A$2:$C$117,2,TRUE),"")</f>
        <v/>
      </c>
      <c r="C465" s="14" t="str">
        <f>IF(ROW()&lt;=Results!$C$1+1,IF(B465&lt;=0,"",LN(B465)),"")</f>
        <v/>
      </c>
      <c r="D465" s="1" t="str">
        <f>IF(ROW()&lt;=Results!$C$1+1,VLOOKUP($A465,Data!$A$2:$C$117,3,TRUE),"")</f>
        <v/>
      </c>
      <c r="E465" s="14" t="str">
        <f>IF(ROW()&lt;=Results!$C$1+1,IF(D465&lt;=0,"",LN(D465)),"")</f>
        <v/>
      </c>
      <c r="F465" s="53" t="str">
        <f>IF(ROW()&lt;=Results!$C$1+1,IF(ISERROR(C465-E465),"",C465-E465),"")</f>
        <v/>
      </c>
    </row>
    <row r="466" spans="1:6" x14ac:dyDescent="0.2">
      <c r="A466" s="1" t="str">
        <f ca="1">IF(ROW()&lt;=Results!$C$1+1,INDEX(Data!$A:$A,CEILING((COUNTA(Data!$A:$A)-1)*RAND()+1,1)),"")</f>
        <v/>
      </c>
      <c r="B466" s="1" t="str">
        <f>IF(ROW()&lt;=Results!$C$1+1,VLOOKUP($A466,Data!$A$2:$C$117,2,TRUE),"")</f>
        <v/>
      </c>
      <c r="C466" s="14" t="str">
        <f>IF(ROW()&lt;=Results!$C$1+1,IF(B466&lt;=0,"",LN(B466)),"")</f>
        <v/>
      </c>
      <c r="D466" s="1" t="str">
        <f>IF(ROW()&lt;=Results!$C$1+1,VLOOKUP($A466,Data!$A$2:$C$117,3,TRUE),"")</f>
        <v/>
      </c>
      <c r="E466" s="14" t="str">
        <f>IF(ROW()&lt;=Results!$C$1+1,IF(D466&lt;=0,"",LN(D466)),"")</f>
        <v/>
      </c>
      <c r="F466" s="53" t="str">
        <f>IF(ROW()&lt;=Results!$C$1+1,IF(ISERROR(C466-E466),"",C466-E466),"")</f>
        <v/>
      </c>
    </row>
    <row r="467" spans="1:6" x14ac:dyDescent="0.2">
      <c r="A467" s="1" t="str">
        <f ca="1">IF(ROW()&lt;=Results!$C$1+1,INDEX(Data!$A:$A,CEILING((COUNTA(Data!$A:$A)-1)*RAND()+1,1)),"")</f>
        <v/>
      </c>
      <c r="B467" s="1" t="str">
        <f>IF(ROW()&lt;=Results!$C$1+1,VLOOKUP($A467,Data!$A$2:$C$117,2,TRUE),"")</f>
        <v/>
      </c>
      <c r="C467" s="14" t="str">
        <f>IF(ROW()&lt;=Results!$C$1+1,IF(B467&lt;=0,"",LN(B467)),"")</f>
        <v/>
      </c>
      <c r="D467" s="1" t="str">
        <f>IF(ROW()&lt;=Results!$C$1+1,VLOOKUP($A467,Data!$A$2:$C$117,3,TRUE),"")</f>
        <v/>
      </c>
      <c r="E467" s="14" t="str">
        <f>IF(ROW()&lt;=Results!$C$1+1,IF(D467&lt;=0,"",LN(D467)),"")</f>
        <v/>
      </c>
      <c r="F467" s="53" t="str">
        <f>IF(ROW()&lt;=Results!$C$1+1,IF(ISERROR(C467-E467),"",C467-E467),"")</f>
        <v/>
      </c>
    </row>
    <row r="468" spans="1:6" x14ac:dyDescent="0.2">
      <c r="A468" s="1" t="str">
        <f ca="1">IF(ROW()&lt;=Results!$C$1+1,INDEX(Data!$A:$A,CEILING((COUNTA(Data!$A:$A)-1)*RAND()+1,1)),"")</f>
        <v/>
      </c>
      <c r="B468" s="1" t="str">
        <f>IF(ROW()&lt;=Results!$C$1+1,VLOOKUP($A468,Data!$A$2:$C$117,2,TRUE),"")</f>
        <v/>
      </c>
      <c r="C468" s="14" t="str">
        <f>IF(ROW()&lt;=Results!$C$1+1,IF(B468&lt;=0,"",LN(B468)),"")</f>
        <v/>
      </c>
      <c r="D468" s="1" t="str">
        <f>IF(ROW()&lt;=Results!$C$1+1,VLOOKUP($A468,Data!$A$2:$C$117,3,TRUE),"")</f>
        <v/>
      </c>
      <c r="E468" s="14" t="str">
        <f>IF(ROW()&lt;=Results!$C$1+1,IF(D468&lt;=0,"",LN(D468)),"")</f>
        <v/>
      </c>
      <c r="F468" s="53" t="str">
        <f>IF(ROW()&lt;=Results!$C$1+1,IF(ISERROR(C468-E468),"",C468-E468),"")</f>
        <v/>
      </c>
    </row>
    <row r="469" spans="1:6" x14ac:dyDescent="0.2">
      <c r="A469" s="1" t="str">
        <f ca="1">IF(ROW()&lt;=Results!$C$1+1,INDEX(Data!$A:$A,CEILING((COUNTA(Data!$A:$A)-1)*RAND()+1,1)),"")</f>
        <v/>
      </c>
      <c r="B469" s="1" t="str">
        <f>IF(ROW()&lt;=Results!$C$1+1,VLOOKUP($A469,Data!$A$2:$C$117,2,TRUE),"")</f>
        <v/>
      </c>
      <c r="C469" s="14" t="str">
        <f>IF(ROW()&lt;=Results!$C$1+1,IF(B469&lt;=0,"",LN(B469)),"")</f>
        <v/>
      </c>
      <c r="D469" s="1" t="str">
        <f>IF(ROW()&lt;=Results!$C$1+1,VLOOKUP($A469,Data!$A$2:$C$117,3,TRUE),"")</f>
        <v/>
      </c>
      <c r="E469" s="14" t="str">
        <f>IF(ROW()&lt;=Results!$C$1+1,IF(D469&lt;=0,"",LN(D469)),"")</f>
        <v/>
      </c>
      <c r="F469" s="53" t="str">
        <f>IF(ROW()&lt;=Results!$C$1+1,IF(ISERROR(C469-E469),"",C469-E469),"")</f>
        <v/>
      </c>
    </row>
    <row r="470" spans="1:6" x14ac:dyDescent="0.2">
      <c r="A470" s="1" t="str">
        <f ca="1">IF(ROW()&lt;=Results!$C$1+1,INDEX(Data!$A:$A,CEILING((COUNTA(Data!$A:$A)-1)*RAND()+1,1)),"")</f>
        <v/>
      </c>
      <c r="B470" s="1" t="str">
        <f>IF(ROW()&lt;=Results!$C$1+1,VLOOKUP($A470,Data!$A$2:$C$117,2,TRUE),"")</f>
        <v/>
      </c>
      <c r="C470" s="14" t="str">
        <f>IF(ROW()&lt;=Results!$C$1+1,IF(B470&lt;=0,"",LN(B470)),"")</f>
        <v/>
      </c>
      <c r="D470" s="1" t="str">
        <f>IF(ROW()&lt;=Results!$C$1+1,VLOOKUP($A470,Data!$A$2:$C$117,3,TRUE),"")</f>
        <v/>
      </c>
      <c r="E470" s="14" t="str">
        <f>IF(ROW()&lt;=Results!$C$1+1,IF(D470&lt;=0,"",LN(D470)),"")</f>
        <v/>
      </c>
      <c r="F470" s="53" t="str">
        <f>IF(ROW()&lt;=Results!$C$1+1,IF(ISERROR(C470-E470),"",C470-E470),"")</f>
        <v/>
      </c>
    </row>
    <row r="471" spans="1:6" x14ac:dyDescent="0.2">
      <c r="A471" s="1" t="str">
        <f ca="1">IF(ROW()&lt;=Results!$C$1+1,INDEX(Data!$A:$A,CEILING((COUNTA(Data!$A:$A)-1)*RAND()+1,1)),"")</f>
        <v/>
      </c>
      <c r="B471" s="1" t="str">
        <f>IF(ROW()&lt;=Results!$C$1+1,VLOOKUP($A471,Data!$A$2:$C$117,2,TRUE),"")</f>
        <v/>
      </c>
      <c r="C471" s="14" t="str">
        <f>IF(ROW()&lt;=Results!$C$1+1,IF(B471&lt;=0,"",LN(B471)),"")</f>
        <v/>
      </c>
      <c r="D471" s="1" t="str">
        <f>IF(ROW()&lt;=Results!$C$1+1,VLOOKUP($A471,Data!$A$2:$C$117,3,TRUE),"")</f>
        <v/>
      </c>
      <c r="E471" s="14" t="str">
        <f>IF(ROW()&lt;=Results!$C$1+1,IF(D471&lt;=0,"",LN(D471)),"")</f>
        <v/>
      </c>
      <c r="F471" s="53" t="str">
        <f>IF(ROW()&lt;=Results!$C$1+1,IF(ISERROR(C471-E471),"",C471-E471),"")</f>
        <v/>
      </c>
    </row>
    <row r="472" spans="1:6" x14ac:dyDescent="0.2">
      <c r="A472" s="1" t="str">
        <f ca="1">IF(ROW()&lt;=Results!$C$1+1,INDEX(Data!$A:$A,CEILING((COUNTA(Data!$A:$A)-1)*RAND()+1,1)),"")</f>
        <v/>
      </c>
      <c r="B472" s="1" t="str">
        <f>IF(ROW()&lt;=Results!$C$1+1,VLOOKUP($A472,Data!$A$2:$C$117,2,TRUE),"")</f>
        <v/>
      </c>
      <c r="C472" s="14" t="str">
        <f>IF(ROW()&lt;=Results!$C$1+1,IF(B472&lt;=0,"",LN(B472)),"")</f>
        <v/>
      </c>
      <c r="D472" s="1" t="str">
        <f>IF(ROW()&lt;=Results!$C$1+1,VLOOKUP($A472,Data!$A$2:$C$117,3,TRUE),"")</f>
        <v/>
      </c>
      <c r="E472" s="14" t="str">
        <f>IF(ROW()&lt;=Results!$C$1+1,IF(D472&lt;=0,"",LN(D472)),"")</f>
        <v/>
      </c>
      <c r="F472" s="53" t="str">
        <f>IF(ROW()&lt;=Results!$C$1+1,IF(ISERROR(C472-E472),"",C472-E472),"")</f>
        <v/>
      </c>
    </row>
    <row r="473" spans="1:6" x14ac:dyDescent="0.2">
      <c r="A473" s="1" t="str">
        <f ca="1">IF(ROW()&lt;=Results!$C$1+1,INDEX(Data!$A:$A,CEILING((COUNTA(Data!$A:$A)-1)*RAND()+1,1)),"")</f>
        <v/>
      </c>
      <c r="B473" s="1" t="str">
        <f>IF(ROW()&lt;=Results!$C$1+1,VLOOKUP($A473,Data!$A$2:$C$117,2,TRUE),"")</f>
        <v/>
      </c>
      <c r="C473" s="14" t="str">
        <f>IF(ROW()&lt;=Results!$C$1+1,IF(B473&lt;=0,"",LN(B473)),"")</f>
        <v/>
      </c>
      <c r="D473" s="1" t="str">
        <f>IF(ROW()&lt;=Results!$C$1+1,VLOOKUP($A473,Data!$A$2:$C$117,3,TRUE),"")</f>
        <v/>
      </c>
      <c r="E473" s="14" t="str">
        <f>IF(ROW()&lt;=Results!$C$1+1,IF(D473&lt;=0,"",LN(D473)),"")</f>
        <v/>
      </c>
      <c r="F473" s="53" t="str">
        <f>IF(ROW()&lt;=Results!$C$1+1,IF(ISERROR(C473-E473),"",C473-E473),"")</f>
        <v/>
      </c>
    </row>
    <row r="474" spans="1:6" x14ac:dyDescent="0.2">
      <c r="A474" s="1" t="str">
        <f ca="1">IF(ROW()&lt;=Results!$C$1+1,INDEX(Data!$A:$A,CEILING((COUNTA(Data!$A:$A)-1)*RAND()+1,1)),"")</f>
        <v/>
      </c>
      <c r="B474" s="1" t="str">
        <f>IF(ROW()&lt;=Results!$C$1+1,VLOOKUP($A474,Data!$A$2:$C$117,2,TRUE),"")</f>
        <v/>
      </c>
      <c r="C474" s="14" t="str">
        <f>IF(ROW()&lt;=Results!$C$1+1,IF(B474&lt;=0,"",LN(B474)),"")</f>
        <v/>
      </c>
      <c r="D474" s="1" t="str">
        <f>IF(ROW()&lt;=Results!$C$1+1,VLOOKUP($A474,Data!$A$2:$C$117,3,TRUE),"")</f>
        <v/>
      </c>
      <c r="E474" s="14" t="str">
        <f>IF(ROW()&lt;=Results!$C$1+1,IF(D474&lt;=0,"",LN(D474)),"")</f>
        <v/>
      </c>
      <c r="F474" s="53" t="str">
        <f>IF(ROW()&lt;=Results!$C$1+1,IF(ISERROR(C474-E474),"",C474-E474),"")</f>
        <v/>
      </c>
    </row>
    <row r="475" spans="1:6" x14ac:dyDescent="0.2">
      <c r="A475" s="1" t="str">
        <f ca="1">IF(ROW()&lt;=Results!$C$1+1,INDEX(Data!$A:$A,CEILING((COUNTA(Data!$A:$A)-1)*RAND()+1,1)),"")</f>
        <v/>
      </c>
      <c r="B475" s="1" t="str">
        <f>IF(ROW()&lt;=Results!$C$1+1,VLOOKUP($A475,Data!$A$2:$C$117,2,TRUE),"")</f>
        <v/>
      </c>
      <c r="C475" s="14" t="str">
        <f>IF(ROW()&lt;=Results!$C$1+1,IF(B475&lt;=0,"",LN(B475)),"")</f>
        <v/>
      </c>
      <c r="D475" s="1" t="str">
        <f>IF(ROW()&lt;=Results!$C$1+1,VLOOKUP($A475,Data!$A$2:$C$117,3,TRUE),"")</f>
        <v/>
      </c>
      <c r="E475" s="14" t="str">
        <f>IF(ROW()&lt;=Results!$C$1+1,IF(D475&lt;=0,"",LN(D475)),"")</f>
        <v/>
      </c>
      <c r="F475" s="53" t="str">
        <f>IF(ROW()&lt;=Results!$C$1+1,IF(ISERROR(C475-E475),"",C475-E475),"")</f>
        <v/>
      </c>
    </row>
    <row r="476" spans="1:6" x14ac:dyDescent="0.2">
      <c r="A476" s="1" t="str">
        <f ca="1">IF(ROW()&lt;=Results!$C$1+1,INDEX(Data!$A:$A,CEILING((COUNTA(Data!$A:$A)-1)*RAND()+1,1)),"")</f>
        <v/>
      </c>
      <c r="B476" s="1" t="str">
        <f>IF(ROW()&lt;=Results!$C$1+1,VLOOKUP($A476,Data!$A$2:$C$117,2,TRUE),"")</f>
        <v/>
      </c>
      <c r="C476" s="14" t="str">
        <f>IF(ROW()&lt;=Results!$C$1+1,IF(B476&lt;=0,"",LN(B476)),"")</f>
        <v/>
      </c>
      <c r="D476" s="1" t="str">
        <f>IF(ROW()&lt;=Results!$C$1+1,VLOOKUP($A476,Data!$A$2:$C$117,3,TRUE),"")</f>
        <v/>
      </c>
      <c r="E476" s="14" t="str">
        <f>IF(ROW()&lt;=Results!$C$1+1,IF(D476&lt;=0,"",LN(D476)),"")</f>
        <v/>
      </c>
      <c r="F476" s="53" t="str">
        <f>IF(ROW()&lt;=Results!$C$1+1,IF(ISERROR(C476-E476),"",C476-E476),"")</f>
        <v/>
      </c>
    </row>
    <row r="477" spans="1:6" x14ac:dyDescent="0.2">
      <c r="A477" s="1" t="str">
        <f ca="1">IF(ROW()&lt;=Results!$C$1+1,INDEX(Data!$A:$A,CEILING((COUNTA(Data!$A:$A)-1)*RAND()+1,1)),"")</f>
        <v/>
      </c>
      <c r="B477" s="1" t="str">
        <f>IF(ROW()&lt;=Results!$C$1+1,VLOOKUP($A477,Data!$A$2:$C$117,2,TRUE),"")</f>
        <v/>
      </c>
      <c r="C477" s="14" t="str">
        <f>IF(ROW()&lt;=Results!$C$1+1,IF(B477&lt;=0,"",LN(B477)),"")</f>
        <v/>
      </c>
      <c r="D477" s="1" t="str">
        <f>IF(ROW()&lt;=Results!$C$1+1,VLOOKUP($A477,Data!$A$2:$C$117,3,TRUE),"")</f>
        <v/>
      </c>
      <c r="E477" s="14" t="str">
        <f>IF(ROW()&lt;=Results!$C$1+1,IF(D477&lt;=0,"",LN(D477)),"")</f>
        <v/>
      </c>
      <c r="F477" s="53" t="str">
        <f>IF(ROW()&lt;=Results!$C$1+1,IF(ISERROR(C477-E477),"",C477-E477),"")</f>
        <v/>
      </c>
    </row>
    <row r="478" spans="1:6" x14ac:dyDescent="0.2">
      <c r="A478" s="1" t="str">
        <f ca="1">IF(ROW()&lt;=Results!$C$1+1,INDEX(Data!$A:$A,CEILING((COUNTA(Data!$A:$A)-1)*RAND()+1,1)),"")</f>
        <v/>
      </c>
      <c r="B478" s="1" t="str">
        <f>IF(ROW()&lt;=Results!$C$1+1,VLOOKUP($A478,Data!$A$2:$C$117,2,TRUE),"")</f>
        <v/>
      </c>
      <c r="C478" s="14" t="str">
        <f>IF(ROW()&lt;=Results!$C$1+1,IF(B478&lt;=0,"",LN(B478)),"")</f>
        <v/>
      </c>
      <c r="D478" s="1" t="str">
        <f>IF(ROW()&lt;=Results!$C$1+1,VLOOKUP($A478,Data!$A$2:$C$117,3,TRUE),"")</f>
        <v/>
      </c>
      <c r="E478" s="14" t="str">
        <f>IF(ROW()&lt;=Results!$C$1+1,IF(D478&lt;=0,"",LN(D478)),"")</f>
        <v/>
      </c>
      <c r="F478" s="53" t="str">
        <f>IF(ROW()&lt;=Results!$C$1+1,IF(ISERROR(C478-E478),"",C478-E478),"")</f>
        <v/>
      </c>
    </row>
    <row r="479" spans="1:6" x14ac:dyDescent="0.2">
      <c r="A479" s="1" t="str">
        <f ca="1">IF(ROW()&lt;=Results!$C$1+1,INDEX(Data!$A:$A,CEILING((COUNTA(Data!$A:$A)-1)*RAND()+1,1)),"")</f>
        <v/>
      </c>
      <c r="B479" s="1" t="str">
        <f>IF(ROW()&lt;=Results!$C$1+1,VLOOKUP($A479,Data!$A$2:$C$117,2,TRUE),"")</f>
        <v/>
      </c>
      <c r="C479" s="14" t="str">
        <f>IF(ROW()&lt;=Results!$C$1+1,IF(B479&lt;=0,"",LN(B479)),"")</f>
        <v/>
      </c>
      <c r="D479" s="1" t="str">
        <f>IF(ROW()&lt;=Results!$C$1+1,VLOOKUP($A479,Data!$A$2:$C$117,3,TRUE),"")</f>
        <v/>
      </c>
      <c r="E479" s="14" t="str">
        <f>IF(ROW()&lt;=Results!$C$1+1,IF(D479&lt;=0,"",LN(D479)),"")</f>
        <v/>
      </c>
      <c r="F479" s="53" t="str">
        <f>IF(ROW()&lt;=Results!$C$1+1,IF(ISERROR(C479-E479),"",C479-E479),"")</f>
        <v/>
      </c>
    </row>
    <row r="480" spans="1:6" x14ac:dyDescent="0.2">
      <c r="A480" s="1" t="str">
        <f ca="1">IF(ROW()&lt;=Results!$C$1+1,INDEX(Data!$A:$A,CEILING((COUNTA(Data!$A:$A)-1)*RAND()+1,1)),"")</f>
        <v/>
      </c>
      <c r="B480" s="1" t="str">
        <f>IF(ROW()&lt;=Results!$C$1+1,VLOOKUP($A480,Data!$A$2:$C$117,2,TRUE),"")</f>
        <v/>
      </c>
      <c r="C480" s="14" t="str">
        <f>IF(ROW()&lt;=Results!$C$1+1,IF(B480&lt;=0,"",LN(B480)),"")</f>
        <v/>
      </c>
      <c r="D480" s="1" t="str">
        <f>IF(ROW()&lt;=Results!$C$1+1,VLOOKUP($A480,Data!$A$2:$C$117,3,TRUE),"")</f>
        <v/>
      </c>
      <c r="E480" s="14" t="str">
        <f>IF(ROW()&lt;=Results!$C$1+1,IF(D480&lt;=0,"",LN(D480)),"")</f>
        <v/>
      </c>
      <c r="F480" s="53" t="str">
        <f>IF(ROW()&lt;=Results!$C$1+1,IF(ISERROR(C480-E480),"",C480-E480),"")</f>
        <v/>
      </c>
    </row>
    <row r="481" spans="1:6" x14ac:dyDescent="0.2">
      <c r="A481" s="1" t="str">
        <f ca="1">IF(ROW()&lt;=Results!$C$1+1,INDEX(Data!$A:$A,CEILING((COUNTA(Data!$A:$A)-1)*RAND()+1,1)),"")</f>
        <v/>
      </c>
      <c r="B481" s="1" t="str">
        <f>IF(ROW()&lt;=Results!$C$1+1,VLOOKUP($A481,Data!$A$2:$C$117,2,TRUE),"")</f>
        <v/>
      </c>
      <c r="C481" s="14" t="str">
        <f>IF(ROW()&lt;=Results!$C$1+1,IF(B481&lt;=0,"",LN(B481)),"")</f>
        <v/>
      </c>
      <c r="D481" s="1" t="str">
        <f>IF(ROW()&lt;=Results!$C$1+1,VLOOKUP($A481,Data!$A$2:$C$117,3,TRUE),"")</f>
        <v/>
      </c>
      <c r="E481" s="14" t="str">
        <f>IF(ROW()&lt;=Results!$C$1+1,IF(D481&lt;=0,"",LN(D481)),"")</f>
        <v/>
      </c>
      <c r="F481" s="53" t="str">
        <f>IF(ROW()&lt;=Results!$C$1+1,IF(ISERROR(C481-E481),"",C481-E481),"")</f>
        <v/>
      </c>
    </row>
    <row r="482" spans="1:6" x14ac:dyDescent="0.2">
      <c r="A482" s="1" t="str">
        <f ca="1">IF(ROW()&lt;=Results!$C$1+1,INDEX(Data!$A:$A,CEILING((COUNTA(Data!$A:$A)-1)*RAND()+1,1)),"")</f>
        <v/>
      </c>
      <c r="B482" s="1" t="str">
        <f>IF(ROW()&lt;=Results!$C$1+1,VLOOKUP($A482,Data!$A$2:$C$117,2,TRUE),"")</f>
        <v/>
      </c>
      <c r="C482" s="14" t="str">
        <f>IF(ROW()&lt;=Results!$C$1+1,IF(B482&lt;=0,"",LN(B482)),"")</f>
        <v/>
      </c>
      <c r="D482" s="1" t="str">
        <f>IF(ROW()&lt;=Results!$C$1+1,VLOOKUP($A482,Data!$A$2:$C$117,3,TRUE),"")</f>
        <v/>
      </c>
      <c r="E482" s="14" t="str">
        <f>IF(ROW()&lt;=Results!$C$1+1,IF(D482&lt;=0,"",LN(D482)),"")</f>
        <v/>
      </c>
      <c r="F482" s="53" t="str">
        <f>IF(ROW()&lt;=Results!$C$1+1,IF(ISERROR(C482-E482),"",C482-E482),"")</f>
        <v/>
      </c>
    </row>
    <row r="483" spans="1:6" x14ac:dyDescent="0.2">
      <c r="A483" s="1" t="str">
        <f ca="1">IF(ROW()&lt;=Results!$C$1+1,INDEX(Data!$A:$A,CEILING((COUNTA(Data!$A:$A)-1)*RAND()+1,1)),"")</f>
        <v/>
      </c>
      <c r="B483" s="1" t="str">
        <f>IF(ROW()&lt;=Results!$C$1+1,VLOOKUP($A483,Data!$A$2:$C$117,2,TRUE),"")</f>
        <v/>
      </c>
      <c r="C483" s="14" t="str">
        <f>IF(ROW()&lt;=Results!$C$1+1,IF(B483&lt;=0,"",LN(B483)),"")</f>
        <v/>
      </c>
      <c r="D483" s="1" t="str">
        <f>IF(ROW()&lt;=Results!$C$1+1,VLOOKUP($A483,Data!$A$2:$C$117,3,TRUE),"")</f>
        <v/>
      </c>
      <c r="E483" s="14" t="str">
        <f>IF(ROW()&lt;=Results!$C$1+1,IF(D483&lt;=0,"",LN(D483)),"")</f>
        <v/>
      </c>
      <c r="F483" s="53" t="str">
        <f>IF(ROW()&lt;=Results!$C$1+1,IF(ISERROR(C483-E483),"",C483-E483),"")</f>
        <v/>
      </c>
    </row>
    <row r="484" spans="1:6" x14ac:dyDescent="0.2">
      <c r="A484" s="1" t="str">
        <f ca="1">IF(ROW()&lt;=Results!$C$1+1,INDEX(Data!$A:$A,CEILING((COUNTA(Data!$A:$A)-1)*RAND()+1,1)),"")</f>
        <v/>
      </c>
      <c r="B484" s="1" t="str">
        <f>IF(ROW()&lt;=Results!$C$1+1,VLOOKUP($A484,Data!$A$2:$C$117,2,TRUE),"")</f>
        <v/>
      </c>
      <c r="C484" s="14" t="str">
        <f>IF(ROW()&lt;=Results!$C$1+1,IF(B484&lt;=0,"",LN(B484)),"")</f>
        <v/>
      </c>
      <c r="D484" s="1" t="str">
        <f>IF(ROW()&lt;=Results!$C$1+1,VLOOKUP($A484,Data!$A$2:$C$117,3,TRUE),"")</f>
        <v/>
      </c>
      <c r="E484" s="14" t="str">
        <f>IF(ROW()&lt;=Results!$C$1+1,IF(D484&lt;=0,"",LN(D484)),"")</f>
        <v/>
      </c>
      <c r="F484" s="53" t="str">
        <f>IF(ROW()&lt;=Results!$C$1+1,IF(ISERROR(C484-E484),"",C484-E484),"")</f>
        <v/>
      </c>
    </row>
    <row r="485" spans="1:6" x14ac:dyDescent="0.2">
      <c r="A485" s="1" t="str">
        <f ca="1">IF(ROW()&lt;=Results!$C$1+1,INDEX(Data!$A:$A,CEILING((COUNTA(Data!$A:$A)-1)*RAND()+1,1)),"")</f>
        <v/>
      </c>
      <c r="B485" s="1" t="str">
        <f>IF(ROW()&lt;=Results!$C$1+1,VLOOKUP($A485,Data!$A$2:$C$117,2,TRUE),"")</f>
        <v/>
      </c>
      <c r="C485" s="14" t="str">
        <f>IF(ROW()&lt;=Results!$C$1+1,IF(B485&lt;=0,"",LN(B485)),"")</f>
        <v/>
      </c>
      <c r="D485" s="1" t="str">
        <f>IF(ROW()&lt;=Results!$C$1+1,VLOOKUP($A485,Data!$A$2:$C$117,3,TRUE),"")</f>
        <v/>
      </c>
      <c r="E485" s="14" t="str">
        <f>IF(ROW()&lt;=Results!$C$1+1,IF(D485&lt;=0,"",LN(D485)),"")</f>
        <v/>
      </c>
      <c r="F485" s="53" t="str">
        <f>IF(ROW()&lt;=Results!$C$1+1,IF(ISERROR(C485-E485),"",C485-E485),"")</f>
        <v/>
      </c>
    </row>
    <row r="486" spans="1:6" x14ac:dyDescent="0.2">
      <c r="A486" s="1" t="str">
        <f ca="1">IF(ROW()&lt;=Results!$C$1+1,INDEX(Data!$A:$A,CEILING((COUNTA(Data!$A:$A)-1)*RAND()+1,1)),"")</f>
        <v/>
      </c>
      <c r="B486" s="1" t="str">
        <f>IF(ROW()&lt;=Results!$C$1+1,VLOOKUP($A486,Data!$A$2:$C$117,2,TRUE),"")</f>
        <v/>
      </c>
      <c r="C486" s="14" t="str">
        <f>IF(ROW()&lt;=Results!$C$1+1,IF(B486&lt;=0,"",LN(B486)),"")</f>
        <v/>
      </c>
      <c r="D486" s="1" t="str">
        <f>IF(ROW()&lt;=Results!$C$1+1,VLOOKUP($A486,Data!$A$2:$C$117,3,TRUE),"")</f>
        <v/>
      </c>
      <c r="E486" s="14" t="str">
        <f>IF(ROW()&lt;=Results!$C$1+1,IF(D486&lt;=0,"",LN(D486)),"")</f>
        <v/>
      </c>
      <c r="F486" s="53" t="str">
        <f>IF(ROW()&lt;=Results!$C$1+1,IF(ISERROR(C486-E486),"",C486-E486),"")</f>
        <v/>
      </c>
    </row>
    <row r="487" spans="1:6" x14ac:dyDescent="0.2">
      <c r="A487" s="1" t="str">
        <f ca="1">IF(ROW()&lt;=Results!$C$1+1,INDEX(Data!$A:$A,CEILING((COUNTA(Data!$A:$A)-1)*RAND()+1,1)),"")</f>
        <v/>
      </c>
      <c r="B487" s="1" t="str">
        <f>IF(ROW()&lt;=Results!$C$1+1,VLOOKUP($A487,Data!$A$2:$C$117,2,TRUE),"")</f>
        <v/>
      </c>
      <c r="C487" s="14" t="str">
        <f>IF(ROW()&lt;=Results!$C$1+1,IF(B487&lt;=0,"",LN(B487)),"")</f>
        <v/>
      </c>
      <c r="D487" s="1" t="str">
        <f>IF(ROW()&lt;=Results!$C$1+1,VLOOKUP($A487,Data!$A$2:$C$117,3,TRUE),"")</f>
        <v/>
      </c>
      <c r="E487" s="14" t="str">
        <f>IF(ROW()&lt;=Results!$C$1+1,IF(D487&lt;=0,"",LN(D487)),"")</f>
        <v/>
      </c>
      <c r="F487" s="53" t="str">
        <f>IF(ROW()&lt;=Results!$C$1+1,IF(ISERROR(C487-E487),"",C487-E487),"")</f>
        <v/>
      </c>
    </row>
    <row r="488" spans="1:6" x14ac:dyDescent="0.2">
      <c r="A488" s="1" t="str">
        <f ca="1">IF(ROW()&lt;=Results!$C$1+1,INDEX(Data!$A:$A,CEILING((COUNTA(Data!$A:$A)-1)*RAND()+1,1)),"")</f>
        <v/>
      </c>
      <c r="B488" s="1" t="str">
        <f>IF(ROW()&lt;=Results!$C$1+1,VLOOKUP($A488,Data!$A$2:$C$117,2,TRUE),"")</f>
        <v/>
      </c>
      <c r="C488" s="14" t="str">
        <f>IF(ROW()&lt;=Results!$C$1+1,IF(B488&lt;=0,"",LN(B488)),"")</f>
        <v/>
      </c>
      <c r="D488" s="1" t="str">
        <f>IF(ROW()&lt;=Results!$C$1+1,VLOOKUP($A488,Data!$A$2:$C$117,3,TRUE),"")</f>
        <v/>
      </c>
      <c r="E488" s="14" t="str">
        <f>IF(ROW()&lt;=Results!$C$1+1,IF(D488&lt;=0,"",LN(D488)),"")</f>
        <v/>
      </c>
      <c r="F488" s="53" t="str">
        <f>IF(ROW()&lt;=Results!$C$1+1,IF(ISERROR(C488-E488),"",C488-E488),"")</f>
        <v/>
      </c>
    </row>
    <row r="489" spans="1:6" x14ac:dyDescent="0.2">
      <c r="A489" s="1" t="str">
        <f ca="1">IF(ROW()&lt;=Results!$C$1+1,INDEX(Data!$A:$A,CEILING((COUNTA(Data!$A:$A)-1)*RAND()+1,1)),"")</f>
        <v/>
      </c>
      <c r="B489" s="1" t="str">
        <f>IF(ROW()&lt;=Results!$C$1+1,VLOOKUP($A489,Data!$A$2:$C$117,2,TRUE),"")</f>
        <v/>
      </c>
      <c r="C489" s="14" t="str">
        <f>IF(ROW()&lt;=Results!$C$1+1,IF(B489&lt;=0,"",LN(B489)),"")</f>
        <v/>
      </c>
      <c r="D489" s="1" t="str">
        <f>IF(ROW()&lt;=Results!$C$1+1,VLOOKUP($A489,Data!$A$2:$C$117,3,TRUE),"")</f>
        <v/>
      </c>
      <c r="E489" s="14" t="str">
        <f>IF(ROW()&lt;=Results!$C$1+1,IF(D489&lt;=0,"",LN(D489)),"")</f>
        <v/>
      </c>
      <c r="F489" s="53" t="str">
        <f>IF(ROW()&lt;=Results!$C$1+1,IF(ISERROR(C489-E489),"",C489-E489),"")</f>
        <v/>
      </c>
    </row>
    <row r="490" spans="1:6" x14ac:dyDescent="0.2">
      <c r="A490" s="1" t="str">
        <f ca="1">IF(ROW()&lt;=Results!$C$1+1,INDEX(Data!$A:$A,CEILING((COUNTA(Data!$A:$A)-1)*RAND()+1,1)),"")</f>
        <v/>
      </c>
      <c r="B490" s="1" t="str">
        <f>IF(ROW()&lt;=Results!$C$1+1,VLOOKUP($A490,Data!$A$2:$C$117,2,TRUE),"")</f>
        <v/>
      </c>
      <c r="C490" s="14" t="str">
        <f>IF(ROW()&lt;=Results!$C$1+1,IF(B490&lt;=0,"",LN(B490)),"")</f>
        <v/>
      </c>
      <c r="D490" s="1" t="str">
        <f>IF(ROW()&lt;=Results!$C$1+1,VLOOKUP($A490,Data!$A$2:$C$117,3,TRUE),"")</f>
        <v/>
      </c>
      <c r="E490" s="14" t="str">
        <f>IF(ROW()&lt;=Results!$C$1+1,IF(D490&lt;=0,"",LN(D490)),"")</f>
        <v/>
      </c>
      <c r="F490" s="53" t="str">
        <f>IF(ROW()&lt;=Results!$C$1+1,IF(ISERROR(C490-E490),"",C490-E490),"")</f>
        <v/>
      </c>
    </row>
    <row r="491" spans="1:6" x14ac:dyDescent="0.2">
      <c r="A491" s="1" t="str">
        <f ca="1">IF(ROW()&lt;=Results!$C$1+1,INDEX(Data!$A:$A,CEILING((COUNTA(Data!$A:$A)-1)*RAND()+1,1)),"")</f>
        <v/>
      </c>
      <c r="B491" s="1" t="str">
        <f>IF(ROW()&lt;=Results!$C$1+1,VLOOKUP($A491,Data!$A$2:$C$117,2,TRUE),"")</f>
        <v/>
      </c>
      <c r="C491" s="14" t="str">
        <f>IF(ROW()&lt;=Results!$C$1+1,IF(B491&lt;=0,"",LN(B491)),"")</f>
        <v/>
      </c>
      <c r="D491" s="1" t="str">
        <f>IF(ROW()&lt;=Results!$C$1+1,VLOOKUP($A491,Data!$A$2:$C$117,3,TRUE),"")</f>
        <v/>
      </c>
      <c r="E491" s="14" t="str">
        <f>IF(ROW()&lt;=Results!$C$1+1,IF(D491&lt;=0,"",LN(D491)),"")</f>
        <v/>
      </c>
      <c r="F491" s="53" t="str">
        <f>IF(ROW()&lt;=Results!$C$1+1,IF(ISERROR(C491-E491),"",C491-E491),"")</f>
        <v/>
      </c>
    </row>
    <row r="492" spans="1:6" x14ac:dyDescent="0.2">
      <c r="A492" s="1" t="str">
        <f ca="1">IF(ROW()&lt;=Results!$C$1+1,INDEX(Data!$A:$A,CEILING((COUNTA(Data!$A:$A)-1)*RAND()+1,1)),"")</f>
        <v/>
      </c>
      <c r="B492" s="1" t="str">
        <f>IF(ROW()&lt;=Results!$C$1+1,VLOOKUP($A492,Data!$A$2:$C$117,2,TRUE),"")</f>
        <v/>
      </c>
      <c r="C492" s="14" t="str">
        <f>IF(ROW()&lt;=Results!$C$1+1,IF(B492&lt;=0,"",LN(B492)),"")</f>
        <v/>
      </c>
      <c r="D492" s="1" t="str">
        <f>IF(ROW()&lt;=Results!$C$1+1,VLOOKUP($A492,Data!$A$2:$C$117,3,TRUE),"")</f>
        <v/>
      </c>
      <c r="E492" s="14" t="str">
        <f>IF(ROW()&lt;=Results!$C$1+1,IF(D492&lt;=0,"",LN(D492)),"")</f>
        <v/>
      </c>
      <c r="F492" s="53" t="str">
        <f>IF(ROW()&lt;=Results!$C$1+1,IF(ISERROR(C492-E492),"",C492-E492),"")</f>
        <v/>
      </c>
    </row>
    <row r="493" spans="1:6" x14ac:dyDescent="0.2">
      <c r="A493" s="1" t="str">
        <f ca="1">IF(ROW()&lt;=Results!$C$1+1,INDEX(Data!$A:$A,CEILING((COUNTA(Data!$A:$A)-1)*RAND()+1,1)),"")</f>
        <v/>
      </c>
      <c r="B493" s="1" t="str">
        <f>IF(ROW()&lt;=Results!$C$1+1,VLOOKUP($A493,Data!$A$2:$C$117,2,TRUE),"")</f>
        <v/>
      </c>
      <c r="C493" s="14" t="str">
        <f>IF(ROW()&lt;=Results!$C$1+1,IF(B493&lt;=0,"",LN(B493)),"")</f>
        <v/>
      </c>
      <c r="D493" s="1" t="str">
        <f>IF(ROW()&lt;=Results!$C$1+1,VLOOKUP($A493,Data!$A$2:$C$117,3,TRUE),"")</f>
        <v/>
      </c>
      <c r="E493" s="14" t="str">
        <f>IF(ROW()&lt;=Results!$C$1+1,IF(D493&lt;=0,"",LN(D493)),"")</f>
        <v/>
      </c>
      <c r="F493" s="53" t="str">
        <f>IF(ROW()&lt;=Results!$C$1+1,IF(ISERROR(C493-E493),"",C493-E493),"")</f>
        <v/>
      </c>
    </row>
    <row r="494" spans="1:6" x14ac:dyDescent="0.2">
      <c r="A494" s="1" t="str">
        <f ca="1">IF(ROW()&lt;=Results!$C$1+1,INDEX(Data!$A:$A,CEILING((COUNTA(Data!$A:$A)-1)*RAND()+1,1)),"")</f>
        <v/>
      </c>
      <c r="B494" s="1" t="str">
        <f>IF(ROW()&lt;=Results!$C$1+1,VLOOKUP($A494,Data!$A$2:$C$117,2,TRUE),"")</f>
        <v/>
      </c>
      <c r="C494" s="14" t="str">
        <f>IF(ROW()&lt;=Results!$C$1+1,IF(B494&lt;=0,"",LN(B494)),"")</f>
        <v/>
      </c>
      <c r="D494" s="1" t="str">
        <f>IF(ROW()&lt;=Results!$C$1+1,VLOOKUP($A494,Data!$A$2:$C$117,3,TRUE),"")</f>
        <v/>
      </c>
      <c r="E494" s="14" t="str">
        <f>IF(ROW()&lt;=Results!$C$1+1,IF(D494&lt;=0,"",LN(D494)),"")</f>
        <v/>
      </c>
      <c r="F494" s="53" t="str">
        <f>IF(ROW()&lt;=Results!$C$1+1,IF(ISERROR(C494-E494),"",C494-E494),"")</f>
        <v/>
      </c>
    </row>
    <row r="495" spans="1:6" x14ac:dyDescent="0.2">
      <c r="A495" s="1" t="str">
        <f ca="1">IF(ROW()&lt;=Results!$C$1+1,INDEX(Data!$A:$A,CEILING((COUNTA(Data!$A:$A)-1)*RAND()+1,1)),"")</f>
        <v/>
      </c>
      <c r="B495" s="1" t="str">
        <f>IF(ROW()&lt;=Results!$C$1+1,VLOOKUP($A495,Data!$A$2:$C$117,2,TRUE),"")</f>
        <v/>
      </c>
      <c r="C495" s="14" t="str">
        <f>IF(ROW()&lt;=Results!$C$1+1,IF(B495&lt;=0,"",LN(B495)),"")</f>
        <v/>
      </c>
      <c r="D495" s="1" t="str">
        <f>IF(ROW()&lt;=Results!$C$1+1,VLOOKUP($A495,Data!$A$2:$C$117,3,TRUE),"")</f>
        <v/>
      </c>
      <c r="E495" s="14" t="str">
        <f>IF(ROW()&lt;=Results!$C$1+1,IF(D495&lt;=0,"",LN(D495)),"")</f>
        <v/>
      </c>
      <c r="F495" s="53" t="str">
        <f>IF(ROW()&lt;=Results!$C$1+1,IF(ISERROR(C495-E495),"",C495-E495),"")</f>
        <v/>
      </c>
    </row>
    <row r="496" spans="1:6" x14ac:dyDescent="0.2">
      <c r="A496" s="1" t="str">
        <f ca="1">IF(ROW()&lt;=Results!$C$1+1,INDEX(Data!$A:$A,CEILING((COUNTA(Data!$A:$A)-1)*RAND()+1,1)),"")</f>
        <v/>
      </c>
      <c r="B496" s="1" t="str">
        <f>IF(ROW()&lt;=Results!$C$1+1,VLOOKUP($A496,Data!$A$2:$C$117,2,TRUE),"")</f>
        <v/>
      </c>
      <c r="C496" s="14" t="str">
        <f>IF(ROW()&lt;=Results!$C$1+1,IF(B496&lt;=0,"",LN(B496)),"")</f>
        <v/>
      </c>
      <c r="D496" s="1" t="str">
        <f>IF(ROW()&lt;=Results!$C$1+1,VLOOKUP($A496,Data!$A$2:$C$117,3,TRUE),"")</f>
        <v/>
      </c>
      <c r="E496" s="14" t="str">
        <f>IF(ROW()&lt;=Results!$C$1+1,IF(D496&lt;=0,"",LN(D496)),"")</f>
        <v/>
      </c>
      <c r="F496" s="53" t="str">
        <f>IF(ROW()&lt;=Results!$C$1+1,IF(ISERROR(C496-E496),"",C496-E496),"")</f>
        <v/>
      </c>
    </row>
    <row r="497" spans="1:6" x14ac:dyDescent="0.2">
      <c r="A497" s="1" t="str">
        <f ca="1">IF(ROW()&lt;=Results!$C$1+1,INDEX(Data!$A:$A,CEILING((COUNTA(Data!$A:$A)-1)*RAND()+1,1)),"")</f>
        <v/>
      </c>
      <c r="B497" s="1" t="str">
        <f>IF(ROW()&lt;=Results!$C$1+1,VLOOKUP($A497,Data!$A$2:$C$117,2,TRUE),"")</f>
        <v/>
      </c>
      <c r="C497" s="14" t="str">
        <f>IF(ROW()&lt;=Results!$C$1+1,IF(B497&lt;=0,"",LN(B497)),"")</f>
        <v/>
      </c>
      <c r="D497" s="1" t="str">
        <f>IF(ROW()&lt;=Results!$C$1+1,VLOOKUP($A497,Data!$A$2:$C$117,3,TRUE),"")</f>
        <v/>
      </c>
      <c r="E497" s="14" t="str">
        <f>IF(ROW()&lt;=Results!$C$1+1,IF(D497&lt;=0,"",LN(D497)),"")</f>
        <v/>
      </c>
      <c r="F497" s="53" t="str">
        <f>IF(ROW()&lt;=Results!$C$1+1,IF(ISERROR(C497-E497),"",C497-E497),"")</f>
        <v/>
      </c>
    </row>
    <row r="498" spans="1:6" x14ac:dyDescent="0.2">
      <c r="A498" s="1" t="str">
        <f ca="1">IF(ROW()&lt;=Results!$C$1+1,INDEX(Data!$A:$A,CEILING((COUNTA(Data!$A:$A)-1)*RAND()+1,1)),"")</f>
        <v/>
      </c>
      <c r="B498" s="1" t="str">
        <f>IF(ROW()&lt;=Results!$C$1+1,VLOOKUP($A498,Data!$A$2:$C$117,2,TRUE),"")</f>
        <v/>
      </c>
      <c r="C498" s="14" t="str">
        <f>IF(ROW()&lt;=Results!$C$1+1,IF(B498&lt;=0,"",LN(B498)),"")</f>
        <v/>
      </c>
      <c r="D498" s="1" t="str">
        <f>IF(ROW()&lt;=Results!$C$1+1,VLOOKUP($A498,Data!$A$2:$C$117,3,TRUE),"")</f>
        <v/>
      </c>
      <c r="E498" s="14" t="str">
        <f>IF(ROW()&lt;=Results!$C$1+1,IF(D498&lt;=0,"",LN(D498)),"")</f>
        <v/>
      </c>
      <c r="F498" s="53" t="str">
        <f>IF(ROW()&lt;=Results!$C$1+1,IF(ISERROR(C498-E498),"",C498-E498),"")</f>
        <v/>
      </c>
    </row>
    <row r="499" spans="1:6" x14ac:dyDescent="0.2">
      <c r="A499" s="1" t="str">
        <f ca="1">IF(ROW()&lt;=Results!$C$1+1,INDEX(Data!$A:$A,CEILING((COUNTA(Data!$A:$A)-1)*RAND()+1,1)),"")</f>
        <v/>
      </c>
      <c r="B499" s="1" t="str">
        <f>IF(ROW()&lt;=Results!$C$1+1,VLOOKUP($A499,Data!$A$2:$C$117,2,TRUE),"")</f>
        <v/>
      </c>
      <c r="C499" s="14" t="str">
        <f>IF(ROW()&lt;=Results!$C$1+1,IF(B499&lt;=0,"",LN(B499)),"")</f>
        <v/>
      </c>
      <c r="D499" s="1" t="str">
        <f>IF(ROW()&lt;=Results!$C$1+1,VLOOKUP($A499,Data!$A$2:$C$117,3,TRUE),"")</f>
        <v/>
      </c>
      <c r="E499" s="14" t="str">
        <f>IF(ROW()&lt;=Results!$C$1+1,IF(D499&lt;=0,"",LN(D499)),"")</f>
        <v/>
      </c>
      <c r="F499" s="53" t="str">
        <f>IF(ROW()&lt;=Results!$C$1+1,IF(ISERROR(C499-E499),"",C499-E499),"")</f>
        <v/>
      </c>
    </row>
    <row r="500" spans="1:6" x14ac:dyDescent="0.2">
      <c r="A500" s="1" t="str">
        <f ca="1">IF(ROW()&lt;=Results!$C$1+1,INDEX(Data!$A:$A,CEILING((COUNTA(Data!$A:$A)-1)*RAND()+1,1)),"")</f>
        <v/>
      </c>
      <c r="B500" s="1" t="str">
        <f>IF(ROW()&lt;=Results!$C$1+1,VLOOKUP($A500,Data!$A$2:$C$117,2,TRUE),"")</f>
        <v/>
      </c>
      <c r="C500" s="14" t="str">
        <f>IF(ROW()&lt;=Results!$C$1+1,IF(B500&lt;=0,"",LN(B500)),"")</f>
        <v/>
      </c>
      <c r="D500" s="1" t="str">
        <f>IF(ROW()&lt;=Results!$C$1+1,VLOOKUP($A500,Data!$A$2:$C$117,3,TRUE),"")</f>
        <v/>
      </c>
      <c r="E500" s="14" t="str">
        <f>IF(ROW()&lt;=Results!$C$1+1,IF(D500&lt;=0,"",LN(D500)),"")</f>
        <v/>
      </c>
      <c r="F500" s="53" t="str">
        <f>IF(ROW()&lt;=Results!$C$1+1,IF(ISERROR(C500-E500),"",C500-E500),"")</f>
        <v/>
      </c>
    </row>
    <row r="501" spans="1:6" x14ac:dyDescent="0.2">
      <c r="A501" s="1" t="str">
        <f ca="1">IF(ROW()&lt;=Results!$C$1+1,INDEX(Data!$A:$A,CEILING((COUNTA(Data!$A:$A)-1)*RAND()+1,1)),"")</f>
        <v/>
      </c>
      <c r="B501" s="1" t="str">
        <f>IF(ROW()&lt;=Results!$C$1+1,VLOOKUP($A501,Data!$A$2:$C$117,2,TRUE),"")</f>
        <v/>
      </c>
      <c r="C501" s="14" t="str">
        <f>IF(ROW()&lt;=Results!$C$1+1,IF(B501&lt;=0,"",LN(B501)),"")</f>
        <v/>
      </c>
      <c r="D501" s="1" t="str">
        <f>IF(ROW()&lt;=Results!$C$1+1,VLOOKUP($A501,Data!$A$2:$C$117,3,TRUE),"")</f>
        <v/>
      </c>
      <c r="E501" s="14" t="str">
        <f>IF(ROW()&lt;=Results!$C$1+1,IF(D501&lt;=0,"",LN(D501)),"")</f>
        <v/>
      </c>
      <c r="F501" s="53" t="str">
        <f>IF(ROW()&lt;=Results!$C$1+1,IF(ISERROR(C501-E501),"",C501-E501),"")</f>
        <v/>
      </c>
    </row>
    <row r="502" spans="1:6" x14ac:dyDescent="0.2">
      <c r="A502" s="1" t="str">
        <f ca="1">IF(ROW()&lt;=Results!$C$1+1,INDEX(Data!$A:$A,CEILING((COUNTA(Data!$A:$A)-1)*RAND()+1,1)),"")</f>
        <v/>
      </c>
      <c r="B502" s="1" t="str">
        <f>IF(ROW()&lt;=Results!$C$1+1,VLOOKUP($A502,Data!$A$2:$C$117,2,TRUE),"")</f>
        <v/>
      </c>
      <c r="C502" s="14" t="str">
        <f>IF(ROW()&lt;=Results!$C$1+1,IF(B502&lt;=0,"",LN(B502)),"")</f>
        <v/>
      </c>
      <c r="D502" s="1" t="str">
        <f>IF(ROW()&lt;=Results!$C$1+1,VLOOKUP($A502,Data!$A$2:$C$117,3,TRUE),"")</f>
        <v/>
      </c>
      <c r="E502" s="14" t="str">
        <f>IF(ROW()&lt;=Results!$C$1+1,IF(D502&lt;=0,"",LN(D502)),"")</f>
        <v/>
      </c>
      <c r="F502" s="53" t="str">
        <f>IF(ROW()&lt;=Results!$C$1+1,IF(ISERROR(C502-E502),"",C502-E502),"")</f>
        <v/>
      </c>
    </row>
    <row r="503" spans="1:6" x14ac:dyDescent="0.2">
      <c r="A503" s="1" t="str">
        <f ca="1">IF(ROW()&lt;=Results!$C$1+1,INDEX(Data!$A:$A,CEILING((COUNTA(Data!$A:$A)-1)*RAND()+1,1)),"")</f>
        <v/>
      </c>
      <c r="B503" s="1" t="str">
        <f>IF(ROW()&lt;=Results!$C$1+1,VLOOKUP($A503,Data!$A$2:$C$117,2,TRUE),"")</f>
        <v/>
      </c>
      <c r="C503" s="14" t="str">
        <f>IF(ROW()&lt;=Results!$C$1+1,IF(B503&lt;=0,"",LN(B503)),"")</f>
        <v/>
      </c>
      <c r="D503" s="1" t="str">
        <f>IF(ROW()&lt;=Results!$C$1+1,VLOOKUP($A503,Data!$A$2:$C$117,3,TRUE),"")</f>
        <v/>
      </c>
      <c r="E503" s="14" t="str">
        <f>IF(ROW()&lt;=Results!$C$1+1,IF(D503&lt;=0,"",LN(D503)),"")</f>
        <v/>
      </c>
      <c r="F503" s="53" t="str">
        <f>IF(ROW()&lt;=Results!$C$1+1,IF(ISERROR(C503-E503),"",C503-E503),"")</f>
        <v/>
      </c>
    </row>
    <row r="504" spans="1:6" x14ac:dyDescent="0.2">
      <c r="A504" s="1" t="str">
        <f ca="1">IF(ROW()&lt;=Results!$C$1+1,INDEX(Data!$A:$A,CEILING((COUNTA(Data!$A:$A)-1)*RAND()+1,1)),"")</f>
        <v/>
      </c>
      <c r="B504" s="1" t="str">
        <f>IF(ROW()&lt;=Results!$C$1+1,VLOOKUP($A504,Data!$A$2:$C$117,2,TRUE),"")</f>
        <v/>
      </c>
      <c r="C504" s="14" t="str">
        <f>IF(ROW()&lt;=Results!$C$1+1,IF(B504&lt;=0,"",LN(B504)),"")</f>
        <v/>
      </c>
      <c r="D504" s="1" t="str">
        <f>IF(ROW()&lt;=Results!$C$1+1,VLOOKUP($A504,Data!$A$2:$C$117,3,TRUE),"")</f>
        <v/>
      </c>
      <c r="E504" s="14" t="str">
        <f>IF(ROW()&lt;=Results!$C$1+1,IF(D504&lt;=0,"",LN(D504)),"")</f>
        <v/>
      </c>
      <c r="F504" s="53" t="str">
        <f>IF(ROW()&lt;=Results!$C$1+1,IF(ISERROR(C504-E504),"",C504-E504),"")</f>
        <v/>
      </c>
    </row>
    <row r="505" spans="1:6" x14ac:dyDescent="0.2">
      <c r="A505" s="1" t="str">
        <f ca="1">IF(ROW()&lt;=Results!$C$1+1,INDEX(Data!$A:$A,CEILING((COUNTA(Data!$A:$A)-1)*RAND()+1,1)),"")</f>
        <v/>
      </c>
      <c r="B505" s="1" t="str">
        <f>IF(ROW()&lt;=Results!$C$1+1,VLOOKUP($A505,Data!$A$2:$C$117,2,TRUE),"")</f>
        <v/>
      </c>
      <c r="C505" s="14" t="str">
        <f>IF(ROW()&lt;=Results!$C$1+1,IF(B505&lt;=0,"",LN(B505)),"")</f>
        <v/>
      </c>
      <c r="D505" s="1" t="str">
        <f>IF(ROW()&lt;=Results!$C$1+1,VLOOKUP($A505,Data!$A$2:$C$117,3,TRUE),"")</f>
        <v/>
      </c>
      <c r="E505" s="14" t="str">
        <f>IF(ROW()&lt;=Results!$C$1+1,IF(D505&lt;=0,"",LN(D505)),"")</f>
        <v/>
      </c>
      <c r="F505" s="53" t="str">
        <f>IF(ROW()&lt;=Results!$C$1+1,IF(ISERROR(C505-E505),"",C505-E505),"")</f>
        <v/>
      </c>
    </row>
    <row r="506" spans="1:6" x14ac:dyDescent="0.2">
      <c r="A506" s="1" t="str">
        <f ca="1">IF(ROW()&lt;=Results!$C$1+1,INDEX(Data!$A:$A,CEILING((COUNTA(Data!$A:$A)-1)*RAND()+1,1)),"")</f>
        <v/>
      </c>
      <c r="B506" s="1" t="str">
        <f>IF(ROW()&lt;=Results!$C$1+1,VLOOKUP($A506,Data!$A$2:$C$117,2,TRUE),"")</f>
        <v/>
      </c>
      <c r="C506" s="14" t="str">
        <f>IF(ROW()&lt;=Results!$C$1+1,IF(B506&lt;=0,"",LN(B506)),"")</f>
        <v/>
      </c>
      <c r="D506" s="1" t="str">
        <f>IF(ROW()&lt;=Results!$C$1+1,VLOOKUP($A506,Data!$A$2:$C$117,3,TRUE),"")</f>
        <v/>
      </c>
      <c r="E506" s="14" t="str">
        <f>IF(ROW()&lt;=Results!$C$1+1,IF(D506&lt;=0,"",LN(D506)),"")</f>
        <v/>
      </c>
      <c r="F506" s="53" t="str">
        <f>IF(ROW()&lt;=Results!$C$1+1,IF(ISERROR(C506-E506),"",C506-E506),"")</f>
        <v/>
      </c>
    </row>
    <row r="507" spans="1:6" x14ac:dyDescent="0.2">
      <c r="A507" s="1" t="str">
        <f ca="1">IF(ROW()&lt;=Results!$C$1+1,INDEX(Data!$A:$A,CEILING((COUNTA(Data!$A:$A)-1)*RAND()+1,1)),"")</f>
        <v/>
      </c>
      <c r="B507" s="1" t="str">
        <f>IF(ROW()&lt;=Results!$C$1+1,VLOOKUP($A507,Data!$A$2:$C$117,2,TRUE),"")</f>
        <v/>
      </c>
      <c r="C507" s="14" t="str">
        <f>IF(ROW()&lt;=Results!$C$1+1,IF(B507&lt;=0,"",LN(B507)),"")</f>
        <v/>
      </c>
      <c r="D507" s="1" t="str">
        <f>IF(ROW()&lt;=Results!$C$1+1,VLOOKUP($A507,Data!$A$2:$C$117,3,TRUE),"")</f>
        <v/>
      </c>
      <c r="E507" s="14" t="str">
        <f>IF(ROW()&lt;=Results!$C$1+1,IF(D507&lt;=0,"",LN(D507)),"")</f>
        <v/>
      </c>
      <c r="F507" s="53" t="str">
        <f>IF(ROW()&lt;=Results!$C$1+1,IF(ISERROR(C507-E507),"",C507-E507),"")</f>
        <v/>
      </c>
    </row>
    <row r="508" spans="1:6" x14ac:dyDescent="0.2">
      <c r="A508" s="1" t="str">
        <f ca="1">IF(ROW()&lt;=Results!$C$1+1,INDEX(Data!$A:$A,CEILING((COUNTA(Data!$A:$A)-1)*RAND()+1,1)),"")</f>
        <v/>
      </c>
      <c r="B508" s="1" t="str">
        <f>IF(ROW()&lt;=Results!$C$1+1,VLOOKUP($A508,Data!$A$2:$C$117,2,TRUE),"")</f>
        <v/>
      </c>
      <c r="C508" s="14" t="str">
        <f>IF(ROW()&lt;=Results!$C$1+1,IF(B508&lt;=0,"",LN(B508)),"")</f>
        <v/>
      </c>
      <c r="D508" s="1" t="str">
        <f>IF(ROW()&lt;=Results!$C$1+1,VLOOKUP($A508,Data!$A$2:$C$117,3,TRUE),"")</f>
        <v/>
      </c>
      <c r="E508" s="14" t="str">
        <f>IF(ROW()&lt;=Results!$C$1+1,IF(D508&lt;=0,"",LN(D508)),"")</f>
        <v/>
      </c>
      <c r="F508" s="53" t="str">
        <f>IF(ROW()&lt;=Results!$C$1+1,IF(ISERROR(C508-E508),"",C508-E508),"")</f>
        <v/>
      </c>
    </row>
    <row r="509" spans="1:6" x14ac:dyDescent="0.2">
      <c r="A509" s="1" t="str">
        <f ca="1">IF(ROW()&lt;=Results!$C$1+1,INDEX(Data!$A:$A,CEILING((COUNTA(Data!$A:$A)-1)*RAND()+1,1)),"")</f>
        <v/>
      </c>
      <c r="B509" s="1" t="str">
        <f>IF(ROW()&lt;=Results!$C$1+1,VLOOKUP($A509,Data!$A$2:$C$117,2,TRUE),"")</f>
        <v/>
      </c>
      <c r="C509" s="14" t="str">
        <f>IF(ROW()&lt;=Results!$C$1+1,IF(B509&lt;=0,"",LN(B509)),"")</f>
        <v/>
      </c>
      <c r="D509" s="1" t="str">
        <f>IF(ROW()&lt;=Results!$C$1+1,VLOOKUP($A509,Data!$A$2:$C$117,3,TRUE),"")</f>
        <v/>
      </c>
      <c r="E509" s="14" t="str">
        <f>IF(ROW()&lt;=Results!$C$1+1,IF(D509&lt;=0,"",LN(D509)),"")</f>
        <v/>
      </c>
      <c r="F509" s="53" t="str">
        <f>IF(ROW()&lt;=Results!$C$1+1,IF(ISERROR(C509-E509),"",C509-E509),"")</f>
        <v/>
      </c>
    </row>
    <row r="510" spans="1:6" x14ac:dyDescent="0.2">
      <c r="A510" s="1" t="str">
        <f ca="1">IF(ROW()&lt;=Results!$C$1+1,INDEX(Data!$A:$A,CEILING((COUNTA(Data!$A:$A)-1)*RAND()+1,1)),"")</f>
        <v/>
      </c>
      <c r="B510" s="1" t="str">
        <f>IF(ROW()&lt;=Results!$C$1+1,VLOOKUP($A510,Data!$A$2:$C$117,2,TRUE),"")</f>
        <v/>
      </c>
      <c r="C510" s="14" t="str">
        <f>IF(ROW()&lt;=Results!$C$1+1,IF(B510&lt;=0,"",LN(B510)),"")</f>
        <v/>
      </c>
      <c r="D510" s="1" t="str">
        <f>IF(ROW()&lt;=Results!$C$1+1,VLOOKUP($A510,Data!$A$2:$C$117,3,TRUE),"")</f>
        <v/>
      </c>
      <c r="E510" s="14" t="str">
        <f>IF(ROW()&lt;=Results!$C$1+1,IF(D510&lt;=0,"",LN(D510)),"")</f>
        <v/>
      </c>
      <c r="F510" s="53" t="str">
        <f>IF(ROW()&lt;=Results!$C$1+1,IF(ISERROR(C510-E510),"",C510-E510),"")</f>
        <v/>
      </c>
    </row>
    <row r="511" spans="1:6" x14ac:dyDescent="0.2">
      <c r="A511" s="1" t="str">
        <f ca="1">IF(ROW()&lt;=Results!$C$1+1,INDEX(Data!$A:$A,CEILING((COUNTA(Data!$A:$A)-1)*RAND()+1,1)),"")</f>
        <v/>
      </c>
      <c r="B511" s="1" t="str">
        <f>IF(ROW()&lt;=Results!$C$1+1,VLOOKUP($A511,Data!$A$2:$C$117,2,TRUE),"")</f>
        <v/>
      </c>
      <c r="C511" s="14" t="str">
        <f>IF(ROW()&lt;=Results!$C$1+1,IF(B511&lt;=0,"",LN(B511)),"")</f>
        <v/>
      </c>
      <c r="D511" s="1" t="str">
        <f>IF(ROW()&lt;=Results!$C$1+1,VLOOKUP($A511,Data!$A$2:$C$117,3,TRUE),"")</f>
        <v/>
      </c>
      <c r="E511" s="14" t="str">
        <f>IF(ROW()&lt;=Results!$C$1+1,IF(D511&lt;=0,"",LN(D511)),"")</f>
        <v/>
      </c>
      <c r="F511" s="53" t="str">
        <f>IF(ROW()&lt;=Results!$C$1+1,IF(ISERROR(C511-E511),"",C511-E511),"")</f>
        <v/>
      </c>
    </row>
    <row r="512" spans="1:6" x14ac:dyDescent="0.2">
      <c r="A512" s="1" t="str">
        <f ca="1">IF(ROW()&lt;=Results!$C$1+1,INDEX(Data!$A:$A,CEILING((COUNTA(Data!$A:$A)-1)*RAND()+1,1)),"")</f>
        <v/>
      </c>
      <c r="B512" s="1" t="str">
        <f>IF(ROW()&lt;=Results!$C$1+1,VLOOKUP($A512,Data!$A$2:$C$117,2,TRUE),"")</f>
        <v/>
      </c>
      <c r="C512" s="14" t="str">
        <f>IF(ROW()&lt;=Results!$C$1+1,IF(B512&lt;=0,"",LN(B512)),"")</f>
        <v/>
      </c>
      <c r="D512" s="1" t="str">
        <f>IF(ROW()&lt;=Results!$C$1+1,VLOOKUP($A512,Data!$A$2:$C$117,3,TRUE),"")</f>
        <v/>
      </c>
      <c r="E512" s="14" t="str">
        <f>IF(ROW()&lt;=Results!$C$1+1,IF(D512&lt;=0,"",LN(D512)),"")</f>
        <v/>
      </c>
      <c r="F512" s="53" t="str">
        <f>IF(ROW()&lt;=Results!$C$1+1,IF(ISERROR(C512-E512),"",C512-E512),"")</f>
        <v/>
      </c>
    </row>
    <row r="513" spans="1:6" x14ac:dyDescent="0.2">
      <c r="A513" s="1" t="str">
        <f ca="1">IF(ROW()&lt;=Results!$C$1+1,INDEX(Data!$A:$A,CEILING((COUNTA(Data!$A:$A)-1)*RAND()+1,1)),"")</f>
        <v/>
      </c>
      <c r="B513" s="1" t="str">
        <f>IF(ROW()&lt;=Results!$C$1+1,VLOOKUP($A513,Data!$A$2:$C$117,2,TRUE),"")</f>
        <v/>
      </c>
      <c r="C513" s="14" t="str">
        <f>IF(ROW()&lt;=Results!$C$1+1,IF(B513&lt;=0,"",LN(B513)),"")</f>
        <v/>
      </c>
      <c r="D513" s="1" t="str">
        <f>IF(ROW()&lt;=Results!$C$1+1,VLOOKUP($A513,Data!$A$2:$C$117,3,TRUE),"")</f>
        <v/>
      </c>
      <c r="E513" s="14" t="str">
        <f>IF(ROW()&lt;=Results!$C$1+1,IF(D513&lt;=0,"",LN(D513)),"")</f>
        <v/>
      </c>
      <c r="F513" s="53" t="str">
        <f>IF(ROW()&lt;=Results!$C$1+1,IF(ISERROR(C513-E513),"",C513-E513),"")</f>
        <v/>
      </c>
    </row>
    <row r="514" spans="1:6" x14ac:dyDescent="0.2">
      <c r="A514" s="1" t="str">
        <f ca="1">IF(ROW()&lt;=Results!$C$1+1,INDEX(Data!$A:$A,CEILING((COUNTA(Data!$A:$A)-1)*RAND()+1,1)),"")</f>
        <v/>
      </c>
      <c r="B514" s="1" t="str">
        <f>IF(ROW()&lt;=Results!$C$1+1,VLOOKUP($A514,Data!$A$2:$C$117,2,TRUE),"")</f>
        <v/>
      </c>
      <c r="C514" s="14" t="str">
        <f>IF(ROW()&lt;=Results!$C$1+1,IF(B514&lt;=0,"",LN(B514)),"")</f>
        <v/>
      </c>
      <c r="D514" s="1" t="str">
        <f>IF(ROW()&lt;=Results!$C$1+1,VLOOKUP($A514,Data!$A$2:$C$117,3,TRUE),"")</f>
        <v/>
      </c>
      <c r="E514" s="14" t="str">
        <f>IF(ROW()&lt;=Results!$C$1+1,IF(D514&lt;=0,"",LN(D514)),"")</f>
        <v/>
      </c>
      <c r="F514" s="53" t="str">
        <f>IF(ROW()&lt;=Results!$C$1+1,IF(ISERROR(C514-E514),"",C514-E514),"")</f>
        <v/>
      </c>
    </row>
    <row r="515" spans="1:6" x14ac:dyDescent="0.2">
      <c r="A515" s="1" t="str">
        <f ca="1">IF(ROW()&lt;=Results!$C$1+1,INDEX(Data!$A:$A,CEILING((COUNTA(Data!$A:$A)-1)*RAND()+1,1)),"")</f>
        <v/>
      </c>
      <c r="B515" s="1" t="str">
        <f>IF(ROW()&lt;=Results!$C$1+1,VLOOKUP($A515,Data!$A$2:$C$117,2,TRUE),"")</f>
        <v/>
      </c>
      <c r="C515" s="14" t="str">
        <f>IF(ROW()&lt;=Results!$C$1+1,IF(B515&lt;=0,"",LN(B515)),"")</f>
        <v/>
      </c>
      <c r="D515" s="1" t="str">
        <f>IF(ROW()&lt;=Results!$C$1+1,VLOOKUP($A515,Data!$A$2:$C$117,3,TRUE),"")</f>
        <v/>
      </c>
      <c r="E515" s="14" t="str">
        <f>IF(ROW()&lt;=Results!$C$1+1,IF(D515&lt;=0,"",LN(D515)),"")</f>
        <v/>
      </c>
      <c r="F515" s="53" t="str">
        <f>IF(ROW()&lt;=Results!$C$1+1,IF(ISERROR(C515-E515),"",C515-E515),"")</f>
        <v/>
      </c>
    </row>
    <row r="516" spans="1:6" x14ac:dyDescent="0.2">
      <c r="A516" s="1" t="str">
        <f ca="1">IF(ROW()&lt;=Results!$C$1+1,INDEX(Data!$A:$A,CEILING((COUNTA(Data!$A:$A)-1)*RAND()+1,1)),"")</f>
        <v/>
      </c>
      <c r="B516" s="1" t="str">
        <f>IF(ROW()&lt;=Results!$C$1+1,VLOOKUP($A516,Data!$A$2:$C$117,2,TRUE),"")</f>
        <v/>
      </c>
      <c r="C516" s="14" t="str">
        <f>IF(ROW()&lt;=Results!$C$1+1,IF(B516&lt;=0,"",LN(B516)),"")</f>
        <v/>
      </c>
      <c r="D516" s="1" t="str">
        <f>IF(ROW()&lt;=Results!$C$1+1,VLOOKUP($A516,Data!$A$2:$C$117,3,TRUE),"")</f>
        <v/>
      </c>
      <c r="E516" s="14" t="str">
        <f>IF(ROW()&lt;=Results!$C$1+1,IF(D516&lt;=0,"",LN(D516)),"")</f>
        <v/>
      </c>
      <c r="F516" s="53" t="str">
        <f>IF(ROW()&lt;=Results!$C$1+1,IF(ISERROR(C516-E516),"",C516-E516),"")</f>
        <v/>
      </c>
    </row>
    <row r="517" spans="1:6" x14ac:dyDescent="0.2">
      <c r="A517" s="1" t="str">
        <f ca="1">IF(ROW()&lt;=Results!$C$1+1,INDEX(Data!$A:$A,CEILING((COUNTA(Data!$A:$A)-1)*RAND()+1,1)),"")</f>
        <v/>
      </c>
      <c r="B517" s="1" t="str">
        <f>IF(ROW()&lt;=Results!$C$1+1,VLOOKUP($A517,Data!$A$2:$C$117,2,TRUE),"")</f>
        <v/>
      </c>
      <c r="C517" s="14" t="str">
        <f>IF(ROW()&lt;=Results!$C$1+1,IF(B517&lt;=0,"",LN(B517)),"")</f>
        <v/>
      </c>
      <c r="D517" s="1" t="str">
        <f>IF(ROW()&lt;=Results!$C$1+1,VLOOKUP($A517,Data!$A$2:$C$117,3,TRUE),"")</f>
        <v/>
      </c>
      <c r="E517" s="14" t="str">
        <f>IF(ROW()&lt;=Results!$C$1+1,IF(D517&lt;=0,"",LN(D517)),"")</f>
        <v/>
      </c>
      <c r="F517" s="53" t="str">
        <f>IF(ROW()&lt;=Results!$C$1+1,IF(ISERROR(C517-E517),"",C517-E517),"")</f>
        <v/>
      </c>
    </row>
    <row r="518" spans="1:6" x14ac:dyDescent="0.2">
      <c r="A518" s="1" t="str">
        <f ca="1">IF(ROW()&lt;=Results!$C$1+1,INDEX(Data!$A:$A,CEILING((COUNTA(Data!$A:$A)-1)*RAND()+1,1)),"")</f>
        <v/>
      </c>
      <c r="B518" s="1" t="str">
        <f>IF(ROW()&lt;=Results!$C$1+1,VLOOKUP($A518,Data!$A$2:$C$117,2,TRUE),"")</f>
        <v/>
      </c>
      <c r="C518" s="14" t="str">
        <f>IF(ROW()&lt;=Results!$C$1+1,IF(B518&lt;=0,"",LN(B518)),"")</f>
        <v/>
      </c>
      <c r="D518" s="1" t="str">
        <f>IF(ROW()&lt;=Results!$C$1+1,VLOOKUP($A518,Data!$A$2:$C$117,3,TRUE),"")</f>
        <v/>
      </c>
      <c r="E518" s="14" t="str">
        <f>IF(ROW()&lt;=Results!$C$1+1,IF(D518&lt;=0,"",LN(D518)),"")</f>
        <v/>
      </c>
      <c r="F518" s="53" t="str">
        <f>IF(ROW()&lt;=Results!$C$1+1,IF(ISERROR(C518-E518),"",C518-E518),"")</f>
        <v/>
      </c>
    </row>
    <row r="519" spans="1:6" x14ac:dyDescent="0.2">
      <c r="A519" s="1" t="str">
        <f ca="1">IF(ROW()&lt;=Results!$C$1+1,INDEX(Data!$A:$A,CEILING((COUNTA(Data!$A:$A)-1)*RAND()+1,1)),"")</f>
        <v/>
      </c>
      <c r="B519" s="1" t="str">
        <f>IF(ROW()&lt;=Results!$C$1+1,VLOOKUP($A519,Data!$A$2:$C$117,2,TRUE),"")</f>
        <v/>
      </c>
      <c r="C519" s="14" t="str">
        <f>IF(ROW()&lt;=Results!$C$1+1,IF(B519&lt;=0,"",LN(B519)),"")</f>
        <v/>
      </c>
      <c r="D519" s="1" t="str">
        <f>IF(ROW()&lt;=Results!$C$1+1,VLOOKUP($A519,Data!$A$2:$C$117,3,TRUE),"")</f>
        <v/>
      </c>
      <c r="E519" s="14" t="str">
        <f>IF(ROW()&lt;=Results!$C$1+1,IF(D519&lt;=0,"",LN(D519)),"")</f>
        <v/>
      </c>
      <c r="F519" s="53" t="str">
        <f>IF(ROW()&lt;=Results!$C$1+1,IF(ISERROR(C519-E519),"",C519-E519),"")</f>
        <v/>
      </c>
    </row>
    <row r="520" spans="1:6" x14ac:dyDescent="0.2">
      <c r="A520" s="1" t="str">
        <f ca="1">IF(ROW()&lt;=Results!$C$1+1,INDEX(Data!$A:$A,CEILING((COUNTA(Data!$A:$A)-1)*RAND()+1,1)),"")</f>
        <v/>
      </c>
      <c r="B520" s="1" t="str">
        <f>IF(ROW()&lt;=Results!$C$1+1,VLOOKUP($A520,Data!$A$2:$C$117,2,TRUE),"")</f>
        <v/>
      </c>
      <c r="C520" s="14" t="str">
        <f>IF(ROW()&lt;=Results!$C$1+1,IF(B520&lt;=0,"",LN(B520)),"")</f>
        <v/>
      </c>
      <c r="D520" s="1" t="str">
        <f>IF(ROW()&lt;=Results!$C$1+1,VLOOKUP($A520,Data!$A$2:$C$117,3,TRUE),"")</f>
        <v/>
      </c>
      <c r="E520" s="14" t="str">
        <f>IF(ROW()&lt;=Results!$C$1+1,IF(D520&lt;=0,"",LN(D520)),"")</f>
        <v/>
      </c>
      <c r="F520" s="53" t="str">
        <f>IF(ROW()&lt;=Results!$C$1+1,IF(ISERROR(C520-E520),"",C520-E520),"")</f>
        <v/>
      </c>
    </row>
    <row r="521" spans="1:6" x14ac:dyDescent="0.2">
      <c r="A521" s="1" t="str">
        <f ca="1">IF(ROW()&lt;=Results!$C$1+1,INDEX(Data!$A:$A,CEILING((COUNTA(Data!$A:$A)-1)*RAND()+1,1)),"")</f>
        <v/>
      </c>
      <c r="B521" s="1" t="str">
        <f>IF(ROW()&lt;=Results!$C$1+1,VLOOKUP($A521,Data!$A$2:$C$117,2,TRUE),"")</f>
        <v/>
      </c>
      <c r="C521" s="14" t="str">
        <f>IF(ROW()&lt;=Results!$C$1+1,IF(B521&lt;=0,"",LN(B521)),"")</f>
        <v/>
      </c>
      <c r="D521" s="1" t="str">
        <f>IF(ROW()&lt;=Results!$C$1+1,VLOOKUP($A521,Data!$A$2:$C$117,3,TRUE),"")</f>
        <v/>
      </c>
      <c r="E521" s="14" t="str">
        <f>IF(ROW()&lt;=Results!$C$1+1,IF(D521&lt;=0,"",LN(D521)),"")</f>
        <v/>
      </c>
      <c r="F521" s="53" t="str">
        <f>IF(ROW()&lt;=Results!$C$1+1,IF(ISERROR(C521-E521),"",C521-E521),"")</f>
        <v/>
      </c>
    </row>
    <row r="522" spans="1:6" x14ac:dyDescent="0.2">
      <c r="A522" s="1" t="str">
        <f ca="1">IF(ROW()&lt;=Results!$C$1+1,INDEX(Data!$A:$A,CEILING((COUNTA(Data!$A:$A)-1)*RAND()+1,1)),"")</f>
        <v/>
      </c>
      <c r="B522" s="1" t="str">
        <f>IF(ROW()&lt;=Results!$C$1+1,VLOOKUP($A522,Data!$A$2:$C$117,2,TRUE),"")</f>
        <v/>
      </c>
      <c r="C522" s="14" t="str">
        <f>IF(ROW()&lt;=Results!$C$1+1,IF(B522&lt;=0,"",LN(B522)),"")</f>
        <v/>
      </c>
      <c r="D522" s="1" t="str">
        <f>IF(ROW()&lt;=Results!$C$1+1,VLOOKUP($A522,Data!$A$2:$C$117,3,TRUE),"")</f>
        <v/>
      </c>
      <c r="E522" s="14" t="str">
        <f>IF(ROW()&lt;=Results!$C$1+1,IF(D522&lt;=0,"",LN(D522)),"")</f>
        <v/>
      </c>
      <c r="F522" s="53" t="str">
        <f>IF(ROW()&lt;=Results!$C$1+1,IF(ISERROR(C522-E522),"",C522-E522),"")</f>
        <v/>
      </c>
    </row>
    <row r="523" spans="1:6" x14ac:dyDescent="0.2">
      <c r="A523" s="1" t="str">
        <f ca="1">IF(ROW()&lt;=Results!$C$1+1,INDEX(Data!$A:$A,CEILING((COUNTA(Data!$A:$A)-1)*RAND()+1,1)),"")</f>
        <v/>
      </c>
      <c r="B523" s="1" t="str">
        <f>IF(ROW()&lt;=Results!$C$1+1,VLOOKUP($A523,Data!$A$2:$C$117,2,TRUE),"")</f>
        <v/>
      </c>
      <c r="C523" s="14" t="str">
        <f>IF(ROW()&lt;=Results!$C$1+1,IF(B523&lt;=0,"",LN(B523)),"")</f>
        <v/>
      </c>
      <c r="D523" s="1" t="str">
        <f>IF(ROW()&lt;=Results!$C$1+1,VLOOKUP($A523,Data!$A$2:$C$117,3,TRUE),"")</f>
        <v/>
      </c>
      <c r="E523" s="14" t="str">
        <f>IF(ROW()&lt;=Results!$C$1+1,IF(D523&lt;=0,"",LN(D523)),"")</f>
        <v/>
      </c>
      <c r="F523" s="53" t="str">
        <f>IF(ROW()&lt;=Results!$C$1+1,IF(ISERROR(C523-E523),"",C523-E523),"")</f>
        <v/>
      </c>
    </row>
    <row r="524" spans="1:6" x14ac:dyDescent="0.2">
      <c r="A524" s="1" t="str">
        <f ca="1">IF(ROW()&lt;=Results!$C$1+1,INDEX(Data!$A:$A,CEILING((COUNTA(Data!$A:$A)-1)*RAND()+1,1)),"")</f>
        <v/>
      </c>
      <c r="B524" s="1" t="str">
        <f>IF(ROW()&lt;=Results!$C$1+1,VLOOKUP($A524,Data!$A$2:$C$117,2,TRUE),"")</f>
        <v/>
      </c>
      <c r="C524" s="14" t="str">
        <f>IF(ROW()&lt;=Results!$C$1+1,IF(B524&lt;=0,"",LN(B524)),"")</f>
        <v/>
      </c>
      <c r="D524" s="1" t="str">
        <f>IF(ROW()&lt;=Results!$C$1+1,VLOOKUP($A524,Data!$A$2:$C$117,3,TRUE),"")</f>
        <v/>
      </c>
      <c r="E524" s="14" t="str">
        <f>IF(ROW()&lt;=Results!$C$1+1,IF(D524&lt;=0,"",LN(D524)),"")</f>
        <v/>
      </c>
      <c r="F524" s="53" t="str">
        <f>IF(ROW()&lt;=Results!$C$1+1,IF(ISERROR(C524-E524),"",C524-E524),"")</f>
        <v/>
      </c>
    </row>
    <row r="525" spans="1:6" x14ac:dyDescent="0.2">
      <c r="A525" s="1" t="str">
        <f ca="1">IF(ROW()&lt;=Results!$C$1+1,INDEX(Data!$A:$A,CEILING((COUNTA(Data!$A:$A)-1)*RAND()+1,1)),"")</f>
        <v/>
      </c>
      <c r="B525" s="1" t="str">
        <f>IF(ROW()&lt;=Results!$C$1+1,VLOOKUP($A525,Data!$A$2:$C$117,2,TRUE),"")</f>
        <v/>
      </c>
      <c r="C525" s="14" t="str">
        <f>IF(ROW()&lt;=Results!$C$1+1,IF(B525&lt;=0,"",LN(B525)),"")</f>
        <v/>
      </c>
      <c r="D525" s="1" t="str">
        <f>IF(ROW()&lt;=Results!$C$1+1,VLOOKUP($A525,Data!$A$2:$C$117,3,TRUE),"")</f>
        <v/>
      </c>
      <c r="E525" s="14" t="str">
        <f>IF(ROW()&lt;=Results!$C$1+1,IF(D525&lt;=0,"",LN(D525)),"")</f>
        <v/>
      </c>
      <c r="F525" s="53" t="str">
        <f>IF(ROW()&lt;=Results!$C$1+1,IF(ISERROR(C525-E525),"",C525-E525),"")</f>
        <v/>
      </c>
    </row>
    <row r="526" spans="1:6" x14ac:dyDescent="0.2">
      <c r="A526" s="1" t="str">
        <f ca="1">IF(ROW()&lt;=Results!$C$1+1,INDEX(Data!$A:$A,CEILING((COUNTA(Data!$A:$A)-1)*RAND()+1,1)),"")</f>
        <v/>
      </c>
      <c r="B526" s="1" t="str">
        <f>IF(ROW()&lt;=Results!$C$1+1,VLOOKUP($A526,Data!$A$2:$C$117,2,TRUE),"")</f>
        <v/>
      </c>
      <c r="C526" s="14" t="str">
        <f>IF(ROW()&lt;=Results!$C$1+1,IF(B526&lt;=0,"",LN(B526)),"")</f>
        <v/>
      </c>
      <c r="D526" s="1" t="str">
        <f>IF(ROW()&lt;=Results!$C$1+1,VLOOKUP($A526,Data!$A$2:$C$117,3,TRUE),"")</f>
        <v/>
      </c>
      <c r="E526" s="14" t="str">
        <f>IF(ROW()&lt;=Results!$C$1+1,IF(D526&lt;=0,"",LN(D526)),"")</f>
        <v/>
      </c>
      <c r="F526" s="53" t="str">
        <f>IF(ROW()&lt;=Results!$C$1+1,IF(ISERROR(C526-E526),"",C526-E526),"")</f>
        <v/>
      </c>
    </row>
    <row r="527" spans="1:6" x14ac:dyDescent="0.2">
      <c r="A527" s="1" t="str">
        <f ca="1">IF(ROW()&lt;=Results!$C$1+1,INDEX(Data!$A:$A,CEILING((COUNTA(Data!$A:$A)-1)*RAND()+1,1)),"")</f>
        <v/>
      </c>
      <c r="B527" s="1" t="str">
        <f>IF(ROW()&lt;=Results!$C$1+1,VLOOKUP($A527,Data!$A$2:$C$117,2,TRUE),"")</f>
        <v/>
      </c>
      <c r="C527" s="14" t="str">
        <f>IF(ROW()&lt;=Results!$C$1+1,IF(B527&lt;=0,"",LN(B527)),"")</f>
        <v/>
      </c>
      <c r="D527" s="1" t="str">
        <f>IF(ROW()&lt;=Results!$C$1+1,VLOOKUP($A527,Data!$A$2:$C$117,3,TRUE),"")</f>
        <v/>
      </c>
      <c r="E527" s="14" t="str">
        <f>IF(ROW()&lt;=Results!$C$1+1,IF(D527&lt;=0,"",LN(D527)),"")</f>
        <v/>
      </c>
      <c r="F527" s="53" t="str">
        <f>IF(ROW()&lt;=Results!$C$1+1,IF(ISERROR(C527-E527),"",C527-E527),"")</f>
        <v/>
      </c>
    </row>
    <row r="528" spans="1:6" x14ac:dyDescent="0.2">
      <c r="A528" s="1" t="str">
        <f ca="1">IF(ROW()&lt;=Results!$C$1+1,INDEX(Data!$A:$A,CEILING((COUNTA(Data!$A:$A)-1)*RAND()+1,1)),"")</f>
        <v/>
      </c>
      <c r="B528" s="1" t="str">
        <f>IF(ROW()&lt;=Results!$C$1+1,VLOOKUP($A528,Data!$A$2:$C$117,2,TRUE),"")</f>
        <v/>
      </c>
      <c r="C528" s="14" t="str">
        <f>IF(ROW()&lt;=Results!$C$1+1,IF(B528&lt;=0,"",LN(B528)),"")</f>
        <v/>
      </c>
      <c r="D528" s="1" t="str">
        <f>IF(ROW()&lt;=Results!$C$1+1,VLOOKUP($A528,Data!$A$2:$C$117,3,TRUE),"")</f>
        <v/>
      </c>
      <c r="E528" s="14" t="str">
        <f>IF(ROW()&lt;=Results!$C$1+1,IF(D528&lt;=0,"",LN(D528)),"")</f>
        <v/>
      </c>
      <c r="F528" s="53" t="str">
        <f>IF(ROW()&lt;=Results!$C$1+1,IF(ISERROR(C528-E528),"",C528-E528),"")</f>
        <v/>
      </c>
    </row>
    <row r="529" spans="1:6" x14ac:dyDescent="0.2">
      <c r="A529" s="1" t="str">
        <f ca="1">IF(ROW()&lt;=Results!$C$1+1,INDEX(Data!$A:$A,CEILING((COUNTA(Data!$A:$A)-1)*RAND()+1,1)),"")</f>
        <v/>
      </c>
      <c r="B529" s="1" t="str">
        <f>IF(ROW()&lt;=Results!$C$1+1,VLOOKUP($A529,Data!$A$2:$C$117,2,TRUE),"")</f>
        <v/>
      </c>
      <c r="C529" s="14" t="str">
        <f>IF(ROW()&lt;=Results!$C$1+1,IF(B529&lt;=0,"",LN(B529)),"")</f>
        <v/>
      </c>
      <c r="D529" s="1" t="str">
        <f>IF(ROW()&lt;=Results!$C$1+1,VLOOKUP($A529,Data!$A$2:$C$117,3,TRUE),"")</f>
        <v/>
      </c>
      <c r="E529" s="14" t="str">
        <f>IF(ROW()&lt;=Results!$C$1+1,IF(D529&lt;=0,"",LN(D529)),"")</f>
        <v/>
      </c>
      <c r="F529" s="53" t="str">
        <f>IF(ROW()&lt;=Results!$C$1+1,IF(ISERROR(C529-E529),"",C529-E529),"")</f>
        <v/>
      </c>
    </row>
    <row r="530" spans="1:6" x14ac:dyDescent="0.2">
      <c r="A530" s="1" t="str">
        <f ca="1">IF(ROW()&lt;=Results!$C$1+1,INDEX(Data!$A:$A,CEILING((COUNTA(Data!$A:$A)-1)*RAND()+1,1)),"")</f>
        <v/>
      </c>
      <c r="B530" s="1" t="str">
        <f>IF(ROW()&lt;=Results!$C$1+1,VLOOKUP($A530,Data!$A$2:$C$117,2,TRUE),"")</f>
        <v/>
      </c>
      <c r="C530" s="14" t="str">
        <f>IF(ROW()&lt;=Results!$C$1+1,IF(B530&lt;=0,"",LN(B530)),"")</f>
        <v/>
      </c>
      <c r="D530" s="1" t="str">
        <f>IF(ROW()&lt;=Results!$C$1+1,VLOOKUP($A530,Data!$A$2:$C$117,3,TRUE),"")</f>
        <v/>
      </c>
      <c r="E530" s="14" t="str">
        <f>IF(ROW()&lt;=Results!$C$1+1,IF(D530&lt;=0,"",LN(D530)),"")</f>
        <v/>
      </c>
      <c r="F530" s="53" t="str">
        <f>IF(ROW()&lt;=Results!$C$1+1,IF(ISERROR(C530-E530),"",C530-E530),"")</f>
        <v/>
      </c>
    </row>
    <row r="531" spans="1:6" x14ac:dyDescent="0.2">
      <c r="A531" s="1" t="str">
        <f ca="1">IF(ROW()&lt;=Results!$C$1+1,INDEX(Data!$A:$A,CEILING((COUNTA(Data!$A:$A)-1)*RAND()+1,1)),"")</f>
        <v/>
      </c>
      <c r="B531" s="1" t="str">
        <f>IF(ROW()&lt;=Results!$C$1+1,VLOOKUP($A531,Data!$A$2:$C$117,2,TRUE),"")</f>
        <v/>
      </c>
      <c r="C531" s="14" t="str">
        <f>IF(ROW()&lt;=Results!$C$1+1,IF(B531&lt;=0,"",LN(B531)),"")</f>
        <v/>
      </c>
      <c r="D531" s="1" t="str">
        <f>IF(ROW()&lt;=Results!$C$1+1,VLOOKUP($A531,Data!$A$2:$C$117,3,TRUE),"")</f>
        <v/>
      </c>
      <c r="E531" s="14" t="str">
        <f>IF(ROW()&lt;=Results!$C$1+1,IF(D531&lt;=0,"",LN(D531)),"")</f>
        <v/>
      </c>
      <c r="F531" s="53" t="str">
        <f>IF(ROW()&lt;=Results!$C$1+1,IF(ISERROR(C531-E531),"",C531-E531),"")</f>
        <v/>
      </c>
    </row>
    <row r="532" spans="1:6" x14ac:dyDescent="0.2">
      <c r="A532" s="1" t="str">
        <f ca="1">IF(ROW()&lt;=Results!$C$1+1,INDEX(Data!$A:$A,CEILING((COUNTA(Data!$A:$A)-1)*RAND()+1,1)),"")</f>
        <v/>
      </c>
      <c r="B532" s="1" t="str">
        <f>IF(ROW()&lt;=Results!$C$1+1,VLOOKUP($A532,Data!$A$2:$C$117,2,TRUE),"")</f>
        <v/>
      </c>
      <c r="C532" s="14" t="str">
        <f>IF(ROW()&lt;=Results!$C$1+1,IF(B532&lt;=0,"",LN(B532)),"")</f>
        <v/>
      </c>
      <c r="D532" s="1" t="str">
        <f>IF(ROW()&lt;=Results!$C$1+1,VLOOKUP($A532,Data!$A$2:$C$117,3,TRUE),"")</f>
        <v/>
      </c>
      <c r="E532" s="14" t="str">
        <f>IF(ROW()&lt;=Results!$C$1+1,IF(D532&lt;=0,"",LN(D532)),"")</f>
        <v/>
      </c>
      <c r="F532" s="53" t="str">
        <f>IF(ROW()&lt;=Results!$C$1+1,IF(ISERROR(C532-E532),"",C532-E532),"")</f>
        <v/>
      </c>
    </row>
    <row r="533" spans="1:6" x14ac:dyDescent="0.2">
      <c r="A533" s="1" t="str">
        <f ca="1">IF(ROW()&lt;=Results!$C$1+1,INDEX(Data!$A:$A,CEILING((COUNTA(Data!$A:$A)-1)*RAND()+1,1)),"")</f>
        <v/>
      </c>
      <c r="B533" s="1" t="str">
        <f>IF(ROW()&lt;=Results!$C$1+1,VLOOKUP($A533,Data!$A$2:$C$117,2,TRUE),"")</f>
        <v/>
      </c>
      <c r="C533" s="14" t="str">
        <f>IF(ROW()&lt;=Results!$C$1+1,IF(B533&lt;=0,"",LN(B533)),"")</f>
        <v/>
      </c>
      <c r="D533" s="1" t="str">
        <f>IF(ROW()&lt;=Results!$C$1+1,VLOOKUP($A533,Data!$A$2:$C$117,3,TRUE),"")</f>
        <v/>
      </c>
      <c r="E533" s="14" t="str">
        <f>IF(ROW()&lt;=Results!$C$1+1,IF(D533&lt;=0,"",LN(D533)),"")</f>
        <v/>
      </c>
      <c r="F533" s="53" t="str">
        <f>IF(ROW()&lt;=Results!$C$1+1,IF(ISERROR(C533-E533),"",C533-E533),"")</f>
        <v/>
      </c>
    </row>
    <row r="534" spans="1:6" x14ac:dyDescent="0.2">
      <c r="A534" s="1" t="str">
        <f ca="1">IF(ROW()&lt;=Results!$C$1+1,INDEX(Data!$A:$A,CEILING((COUNTA(Data!$A:$A)-1)*RAND()+1,1)),"")</f>
        <v/>
      </c>
      <c r="B534" s="1" t="str">
        <f>IF(ROW()&lt;=Results!$C$1+1,VLOOKUP($A534,Data!$A$2:$C$117,2,TRUE),"")</f>
        <v/>
      </c>
      <c r="C534" s="14" t="str">
        <f>IF(ROW()&lt;=Results!$C$1+1,IF(B534&lt;=0,"",LN(B534)),"")</f>
        <v/>
      </c>
      <c r="D534" s="1" t="str">
        <f>IF(ROW()&lt;=Results!$C$1+1,VLOOKUP($A534,Data!$A$2:$C$117,3,TRUE),"")</f>
        <v/>
      </c>
      <c r="E534" s="14" t="str">
        <f>IF(ROW()&lt;=Results!$C$1+1,IF(D534&lt;=0,"",LN(D534)),"")</f>
        <v/>
      </c>
      <c r="F534" s="53" t="str">
        <f>IF(ROW()&lt;=Results!$C$1+1,IF(ISERROR(C534-E534),"",C534-E534),"")</f>
        <v/>
      </c>
    </row>
    <row r="535" spans="1:6" x14ac:dyDescent="0.2">
      <c r="A535" s="1" t="str">
        <f ca="1">IF(ROW()&lt;=Results!$C$1+1,INDEX(Data!$A:$A,CEILING((COUNTA(Data!$A:$A)-1)*RAND()+1,1)),"")</f>
        <v/>
      </c>
      <c r="B535" s="1" t="str">
        <f>IF(ROW()&lt;=Results!$C$1+1,VLOOKUP($A535,Data!$A$2:$C$117,2,TRUE),"")</f>
        <v/>
      </c>
      <c r="C535" s="14" t="str">
        <f>IF(ROW()&lt;=Results!$C$1+1,IF(B535&lt;=0,"",LN(B535)),"")</f>
        <v/>
      </c>
      <c r="D535" s="1" t="str">
        <f>IF(ROW()&lt;=Results!$C$1+1,VLOOKUP($A535,Data!$A$2:$C$117,3,TRUE),"")</f>
        <v/>
      </c>
      <c r="E535" s="14" t="str">
        <f>IF(ROW()&lt;=Results!$C$1+1,IF(D535&lt;=0,"",LN(D535)),"")</f>
        <v/>
      </c>
      <c r="F535" s="53" t="str">
        <f>IF(ROW()&lt;=Results!$C$1+1,IF(ISERROR(C535-E535),"",C535-E535),"")</f>
        <v/>
      </c>
    </row>
    <row r="536" spans="1:6" x14ac:dyDescent="0.2">
      <c r="A536" s="1" t="str">
        <f ca="1">IF(ROW()&lt;=Results!$C$1+1,INDEX(Data!$A:$A,CEILING((COUNTA(Data!$A:$A)-1)*RAND()+1,1)),"")</f>
        <v/>
      </c>
      <c r="B536" s="1" t="str">
        <f>IF(ROW()&lt;=Results!$C$1+1,VLOOKUP($A536,Data!$A$2:$C$117,2,TRUE),"")</f>
        <v/>
      </c>
      <c r="C536" s="14" t="str">
        <f>IF(ROW()&lt;=Results!$C$1+1,IF(B536&lt;=0,"",LN(B536)),"")</f>
        <v/>
      </c>
      <c r="D536" s="1" t="str">
        <f>IF(ROW()&lt;=Results!$C$1+1,VLOOKUP($A536,Data!$A$2:$C$117,3,TRUE),"")</f>
        <v/>
      </c>
      <c r="E536" s="14" t="str">
        <f>IF(ROW()&lt;=Results!$C$1+1,IF(D536&lt;=0,"",LN(D536)),"")</f>
        <v/>
      </c>
      <c r="F536" s="53" t="str">
        <f>IF(ROW()&lt;=Results!$C$1+1,IF(ISERROR(C536-E536),"",C536-E536),"")</f>
        <v/>
      </c>
    </row>
    <row r="537" spans="1:6" x14ac:dyDescent="0.2">
      <c r="A537" s="1" t="str">
        <f ca="1">IF(ROW()&lt;=Results!$C$1+1,INDEX(Data!$A:$A,CEILING((COUNTA(Data!$A:$A)-1)*RAND()+1,1)),"")</f>
        <v/>
      </c>
      <c r="B537" s="1" t="str">
        <f>IF(ROW()&lt;=Results!$C$1+1,VLOOKUP($A537,Data!$A$2:$C$117,2,TRUE),"")</f>
        <v/>
      </c>
      <c r="C537" s="14" t="str">
        <f>IF(ROW()&lt;=Results!$C$1+1,IF(B537&lt;=0,"",LN(B537)),"")</f>
        <v/>
      </c>
      <c r="D537" s="1" t="str">
        <f>IF(ROW()&lt;=Results!$C$1+1,VLOOKUP($A537,Data!$A$2:$C$117,3,TRUE),"")</f>
        <v/>
      </c>
      <c r="E537" s="14" t="str">
        <f>IF(ROW()&lt;=Results!$C$1+1,IF(D537&lt;=0,"",LN(D537)),"")</f>
        <v/>
      </c>
      <c r="F537" s="53" t="str">
        <f>IF(ROW()&lt;=Results!$C$1+1,IF(ISERROR(C537-E537),"",C537-E537),"")</f>
        <v/>
      </c>
    </row>
    <row r="538" spans="1:6" x14ac:dyDescent="0.2">
      <c r="A538" s="1" t="str">
        <f ca="1">IF(ROW()&lt;=Results!$C$1+1,INDEX(Data!$A:$A,CEILING((COUNTA(Data!$A:$A)-1)*RAND()+1,1)),"")</f>
        <v/>
      </c>
      <c r="B538" s="1" t="str">
        <f>IF(ROW()&lt;=Results!$C$1+1,VLOOKUP($A538,Data!$A$2:$C$117,2,TRUE),"")</f>
        <v/>
      </c>
      <c r="C538" s="14" t="str">
        <f>IF(ROW()&lt;=Results!$C$1+1,IF(B538&lt;=0,"",LN(B538)),"")</f>
        <v/>
      </c>
      <c r="D538" s="1" t="str">
        <f>IF(ROW()&lt;=Results!$C$1+1,VLOOKUP($A538,Data!$A$2:$C$117,3,TRUE),"")</f>
        <v/>
      </c>
      <c r="E538" s="14" t="str">
        <f>IF(ROW()&lt;=Results!$C$1+1,IF(D538&lt;=0,"",LN(D538)),"")</f>
        <v/>
      </c>
      <c r="F538" s="53" t="str">
        <f>IF(ROW()&lt;=Results!$C$1+1,IF(ISERROR(C538-E538),"",C538-E538),"")</f>
        <v/>
      </c>
    </row>
    <row r="539" spans="1:6" x14ac:dyDescent="0.2">
      <c r="A539" s="1" t="str">
        <f ca="1">IF(ROW()&lt;=Results!$C$1+1,INDEX(Data!$A:$A,CEILING((COUNTA(Data!$A:$A)-1)*RAND()+1,1)),"")</f>
        <v/>
      </c>
      <c r="B539" s="1" t="str">
        <f>IF(ROW()&lt;=Results!$C$1+1,VLOOKUP($A539,Data!$A$2:$C$117,2,TRUE),"")</f>
        <v/>
      </c>
      <c r="C539" s="14" t="str">
        <f>IF(ROW()&lt;=Results!$C$1+1,IF(B539&lt;=0,"",LN(B539)),"")</f>
        <v/>
      </c>
      <c r="D539" s="1" t="str">
        <f>IF(ROW()&lt;=Results!$C$1+1,VLOOKUP($A539,Data!$A$2:$C$117,3,TRUE),"")</f>
        <v/>
      </c>
      <c r="E539" s="14" t="str">
        <f>IF(ROW()&lt;=Results!$C$1+1,IF(D539&lt;=0,"",LN(D539)),"")</f>
        <v/>
      </c>
      <c r="F539" s="53" t="str">
        <f>IF(ROW()&lt;=Results!$C$1+1,IF(ISERROR(C539-E539),"",C539-E539),"")</f>
        <v/>
      </c>
    </row>
    <row r="540" spans="1:6" x14ac:dyDescent="0.2">
      <c r="A540" s="1" t="str">
        <f ca="1">IF(ROW()&lt;=Results!$C$1+1,INDEX(Data!$A:$A,CEILING((COUNTA(Data!$A:$A)-1)*RAND()+1,1)),"")</f>
        <v/>
      </c>
      <c r="B540" s="1" t="str">
        <f>IF(ROW()&lt;=Results!$C$1+1,VLOOKUP($A540,Data!$A$2:$C$117,2,TRUE),"")</f>
        <v/>
      </c>
      <c r="C540" s="14" t="str">
        <f>IF(ROW()&lt;=Results!$C$1+1,IF(B540&lt;=0,"",LN(B540)),"")</f>
        <v/>
      </c>
      <c r="D540" s="1" t="str">
        <f>IF(ROW()&lt;=Results!$C$1+1,VLOOKUP($A540,Data!$A$2:$C$117,3,TRUE),"")</f>
        <v/>
      </c>
      <c r="E540" s="14" t="str">
        <f>IF(ROW()&lt;=Results!$C$1+1,IF(D540&lt;=0,"",LN(D540)),"")</f>
        <v/>
      </c>
      <c r="F540" s="53" t="str">
        <f>IF(ROW()&lt;=Results!$C$1+1,IF(ISERROR(C540-E540),"",C540-E540),"")</f>
        <v/>
      </c>
    </row>
    <row r="541" spans="1:6" x14ac:dyDescent="0.2">
      <c r="A541" s="1" t="str">
        <f ca="1">IF(ROW()&lt;=Results!$C$1+1,INDEX(Data!$A:$A,CEILING((COUNTA(Data!$A:$A)-1)*RAND()+1,1)),"")</f>
        <v/>
      </c>
      <c r="B541" s="1" t="str">
        <f>IF(ROW()&lt;=Results!$C$1+1,VLOOKUP($A541,Data!$A$2:$C$117,2,TRUE),"")</f>
        <v/>
      </c>
      <c r="C541" s="14" t="str">
        <f>IF(ROW()&lt;=Results!$C$1+1,IF(B541&lt;=0,"",LN(B541)),"")</f>
        <v/>
      </c>
      <c r="D541" s="1" t="str">
        <f>IF(ROW()&lt;=Results!$C$1+1,VLOOKUP($A541,Data!$A$2:$C$117,3,TRUE),"")</f>
        <v/>
      </c>
      <c r="E541" s="14" t="str">
        <f>IF(ROW()&lt;=Results!$C$1+1,IF(D541&lt;=0,"",LN(D541)),"")</f>
        <v/>
      </c>
      <c r="F541" s="53" t="str">
        <f>IF(ROW()&lt;=Results!$C$1+1,IF(ISERROR(C541-E541),"",C541-E541),"")</f>
        <v/>
      </c>
    </row>
    <row r="542" spans="1:6" x14ac:dyDescent="0.2">
      <c r="A542" s="1" t="str">
        <f ca="1">IF(ROW()&lt;=Results!$C$1+1,INDEX(Data!$A:$A,CEILING((COUNTA(Data!$A:$A)-1)*RAND()+1,1)),"")</f>
        <v/>
      </c>
      <c r="B542" s="1" t="str">
        <f>IF(ROW()&lt;=Results!$C$1+1,VLOOKUP($A542,Data!$A$2:$C$117,2,TRUE),"")</f>
        <v/>
      </c>
      <c r="C542" s="14" t="str">
        <f>IF(ROW()&lt;=Results!$C$1+1,IF(B542&lt;=0,"",LN(B542)),"")</f>
        <v/>
      </c>
      <c r="D542" s="1" t="str">
        <f>IF(ROW()&lt;=Results!$C$1+1,VLOOKUP($A542,Data!$A$2:$C$117,3,TRUE),"")</f>
        <v/>
      </c>
      <c r="E542" s="14" t="str">
        <f>IF(ROW()&lt;=Results!$C$1+1,IF(D542&lt;=0,"",LN(D542)),"")</f>
        <v/>
      </c>
      <c r="F542" s="53" t="str">
        <f>IF(ROW()&lt;=Results!$C$1+1,IF(ISERROR(C542-E542),"",C542-E542),"")</f>
        <v/>
      </c>
    </row>
    <row r="543" spans="1:6" x14ac:dyDescent="0.2">
      <c r="A543" s="1" t="str">
        <f ca="1">IF(ROW()&lt;=Results!$C$1+1,INDEX(Data!$A:$A,CEILING((COUNTA(Data!$A:$A)-1)*RAND()+1,1)),"")</f>
        <v/>
      </c>
      <c r="B543" s="1" t="str">
        <f>IF(ROW()&lt;=Results!$C$1+1,VLOOKUP($A543,Data!$A$2:$C$117,2,TRUE),"")</f>
        <v/>
      </c>
      <c r="C543" s="14" t="str">
        <f>IF(ROW()&lt;=Results!$C$1+1,IF(B543&lt;=0,"",LN(B543)),"")</f>
        <v/>
      </c>
      <c r="D543" s="1" t="str">
        <f>IF(ROW()&lt;=Results!$C$1+1,VLOOKUP($A543,Data!$A$2:$C$117,3,TRUE),"")</f>
        <v/>
      </c>
      <c r="E543" s="14" t="str">
        <f>IF(ROW()&lt;=Results!$C$1+1,IF(D543&lt;=0,"",LN(D543)),"")</f>
        <v/>
      </c>
      <c r="F543" s="53" t="str">
        <f>IF(ROW()&lt;=Results!$C$1+1,IF(ISERROR(C543-E543),"",C543-E543),"")</f>
        <v/>
      </c>
    </row>
    <row r="544" spans="1:6" x14ac:dyDescent="0.2">
      <c r="A544" s="1" t="str">
        <f ca="1">IF(ROW()&lt;=Results!$C$1+1,INDEX(Data!$A:$A,CEILING((COUNTA(Data!$A:$A)-1)*RAND()+1,1)),"")</f>
        <v/>
      </c>
      <c r="B544" s="1" t="str">
        <f>IF(ROW()&lt;=Results!$C$1+1,VLOOKUP($A544,Data!$A$2:$C$117,2,TRUE),"")</f>
        <v/>
      </c>
      <c r="C544" s="14" t="str">
        <f>IF(ROW()&lt;=Results!$C$1+1,IF(B544&lt;=0,"",LN(B544)),"")</f>
        <v/>
      </c>
      <c r="D544" s="1" t="str">
        <f>IF(ROW()&lt;=Results!$C$1+1,VLOOKUP($A544,Data!$A$2:$C$117,3,TRUE),"")</f>
        <v/>
      </c>
      <c r="E544" s="14" t="str">
        <f>IF(ROW()&lt;=Results!$C$1+1,IF(D544&lt;=0,"",LN(D544)),"")</f>
        <v/>
      </c>
      <c r="F544" s="53" t="str">
        <f>IF(ROW()&lt;=Results!$C$1+1,IF(ISERROR(C544-E544),"",C544-E544),"")</f>
        <v/>
      </c>
    </row>
    <row r="545" spans="1:6" x14ac:dyDescent="0.2">
      <c r="A545" s="1" t="str">
        <f ca="1">IF(ROW()&lt;=Results!$C$1+1,INDEX(Data!$A:$A,CEILING((COUNTA(Data!$A:$A)-1)*RAND()+1,1)),"")</f>
        <v/>
      </c>
      <c r="B545" s="1" t="str">
        <f>IF(ROW()&lt;=Results!$C$1+1,VLOOKUP($A545,Data!$A$2:$C$117,2,TRUE),"")</f>
        <v/>
      </c>
      <c r="C545" s="14" t="str">
        <f>IF(ROW()&lt;=Results!$C$1+1,IF(B545&lt;=0,"",LN(B545)),"")</f>
        <v/>
      </c>
      <c r="D545" s="1" t="str">
        <f>IF(ROW()&lt;=Results!$C$1+1,VLOOKUP($A545,Data!$A$2:$C$117,3,TRUE),"")</f>
        <v/>
      </c>
      <c r="E545" s="14" t="str">
        <f>IF(ROW()&lt;=Results!$C$1+1,IF(D545&lt;=0,"",LN(D545)),"")</f>
        <v/>
      </c>
      <c r="F545" s="53" t="str">
        <f>IF(ROW()&lt;=Results!$C$1+1,IF(ISERROR(C545-E545),"",C545-E545),"")</f>
        <v/>
      </c>
    </row>
    <row r="546" spans="1:6" x14ac:dyDescent="0.2">
      <c r="A546" s="1" t="str">
        <f ca="1">IF(ROW()&lt;=Results!$C$1+1,INDEX(Data!$A:$A,CEILING((COUNTA(Data!$A:$A)-1)*RAND()+1,1)),"")</f>
        <v/>
      </c>
      <c r="B546" s="1" t="str">
        <f>IF(ROW()&lt;=Results!$C$1+1,VLOOKUP($A546,Data!$A$2:$C$117,2,TRUE),"")</f>
        <v/>
      </c>
      <c r="C546" s="14" t="str">
        <f>IF(ROW()&lt;=Results!$C$1+1,IF(B546&lt;=0,"",LN(B546)),"")</f>
        <v/>
      </c>
      <c r="D546" s="1" t="str">
        <f>IF(ROW()&lt;=Results!$C$1+1,VLOOKUP($A546,Data!$A$2:$C$117,3,TRUE),"")</f>
        <v/>
      </c>
      <c r="E546" s="14" t="str">
        <f>IF(ROW()&lt;=Results!$C$1+1,IF(D546&lt;=0,"",LN(D546)),"")</f>
        <v/>
      </c>
      <c r="F546" s="53" t="str">
        <f>IF(ROW()&lt;=Results!$C$1+1,IF(ISERROR(C546-E546),"",C546-E546),"")</f>
        <v/>
      </c>
    </row>
    <row r="547" spans="1:6" x14ac:dyDescent="0.2">
      <c r="A547" s="1" t="str">
        <f ca="1">IF(ROW()&lt;=Results!$C$1+1,INDEX(Data!$A:$A,CEILING((COUNTA(Data!$A:$A)-1)*RAND()+1,1)),"")</f>
        <v/>
      </c>
      <c r="B547" s="1" t="str">
        <f>IF(ROW()&lt;=Results!$C$1+1,VLOOKUP($A547,Data!$A$2:$C$117,2,TRUE),"")</f>
        <v/>
      </c>
      <c r="C547" s="14" t="str">
        <f>IF(ROW()&lt;=Results!$C$1+1,IF(B547&lt;=0,"",LN(B547)),"")</f>
        <v/>
      </c>
      <c r="D547" s="1" t="str">
        <f>IF(ROW()&lt;=Results!$C$1+1,VLOOKUP($A547,Data!$A$2:$C$117,3,TRUE),"")</f>
        <v/>
      </c>
      <c r="E547" s="14" t="str">
        <f>IF(ROW()&lt;=Results!$C$1+1,IF(D547&lt;=0,"",LN(D547)),"")</f>
        <v/>
      </c>
      <c r="F547" s="53" t="str">
        <f>IF(ROW()&lt;=Results!$C$1+1,IF(ISERROR(C547-E547),"",C547-E547),"")</f>
        <v/>
      </c>
    </row>
    <row r="548" spans="1:6" x14ac:dyDescent="0.2">
      <c r="A548" s="1" t="str">
        <f ca="1">IF(ROW()&lt;=Results!$C$1+1,INDEX(Data!$A:$A,CEILING((COUNTA(Data!$A:$A)-1)*RAND()+1,1)),"")</f>
        <v/>
      </c>
      <c r="B548" s="1" t="str">
        <f>IF(ROW()&lt;=Results!$C$1+1,VLOOKUP($A548,Data!$A$2:$C$117,2,TRUE),"")</f>
        <v/>
      </c>
      <c r="C548" s="14" t="str">
        <f>IF(ROW()&lt;=Results!$C$1+1,IF(B548&lt;=0,"",LN(B548)),"")</f>
        <v/>
      </c>
      <c r="D548" s="1" t="str">
        <f>IF(ROW()&lt;=Results!$C$1+1,VLOOKUP($A548,Data!$A$2:$C$117,3,TRUE),"")</f>
        <v/>
      </c>
      <c r="E548" s="14" t="str">
        <f>IF(ROW()&lt;=Results!$C$1+1,IF(D548&lt;=0,"",LN(D548)),"")</f>
        <v/>
      </c>
      <c r="F548" s="53" t="str">
        <f>IF(ROW()&lt;=Results!$C$1+1,IF(ISERROR(C548-E548),"",C548-E548),"")</f>
        <v/>
      </c>
    </row>
    <row r="549" spans="1:6" x14ac:dyDescent="0.2">
      <c r="A549" s="1" t="str">
        <f ca="1">IF(ROW()&lt;=Results!$C$1+1,INDEX(Data!$A:$A,CEILING((COUNTA(Data!$A:$A)-1)*RAND()+1,1)),"")</f>
        <v/>
      </c>
      <c r="B549" s="1" t="str">
        <f>IF(ROW()&lt;=Results!$C$1+1,VLOOKUP($A549,Data!$A$2:$C$117,2,TRUE),"")</f>
        <v/>
      </c>
      <c r="C549" s="14" t="str">
        <f>IF(ROW()&lt;=Results!$C$1+1,IF(B549&lt;=0,"",LN(B549)),"")</f>
        <v/>
      </c>
      <c r="D549" s="1" t="str">
        <f>IF(ROW()&lt;=Results!$C$1+1,VLOOKUP($A549,Data!$A$2:$C$117,3,TRUE),"")</f>
        <v/>
      </c>
      <c r="E549" s="14" t="str">
        <f>IF(ROW()&lt;=Results!$C$1+1,IF(D549&lt;=0,"",LN(D549)),"")</f>
        <v/>
      </c>
      <c r="F549" s="53" t="str">
        <f>IF(ROW()&lt;=Results!$C$1+1,IF(ISERROR(C549-E549),"",C549-E549),"")</f>
        <v/>
      </c>
    </row>
    <row r="550" spans="1:6" x14ac:dyDescent="0.2">
      <c r="A550" s="1" t="str">
        <f ca="1">IF(ROW()&lt;=Results!$C$1+1,INDEX(Data!$A:$A,CEILING((COUNTA(Data!$A:$A)-1)*RAND()+1,1)),"")</f>
        <v/>
      </c>
      <c r="B550" s="1" t="str">
        <f>IF(ROW()&lt;=Results!$C$1+1,VLOOKUP($A550,Data!$A$2:$C$117,2,TRUE),"")</f>
        <v/>
      </c>
      <c r="C550" s="14" t="str">
        <f>IF(ROW()&lt;=Results!$C$1+1,IF(B550&lt;=0,"",LN(B550)),"")</f>
        <v/>
      </c>
      <c r="D550" s="1" t="str">
        <f>IF(ROW()&lt;=Results!$C$1+1,VLOOKUP($A550,Data!$A$2:$C$117,3,TRUE),"")</f>
        <v/>
      </c>
      <c r="E550" s="14" t="str">
        <f>IF(ROW()&lt;=Results!$C$1+1,IF(D550&lt;=0,"",LN(D550)),"")</f>
        <v/>
      </c>
      <c r="F550" s="53" t="str">
        <f>IF(ROW()&lt;=Results!$C$1+1,IF(ISERROR(C550-E550),"",C550-E550),"")</f>
        <v/>
      </c>
    </row>
    <row r="551" spans="1:6" x14ac:dyDescent="0.2">
      <c r="A551" s="1" t="str">
        <f ca="1">IF(ROW()&lt;=Results!$C$1+1,INDEX(Data!$A:$A,CEILING((COUNTA(Data!$A:$A)-1)*RAND()+1,1)),"")</f>
        <v/>
      </c>
      <c r="B551" s="1" t="str">
        <f>IF(ROW()&lt;=Results!$C$1+1,VLOOKUP($A551,Data!$A$2:$C$117,2,TRUE),"")</f>
        <v/>
      </c>
      <c r="C551" s="14" t="str">
        <f>IF(ROW()&lt;=Results!$C$1+1,IF(B551&lt;=0,"",LN(B551)),"")</f>
        <v/>
      </c>
      <c r="D551" s="1" t="str">
        <f>IF(ROW()&lt;=Results!$C$1+1,VLOOKUP($A551,Data!$A$2:$C$117,3,TRUE),"")</f>
        <v/>
      </c>
      <c r="E551" s="14" t="str">
        <f>IF(ROW()&lt;=Results!$C$1+1,IF(D551&lt;=0,"",LN(D551)),"")</f>
        <v/>
      </c>
      <c r="F551" s="53" t="str">
        <f>IF(ROW()&lt;=Results!$C$1+1,IF(ISERROR(C551-E551),"",C551-E551),"")</f>
        <v/>
      </c>
    </row>
    <row r="552" spans="1:6" x14ac:dyDescent="0.2">
      <c r="A552" s="1" t="str">
        <f ca="1">IF(ROW()&lt;=Results!$C$1+1,INDEX(Data!$A:$A,CEILING((COUNTA(Data!$A:$A)-1)*RAND()+1,1)),"")</f>
        <v/>
      </c>
      <c r="B552" s="1" t="str">
        <f>IF(ROW()&lt;=Results!$C$1+1,VLOOKUP($A552,Data!$A$2:$C$117,2,TRUE),"")</f>
        <v/>
      </c>
      <c r="C552" s="14" t="str">
        <f>IF(ROW()&lt;=Results!$C$1+1,IF(B552&lt;=0,"",LN(B552)),"")</f>
        <v/>
      </c>
      <c r="D552" s="1" t="str">
        <f>IF(ROW()&lt;=Results!$C$1+1,VLOOKUP($A552,Data!$A$2:$C$117,3,TRUE),"")</f>
        <v/>
      </c>
      <c r="E552" s="14" t="str">
        <f>IF(ROW()&lt;=Results!$C$1+1,IF(D552&lt;=0,"",LN(D552)),"")</f>
        <v/>
      </c>
      <c r="F552" s="53" t="str">
        <f>IF(ROW()&lt;=Results!$C$1+1,IF(ISERROR(C552-E552),"",C552-E552),"")</f>
        <v/>
      </c>
    </row>
    <row r="553" spans="1:6" x14ac:dyDescent="0.2">
      <c r="A553" s="1" t="str">
        <f ca="1">IF(ROW()&lt;=Results!$C$1+1,INDEX(Data!$A:$A,CEILING((COUNTA(Data!$A:$A)-1)*RAND()+1,1)),"")</f>
        <v/>
      </c>
      <c r="B553" s="1" t="str">
        <f>IF(ROW()&lt;=Results!$C$1+1,VLOOKUP($A553,Data!$A$2:$C$117,2,TRUE),"")</f>
        <v/>
      </c>
      <c r="C553" s="14" t="str">
        <f>IF(ROW()&lt;=Results!$C$1+1,IF(B553&lt;=0,"",LN(B553)),"")</f>
        <v/>
      </c>
      <c r="D553" s="1" t="str">
        <f>IF(ROW()&lt;=Results!$C$1+1,VLOOKUP($A553,Data!$A$2:$C$117,3,TRUE),"")</f>
        <v/>
      </c>
      <c r="E553" s="14" t="str">
        <f>IF(ROW()&lt;=Results!$C$1+1,IF(D553&lt;=0,"",LN(D553)),"")</f>
        <v/>
      </c>
      <c r="F553" s="53" t="str">
        <f>IF(ROW()&lt;=Results!$C$1+1,IF(ISERROR(C553-E553),"",C553-E553),"")</f>
        <v/>
      </c>
    </row>
    <row r="554" spans="1:6" x14ac:dyDescent="0.2">
      <c r="A554" s="1" t="str">
        <f ca="1">IF(ROW()&lt;=Results!$C$1+1,INDEX(Data!$A:$A,CEILING((COUNTA(Data!$A:$A)-1)*RAND()+1,1)),"")</f>
        <v/>
      </c>
      <c r="B554" s="1" t="str">
        <f>IF(ROW()&lt;=Results!$C$1+1,VLOOKUP($A554,Data!$A$2:$C$117,2,TRUE),"")</f>
        <v/>
      </c>
      <c r="C554" s="14" t="str">
        <f>IF(ROW()&lt;=Results!$C$1+1,IF(B554&lt;=0,"",LN(B554)),"")</f>
        <v/>
      </c>
      <c r="D554" s="1" t="str">
        <f>IF(ROW()&lt;=Results!$C$1+1,VLOOKUP($A554,Data!$A$2:$C$117,3,TRUE),"")</f>
        <v/>
      </c>
      <c r="E554" s="14" t="str">
        <f>IF(ROW()&lt;=Results!$C$1+1,IF(D554&lt;=0,"",LN(D554)),"")</f>
        <v/>
      </c>
      <c r="F554" s="53" t="str">
        <f>IF(ROW()&lt;=Results!$C$1+1,IF(ISERROR(C554-E554),"",C554-E554),"")</f>
        <v/>
      </c>
    </row>
    <row r="555" spans="1:6" x14ac:dyDescent="0.2">
      <c r="A555" s="1" t="str">
        <f ca="1">IF(ROW()&lt;=Results!$C$1+1,INDEX(Data!$A:$A,CEILING((COUNTA(Data!$A:$A)-1)*RAND()+1,1)),"")</f>
        <v/>
      </c>
      <c r="B555" s="1" t="str">
        <f>IF(ROW()&lt;=Results!$C$1+1,VLOOKUP($A555,Data!$A$2:$C$117,2,TRUE),"")</f>
        <v/>
      </c>
      <c r="C555" s="14" t="str">
        <f>IF(ROW()&lt;=Results!$C$1+1,IF(B555&lt;=0,"",LN(B555)),"")</f>
        <v/>
      </c>
      <c r="D555" s="1" t="str">
        <f>IF(ROW()&lt;=Results!$C$1+1,VLOOKUP($A555,Data!$A$2:$C$117,3,TRUE),"")</f>
        <v/>
      </c>
      <c r="E555" s="14" t="str">
        <f>IF(ROW()&lt;=Results!$C$1+1,IF(D555&lt;=0,"",LN(D555)),"")</f>
        <v/>
      </c>
      <c r="F555" s="53" t="str">
        <f>IF(ROW()&lt;=Results!$C$1+1,IF(ISERROR(C555-E555),"",C555-E555),"")</f>
        <v/>
      </c>
    </row>
    <row r="556" spans="1:6" x14ac:dyDescent="0.2">
      <c r="A556" s="1" t="str">
        <f ca="1">IF(ROW()&lt;=Results!$C$1+1,INDEX(Data!$A:$A,CEILING((COUNTA(Data!$A:$A)-1)*RAND()+1,1)),"")</f>
        <v/>
      </c>
      <c r="B556" s="1" t="str">
        <f>IF(ROW()&lt;=Results!$C$1+1,VLOOKUP($A556,Data!$A$2:$C$117,2,TRUE),"")</f>
        <v/>
      </c>
      <c r="C556" s="14" t="str">
        <f>IF(ROW()&lt;=Results!$C$1+1,IF(B556&lt;=0,"",LN(B556)),"")</f>
        <v/>
      </c>
      <c r="D556" s="1" t="str">
        <f>IF(ROW()&lt;=Results!$C$1+1,VLOOKUP($A556,Data!$A$2:$C$117,3,TRUE),"")</f>
        <v/>
      </c>
      <c r="E556" s="14" t="str">
        <f>IF(ROW()&lt;=Results!$C$1+1,IF(D556&lt;=0,"",LN(D556)),"")</f>
        <v/>
      </c>
      <c r="F556" s="53" t="str">
        <f>IF(ROW()&lt;=Results!$C$1+1,IF(ISERROR(C556-E556),"",C556-E556),"")</f>
        <v/>
      </c>
    </row>
    <row r="557" spans="1:6" x14ac:dyDescent="0.2">
      <c r="A557" s="1" t="str">
        <f ca="1">IF(ROW()&lt;=Results!$C$1+1,INDEX(Data!$A:$A,CEILING((COUNTA(Data!$A:$A)-1)*RAND()+1,1)),"")</f>
        <v/>
      </c>
      <c r="B557" s="1" t="str">
        <f>IF(ROW()&lt;=Results!$C$1+1,VLOOKUP($A557,Data!$A$2:$C$117,2,TRUE),"")</f>
        <v/>
      </c>
      <c r="C557" s="14" t="str">
        <f>IF(ROW()&lt;=Results!$C$1+1,IF(B557&lt;=0,"",LN(B557)),"")</f>
        <v/>
      </c>
      <c r="D557" s="1" t="str">
        <f>IF(ROW()&lt;=Results!$C$1+1,VLOOKUP($A557,Data!$A$2:$C$117,3,TRUE),"")</f>
        <v/>
      </c>
      <c r="E557" s="14" t="str">
        <f>IF(ROW()&lt;=Results!$C$1+1,IF(D557&lt;=0,"",LN(D557)),"")</f>
        <v/>
      </c>
      <c r="F557" s="53" t="str">
        <f>IF(ROW()&lt;=Results!$C$1+1,IF(ISERROR(C557-E557),"",C557-E557),"")</f>
        <v/>
      </c>
    </row>
    <row r="558" spans="1:6" x14ac:dyDescent="0.2">
      <c r="A558" s="1" t="str">
        <f ca="1">IF(ROW()&lt;=Results!$C$1+1,INDEX(Data!$A:$A,CEILING((COUNTA(Data!$A:$A)-1)*RAND()+1,1)),"")</f>
        <v/>
      </c>
      <c r="B558" s="1" t="str">
        <f>IF(ROW()&lt;=Results!$C$1+1,VLOOKUP($A558,Data!$A$2:$C$117,2,TRUE),"")</f>
        <v/>
      </c>
      <c r="C558" s="14" t="str">
        <f>IF(ROW()&lt;=Results!$C$1+1,IF(B558&lt;=0,"",LN(B558)),"")</f>
        <v/>
      </c>
      <c r="D558" s="1" t="str">
        <f>IF(ROW()&lt;=Results!$C$1+1,VLOOKUP($A558,Data!$A$2:$C$117,3,TRUE),"")</f>
        <v/>
      </c>
      <c r="E558" s="14" t="str">
        <f>IF(ROW()&lt;=Results!$C$1+1,IF(D558&lt;=0,"",LN(D558)),"")</f>
        <v/>
      </c>
      <c r="F558" s="53" t="str">
        <f>IF(ROW()&lt;=Results!$C$1+1,IF(ISERROR(C558-E558),"",C558-E558),"")</f>
        <v/>
      </c>
    </row>
    <row r="559" spans="1:6" x14ac:dyDescent="0.2">
      <c r="A559" s="1" t="str">
        <f ca="1">IF(ROW()&lt;=Results!$C$1+1,INDEX(Data!$A:$A,CEILING((COUNTA(Data!$A:$A)-1)*RAND()+1,1)),"")</f>
        <v/>
      </c>
      <c r="B559" s="1" t="str">
        <f>IF(ROW()&lt;=Results!$C$1+1,VLOOKUP($A559,Data!$A$2:$C$117,2,TRUE),"")</f>
        <v/>
      </c>
      <c r="C559" s="14" t="str">
        <f>IF(ROW()&lt;=Results!$C$1+1,IF(B559&lt;=0,"",LN(B559)),"")</f>
        <v/>
      </c>
      <c r="D559" s="1" t="str">
        <f>IF(ROW()&lt;=Results!$C$1+1,VLOOKUP($A559,Data!$A$2:$C$117,3,TRUE),"")</f>
        <v/>
      </c>
      <c r="E559" s="14" t="str">
        <f>IF(ROW()&lt;=Results!$C$1+1,IF(D559&lt;=0,"",LN(D559)),"")</f>
        <v/>
      </c>
      <c r="F559" s="53" t="str">
        <f>IF(ROW()&lt;=Results!$C$1+1,IF(ISERROR(C559-E559),"",C559-E559),"")</f>
        <v/>
      </c>
    </row>
    <row r="560" spans="1:6" x14ac:dyDescent="0.2">
      <c r="A560" s="1" t="str">
        <f ca="1">IF(ROW()&lt;=Results!$C$1+1,INDEX(Data!$A:$A,CEILING((COUNTA(Data!$A:$A)-1)*RAND()+1,1)),"")</f>
        <v/>
      </c>
      <c r="B560" s="1" t="str">
        <f>IF(ROW()&lt;=Results!$C$1+1,VLOOKUP($A560,Data!$A$2:$C$117,2,TRUE),"")</f>
        <v/>
      </c>
      <c r="C560" s="14" t="str">
        <f>IF(ROW()&lt;=Results!$C$1+1,IF(B560&lt;=0,"",LN(B560)),"")</f>
        <v/>
      </c>
      <c r="D560" s="1" t="str">
        <f>IF(ROW()&lt;=Results!$C$1+1,VLOOKUP($A560,Data!$A$2:$C$117,3,TRUE),"")</f>
        <v/>
      </c>
      <c r="E560" s="14" t="str">
        <f>IF(ROW()&lt;=Results!$C$1+1,IF(D560&lt;=0,"",LN(D560)),"")</f>
        <v/>
      </c>
      <c r="F560" s="53" t="str">
        <f>IF(ROW()&lt;=Results!$C$1+1,IF(ISERROR(C560-E560),"",C560-E560),"")</f>
        <v/>
      </c>
    </row>
    <row r="561" spans="1:6" x14ac:dyDescent="0.2">
      <c r="A561" s="1" t="str">
        <f ca="1">IF(ROW()&lt;=Results!$C$1+1,INDEX(Data!$A:$A,CEILING((COUNTA(Data!$A:$A)-1)*RAND()+1,1)),"")</f>
        <v/>
      </c>
      <c r="B561" s="1" t="str">
        <f>IF(ROW()&lt;=Results!$C$1+1,VLOOKUP($A561,Data!$A$2:$C$117,2,TRUE),"")</f>
        <v/>
      </c>
      <c r="C561" s="14" t="str">
        <f>IF(ROW()&lt;=Results!$C$1+1,IF(B561&lt;=0,"",LN(B561)),"")</f>
        <v/>
      </c>
      <c r="D561" s="1" t="str">
        <f>IF(ROW()&lt;=Results!$C$1+1,VLOOKUP($A561,Data!$A$2:$C$117,3,TRUE),"")</f>
        <v/>
      </c>
      <c r="E561" s="14" t="str">
        <f>IF(ROW()&lt;=Results!$C$1+1,IF(D561&lt;=0,"",LN(D561)),"")</f>
        <v/>
      </c>
      <c r="F561" s="53" t="str">
        <f>IF(ROW()&lt;=Results!$C$1+1,IF(ISERROR(C561-E561),"",C561-E561),"")</f>
        <v/>
      </c>
    </row>
    <row r="562" spans="1:6" x14ac:dyDescent="0.2">
      <c r="A562" s="1" t="str">
        <f ca="1">IF(ROW()&lt;=Results!$C$1+1,INDEX(Data!$A:$A,CEILING((COUNTA(Data!$A:$A)-1)*RAND()+1,1)),"")</f>
        <v/>
      </c>
      <c r="B562" s="1" t="str">
        <f>IF(ROW()&lt;=Results!$C$1+1,VLOOKUP($A562,Data!$A$2:$C$117,2,TRUE),"")</f>
        <v/>
      </c>
      <c r="C562" s="14" t="str">
        <f>IF(ROW()&lt;=Results!$C$1+1,IF(B562&lt;=0,"",LN(B562)),"")</f>
        <v/>
      </c>
      <c r="D562" s="1" t="str">
        <f>IF(ROW()&lt;=Results!$C$1+1,VLOOKUP($A562,Data!$A$2:$C$117,3,TRUE),"")</f>
        <v/>
      </c>
      <c r="E562" s="14" t="str">
        <f>IF(ROW()&lt;=Results!$C$1+1,IF(D562&lt;=0,"",LN(D562)),"")</f>
        <v/>
      </c>
      <c r="F562" s="53" t="str">
        <f>IF(ROW()&lt;=Results!$C$1+1,IF(ISERROR(C562-E562),"",C562-E562),"")</f>
        <v/>
      </c>
    </row>
    <row r="563" spans="1:6" x14ac:dyDescent="0.2">
      <c r="A563" s="1" t="str">
        <f ca="1">IF(ROW()&lt;=Results!$C$1+1,INDEX(Data!$A:$A,CEILING((COUNTA(Data!$A:$A)-1)*RAND()+1,1)),"")</f>
        <v/>
      </c>
      <c r="B563" s="1" t="str">
        <f>IF(ROW()&lt;=Results!$C$1+1,VLOOKUP($A563,Data!$A$2:$C$117,2,TRUE),"")</f>
        <v/>
      </c>
      <c r="C563" s="14" t="str">
        <f>IF(ROW()&lt;=Results!$C$1+1,IF(B563&lt;=0,"",LN(B563)),"")</f>
        <v/>
      </c>
      <c r="D563" s="1" t="str">
        <f>IF(ROW()&lt;=Results!$C$1+1,VLOOKUP($A563,Data!$A$2:$C$117,3,TRUE),"")</f>
        <v/>
      </c>
      <c r="E563" s="14" t="str">
        <f>IF(ROW()&lt;=Results!$C$1+1,IF(D563&lt;=0,"",LN(D563)),"")</f>
        <v/>
      </c>
      <c r="F563" s="53" t="str">
        <f>IF(ROW()&lt;=Results!$C$1+1,IF(ISERROR(C563-E563),"",C563-E563),"")</f>
        <v/>
      </c>
    </row>
    <row r="564" spans="1:6" x14ac:dyDescent="0.2">
      <c r="A564" s="1" t="str">
        <f ca="1">IF(ROW()&lt;=Results!$C$1+1,INDEX(Data!$A:$A,CEILING((COUNTA(Data!$A:$A)-1)*RAND()+1,1)),"")</f>
        <v/>
      </c>
      <c r="B564" s="1" t="str">
        <f>IF(ROW()&lt;=Results!$C$1+1,VLOOKUP($A564,Data!$A$2:$C$117,2,TRUE),"")</f>
        <v/>
      </c>
      <c r="C564" s="14" t="str">
        <f>IF(ROW()&lt;=Results!$C$1+1,IF(B564&lt;=0,"",LN(B564)),"")</f>
        <v/>
      </c>
      <c r="D564" s="1" t="str">
        <f>IF(ROW()&lt;=Results!$C$1+1,VLOOKUP($A564,Data!$A$2:$C$117,3,TRUE),"")</f>
        <v/>
      </c>
      <c r="E564" s="14" t="str">
        <f>IF(ROW()&lt;=Results!$C$1+1,IF(D564&lt;=0,"",LN(D564)),"")</f>
        <v/>
      </c>
      <c r="F564" s="53" t="str">
        <f>IF(ROW()&lt;=Results!$C$1+1,IF(ISERROR(C564-E564),"",C564-E564),"")</f>
        <v/>
      </c>
    </row>
    <row r="565" spans="1:6" x14ac:dyDescent="0.2">
      <c r="A565" s="1" t="str">
        <f ca="1">IF(ROW()&lt;=Results!$C$1+1,INDEX(Data!$A:$A,CEILING((COUNTA(Data!$A:$A)-1)*RAND()+1,1)),"")</f>
        <v/>
      </c>
      <c r="B565" s="1" t="str">
        <f>IF(ROW()&lt;=Results!$C$1+1,VLOOKUP($A565,Data!$A$2:$C$117,2,TRUE),"")</f>
        <v/>
      </c>
      <c r="C565" s="14" t="str">
        <f>IF(ROW()&lt;=Results!$C$1+1,IF(B565&lt;=0,"",LN(B565)),"")</f>
        <v/>
      </c>
      <c r="D565" s="1" t="str">
        <f>IF(ROW()&lt;=Results!$C$1+1,VLOOKUP($A565,Data!$A$2:$C$117,3,TRUE),"")</f>
        <v/>
      </c>
      <c r="E565" s="14" t="str">
        <f>IF(ROW()&lt;=Results!$C$1+1,IF(D565&lt;=0,"",LN(D565)),"")</f>
        <v/>
      </c>
      <c r="F565" s="53" t="str">
        <f>IF(ROW()&lt;=Results!$C$1+1,IF(ISERROR(C565-E565),"",C565-E565),"")</f>
        <v/>
      </c>
    </row>
    <row r="566" spans="1:6" x14ac:dyDescent="0.2">
      <c r="A566" s="1" t="str">
        <f ca="1">IF(ROW()&lt;=Results!$C$1+1,INDEX(Data!$A:$A,CEILING((COUNTA(Data!$A:$A)-1)*RAND()+1,1)),"")</f>
        <v/>
      </c>
      <c r="B566" s="1" t="str">
        <f>IF(ROW()&lt;=Results!$C$1+1,VLOOKUP($A566,Data!$A$2:$C$117,2,TRUE),"")</f>
        <v/>
      </c>
      <c r="C566" s="14" t="str">
        <f>IF(ROW()&lt;=Results!$C$1+1,IF(B566&lt;=0,"",LN(B566)),"")</f>
        <v/>
      </c>
      <c r="D566" s="1" t="str">
        <f>IF(ROW()&lt;=Results!$C$1+1,VLOOKUP($A566,Data!$A$2:$C$117,3,TRUE),"")</f>
        <v/>
      </c>
      <c r="E566" s="14" t="str">
        <f>IF(ROW()&lt;=Results!$C$1+1,IF(D566&lt;=0,"",LN(D566)),"")</f>
        <v/>
      </c>
      <c r="F566" s="53" t="str">
        <f>IF(ROW()&lt;=Results!$C$1+1,IF(ISERROR(C566-E566),"",C566-E566),"")</f>
        <v/>
      </c>
    </row>
    <row r="567" spans="1:6" x14ac:dyDescent="0.2">
      <c r="A567" s="1" t="str">
        <f ca="1">IF(ROW()&lt;=Results!$C$1+1,INDEX(Data!$A:$A,CEILING((COUNTA(Data!$A:$A)-1)*RAND()+1,1)),"")</f>
        <v/>
      </c>
      <c r="B567" s="1" t="str">
        <f>IF(ROW()&lt;=Results!$C$1+1,VLOOKUP($A567,Data!$A$2:$C$117,2,TRUE),"")</f>
        <v/>
      </c>
      <c r="C567" s="14" t="str">
        <f>IF(ROW()&lt;=Results!$C$1+1,IF(B567&lt;=0,"",LN(B567)),"")</f>
        <v/>
      </c>
      <c r="D567" s="1" t="str">
        <f>IF(ROW()&lt;=Results!$C$1+1,VLOOKUP($A567,Data!$A$2:$C$117,3,TRUE),"")</f>
        <v/>
      </c>
      <c r="E567" s="14" t="str">
        <f>IF(ROW()&lt;=Results!$C$1+1,IF(D567&lt;=0,"",LN(D567)),"")</f>
        <v/>
      </c>
      <c r="F567" s="53" t="str">
        <f>IF(ROW()&lt;=Results!$C$1+1,IF(ISERROR(C567-E567),"",C567-E567),"")</f>
        <v/>
      </c>
    </row>
    <row r="568" spans="1:6" x14ac:dyDescent="0.2">
      <c r="A568" s="1" t="str">
        <f ca="1">IF(ROW()&lt;=Results!$C$1+1,INDEX(Data!$A:$A,CEILING((COUNTA(Data!$A:$A)-1)*RAND()+1,1)),"")</f>
        <v/>
      </c>
      <c r="B568" s="1" t="str">
        <f>IF(ROW()&lt;=Results!$C$1+1,VLOOKUP($A568,Data!$A$2:$C$117,2,TRUE),"")</f>
        <v/>
      </c>
      <c r="C568" s="14" t="str">
        <f>IF(ROW()&lt;=Results!$C$1+1,IF(B568&lt;=0,"",LN(B568)),"")</f>
        <v/>
      </c>
      <c r="D568" s="1" t="str">
        <f>IF(ROW()&lt;=Results!$C$1+1,VLOOKUP($A568,Data!$A$2:$C$117,3,TRUE),"")</f>
        <v/>
      </c>
      <c r="E568" s="14" t="str">
        <f>IF(ROW()&lt;=Results!$C$1+1,IF(D568&lt;=0,"",LN(D568)),"")</f>
        <v/>
      </c>
      <c r="F568" s="53" t="str">
        <f>IF(ROW()&lt;=Results!$C$1+1,IF(ISERROR(C568-E568),"",C568-E568),"")</f>
        <v/>
      </c>
    </row>
    <row r="569" spans="1:6" x14ac:dyDescent="0.2">
      <c r="A569" s="1" t="str">
        <f ca="1">IF(ROW()&lt;=Results!$C$1+1,INDEX(Data!$A:$A,CEILING((COUNTA(Data!$A:$A)-1)*RAND()+1,1)),"")</f>
        <v/>
      </c>
      <c r="B569" s="1" t="str">
        <f>IF(ROW()&lt;=Results!$C$1+1,VLOOKUP($A569,Data!$A$2:$C$117,2,TRUE),"")</f>
        <v/>
      </c>
      <c r="C569" s="14" t="str">
        <f>IF(ROW()&lt;=Results!$C$1+1,IF(B569&lt;=0,"",LN(B569)),"")</f>
        <v/>
      </c>
      <c r="D569" s="1" t="str">
        <f>IF(ROW()&lt;=Results!$C$1+1,VLOOKUP($A569,Data!$A$2:$C$117,3,TRUE),"")</f>
        <v/>
      </c>
      <c r="E569" s="14" t="str">
        <f>IF(ROW()&lt;=Results!$C$1+1,IF(D569&lt;=0,"",LN(D569)),"")</f>
        <v/>
      </c>
      <c r="F569" s="53" t="str">
        <f>IF(ROW()&lt;=Results!$C$1+1,IF(ISERROR(C569-E569),"",C569-E569),"")</f>
        <v/>
      </c>
    </row>
    <row r="570" spans="1:6" x14ac:dyDescent="0.2">
      <c r="A570" s="1" t="str">
        <f ca="1">IF(ROW()&lt;=Results!$C$1+1,INDEX(Data!$A:$A,CEILING((COUNTA(Data!$A:$A)-1)*RAND()+1,1)),"")</f>
        <v/>
      </c>
      <c r="B570" s="1" t="str">
        <f>IF(ROW()&lt;=Results!$C$1+1,VLOOKUP($A570,Data!$A$2:$C$117,2,TRUE),"")</f>
        <v/>
      </c>
      <c r="C570" s="14" t="str">
        <f>IF(ROW()&lt;=Results!$C$1+1,IF(B570&lt;=0,"",LN(B570)),"")</f>
        <v/>
      </c>
      <c r="D570" s="1" t="str">
        <f>IF(ROW()&lt;=Results!$C$1+1,VLOOKUP($A570,Data!$A$2:$C$117,3,TRUE),"")</f>
        <v/>
      </c>
      <c r="E570" s="14" t="str">
        <f>IF(ROW()&lt;=Results!$C$1+1,IF(D570&lt;=0,"",LN(D570)),"")</f>
        <v/>
      </c>
      <c r="F570" s="53" t="str">
        <f>IF(ROW()&lt;=Results!$C$1+1,IF(ISERROR(C570-E570),"",C570-E570),"")</f>
        <v/>
      </c>
    </row>
    <row r="571" spans="1:6" x14ac:dyDescent="0.2">
      <c r="A571" s="1" t="str">
        <f ca="1">IF(ROW()&lt;=Results!$C$1+1,INDEX(Data!$A:$A,CEILING((COUNTA(Data!$A:$A)-1)*RAND()+1,1)),"")</f>
        <v/>
      </c>
      <c r="B571" s="1" t="str">
        <f>IF(ROW()&lt;=Results!$C$1+1,VLOOKUP($A571,Data!$A$2:$C$117,2,TRUE),"")</f>
        <v/>
      </c>
      <c r="C571" s="14" t="str">
        <f>IF(ROW()&lt;=Results!$C$1+1,IF(B571&lt;=0,"",LN(B571)),"")</f>
        <v/>
      </c>
      <c r="D571" s="1" t="str">
        <f>IF(ROW()&lt;=Results!$C$1+1,VLOOKUP($A571,Data!$A$2:$C$117,3,TRUE),"")</f>
        <v/>
      </c>
      <c r="E571" s="14" t="str">
        <f>IF(ROW()&lt;=Results!$C$1+1,IF(D571&lt;=0,"",LN(D571)),"")</f>
        <v/>
      </c>
      <c r="F571" s="53" t="str">
        <f>IF(ROW()&lt;=Results!$C$1+1,IF(ISERROR(C571-E571),"",C571-E571),"")</f>
        <v/>
      </c>
    </row>
    <row r="572" spans="1:6" x14ac:dyDescent="0.2">
      <c r="A572" s="1" t="str">
        <f ca="1">IF(ROW()&lt;=Results!$C$1+1,INDEX(Data!$A:$A,CEILING((COUNTA(Data!$A:$A)-1)*RAND()+1,1)),"")</f>
        <v/>
      </c>
      <c r="B572" s="1" t="str">
        <f>IF(ROW()&lt;=Results!$C$1+1,VLOOKUP($A572,Data!$A$2:$C$117,2,TRUE),"")</f>
        <v/>
      </c>
      <c r="C572" s="14" t="str">
        <f>IF(ROW()&lt;=Results!$C$1+1,IF(B572&lt;=0,"",LN(B572)),"")</f>
        <v/>
      </c>
      <c r="D572" s="1" t="str">
        <f>IF(ROW()&lt;=Results!$C$1+1,VLOOKUP($A572,Data!$A$2:$C$117,3,TRUE),"")</f>
        <v/>
      </c>
      <c r="E572" s="14" t="str">
        <f>IF(ROW()&lt;=Results!$C$1+1,IF(D572&lt;=0,"",LN(D572)),"")</f>
        <v/>
      </c>
      <c r="F572" s="53" t="str">
        <f>IF(ROW()&lt;=Results!$C$1+1,IF(ISERROR(C572-E572),"",C572-E572),"")</f>
        <v/>
      </c>
    </row>
    <row r="573" spans="1:6" x14ac:dyDescent="0.2">
      <c r="A573" s="1" t="str">
        <f ca="1">IF(ROW()&lt;=Results!$C$1+1,INDEX(Data!$A:$A,CEILING((COUNTA(Data!$A:$A)-1)*RAND()+1,1)),"")</f>
        <v/>
      </c>
      <c r="B573" s="1" t="str">
        <f>IF(ROW()&lt;=Results!$C$1+1,VLOOKUP($A573,Data!$A$2:$C$117,2,TRUE),"")</f>
        <v/>
      </c>
      <c r="C573" s="14" t="str">
        <f>IF(ROW()&lt;=Results!$C$1+1,IF(B573&lt;=0,"",LN(B573)),"")</f>
        <v/>
      </c>
      <c r="D573" s="1" t="str">
        <f>IF(ROW()&lt;=Results!$C$1+1,VLOOKUP($A573,Data!$A$2:$C$117,3,TRUE),"")</f>
        <v/>
      </c>
      <c r="E573" s="14" t="str">
        <f>IF(ROW()&lt;=Results!$C$1+1,IF(D573&lt;=0,"",LN(D573)),"")</f>
        <v/>
      </c>
      <c r="F573" s="53" t="str">
        <f>IF(ROW()&lt;=Results!$C$1+1,IF(ISERROR(C573-E573),"",C573-E573),"")</f>
        <v/>
      </c>
    </row>
    <row r="574" spans="1:6" x14ac:dyDescent="0.2">
      <c r="A574" s="1" t="str">
        <f ca="1">IF(ROW()&lt;=Results!$C$1+1,INDEX(Data!$A:$A,CEILING((COUNTA(Data!$A:$A)-1)*RAND()+1,1)),"")</f>
        <v/>
      </c>
      <c r="B574" s="1" t="str">
        <f>IF(ROW()&lt;=Results!$C$1+1,VLOOKUP($A574,Data!$A$2:$C$117,2,TRUE),"")</f>
        <v/>
      </c>
      <c r="C574" s="14" t="str">
        <f>IF(ROW()&lt;=Results!$C$1+1,IF(B574&lt;=0,"",LN(B574)),"")</f>
        <v/>
      </c>
      <c r="D574" s="1" t="str">
        <f>IF(ROW()&lt;=Results!$C$1+1,VLOOKUP($A574,Data!$A$2:$C$117,3,TRUE),"")</f>
        <v/>
      </c>
      <c r="E574" s="14" t="str">
        <f>IF(ROW()&lt;=Results!$C$1+1,IF(D574&lt;=0,"",LN(D574)),"")</f>
        <v/>
      </c>
      <c r="F574" s="53" t="str">
        <f>IF(ROW()&lt;=Results!$C$1+1,IF(ISERROR(C574-E574),"",C574-E574),"")</f>
        <v/>
      </c>
    </row>
    <row r="575" spans="1:6" x14ac:dyDescent="0.2">
      <c r="A575" s="1" t="str">
        <f ca="1">IF(ROW()&lt;=Results!$C$1+1,INDEX(Data!$A:$A,CEILING((COUNTA(Data!$A:$A)-1)*RAND()+1,1)),"")</f>
        <v/>
      </c>
      <c r="B575" s="1" t="str">
        <f>IF(ROW()&lt;=Results!$C$1+1,VLOOKUP($A575,Data!$A$2:$C$117,2,TRUE),"")</f>
        <v/>
      </c>
      <c r="C575" s="14" t="str">
        <f>IF(ROW()&lt;=Results!$C$1+1,IF(B575&lt;=0,"",LN(B575)),"")</f>
        <v/>
      </c>
      <c r="D575" s="1" t="str">
        <f>IF(ROW()&lt;=Results!$C$1+1,VLOOKUP($A575,Data!$A$2:$C$117,3,TRUE),"")</f>
        <v/>
      </c>
      <c r="E575" s="14" t="str">
        <f>IF(ROW()&lt;=Results!$C$1+1,IF(D575&lt;=0,"",LN(D575)),"")</f>
        <v/>
      </c>
      <c r="F575" s="53" t="str">
        <f>IF(ROW()&lt;=Results!$C$1+1,IF(ISERROR(C575-E575),"",C575-E575),"")</f>
        <v/>
      </c>
    </row>
    <row r="576" spans="1:6" x14ac:dyDescent="0.2">
      <c r="A576" s="1" t="str">
        <f ca="1">IF(ROW()&lt;=Results!$C$1+1,INDEX(Data!$A:$A,CEILING((COUNTA(Data!$A:$A)-1)*RAND()+1,1)),"")</f>
        <v/>
      </c>
      <c r="B576" s="1" t="str">
        <f>IF(ROW()&lt;=Results!$C$1+1,VLOOKUP($A576,Data!$A$2:$C$117,2,TRUE),"")</f>
        <v/>
      </c>
      <c r="C576" s="14" t="str">
        <f>IF(ROW()&lt;=Results!$C$1+1,IF(B576&lt;=0,"",LN(B576)),"")</f>
        <v/>
      </c>
      <c r="D576" s="1" t="str">
        <f>IF(ROW()&lt;=Results!$C$1+1,VLOOKUP($A576,Data!$A$2:$C$117,3,TRUE),"")</f>
        <v/>
      </c>
      <c r="E576" s="14" t="str">
        <f>IF(ROW()&lt;=Results!$C$1+1,IF(D576&lt;=0,"",LN(D576)),"")</f>
        <v/>
      </c>
      <c r="F576" s="53" t="str">
        <f>IF(ROW()&lt;=Results!$C$1+1,IF(ISERROR(C576-E576),"",C576-E576),"")</f>
        <v/>
      </c>
    </row>
    <row r="577" spans="1:6" x14ac:dyDescent="0.2">
      <c r="A577" s="1" t="str">
        <f ca="1">IF(ROW()&lt;=Results!$C$1+1,INDEX(Data!$A:$A,CEILING((COUNTA(Data!$A:$A)-1)*RAND()+1,1)),"")</f>
        <v/>
      </c>
      <c r="B577" s="1" t="str">
        <f>IF(ROW()&lt;=Results!$C$1+1,VLOOKUP($A577,Data!$A$2:$C$117,2,TRUE),"")</f>
        <v/>
      </c>
      <c r="C577" s="14" t="str">
        <f>IF(ROW()&lt;=Results!$C$1+1,IF(B577&lt;=0,"",LN(B577)),"")</f>
        <v/>
      </c>
      <c r="D577" s="1" t="str">
        <f>IF(ROW()&lt;=Results!$C$1+1,VLOOKUP($A577,Data!$A$2:$C$117,3,TRUE),"")</f>
        <v/>
      </c>
      <c r="E577" s="14" t="str">
        <f>IF(ROW()&lt;=Results!$C$1+1,IF(D577&lt;=0,"",LN(D577)),"")</f>
        <v/>
      </c>
      <c r="F577" s="53" t="str">
        <f>IF(ROW()&lt;=Results!$C$1+1,IF(ISERROR(C577-E577),"",C577-E577),"")</f>
        <v/>
      </c>
    </row>
    <row r="578" spans="1:6" x14ac:dyDescent="0.2">
      <c r="A578" s="1" t="str">
        <f ca="1">IF(ROW()&lt;=Results!$C$1+1,INDEX(Data!$A:$A,CEILING((COUNTA(Data!$A:$A)-1)*RAND()+1,1)),"")</f>
        <v/>
      </c>
      <c r="B578" s="1" t="str">
        <f>IF(ROW()&lt;=Results!$C$1+1,VLOOKUP($A578,Data!$A$2:$C$117,2,TRUE),"")</f>
        <v/>
      </c>
      <c r="C578" s="14" t="str">
        <f>IF(ROW()&lt;=Results!$C$1+1,IF(B578&lt;=0,"",LN(B578)),"")</f>
        <v/>
      </c>
      <c r="D578" s="1" t="str">
        <f>IF(ROW()&lt;=Results!$C$1+1,VLOOKUP($A578,Data!$A$2:$C$117,3,TRUE),"")</f>
        <v/>
      </c>
      <c r="E578" s="14" t="str">
        <f>IF(ROW()&lt;=Results!$C$1+1,IF(D578&lt;=0,"",LN(D578)),"")</f>
        <v/>
      </c>
      <c r="F578" s="53" t="str">
        <f>IF(ROW()&lt;=Results!$C$1+1,IF(ISERROR(C578-E578),"",C578-E578),"")</f>
        <v/>
      </c>
    </row>
    <row r="579" spans="1:6" x14ac:dyDescent="0.2">
      <c r="A579" s="1" t="str">
        <f ca="1">IF(ROW()&lt;=Results!$C$1+1,INDEX(Data!$A:$A,CEILING((COUNTA(Data!$A:$A)-1)*RAND()+1,1)),"")</f>
        <v/>
      </c>
      <c r="B579" s="1" t="str">
        <f>IF(ROW()&lt;=Results!$C$1+1,VLOOKUP($A579,Data!$A$2:$C$117,2,TRUE),"")</f>
        <v/>
      </c>
      <c r="C579" s="14" t="str">
        <f>IF(ROW()&lt;=Results!$C$1+1,IF(B579&lt;=0,"",LN(B579)),"")</f>
        <v/>
      </c>
      <c r="D579" s="1" t="str">
        <f>IF(ROW()&lt;=Results!$C$1+1,VLOOKUP($A579,Data!$A$2:$C$117,3,TRUE),"")</f>
        <v/>
      </c>
      <c r="E579" s="14" t="str">
        <f>IF(ROW()&lt;=Results!$C$1+1,IF(D579&lt;=0,"",LN(D579)),"")</f>
        <v/>
      </c>
      <c r="F579" s="53" t="str">
        <f>IF(ROW()&lt;=Results!$C$1+1,IF(ISERROR(C579-E579),"",C579-E579),"")</f>
        <v/>
      </c>
    </row>
    <row r="580" spans="1:6" x14ac:dyDescent="0.2">
      <c r="A580" s="1" t="str">
        <f ca="1">IF(ROW()&lt;=Results!$C$1+1,INDEX(Data!$A:$A,CEILING((COUNTA(Data!$A:$A)-1)*RAND()+1,1)),"")</f>
        <v/>
      </c>
      <c r="B580" s="1" t="str">
        <f>IF(ROW()&lt;=Results!$C$1+1,VLOOKUP($A580,Data!$A$2:$C$117,2,TRUE),"")</f>
        <v/>
      </c>
      <c r="C580" s="14" t="str">
        <f>IF(ROW()&lt;=Results!$C$1+1,IF(B580&lt;=0,"",LN(B580)),"")</f>
        <v/>
      </c>
      <c r="D580" s="1" t="str">
        <f>IF(ROW()&lt;=Results!$C$1+1,VLOOKUP($A580,Data!$A$2:$C$117,3,TRUE),"")</f>
        <v/>
      </c>
      <c r="E580" s="14" t="str">
        <f>IF(ROW()&lt;=Results!$C$1+1,IF(D580&lt;=0,"",LN(D580)),"")</f>
        <v/>
      </c>
      <c r="F580" s="53" t="str">
        <f>IF(ROW()&lt;=Results!$C$1+1,IF(ISERROR(C580-E580),"",C580-E580),"")</f>
        <v/>
      </c>
    </row>
    <row r="581" spans="1:6" x14ac:dyDescent="0.2">
      <c r="A581" s="1" t="str">
        <f ca="1">IF(ROW()&lt;=Results!$C$1+1,INDEX(Data!$A:$A,CEILING((COUNTA(Data!$A:$A)-1)*RAND()+1,1)),"")</f>
        <v/>
      </c>
      <c r="B581" s="1" t="str">
        <f>IF(ROW()&lt;=Results!$C$1+1,VLOOKUP($A581,Data!$A$2:$C$117,2,TRUE),"")</f>
        <v/>
      </c>
      <c r="C581" s="14" t="str">
        <f>IF(ROW()&lt;=Results!$C$1+1,IF(B581&lt;=0,"",LN(B581)),"")</f>
        <v/>
      </c>
      <c r="D581" s="1" t="str">
        <f>IF(ROW()&lt;=Results!$C$1+1,VLOOKUP($A581,Data!$A$2:$C$117,3,TRUE),"")</f>
        <v/>
      </c>
      <c r="E581" s="14" t="str">
        <f>IF(ROW()&lt;=Results!$C$1+1,IF(D581&lt;=0,"",LN(D581)),"")</f>
        <v/>
      </c>
      <c r="F581" s="53" t="str">
        <f>IF(ROW()&lt;=Results!$C$1+1,IF(ISERROR(C581-E581),"",C581-E581),"")</f>
        <v/>
      </c>
    </row>
    <row r="582" spans="1:6" x14ac:dyDescent="0.2">
      <c r="A582" s="1" t="str">
        <f ca="1">IF(ROW()&lt;=Results!$C$1+1,INDEX(Data!$A:$A,CEILING((COUNTA(Data!$A:$A)-1)*RAND()+1,1)),"")</f>
        <v/>
      </c>
      <c r="B582" s="1" t="str">
        <f>IF(ROW()&lt;=Results!$C$1+1,VLOOKUP($A582,Data!$A$2:$C$117,2,TRUE),"")</f>
        <v/>
      </c>
      <c r="C582" s="14" t="str">
        <f>IF(ROW()&lt;=Results!$C$1+1,IF(B582&lt;=0,"",LN(B582)),"")</f>
        <v/>
      </c>
      <c r="D582" s="1" t="str">
        <f>IF(ROW()&lt;=Results!$C$1+1,VLOOKUP($A582,Data!$A$2:$C$117,3,TRUE),"")</f>
        <v/>
      </c>
      <c r="E582" s="14" t="str">
        <f>IF(ROW()&lt;=Results!$C$1+1,IF(D582&lt;=0,"",LN(D582)),"")</f>
        <v/>
      </c>
      <c r="F582" s="53" t="str">
        <f>IF(ROW()&lt;=Results!$C$1+1,IF(ISERROR(C582-E582),"",C582-E582),"")</f>
        <v/>
      </c>
    </row>
    <row r="583" spans="1:6" x14ac:dyDescent="0.2">
      <c r="A583" s="1" t="str">
        <f ca="1">IF(ROW()&lt;=Results!$C$1+1,INDEX(Data!$A:$A,CEILING((COUNTA(Data!$A:$A)-1)*RAND()+1,1)),"")</f>
        <v/>
      </c>
      <c r="B583" s="1" t="str">
        <f>IF(ROW()&lt;=Results!$C$1+1,VLOOKUP($A583,Data!$A$2:$C$117,2,TRUE),"")</f>
        <v/>
      </c>
      <c r="C583" s="14" t="str">
        <f>IF(ROW()&lt;=Results!$C$1+1,IF(B583&lt;=0,"",LN(B583)),"")</f>
        <v/>
      </c>
      <c r="D583" s="1" t="str">
        <f>IF(ROW()&lt;=Results!$C$1+1,VLOOKUP($A583,Data!$A$2:$C$117,3,TRUE),"")</f>
        <v/>
      </c>
      <c r="E583" s="14" t="str">
        <f>IF(ROW()&lt;=Results!$C$1+1,IF(D583&lt;=0,"",LN(D583)),"")</f>
        <v/>
      </c>
      <c r="F583" s="53" t="str">
        <f>IF(ROW()&lt;=Results!$C$1+1,IF(ISERROR(C583-E583),"",C583-E583),"")</f>
        <v/>
      </c>
    </row>
    <row r="584" spans="1:6" x14ac:dyDescent="0.2">
      <c r="A584" s="1" t="str">
        <f ca="1">IF(ROW()&lt;=Results!$C$1+1,INDEX(Data!$A:$A,CEILING((COUNTA(Data!$A:$A)-1)*RAND()+1,1)),"")</f>
        <v/>
      </c>
      <c r="B584" s="1" t="str">
        <f>IF(ROW()&lt;=Results!$C$1+1,VLOOKUP($A584,Data!$A$2:$C$117,2,TRUE),"")</f>
        <v/>
      </c>
      <c r="C584" s="14" t="str">
        <f>IF(ROW()&lt;=Results!$C$1+1,IF(B584&lt;=0,"",LN(B584)),"")</f>
        <v/>
      </c>
      <c r="D584" s="1" t="str">
        <f>IF(ROW()&lt;=Results!$C$1+1,VLOOKUP($A584,Data!$A$2:$C$117,3,TRUE),"")</f>
        <v/>
      </c>
      <c r="E584" s="14" t="str">
        <f>IF(ROW()&lt;=Results!$C$1+1,IF(D584&lt;=0,"",LN(D584)),"")</f>
        <v/>
      </c>
      <c r="F584" s="53" t="str">
        <f>IF(ROW()&lt;=Results!$C$1+1,IF(ISERROR(C584-E584),"",C584-E584),"")</f>
        <v/>
      </c>
    </row>
    <row r="585" spans="1:6" x14ac:dyDescent="0.2">
      <c r="A585" s="1" t="str">
        <f ca="1">IF(ROW()&lt;=Results!$C$1+1,INDEX(Data!$A:$A,CEILING((COUNTA(Data!$A:$A)-1)*RAND()+1,1)),"")</f>
        <v/>
      </c>
      <c r="B585" s="1" t="str">
        <f>IF(ROW()&lt;=Results!$C$1+1,VLOOKUP($A585,Data!$A$2:$C$117,2,TRUE),"")</f>
        <v/>
      </c>
      <c r="C585" s="14" t="str">
        <f>IF(ROW()&lt;=Results!$C$1+1,IF(B585&lt;=0,"",LN(B585)),"")</f>
        <v/>
      </c>
      <c r="D585" s="1" t="str">
        <f>IF(ROW()&lt;=Results!$C$1+1,VLOOKUP($A585,Data!$A$2:$C$117,3,TRUE),"")</f>
        <v/>
      </c>
      <c r="E585" s="14" t="str">
        <f>IF(ROW()&lt;=Results!$C$1+1,IF(D585&lt;=0,"",LN(D585)),"")</f>
        <v/>
      </c>
      <c r="F585" s="53" t="str">
        <f>IF(ROW()&lt;=Results!$C$1+1,IF(ISERROR(C585-E585),"",C585-E585),"")</f>
        <v/>
      </c>
    </row>
    <row r="586" spans="1:6" x14ac:dyDescent="0.2">
      <c r="A586" s="1" t="str">
        <f ca="1">IF(ROW()&lt;=Results!$C$1+1,INDEX(Data!$A:$A,CEILING((COUNTA(Data!$A:$A)-1)*RAND()+1,1)),"")</f>
        <v/>
      </c>
      <c r="B586" s="1" t="str">
        <f>IF(ROW()&lt;=Results!$C$1+1,VLOOKUP($A586,Data!$A$2:$C$117,2,TRUE),"")</f>
        <v/>
      </c>
      <c r="C586" s="14" t="str">
        <f>IF(ROW()&lt;=Results!$C$1+1,IF(B586&lt;=0,"",LN(B586)),"")</f>
        <v/>
      </c>
      <c r="D586" s="1" t="str">
        <f>IF(ROW()&lt;=Results!$C$1+1,VLOOKUP($A586,Data!$A$2:$C$117,3,TRUE),"")</f>
        <v/>
      </c>
      <c r="E586" s="14" t="str">
        <f>IF(ROW()&lt;=Results!$C$1+1,IF(D586&lt;=0,"",LN(D586)),"")</f>
        <v/>
      </c>
      <c r="F586" s="53" t="str">
        <f>IF(ROW()&lt;=Results!$C$1+1,IF(ISERROR(C586-E586),"",C586-E586),"")</f>
        <v/>
      </c>
    </row>
    <row r="587" spans="1:6" x14ac:dyDescent="0.2">
      <c r="A587" s="1" t="str">
        <f ca="1">IF(ROW()&lt;=Results!$C$1+1,INDEX(Data!$A:$A,CEILING((COUNTA(Data!$A:$A)-1)*RAND()+1,1)),"")</f>
        <v/>
      </c>
      <c r="B587" s="1" t="str">
        <f>IF(ROW()&lt;=Results!$C$1+1,VLOOKUP($A587,Data!$A$2:$C$117,2,TRUE),"")</f>
        <v/>
      </c>
      <c r="C587" s="14" t="str">
        <f>IF(ROW()&lt;=Results!$C$1+1,IF(B587&lt;=0,"",LN(B587)),"")</f>
        <v/>
      </c>
      <c r="D587" s="1" t="str">
        <f>IF(ROW()&lt;=Results!$C$1+1,VLOOKUP($A587,Data!$A$2:$C$117,3,TRUE),"")</f>
        <v/>
      </c>
      <c r="E587" s="14" t="str">
        <f>IF(ROW()&lt;=Results!$C$1+1,IF(D587&lt;=0,"",LN(D587)),"")</f>
        <v/>
      </c>
      <c r="F587" s="53" t="str">
        <f>IF(ROW()&lt;=Results!$C$1+1,IF(ISERROR(C587-E587),"",C587-E587),"")</f>
        <v/>
      </c>
    </row>
    <row r="588" spans="1:6" x14ac:dyDescent="0.2">
      <c r="A588" s="1" t="str">
        <f ca="1">IF(ROW()&lt;=Results!$C$1+1,INDEX(Data!$A:$A,CEILING((COUNTA(Data!$A:$A)-1)*RAND()+1,1)),"")</f>
        <v/>
      </c>
      <c r="B588" s="1" t="str">
        <f>IF(ROW()&lt;=Results!$C$1+1,VLOOKUP($A588,Data!$A$2:$C$117,2,TRUE),"")</f>
        <v/>
      </c>
      <c r="C588" s="14" t="str">
        <f>IF(ROW()&lt;=Results!$C$1+1,IF(B588&lt;=0,"",LN(B588)),"")</f>
        <v/>
      </c>
      <c r="D588" s="1" t="str">
        <f>IF(ROW()&lt;=Results!$C$1+1,VLOOKUP($A588,Data!$A$2:$C$117,3,TRUE),"")</f>
        <v/>
      </c>
      <c r="E588" s="14" t="str">
        <f>IF(ROW()&lt;=Results!$C$1+1,IF(D588&lt;=0,"",LN(D588)),"")</f>
        <v/>
      </c>
      <c r="F588" s="53" t="str">
        <f>IF(ROW()&lt;=Results!$C$1+1,IF(ISERROR(C588-E588),"",C588-E588),"")</f>
        <v/>
      </c>
    </row>
    <row r="589" spans="1:6" x14ac:dyDescent="0.2">
      <c r="A589" s="1" t="str">
        <f ca="1">IF(ROW()&lt;=Results!$C$1+1,INDEX(Data!$A:$A,CEILING((COUNTA(Data!$A:$A)-1)*RAND()+1,1)),"")</f>
        <v/>
      </c>
      <c r="B589" s="1" t="str">
        <f>IF(ROW()&lt;=Results!$C$1+1,VLOOKUP($A589,Data!$A$2:$C$117,2,TRUE),"")</f>
        <v/>
      </c>
      <c r="C589" s="14" t="str">
        <f>IF(ROW()&lt;=Results!$C$1+1,IF(B589&lt;=0,"",LN(B589)),"")</f>
        <v/>
      </c>
      <c r="D589" s="1" t="str">
        <f>IF(ROW()&lt;=Results!$C$1+1,VLOOKUP($A589,Data!$A$2:$C$117,3,TRUE),"")</f>
        <v/>
      </c>
      <c r="E589" s="14" t="str">
        <f>IF(ROW()&lt;=Results!$C$1+1,IF(D589&lt;=0,"",LN(D589)),"")</f>
        <v/>
      </c>
      <c r="F589" s="53" t="str">
        <f>IF(ROW()&lt;=Results!$C$1+1,IF(ISERROR(C589-E589),"",C589-E589),"")</f>
        <v/>
      </c>
    </row>
    <row r="590" spans="1:6" x14ac:dyDescent="0.2">
      <c r="A590" s="1" t="str">
        <f ca="1">IF(ROW()&lt;=Results!$C$1+1,INDEX(Data!$A:$A,CEILING((COUNTA(Data!$A:$A)-1)*RAND()+1,1)),"")</f>
        <v/>
      </c>
      <c r="B590" s="1" t="str">
        <f>IF(ROW()&lt;=Results!$C$1+1,VLOOKUP($A590,Data!$A$2:$C$117,2,TRUE),"")</f>
        <v/>
      </c>
      <c r="C590" s="14" t="str">
        <f>IF(ROW()&lt;=Results!$C$1+1,IF(B590&lt;=0,"",LN(B590)),"")</f>
        <v/>
      </c>
      <c r="D590" s="1" t="str">
        <f>IF(ROW()&lt;=Results!$C$1+1,VLOOKUP($A590,Data!$A$2:$C$117,3,TRUE),"")</f>
        <v/>
      </c>
      <c r="E590" s="14" t="str">
        <f>IF(ROW()&lt;=Results!$C$1+1,IF(D590&lt;=0,"",LN(D590)),"")</f>
        <v/>
      </c>
      <c r="F590" s="53" t="str">
        <f>IF(ROW()&lt;=Results!$C$1+1,IF(ISERROR(C590-E590),"",C590-E590),"")</f>
        <v/>
      </c>
    </row>
    <row r="591" spans="1:6" x14ac:dyDescent="0.2">
      <c r="A591" s="1" t="str">
        <f ca="1">IF(ROW()&lt;=Results!$C$1+1,INDEX(Data!$A:$A,CEILING((COUNTA(Data!$A:$A)-1)*RAND()+1,1)),"")</f>
        <v/>
      </c>
      <c r="B591" s="1" t="str">
        <f>IF(ROW()&lt;=Results!$C$1+1,VLOOKUP($A591,Data!$A$2:$C$117,2,TRUE),"")</f>
        <v/>
      </c>
      <c r="C591" s="14" t="str">
        <f>IF(ROW()&lt;=Results!$C$1+1,IF(B591&lt;=0,"",LN(B591)),"")</f>
        <v/>
      </c>
      <c r="D591" s="1" t="str">
        <f>IF(ROW()&lt;=Results!$C$1+1,VLOOKUP($A591,Data!$A$2:$C$117,3,TRUE),"")</f>
        <v/>
      </c>
      <c r="E591" s="14" t="str">
        <f>IF(ROW()&lt;=Results!$C$1+1,IF(D591&lt;=0,"",LN(D591)),"")</f>
        <v/>
      </c>
      <c r="F591" s="53" t="str">
        <f>IF(ROW()&lt;=Results!$C$1+1,IF(ISERROR(C591-E591),"",C591-E591),"")</f>
        <v/>
      </c>
    </row>
    <row r="592" spans="1:6" x14ac:dyDescent="0.2">
      <c r="A592" s="1" t="str">
        <f ca="1">IF(ROW()&lt;=Results!$C$1+1,INDEX(Data!$A:$A,CEILING((COUNTA(Data!$A:$A)-1)*RAND()+1,1)),"")</f>
        <v/>
      </c>
      <c r="B592" s="1" t="str">
        <f>IF(ROW()&lt;=Results!$C$1+1,VLOOKUP($A592,Data!$A$2:$C$117,2,TRUE),"")</f>
        <v/>
      </c>
      <c r="C592" s="14" t="str">
        <f>IF(ROW()&lt;=Results!$C$1+1,IF(B592&lt;=0,"",LN(B592)),"")</f>
        <v/>
      </c>
      <c r="D592" s="1" t="str">
        <f>IF(ROW()&lt;=Results!$C$1+1,VLOOKUP($A592,Data!$A$2:$C$117,3,TRUE),"")</f>
        <v/>
      </c>
      <c r="E592" s="14" t="str">
        <f>IF(ROW()&lt;=Results!$C$1+1,IF(D592&lt;=0,"",LN(D592)),"")</f>
        <v/>
      </c>
      <c r="F592" s="53" t="str">
        <f>IF(ROW()&lt;=Results!$C$1+1,IF(ISERROR(C592-E592),"",C592-E592),"")</f>
        <v/>
      </c>
    </row>
    <row r="593" spans="1:6" x14ac:dyDescent="0.2">
      <c r="A593" s="1" t="str">
        <f ca="1">IF(ROW()&lt;=Results!$C$1+1,INDEX(Data!$A:$A,CEILING((COUNTA(Data!$A:$A)-1)*RAND()+1,1)),"")</f>
        <v/>
      </c>
      <c r="B593" s="1" t="str">
        <f>IF(ROW()&lt;=Results!$C$1+1,VLOOKUP($A593,Data!$A$2:$C$117,2,TRUE),"")</f>
        <v/>
      </c>
      <c r="C593" s="14" t="str">
        <f>IF(ROW()&lt;=Results!$C$1+1,IF(B593&lt;=0,"",LN(B593)),"")</f>
        <v/>
      </c>
      <c r="D593" s="1" t="str">
        <f>IF(ROW()&lt;=Results!$C$1+1,VLOOKUP($A593,Data!$A$2:$C$117,3,TRUE),"")</f>
        <v/>
      </c>
      <c r="E593" s="14" t="str">
        <f>IF(ROW()&lt;=Results!$C$1+1,IF(D593&lt;=0,"",LN(D593)),"")</f>
        <v/>
      </c>
      <c r="F593" s="53" t="str">
        <f>IF(ROW()&lt;=Results!$C$1+1,IF(ISERROR(C593-E593),"",C593-E593),"")</f>
        <v/>
      </c>
    </row>
    <row r="594" spans="1:6" x14ac:dyDescent="0.2">
      <c r="A594" s="1" t="str">
        <f ca="1">IF(ROW()&lt;=Results!$C$1+1,INDEX(Data!$A:$A,CEILING((COUNTA(Data!$A:$A)-1)*RAND()+1,1)),"")</f>
        <v/>
      </c>
      <c r="B594" s="1" t="str">
        <f>IF(ROW()&lt;=Results!$C$1+1,VLOOKUP($A594,Data!$A$2:$C$117,2,TRUE),"")</f>
        <v/>
      </c>
      <c r="C594" s="14" t="str">
        <f>IF(ROW()&lt;=Results!$C$1+1,IF(B594&lt;=0,"",LN(B594)),"")</f>
        <v/>
      </c>
      <c r="D594" s="1" t="str">
        <f>IF(ROW()&lt;=Results!$C$1+1,VLOOKUP($A594,Data!$A$2:$C$117,3,TRUE),"")</f>
        <v/>
      </c>
      <c r="E594" s="14" t="str">
        <f>IF(ROW()&lt;=Results!$C$1+1,IF(D594&lt;=0,"",LN(D594)),"")</f>
        <v/>
      </c>
      <c r="F594" s="53" t="str">
        <f>IF(ROW()&lt;=Results!$C$1+1,IF(ISERROR(C594-E594),"",C594-E594),"")</f>
        <v/>
      </c>
    </row>
    <row r="595" spans="1:6" x14ac:dyDescent="0.2">
      <c r="A595" s="1" t="str">
        <f ca="1">IF(ROW()&lt;=Results!$C$1+1,INDEX(Data!$A:$A,CEILING((COUNTA(Data!$A:$A)-1)*RAND()+1,1)),"")</f>
        <v/>
      </c>
      <c r="B595" s="1" t="str">
        <f>IF(ROW()&lt;=Results!$C$1+1,VLOOKUP($A595,Data!$A$2:$C$117,2,TRUE),"")</f>
        <v/>
      </c>
      <c r="C595" s="14" t="str">
        <f>IF(ROW()&lt;=Results!$C$1+1,IF(B595&lt;=0,"",LN(B595)),"")</f>
        <v/>
      </c>
      <c r="D595" s="1" t="str">
        <f>IF(ROW()&lt;=Results!$C$1+1,VLOOKUP($A595,Data!$A$2:$C$117,3,TRUE),"")</f>
        <v/>
      </c>
      <c r="E595" s="14" t="str">
        <f>IF(ROW()&lt;=Results!$C$1+1,IF(D595&lt;=0,"",LN(D595)),"")</f>
        <v/>
      </c>
      <c r="F595" s="53" t="str">
        <f>IF(ROW()&lt;=Results!$C$1+1,IF(ISERROR(C595-E595),"",C595-E595),"")</f>
        <v/>
      </c>
    </row>
    <row r="596" spans="1:6" x14ac:dyDescent="0.2">
      <c r="A596" s="1" t="str">
        <f ca="1">IF(ROW()&lt;=Results!$C$1+1,INDEX(Data!$A:$A,CEILING((COUNTA(Data!$A:$A)-1)*RAND()+1,1)),"")</f>
        <v/>
      </c>
      <c r="B596" s="1" t="str">
        <f>IF(ROW()&lt;=Results!$C$1+1,VLOOKUP($A596,Data!$A$2:$C$117,2,TRUE),"")</f>
        <v/>
      </c>
      <c r="C596" s="14" t="str">
        <f>IF(ROW()&lt;=Results!$C$1+1,IF(B596&lt;=0,"",LN(B596)),"")</f>
        <v/>
      </c>
      <c r="D596" s="1" t="str">
        <f>IF(ROW()&lt;=Results!$C$1+1,VLOOKUP($A596,Data!$A$2:$C$117,3,TRUE),"")</f>
        <v/>
      </c>
      <c r="E596" s="14" t="str">
        <f>IF(ROW()&lt;=Results!$C$1+1,IF(D596&lt;=0,"",LN(D596)),"")</f>
        <v/>
      </c>
      <c r="F596" s="53" t="str">
        <f>IF(ROW()&lt;=Results!$C$1+1,IF(ISERROR(C596-E596),"",C596-E596),"")</f>
        <v/>
      </c>
    </row>
    <row r="597" spans="1:6" x14ac:dyDescent="0.2">
      <c r="A597" s="1" t="str">
        <f ca="1">IF(ROW()&lt;=Results!$C$1+1,INDEX(Data!$A:$A,CEILING((COUNTA(Data!$A:$A)-1)*RAND()+1,1)),"")</f>
        <v/>
      </c>
      <c r="B597" s="1" t="str">
        <f>IF(ROW()&lt;=Results!$C$1+1,VLOOKUP($A597,Data!$A$2:$C$117,2,TRUE),"")</f>
        <v/>
      </c>
      <c r="C597" s="14" t="str">
        <f>IF(ROW()&lt;=Results!$C$1+1,IF(B597&lt;=0,"",LN(B597)),"")</f>
        <v/>
      </c>
      <c r="D597" s="1" t="str">
        <f>IF(ROW()&lt;=Results!$C$1+1,VLOOKUP($A597,Data!$A$2:$C$117,3,TRUE),"")</f>
        <v/>
      </c>
      <c r="E597" s="14" t="str">
        <f>IF(ROW()&lt;=Results!$C$1+1,IF(D597&lt;=0,"",LN(D597)),"")</f>
        <v/>
      </c>
      <c r="F597" s="53" t="str">
        <f>IF(ROW()&lt;=Results!$C$1+1,IF(ISERROR(C597-E597),"",C597-E597),"")</f>
        <v/>
      </c>
    </row>
    <row r="598" spans="1:6" x14ac:dyDescent="0.2">
      <c r="A598" s="1" t="str">
        <f ca="1">IF(ROW()&lt;=Results!$C$1+1,INDEX(Data!$A:$A,CEILING((COUNTA(Data!$A:$A)-1)*RAND()+1,1)),"")</f>
        <v/>
      </c>
      <c r="B598" s="1" t="str">
        <f>IF(ROW()&lt;=Results!$C$1+1,VLOOKUP($A598,Data!$A$2:$C$117,2,TRUE),"")</f>
        <v/>
      </c>
      <c r="C598" s="14" t="str">
        <f>IF(ROW()&lt;=Results!$C$1+1,IF(B598&lt;=0,"",LN(B598)),"")</f>
        <v/>
      </c>
      <c r="D598" s="1" t="str">
        <f>IF(ROW()&lt;=Results!$C$1+1,VLOOKUP($A598,Data!$A$2:$C$117,3,TRUE),"")</f>
        <v/>
      </c>
      <c r="E598" s="14" t="str">
        <f>IF(ROW()&lt;=Results!$C$1+1,IF(D598&lt;=0,"",LN(D598)),"")</f>
        <v/>
      </c>
      <c r="F598" s="53" t="str">
        <f>IF(ROW()&lt;=Results!$C$1+1,IF(ISERROR(C598-E598),"",C598-E598),"")</f>
        <v/>
      </c>
    </row>
    <row r="599" spans="1:6" x14ac:dyDescent="0.2">
      <c r="A599" s="1" t="str">
        <f ca="1">IF(ROW()&lt;=Results!$C$1+1,INDEX(Data!$A:$A,CEILING((COUNTA(Data!$A:$A)-1)*RAND()+1,1)),"")</f>
        <v/>
      </c>
      <c r="B599" s="1" t="str">
        <f>IF(ROW()&lt;=Results!$C$1+1,VLOOKUP($A599,Data!$A$2:$C$117,2,TRUE),"")</f>
        <v/>
      </c>
      <c r="C599" s="14" t="str">
        <f>IF(ROW()&lt;=Results!$C$1+1,IF(B599&lt;=0,"",LN(B599)),"")</f>
        <v/>
      </c>
      <c r="D599" s="1" t="str">
        <f>IF(ROW()&lt;=Results!$C$1+1,VLOOKUP($A599,Data!$A$2:$C$117,3,TRUE),"")</f>
        <v/>
      </c>
      <c r="E599" s="14" t="str">
        <f>IF(ROW()&lt;=Results!$C$1+1,IF(D599&lt;=0,"",LN(D599)),"")</f>
        <v/>
      </c>
      <c r="F599" s="53" t="str">
        <f>IF(ROW()&lt;=Results!$C$1+1,IF(ISERROR(C599-E599),"",C599-E599),"")</f>
        <v/>
      </c>
    </row>
    <row r="600" spans="1:6" x14ac:dyDescent="0.2">
      <c r="A600" s="1" t="str">
        <f ca="1">IF(ROW()&lt;=Results!$C$1+1,INDEX(Data!$A:$A,CEILING((COUNTA(Data!$A:$A)-1)*RAND()+1,1)),"")</f>
        <v/>
      </c>
      <c r="B600" s="1" t="str">
        <f>IF(ROW()&lt;=Results!$C$1+1,VLOOKUP($A600,Data!$A$2:$C$117,2,TRUE),"")</f>
        <v/>
      </c>
      <c r="C600" s="14" t="str">
        <f>IF(ROW()&lt;=Results!$C$1+1,IF(B600&lt;=0,"",LN(B600)),"")</f>
        <v/>
      </c>
      <c r="D600" s="1" t="str">
        <f>IF(ROW()&lt;=Results!$C$1+1,VLOOKUP($A600,Data!$A$2:$C$117,3,TRUE),"")</f>
        <v/>
      </c>
      <c r="E600" s="14" t="str">
        <f>IF(ROW()&lt;=Results!$C$1+1,IF(D600&lt;=0,"",LN(D600)),"")</f>
        <v/>
      </c>
      <c r="F600" s="53" t="str">
        <f>IF(ROW()&lt;=Results!$C$1+1,IF(ISERROR(C600-E600),"",C600-E600),"")</f>
        <v/>
      </c>
    </row>
    <row r="601" spans="1:6" x14ac:dyDescent="0.2">
      <c r="A601" s="1" t="str">
        <f ca="1">IF(ROW()&lt;=Results!$C$1+1,INDEX(Data!$A:$A,CEILING((COUNTA(Data!$A:$A)-1)*RAND()+1,1)),"")</f>
        <v/>
      </c>
      <c r="B601" s="1" t="str">
        <f>IF(ROW()&lt;=Results!$C$1+1,VLOOKUP($A601,Data!$A$2:$C$117,2,TRUE),"")</f>
        <v/>
      </c>
      <c r="C601" s="14" t="str">
        <f>IF(ROW()&lt;=Results!$C$1+1,IF(B601&lt;=0,"",LN(B601)),"")</f>
        <v/>
      </c>
      <c r="D601" s="1" t="str">
        <f>IF(ROW()&lt;=Results!$C$1+1,VLOOKUP($A601,Data!$A$2:$C$117,3,TRUE),"")</f>
        <v/>
      </c>
      <c r="E601" s="14" t="str">
        <f>IF(ROW()&lt;=Results!$C$1+1,IF(D601&lt;=0,"",LN(D601)),"")</f>
        <v/>
      </c>
      <c r="F601" s="53" t="str">
        <f>IF(ROW()&lt;=Results!$C$1+1,IF(ISERROR(C601-E601),"",C601-E601),"")</f>
        <v/>
      </c>
    </row>
    <row r="602" spans="1:6" x14ac:dyDescent="0.2">
      <c r="A602" s="1" t="str">
        <f ca="1">IF(ROW()&lt;=Results!$C$1+1,INDEX(Data!$A:$A,CEILING((COUNTA(Data!$A:$A)-1)*RAND()+1,1)),"")</f>
        <v/>
      </c>
      <c r="B602" s="1" t="str">
        <f>IF(ROW()&lt;=Results!$C$1+1,VLOOKUP($A602,Data!$A$2:$C$117,2,TRUE),"")</f>
        <v/>
      </c>
      <c r="C602" s="14" t="str">
        <f>IF(ROW()&lt;=Results!$C$1+1,IF(B602&lt;=0,"",LN(B602)),"")</f>
        <v/>
      </c>
      <c r="D602" s="1" t="str">
        <f>IF(ROW()&lt;=Results!$C$1+1,VLOOKUP($A602,Data!$A$2:$C$117,3,TRUE),"")</f>
        <v/>
      </c>
      <c r="E602" s="14" t="str">
        <f>IF(ROW()&lt;=Results!$C$1+1,IF(D602&lt;=0,"",LN(D602)),"")</f>
        <v/>
      </c>
      <c r="F602" s="53" t="str">
        <f>IF(ROW()&lt;=Results!$C$1+1,IF(ISERROR(C602-E602),"",C602-E602),"")</f>
        <v/>
      </c>
    </row>
    <row r="603" spans="1:6" x14ac:dyDescent="0.2">
      <c r="A603" s="1" t="str">
        <f ca="1">IF(ROW()&lt;=Results!$C$1+1,INDEX(Data!$A:$A,CEILING((COUNTA(Data!$A:$A)-1)*RAND()+1,1)),"")</f>
        <v/>
      </c>
      <c r="B603" s="1" t="str">
        <f>IF(ROW()&lt;=Results!$C$1+1,VLOOKUP($A603,Data!$A$2:$C$117,2,TRUE),"")</f>
        <v/>
      </c>
      <c r="C603" s="14" t="str">
        <f>IF(ROW()&lt;=Results!$C$1+1,IF(B603&lt;=0,"",LN(B603)),"")</f>
        <v/>
      </c>
      <c r="D603" s="1" t="str">
        <f>IF(ROW()&lt;=Results!$C$1+1,VLOOKUP($A603,Data!$A$2:$C$117,3,TRUE),"")</f>
        <v/>
      </c>
      <c r="E603" s="14" t="str">
        <f>IF(ROW()&lt;=Results!$C$1+1,IF(D603&lt;=0,"",LN(D603)),"")</f>
        <v/>
      </c>
      <c r="F603" s="53" t="str">
        <f>IF(ROW()&lt;=Results!$C$1+1,IF(ISERROR(C603-E603),"",C603-E603),"")</f>
        <v/>
      </c>
    </row>
    <row r="604" spans="1:6" x14ac:dyDescent="0.2">
      <c r="A604" s="1" t="str">
        <f ca="1">IF(ROW()&lt;=Results!$C$1+1,INDEX(Data!$A:$A,CEILING((COUNTA(Data!$A:$A)-1)*RAND()+1,1)),"")</f>
        <v/>
      </c>
      <c r="B604" s="1" t="str">
        <f>IF(ROW()&lt;=Results!$C$1+1,VLOOKUP($A604,Data!$A$2:$C$117,2,TRUE),"")</f>
        <v/>
      </c>
      <c r="C604" s="14" t="str">
        <f>IF(ROW()&lt;=Results!$C$1+1,IF(B604&lt;=0,"",LN(B604)),"")</f>
        <v/>
      </c>
      <c r="D604" s="1" t="str">
        <f>IF(ROW()&lt;=Results!$C$1+1,VLOOKUP($A604,Data!$A$2:$C$117,3,TRUE),"")</f>
        <v/>
      </c>
      <c r="E604" s="14" t="str">
        <f>IF(ROW()&lt;=Results!$C$1+1,IF(D604&lt;=0,"",LN(D604)),"")</f>
        <v/>
      </c>
      <c r="F604" s="53" t="str">
        <f>IF(ROW()&lt;=Results!$C$1+1,IF(ISERROR(C604-E604),"",C604-E604),"")</f>
        <v/>
      </c>
    </row>
    <row r="605" spans="1:6" x14ac:dyDescent="0.2">
      <c r="A605" s="1" t="str">
        <f ca="1">IF(ROW()&lt;=Results!$C$1+1,INDEX(Data!$A:$A,CEILING((COUNTA(Data!$A:$A)-1)*RAND()+1,1)),"")</f>
        <v/>
      </c>
      <c r="B605" s="1" t="str">
        <f>IF(ROW()&lt;=Results!$C$1+1,VLOOKUP($A605,Data!$A$2:$C$117,2,TRUE),"")</f>
        <v/>
      </c>
      <c r="C605" s="14" t="str">
        <f>IF(ROW()&lt;=Results!$C$1+1,IF(B605&lt;=0,"",LN(B605)),"")</f>
        <v/>
      </c>
      <c r="D605" s="1" t="str">
        <f>IF(ROW()&lt;=Results!$C$1+1,VLOOKUP($A605,Data!$A$2:$C$117,3,TRUE),"")</f>
        <v/>
      </c>
      <c r="E605" s="14" t="str">
        <f>IF(ROW()&lt;=Results!$C$1+1,IF(D605&lt;=0,"",LN(D605)),"")</f>
        <v/>
      </c>
      <c r="F605" s="53" t="str">
        <f>IF(ROW()&lt;=Results!$C$1+1,IF(ISERROR(C605-E605),"",C605-E605),"")</f>
        <v/>
      </c>
    </row>
    <row r="606" spans="1:6" x14ac:dyDescent="0.2">
      <c r="A606" s="1" t="str">
        <f ca="1">IF(ROW()&lt;=Results!$C$1+1,INDEX(Data!$A:$A,CEILING((COUNTA(Data!$A:$A)-1)*RAND()+1,1)),"")</f>
        <v/>
      </c>
      <c r="B606" s="1" t="str">
        <f>IF(ROW()&lt;=Results!$C$1+1,VLOOKUP($A606,Data!$A$2:$C$117,2,TRUE),"")</f>
        <v/>
      </c>
      <c r="C606" s="14" t="str">
        <f>IF(ROW()&lt;=Results!$C$1+1,IF(B606&lt;=0,"",LN(B606)),"")</f>
        <v/>
      </c>
      <c r="D606" s="1" t="str">
        <f>IF(ROW()&lt;=Results!$C$1+1,VLOOKUP($A606,Data!$A$2:$C$117,3,TRUE),"")</f>
        <v/>
      </c>
      <c r="E606" s="14" t="str">
        <f>IF(ROW()&lt;=Results!$C$1+1,IF(D606&lt;=0,"",LN(D606)),"")</f>
        <v/>
      </c>
      <c r="F606" s="53" t="str">
        <f>IF(ROW()&lt;=Results!$C$1+1,IF(ISERROR(C606-E606),"",C606-E606),"")</f>
        <v/>
      </c>
    </row>
    <row r="607" spans="1:6" x14ac:dyDescent="0.2">
      <c r="A607" s="1" t="str">
        <f ca="1">IF(ROW()&lt;=Results!$C$1+1,INDEX(Data!$A:$A,CEILING((COUNTA(Data!$A:$A)-1)*RAND()+1,1)),"")</f>
        <v/>
      </c>
      <c r="B607" s="1" t="str">
        <f>IF(ROW()&lt;=Results!$C$1+1,VLOOKUP($A607,Data!$A$2:$C$117,2,TRUE),"")</f>
        <v/>
      </c>
      <c r="C607" s="14" t="str">
        <f>IF(ROW()&lt;=Results!$C$1+1,IF(B607&lt;=0,"",LN(B607)),"")</f>
        <v/>
      </c>
      <c r="D607" s="1" t="str">
        <f>IF(ROW()&lt;=Results!$C$1+1,VLOOKUP($A607,Data!$A$2:$C$117,3,TRUE),"")</f>
        <v/>
      </c>
      <c r="E607" s="14" t="str">
        <f>IF(ROW()&lt;=Results!$C$1+1,IF(D607&lt;=0,"",LN(D607)),"")</f>
        <v/>
      </c>
      <c r="F607" s="53" t="str">
        <f>IF(ROW()&lt;=Results!$C$1+1,IF(ISERROR(C607-E607),"",C607-E607),"")</f>
        <v/>
      </c>
    </row>
    <row r="608" spans="1:6" x14ac:dyDescent="0.2">
      <c r="A608" s="1" t="str">
        <f ca="1">IF(ROW()&lt;=Results!$C$1+1,INDEX(Data!$A:$A,CEILING((COUNTA(Data!$A:$A)-1)*RAND()+1,1)),"")</f>
        <v/>
      </c>
      <c r="B608" s="1" t="str">
        <f>IF(ROW()&lt;=Results!$C$1+1,VLOOKUP($A608,Data!$A$2:$C$117,2,TRUE),"")</f>
        <v/>
      </c>
      <c r="C608" s="14" t="str">
        <f>IF(ROW()&lt;=Results!$C$1+1,IF(B608&lt;=0,"",LN(B608)),"")</f>
        <v/>
      </c>
      <c r="D608" s="1" t="str">
        <f>IF(ROW()&lt;=Results!$C$1+1,VLOOKUP($A608,Data!$A$2:$C$117,3,TRUE),"")</f>
        <v/>
      </c>
      <c r="E608" s="14" t="str">
        <f>IF(ROW()&lt;=Results!$C$1+1,IF(D608&lt;=0,"",LN(D608)),"")</f>
        <v/>
      </c>
      <c r="F608" s="53" t="str">
        <f>IF(ROW()&lt;=Results!$C$1+1,IF(ISERROR(C608-E608),"",C608-E608),"")</f>
        <v/>
      </c>
    </row>
    <row r="609" spans="1:6" x14ac:dyDescent="0.2">
      <c r="A609" s="1" t="str">
        <f ca="1">IF(ROW()&lt;=Results!$C$1+1,INDEX(Data!$A:$A,CEILING((COUNTA(Data!$A:$A)-1)*RAND()+1,1)),"")</f>
        <v/>
      </c>
      <c r="B609" s="1" t="str">
        <f>IF(ROW()&lt;=Results!$C$1+1,VLOOKUP($A609,Data!$A$2:$C$117,2,TRUE),"")</f>
        <v/>
      </c>
      <c r="C609" s="14" t="str">
        <f>IF(ROW()&lt;=Results!$C$1+1,IF(B609&lt;=0,"",LN(B609)),"")</f>
        <v/>
      </c>
      <c r="D609" s="1" t="str">
        <f>IF(ROW()&lt;=Results!$C$1+1,VLOOKUP($A609,Data!$A$2:$C$117,3,TRUE),"")</f>
        <v/>
      </c>
      <c r="E609" s="14" t="str">
        <f>IF(ROW()&lt;=Results!$C$1+1,IF(D609&lt;=0,"",LN(D609)),"")</f>
        <v/>
      </c>
      <c r="F609" s="53" t="str">
        <f>IF(ROW()&lt;=Results!$C$1+1,IF(ISERROR(C609-E609),"",C609-E609),"")</f>
        <v/>
      </c>
    </row>
    <row r="610" spans="1:6" x14ac:dyDescent="0.2">
      <c r="A610" s="1" t="str">
        <f ca="1">IF(ROW()&lt;=Results!$C$1+1,INDEX(Data!$A:$A,CEILING((COUNTA(Data!$A:$A)-1)*RAND()+1,1)),"")</f>
        <v/>
      </c>
      <c r="B610" s="1" t="str">
        <f>IF(ROW()&lt;=Results!$C$1+1,VLOOKUP($A610,Data!$A$2:$C$117,2,TRUE),"")</f>
        <v/>
      </c>
      <c r="C610" s="14" t="str">
        <f>IF(ROW()&lt;=Results!$C$1+1,IF(B610&lt;=0,"",LN(B610)),"")</f>
        <v/>
      </c>
      <c r="D610" s="1" t="str">
        <f>IF(ROW()&lt;=Results!$C$1+1,VLOOKUP($A610,Data!$A$2:$C$117,3,TRUE),"")</f>
        <v/>
      </c>
      <c r="E610" s="14" t="str">
        <f>IF(ROW()&lt;=Results!$C$1+1,IF(D610&lt;=0,"",LN(D610)),"")</f>
        <v/>
      </c>
      <c r="F610" s="53" t="str">
        <f>IF(ROW()&lt;=Results!$C$1+1,IF(ISERROR(C610-E610),"",C610-E610),"")</f>
        <v/>
      </c>
    </row>
    <row r="611" spans="1:6" x14ac:dyDescent="0.2">
      <c r="A611" s="1" t="str">
        <f ca="1">IF(ROW()&lt;=Results!$C$1+1,INDEX(Data!$A:$A,CEILING((COUNTA(Data!$A:$A)-1)*RAND()+1,1)),"")</f>
        <v/>
      </c>
      <c r="B611" s="1" t="str">
        <f>IF(ROW()&lt;=Results!$C$1+1,VLOOKUP($A611,Data!$A$2:$C$117,2,TRUE),"")</f>
        <v/>
      </c>
      <c r="C611" s="14" t="str">
        <f>IF(ROW()&lt;=Results!$C$1+1,IF(B611&lt;=0,"",LN(B611)),"")</f>
        <v/>
      </c>
      <c r="D611" s="1" t="str">
        <f>IF(ROW()&lt;=Results!$C$1+1,VLOOKUP($A611,Data!$A$2:$C$117,3,TRUE),"")</f>
        <v/>
      </c>
      <c r="E611" s="14" t="str">
        <f>IF(ROW()&lt;=Results!$C$1+1,IF(D611&lt;=0,"",LN(D611)),"")</f>
        <v/>
      </c>
      <c r="F611" s="53" t="str">
        <f>IF(ROW()&lt;=Results!$C$1+1,IF(ISERROR(C611-E611),"",C611-E611),"")</f>
        <v/>
      </c>
    </row>
    <row r="612" spans="1:6" x14ac:dyDescent="0.2">
      <c r="A612" s="1" t="str">
        <f ca="1">IF(ROW()&lt;=Results!$C$1+1,INDEX(Data!$A:$A,CEILING((COUNTA(Data!$A:$A)-1)*RAND()+1,1)),"")</f>
        <v/>
      </c>
      <c r="B612" s="1" t="str">
        <f>IF(ROW()&lt;=Results!$C$1+1,VLOOKUP($A612,Data!$A$2:$C$117,2,TRUE),"")</f>
        <v/>
      </c>
      <c r="C612" s="14" t="str">
        <f>IF(ROW()&lt;=Results!$C$1+1,IF(B612&lt;=0,"",LN(B612)),"")</f>
        <v/>
      </c>
      <c r="D612" s="1" t="str">
        <f>IF(ROW()&lt;=Results!$C$1+1,VLOOKUP($A612,Data!$A$2:$C$117,3,TRUE),"")</f>
        <v/>
      </c>
      <c r="E612" s="14" t="str">
        <f>IF(ROW()&lt;=Results!$C$1+1,IF(D612&lt;=0,"",LN(D612)),"")</f>
        <v/>
      </c>
      <c r="F612" s="53" t="str">
        <f>IF(ROW()&lt;=Results!$C$1+1,IF(ISERROR(C612-E612),"",C612-E612),"")</f>
        <v/>
      </c>
    </row>
    <row r="613" spans="1:6" x14ac:dyDescent="0.2">
      <c r="A613" s="1" t="str">
        <f ca="1">IF(ROW()&lt;=Results!$C$1+1,INDEX(Data!$A:$A,CEILING((COUNTA(Data!$A:$A)-1)*RAND()+1,1)),"")</f>
        <v/>
      </c>
      <c r="B613" s="1" t="str">
        <f>IF(ROW()&lt;=Results!$C$1+1,VLOOKUP($A613,Data!$A$2:$C$117,2,TRUE),"")</f>
        <v/>
      </c>
      <c r="C613" s="14" t="str">
        <f>IF(ROW()&lt;=Results!$C$1+1,IF(B613&lt;=0,"",LN(B613)),"")</f>
        <v/>
      </c>
      <c r="D613" s="1" t="str">
        <f>IF(ROW()&lt;=Results!$C$1+1,VLOOKUP($A613,Data!$A$2:$C$117,3,TRUE),"")</f>
        <v/>
      </c>
      <c r="E613" s="14" t="str">
        <f>IF(ROW()&lt;=Results!$C$1+1,IF(D613&lt;=0,"",LN(D613)),"")</f>
        <v/>
      </c>
      <c r="F613" s="53" t="str">
        <f>IF(ROW()&lt;=Results!$C$1+1,IF(ISERROR(C613-E613),"",C613-E613),"")</f>
        <v/>
      </c>
    </row>
    <row r="614" spans="1:6" x14ac:dyDescent="0.2">
      <c r="A614" s="1" t="str">
        <f ca="1">IF(ROW()&lt;=Results!$C$1+1,INDEX(Data!$A:$A,CEILING((COUNTA(Data!$A:$A)-1)*RAND()+1,1)),"")</f>
        <v/>
      </c>
      <c r="B614" s="1" t="str">
        <f>IF(ROW()&lt;=Results!$C$1+1,VLOOKUP($A614,Data!$A$2:$C$117,2,TRUE),"")</f>
        <v/>
      </c>
      <c r="C614" s="14" t="str">
        <f>IF(ROW()&lt;=Results!$C$1+1,IF(B614&lt;=0,"",LN(B614)),"")</f>
        <v/>
      </c>
      <c r="D614" s="1" t="str">
        <f>IF(ROW()&lt;=Results!$C$1+1,VLOOKUP($A614,Data!$A$2:$C$117,3,TRUE),"")</f>
        <v/>
      </c>
      <c r="E614" s="14" t="str">
        <f>IF(ROW()&lt;=Results!$C$1+1,IF(D614&lt;=0,"",LN(D614)),"")</f>
        <v/>
      </c>
      <c r="F614" s="53" t="str">
        <f>IF(ROW()&lt;=Results!$C$1+1,IF(ISERROR(C614-E614),"",C614-E614),"")</f>
        <v/>
      </c>
    </row>
    <row r="615" spans="1:6" x14ac:dyDescent="0.2">
      <c r="A615" s="1" t="str">
        <f ca="1">IF(ROW()&lt;=Results!$C$1+1,INDEX(Data!$A:$A,CEILING((COUNTA(Data!$A:$A)-1)*RAND()+1,1)),"")</f>
        <v/>
      </c>
      <c r="B615" s="1" t="str">
        <f>IF(ROW()&lt;=Results!$C$1+1,VLOOKUP($A615,Data!$A$2:$C$117,2,TRUE),"")</f>
        <v/>
      </c>
      <c r="C615" s="14" t="str">
        <f>IF(ROW()&lt;=Results!$C$1+1,IF(B615&lt;=0,"",LN(B615)),"")</f>
        <v/>
      </c>
      <c r="D615" s="1" t="str">
        <f>IF(ROW()&lt;=Results!$C$1+1,VLOOKUP($A615,Data!$A$2:$C$117,3,TRUE),"")</f>
        <v/>
      </c>
      <c r="E615" s="14" t="str">
        <f>IF(ROW()&lt;=Results!$C$1+1,IF(D615&lt;=0,"",LN(D615)),"")</f>
        <v/>
      </c>
      <c r="F615" s="53" t="str">
        <f>IF(ROW()&lt;=Results!$C$1+1,IF(ISERROR(C615-E615),"",C615-E615),"")</f>
        <v/>
      </c>
    </row>
    <row r="616" spans="1:6" x14ac:dyDescent="0.2">
      <c r="A616" s="1" t="str">
        <f ca="1">IF(ROW()&lt;=Results!$C$1+1,INDEX(Data!$A:$A,CEILING((COUNTA(Data!$A:$A)-1)*RAND()+1,1)),"")</f>
        <v/>
      </c>
      <c r="B616" s="1" t="str">
        <f>IF(ROW()&lt;=Results!$C$1+1,VLOOKUP($A616,Data!$A$2:$C$117,2,TRUE),"")</f>
        <v/>
      </c>
      <c r="C616" s="14" t="str">
        <f>IF(ROW()&lt;=Results!$C$1+1,IF(B616&lt;=0,"",LN(B616)),"")</f>
        <v/>
      </c>
      <c r="D616" s="1" t="str">
        <f>IF(ROW()&lt;=Results!$C$1+1,VLOOKUP($A616,Data!$A$2:$C$117,3,TRUE),"")</f>
        <v/>
      </c>
      <c r="E616" s="14" t="str">
        <f>IF(ROW()&lt;=Results!$C$1+1,IF(D616&lt;=0,"",LN(D616)),"")</f>
        <v/>
      </c>
      <c r="F616" s="53" t="str">
        <f>IF(ROW()&lt;=Results!$C$1+1,IF(ISERROR(C616-E616),"",C616-E616),"")</f>
        <v/>
      </c>
    </row>
    <row r="617" spans="1:6" x14ac:dyDescent="0.2">
      <c r="A617" s="1" t="str">
        <f ca="1">IF(ROW()&lt;=Results!$C$1+1,INDEX(Data!$A:$A,CEILING((COUNTA(Data!$A:$A)-1)*RAND()+1,1)),"")</f>
        <v/>
      </c>
      <c r="B617" s="1" t="str">
        <f>IF(ROW()&lt;=Results!$C$1+1,VLOOKUP($A617,Data!$A$2:$C$117,2,TRUE),"")</f>
        <v/>
      </c>
      <c r="C617" s="14" t="str">
        <f>IF(ROW()&lt;=Results!$C$1+1,IF(B617&lt;=0,"",LN(B617)),"")</f>
        <v/>
      </c>
      <c r="D617" s="1" t="str">
        <f>IF(ROW()&lt;=Results!$C$1+1,VLOOKUP($A617,Data!$A$2:$C$117,3,TRUE),"")</f>
        <v/>
      </c>
      <c r="E617" s="14" t="str">
        <f>IF(ROW()&lt;=Results!$C$1+1,IF(D617&lt;=0,"",LN(D617)),"")</f>
        <v/>
      </c>
      <c r="F617" s="53" t="str">
        <f>IF(ROW()&lt;=Results!$C$1+1,IF(ISERROR(C617-E617),"",C617-E617),"")</f>
        <v/>
      </c>
    </row>
    <row r="618" spans="1:6" x14ac:dyDescent="0.2">
      <c r="A618" s="1" t="str">
        <f ca="1">IF(ROW()&lt;=Results!$C$1+1,INDEX(Data!$A:$A,CEILING((COUNTA(Data!$A:$A)-1)*RAND()+1,1)),"")</f>
        <v/>
      </c>
      <c r="B618" s="1" t="str">
        <f>IF(ROW()&lt;=Results!$C$1+1,VLOOKUP($A618,Data!$A$2:$C$117,2,TRUE),"")</f>
        <v/>
      </c>
      <c r="C618" s="14" t="str">
        <f>IF(ROW()&lt;=Results!$C$1+1,IF(B618&lt;=0,"",LN(B618)),"")</f>
        <v/>
      </c>
      <c r="D618" s="1" t="str">
        <f>IF(ROW()&lt;=Results!$C$1+1,VLOOKUP($A618,Data!$A$2:$C$117,3,TRUE),"")</f>
        <v/>
      </c>
      <c r="E618" s="14" t="str">
        <f>IF(ROW()&lt;=Results!$C$1+1,IF(D618&lt;=0,"",LN(D618)),"")</f>
        <v/>
      </c>
      <c r="F618" s="53" t="str">
        <f>IF(ROW()&lt;=Results!$C$1+1,IF(ISERROR(C618-E618),"",C618-E618),"")</f>
        <v/>
      </c>
    </row>
    <row r="619" spans="1:6" x14ac:dyDescent="0.2">
      <c r="A619" s="1" t="str">
        <f ca="1">IF(ROW()&lt;=Results!$C$1+1,INDEX(Data!$A:$A,CEILING((COUNTA(Data!$A:$A)-1)*RAND()+1,1)),"")</f>
        <v/>
      </c>
      <c r="B619" s="1" t="str">
        <f>IF(ROW()&lt;=Results!$C$1+1,VLOOKUP($A619,Data!$A$2:$C$117,2,TRUE),"")</f>
        <v/>
      </c>
      <c r="C619" s="14" t="str">
        <f>IF(ROW()&lt;=Results!$C$1+1,IF(B619&lt;=0,"",LN(B619)),"")</f>
        <v/>
      </c>
      <c r="D619" s="1" t="str">
        <f>IF(ROW()&lt;=Results!$C$1+1,VLOOKUP($A619,Data!$A$2:$C$117,3,TRUE),"")</f>
        <v/>
      </c>
      <c r="E619" s="14" t="str">
        <f>IF(ROW()&lt;=Results!$C$1+1,IF(D619&lt;=0,"",LN(D619)),"")</f>
        <v/>
      </c>
      <c r="F619" s="53" t="str">
        <f>IF(ROW()&lt;=Results!$C$1+1,IF(ISERROR(C619-E619),"",C619-E619),"")</f>
        <v/>
      </c>
    </row>
    <row r="620" spans="1:6" x14ac:dyDescent="0.2">
      <c r="A620" s="1" t="str">
        <f ca="1">IF(ROW()&lt;=Results!$C$1+1,INDEX(Data!$A:$A,CEILING((COUNTA(Data!$A:$A)-1)*RAND()+1,1)),"")</f>
        <v/>
      </c>
      <c r="B620" s="1" t="str">
        <f>IF(ROW()&lt;=Results!$C$1+1,VLOOKUP($A620,Data!$A$2:$C$117,2,TRUE),"")</f>
        <v/>
      </c>
      <c r="C620" s="14" t="str">
        <f>IF(ROW()&lt;=Results!$C$1+1,IF(B620&lt;=0,"",LN(B620)),"")</f>
        <v/>
      </c>
      <c r="D620" s="1" t="str">
        <f>IF(ROW()&lt;=Results!$C$1+1,VLOOKUP($A620,Data!$A$2:$C$117,3,TRUE),"")</f>
        <v/>
      </c>
      <c r="E620" s="14" t="str">
        <f>IF(ROW()&lt;=Results!$C$1+1,IF(D620&lt;=0,"",LN(D620)),"")</f>
        <v/>
      </c>
      <c r="F620" s="53" t="str">
        <f>IF(ROW()&lt;=Results!$C$1+1,IF(ISERROR(C620-E620),"",C620-E620),"")</f>
        <v/>
      </c>
    </row>
    <row r="621" spans="1:6" x14ac:dyDescent="0.2">
      <c r="A621" s="1" t="str">
        <f ca="1">IF(ROW()&lt;=Results!$C$1+1,INDEX(Data!$A:$A,CEILING((COUNTA(Data!$A:$A)-1)*RAND()+1,1)),"")</f>
        <v/>
      </c>
      <c r="B621" s="1" t="str">
        <f>IF(ROW()&lt;=Results!$C$1+1,VLOOKUP($A621,Data!$A$2:$C$117,2,TRUE),"")</f>
        <v/>
      </c>
      <c r="C621" s="14" t="str">
        <f>IF(ROW()&lt;=Results!$C$1+1,IF(B621&lt;=0,"",LN(B621)),"")</f>
        <v/>
      </c>
      <c r="D621" s="1" t="str">
        <f>IF(ROW()&lt;=Results!$C$1+1,VLOOKUP($A621,Data!$A$2:$C$117,3,TRUE),"")</f>
        <v/>
      </c>
      <c r="E621" s="14" t="str">
        <f>IF(ROW()&lt;=Results!$C$1+1,IF(D621&lt;=0,"",LN(D621)),"")</f>
        <v/>
      </c>
      <c r="F621" s="53" t="str">
        <f>IF(ROW()&lt;=Results!$C$1+1,IF(ISERROR(C621-E621),"",C621-E621),"")</f>
        <v/>
      </c>
    </row>
    <row r="622" spans="1:6" x14ac:dyDescent="0.2">
      <c r="A622" s="1" t="str">
        <f ca="1">IF(ROW()&lt;=Results!$C$1+1,INDEX(Data!$A:$A,CEILING((COUNTA(Data!$A:$A)-1)*RAND()+1,1)),"")</f>
        <v/>
      </c>
      <c r="B622" s="1" t="str">
        <f>IF(ROW()&lt;=Results!$C$1+1,VLOOKUP($A622,Data!$A$2:$C$117,2,TRUE),"")</f>
        <v/>
      </c>
      <c r="C622" s="14" t="str">
        <f>IF(ROW()&lt;=Results!$C$1+1,IF(B622&lt;=0,"",LN(B622)),"")</f>
        <v/>
      </c>
      <c r="D622" s="1" t="str">
        <f>IF(ROW()&lt;=Results!$C$1+1,VLOOKUP($A622,Data!$A$2:$C$117,3,TRUE),"")</f>
        <v/>
      </c>
      <c r="E622" s="14" t="str">
        <f>IF(ROW()&lt;=Results!$C$1+1,IF(D622&lt;=0,"",LN(D622)),"")</f>
        <v/>
      </c>
      <c r="F622" s="53" t="str">
        <f>IF(ROW()&lt;=Results!$C$1+1,IF(ISERROR(C622-E622),"",C622-E622),"")</f>
        <v/>
      </c>
    </row>
    <row r="623" spans="1:6" x14ac:dyDescent="0.2">
      <c r="A623" s="1" t="str">
        <f ca="1">IF(ROW()&lt;=Results!$C$1+1,INDEX(Data!$A:$A,CEILING((COUNTA(Data!$A:$A)-1)*RAND()+1,1)),"")</f>
        <v/>
      </c>
      <c r="B623" s="1" t="str">
        <f>IF(ROW()&lt;=Results!$C$1+1,VLOOKUP($A623,Data!$A$2:$C$117,2,TRUE),"")</f>
        <v/>
      </c>
      <c r="C623" s="14" t="str">
        <f>IF(ROW()&lt;=Results!$C$1+1,IF(B623&lt;=0,"",LN(B623)),"")</f>
        <v/>
      </c>
      <c r="D623" s="1" t="str">
        <f>IF(ROW()&lt;=Results!$C$1+1,VLOOKUP($A623,Data!$A$2:$C$117,3,TRUE),"")</f>
        <v/>
      </c>
      <c r="E623" s="14" t="str">
        <f>IF(ROW()&lt;=Results!$C$1+1,IF(D623&lt;=0,"",LN(D623)),"")</f>
        <v/>
      </c>
      <c r="F623" s="53" t="str">
        <f>IF(ROW()&lt;=Results!$C$1+1,IF(ISERROR(C623-E623),"",C623-E623),"")</f>
        <v/>
      </c>
    </row>
    <row r="624" spans="1:6" x14ac:dyDescent="0.2">
      <c r="A624" s="1" t="str">
        <f ca="1">IF(ROW()&lt;=Results!$C$1+1,INDEX(Data!$A:$A,CEILING((COUNTA(Data!$A:$A)-1)*RAND()+1,1)),"")</f>
        <v/>
      </c>
      <c r="B624" s="1" t="str">
        <f>IF(ROW()&lt;=Results!$C$1+1,VLOOKUP($A624,Data!$A$2:$C$117,2,TRUE),"")</f>
        <v/>
      </c>
      <c r="C624" s="14" t="str">
        <f>IF(ROW()&lt;=Results!$C$1+1,IF(B624&lt;=0,"",LN(B624)),"")</f>
        <v/>
      </c>
      <c r="D624" s="1" t="str">
        <f>IF(ROW()&lt;=Results!$C$1+1,VLOOKUP($A624,Data!$A$2:$C$117,3,TRUE),"")</f>
        <v/>
      </c>
      <c r="E624" s="14" t="str">
        <f>IF(ROW()&lt;=Results!$C$1+1,IF(D624&lt;=0,"",LN(D624)),"")</f>
        <v/>
      </c>
      <c r="F624" s="53" t="str">
        <f>IF(ROW()&lt;=Results!$C$1+1,IF(ISERROR(C624-E624),"",C624-E624),"")</f>
        <v/>
      </c>
    </row>
    <row r="625" spans="1:6" x14ac:dyDescent="0.2">
      <c r="A625" s="1" t="str">
        <f ca="1">IF(ROW()&lt;=Results!$C$1+1,INDEX(Data!$A:$A,CEILING((COUNTA(Data!$A:$A)-1)*RAND()+1,1)),"")</f>
        <v/>
      </c>
      <c r="B625" s="1" t="str">
        <f>IF(ROW()&lt;=Results!$C$1+1,VLOOKUP($A625,Data!$A$2:$C$117,2,TRUE),"")</f>
        <v/>
      </c>
      <c r="C625" s="14" t="str">
        <f>IF(ROW()&lt;=Results!$C$1+1,IF(B625&lt;=0,"",LN(B625)),"")</f>
        <v/>
      </c>
      <c r="D625" s="1" t="str">
        <f>IF(ROW()&lt;=Results!$C$1+1,VLOOKUP($A625,Data!$A$2:$C$117,3,TRUE),"")</f>
        <v/>
      </c>
      <c r="E625" s="14" t="str">
        <f>IF(ROW()&lt;=Results!$C$1+1,IF(D625&lt;=0,"",LN(D625)),"")</f>
        <v/>
      </c>
      <c r="F625" s="53" t="str">
        <f>IF(ROW()&lt;=Results!$C$1+1,IF(ISERROR(C625-E625),"",C625-E625),"")</f>
        <v/>
      </c>
    </row>
    <row r="626" spans="1:6" x14ac:dyDescent="0.2">
      <c r="A626" s="1" t="str">
        <f ca="1">IF(ROW()&lt;=Results!$C$1+1,INDEX(Data!$A:$A,CEILING((COUNTA(Data!$A:$A)-1)*RAND()+1,1)),"")</f>
        <v/>
      </c>
      <c r="B626" s="1" t="str">
        <f>IF(ROW()&lt;=Results!$C$1+1,VLOOKUP($A626,Data!$A$2:$C$117,2,TRUE),"")</f>
        <v/>
      </c>
      <c r="C626" s="14" t="str">
        <f>IF(ROW()&lt;=Results!$C$1+1,IF(B626&lt;=0,"",LN(B626)),"")</f>
        <v/>
      </c>
      <c r="D626" s="1" t="str">
        <f>IF(ROW()&lt;=Results!$C$1+1,VLOOKUP($A626,Data!$A$2:$C$117,3,TRUE),"")</f>
        <v/>
      </c>
      <c r="E626" s="14" t="str">
        <f>IF(ROW()&lt;=Results!$C$1+1,IF(D626&lt;=0,"",LN(D626)),"")</f>
        <v/>
      </c>
      <c r="F626" s="53" t="str">
        <f>IF(ROW()&lt;=Results!$C$1+1,IF(ISERROR(C626-E626),"",C626-E626),"")</f>
        <v/>
      </c>
    </row>
    <row r="627" spans="1:6" x14ac:dyDescent="0.2">
      <c r="A627" s="1" t="str">
        <f ca="1">IF(ROW()&lt;=Results!$C$1+1,INDEX(Data!$A:$A,CEILING((COUNTA(Data!$A:$A)-1)*RAND()+1,1)),"")</f>
        <v/>
      </c>
      <c r="B627" s="1" t="str">
        <f>IF(ROW()&lt;=Results!$C$1+1,VLOOKUP($A627,Data!$A$2:$C$117,2,TRUE),"")</f>
        <v/>
      </c>
      <c r="C627" s="14" t="str">
        <f>IF(ROW()&lt;=Results!$C$1+1,IF(B627&lt;=0,"",LN(B627)),"")</f>
        <v/>
      </c>
      <c r="D627" s="1" t="str">
        <f>IF(ROW()&lt;=Results!$C$1+1,VLOOKUP($A627,Data!$A$2:$C$117,3,TRUE),"")</f>
        <v/>
      </c>
      <c r="E627" s="14" t="str">
        <f>IF(ROW()&lt;=Results!$C$1+1,IF(D627&lt;=0,"",LN(D627)),"")</f>
        <v/>
      </c>
      <c r="F627" s="53" t="str">
        <f>IF(ROW()&lt;=Results!$C$1+1,IF(ISERROR(C627-E627),"",C627-E627),"")</f>
        <v/>
      </c>
    </row>
    <row r="628" spans="1:6" x14ac:dyDescent="0.2">
      <c r="A628" s="1" t="str">
        <f ca="1">IF(ROW()&lt;=Results!$C$1+1,INDEX(Data!$A:$A,CEILING((COUNTA(Data!$A:$A)-1)*RAND()+1,1)),"")</f>
        <v/>
      </c>
      <c r="B628" s="1" t="str">
        <f>IF(ROW()&lt;=Results!$C$1+1,VLOOKUP($A628,Data!$A$2:$C$117,2,TRUE),"")</f>
        <v/>
      </c>
      <c r="C628" s="14" t="str">
        <f>IF(ROW()&lt;=Results!$C$1+1,IF(B628&lt;=0,"",LN(B628)),"")</f>
        <v/>
      </c>
      <c r="D628" s="1" t="str">
        <f>IF(ROW()&lt;=Results!$C$1+1,VLOOKUP($A628,Data!$A$2:$C$117,3,TRUE),"")</f>
        <v/>
      </c>
      <c r="E628" s="14" t="str">
        <f>IF(ROW()&lt;=Results!$C$1+1,IF(D628&lt;=0,"",LN(D628)),"")</f>
        <v/>
      </c>
      <c r="F628" s="53" t="str">
        <f>IF(ROW()&lt;=Results!$C$1+1,IF(ISERROR(C628-E628),"",C628-E628),"")</f>
        <v/>
      </c>
    </row>
    <row r="629" spans="1:6" x14ac:dyDescent="0.2">
      <c r="A629" s="1" t="str">
        <f ca="1">IF(ROW()&lt;=Results!$C$1+1,INDEX(Data!$A:$A,CEILING((COUNTA(Data!$A:$A)-1)*RAND()+1,1)),"")</f>
        <v/>
      </c>
      <c r="B629" s="1" t="str">
        <f>IF(ROW()&lt;=Results!$C$1+1,VLOOKUP($A629,Data!$A$2:$C$117,2,TRUE),"")</f>
        <v/>
      </c>
      <c r="C629" s="14" t="str">
        <f>IF(ROW()&lt;=Results!$C$1+1,IF(B629&lt;=0,"",LN(B629)),"")</f>
        <v/>
      </c>
      <c r="D629" s="1" t="str">
        <f>IF(ROW()&lt;=Results!$C$1+1,VLOOKUP($A629,Data!$A$2:$C$117,3,TRUE),"")</f>
        <v/>
      </c>
      <c r="E629" s="14" t="str">
        <f>IF(ROW()&lt;=Results!$C$1+1,IF(D629&lt;=0,"",LN(D629)),"")</f>
        <v/>
      </c>
      <c r="F629" s="53" t="str">
        <f>IF(ROW()&lt;=Results!$C$1+1,IF(ISERROR(C629-E629),"",C629-E629),"")</f>
        <v/>
      </c>
    </row>
    <row r="630" spans="1:6" x14ac:dyDescent="0.2">
      <c r="A630" s="1" t="str">
        <f ca="1">IF(ROW()&lt;=Results!$C$1+1,INDEX(Data!$A:$A,CEILING((COUNTA(Data!$A:$A)-1)*RAND()+1,1)),"")</f>
        <v/>
      </c>
      <c r="B630" s="1" t="str">
        <f>IF(ROW()&lt;=Results!$C$1+1,VLOOKUP($A630,Data!$A$2:$C$117,2,TRUE),"")</f>
        <v/>
      </c>
      <c r="C630" s="14" t="str">
        <f>IF(ROW()&lt;=Results!$C$1+1,IF(B630&lt;=0,"",LN(B630)),"")</f>
        <v/>
      </c>
      <c r="D630" s="1" t="str">
        <f>IF(ROW()&lt;=Results!$C$1+1,VLOOKUP($A630,Data!$A$2:$C$117,3,TRUE),"")</f>
        <v/>
      </c>
      <c r="E630" s="14" t="str">
        <f>IF(ROW()&lt;=Results!$C$1+1,IF(D630&lt;=0,"",LN(D630)),"")</f>
        <v/>
      </c>
      <c r="F630" s="53" t="str">
        <f>IF(ROW()&lt;=Results!$C$1+1,IF(ISERROR(C630-E630),"",C630-E630),"")</f>
        <v/>
      </c>
    </row>
    <row r="631" spans="1:6" x14ac:dyDescent="0.2">
      <c r="A631" s="1" t="str">
        <f ca="1">IF(ROW()&lt;=Results!$C$1+1,INDEX(Data!$A:$A,CEILING((COUNTA(Data!$A:$A)-1)*RAND()+1,1)),"")</f>
        <v/>
      </c>
      <c r="B631" s="1" t="str">
        <f>IF(ROW()&lt;=Results!$C$1+1,VLOOKUP($A631,Data!$A$2:$C$117,2,TRUE),"")</f>
        <v/>
      </c>
      <c r="C631" s="14" t="str">
        <f>IF(ROW()&lt;=Results!$C$1+1,IF(B631&lt;=0,"",LN(B631)),"")</f>
        <v/>
      </c>
      <c r="D631" s="1" t="str">
        <f>IF(ROW()&lt;=Results!$C$1+1,VLOOKUP($A631,Data!$A$2:$C$117,3,TRUE),"")</f>
        <v/>
      </c>
      <c r="E631" s="14" t="str">
        <f>IF(ROW()&lt;=Results!$C$1+1,IF(D631&lt;=0,"",LN(D631)),"")</f>
        <v/>
      </c>
      <c r="F631" s="53" t="str">
        <f>IF(ROW()&lt;=Results!$C$1+1,IF(ISERROR(C631-E631),"",C631-E631),"")</f>
        <v/>
      </c>
    </row>
    <row r="632" spans="1:6" x14ac:dyDescent="0.2">
      <c r="A632" s="1" t="str">
        <f ca="1">IF(ROW()&lt;=Results!$C$1+1,INDEX(Data!$A:$A,CEILING((COUNTA(Data!$A:$A)-1)*RAND()+1,1)),"")</f>
        <v/>
      </c>
      <c r="B632" s="1" t="str">
        <f>IF(ROW()&lt;=Results!$C$1+1,VLOOKUP($A632,Data!$A$2:$C$117,2,TRUE),"")</f>
        <v/>
      </c>
      <c r="C632" s="14" t="str">
        <f>IF(ROW()&lt;=Results!$C$1+1,IF(B632&lt;=0,"",LN(B632)),"")</f>
        <v/>
      </c>
      <c r="D632" s="1" t="str">
        <f>IF(ROW()&lt;=Results!$C$1+1,VLOOKUP($A632,Data!$A$2:$C$117,3,TRUE),"")</f>
        <v/>
      </c>
      <c r="E632" s="14" t="str">
        <f>IF(ROW()&lt;=Results!$C$1+1,IF(D632&lt;=0,"",LN(D632)),"")</f>
        <v/>
      </c>
      <c r="F632" s="53" t="str">
        <f>IF(ROW()&lt;=Results!$C$1+1,IF(ISERROR(C632-E632),"",C632-E632),"")</f>
        <v/>
      </c>
    </row>
    <row r="633" spans="1:6" x14ac:dyDescent="0.2">
      <c r="A633" s="1" t="str">
        <f ca="1">IF(ROW()&lt;=Results!$C$1+1,INDEX(Data!$A:$A,CEILING((COUNTA(Data!$A:$A)-1)*RAND()+1,1)),"")</f>
        <v/>
      </c>
      <c r="B633" s="1" t="str">
        <f>IF(ROW()&lt;=Results!$C$1+1,VLOOKUP($A633,Data!$A$2:$C$117,2,TRUE),"")</f>
        <v/>
      </c>
      <c r="C633" s="14" t="str">
        <f>IF(ROW()&lt;=Results!$C$1+1,IF(B633&lt;=0,"",LN(B633)),"")</f>
        <v/>
      </c>
      <c r="D633" s="1" t="str">
        <f>IF(ROW()&lt;=Results!$C$1+1,VLOOKUP($A633,Data!$A$2:$C$117,3,TRUE),"")</f>
        <v/>
      </c>
      <c r="E633" s="14" t="str">
        <f>IF(ROW()&lt;=Results!$C$1+1,IF(D633&lt;=0,"",LN(D633)),"")</f>
        <v/>
      </c>
      <c r="F633" s="53" t="str">
        <f>IF(ROW()&lt;=Results!$C$1+1,IF(ISERROR(C633-E633),"",C633-E633),"")</f>
        <v/>
      </c>
    </row>
    <row r="634" spans="1:6" x14ac:dyDescent="0.2">
      <c r="A634" s="1" t="str">
        <f ca="1">IF(ROW()&lt;=Results!$C$1+1,INDEX(Data!$A:$A,CEILING((COUNTA(Data!$A:$A)-1)*RAND()+1,1)),"")</f>
        <v/>
      </c>
      <c r="B634" s="1" t="str">
        <f>IF(ROW()&lt;=Results!$C$1+1,VLOOKUP($A634,Data!$A$2:$C$117,2,TRUE),"")</f>
        <v/>
      </c>
      <c r="C634" s="14" t="str">
        <f>IF(ROW()&lt;=Results!$C$1+1,IF(B634&lt;=0,"",LN(B634)),"")</f>
        <v/>
      </c>
      <c r="D634" s="1" t="str">
        <f>IF(ROW()&lt;=Results!$C$1+1,VLOOKUP($A634,Data!$A$2:$C$117,3,TRUE),"")</f>
        <v/>
      </c>
      <c r="E634" s="14" t="str">
        <f>IF(ROW()&lt;=Results!$C$1+1,IF(D634&lt;=0,"",LN(D634)),"")</f>
        <v/>
      </c>
      <c r="F634" s="53" t="str">
        <f>IF(ROW()&lt;=Results!$C$1+1,IF(ISERROR(C634-E634),"",C634-E634),"")</f>
        <v/>
      </c>
    </row>
    <row r="635" spans="1:6" x14ac:dyDescent="0.2">
      <c r="A635" s="1" t="str">
        <f ca="1">IF(ROW()&lt;=Results!$C$1+1,INDEX(Data!$A:$A,CEILING((COUNTA(Data!$A:$A)-1)*RAND()+1,1)),"")</f>
        <v/>
      </c>
      <c r="B635" s="1" t="str">
        <f>IF(ROW()&lt;=Results!$C$1+1,VLOOKUP($A635,Data!$A$2:$C$117,2,TRUE),"")</f>
        <v/>
      </c>
      <c r="C635" s="14" t="str">
        <f>IF(ROW()&lt;=Results!$C$1+1,IF(B635&lt;=0,"",LN(B635)),"")</f>
        <v/>
      </c>
      <c r="D635" s="1" t="str">
        <f>IF(ROW()&lt;=Results!$C$1+1,VLOOKUP($A635,Data!$A$2:$C$117,3,TRUE),"")</f>
        <v/>
      </c>
      <c r="E635" s="14" t="str">
        <f>IF(ROW()&lt;=Results!$C$1+1,IF(D635&lt;=0,"",LN(D635)),"")</f>
        <v/>
      </c>
      <c r="F635" s="53" t="str">
        <f>IF(ROW()&lt;=Results!$C$1+1,IF(ISERROR(C635-E635),"",C635-E635),"")</f>
        <v/>
      </c>
    </row>
    <row r="636" spans="1:6" x14ac:dyDescent="0.2">
      <c r="A636" s="1" t="str">
        <f ca="1">IF(ROW()&lt;=Results!$C$1+1,INDEX(Data!$A:$A,CEILING((COUNTA(Data!$A:$A)-1)*RAND()+1,1)),"")</f>
        <v/>
      </c>
      <c r="B636" s="1" t="str">
        <f>IF(ROW()&lt;=Results!$C$1+1,VLOOKUP($A636,Data!$A$2:$C$117,2,TRUE),"")</f>
        <v/>
      </c>
      <c r="C636" s="14" t="str">
        <f>IF(ROW()&lt;=Results!$C$1+1,IF(B636&lt;=0,"",LN(B636)),"")</f>
        <v/>
      </c>
      <c r="D636" s="1" t="str">
        <f>IF(ROW()&lt;=Results!$C$1+1,VLOOKUP($A636,Data!$A$2:$C$117,3,TRUE),"")</f>
        <v/>
      </c>
      <c r="E636" s="14" t="str">
        <f>IF(ROW()&lt;=Results!$C$1+1,IF(D636&lt;=0,"",LN(D636)),"")</f>
        <v/>
      </c>
      <c r="F636" s="53" t="str">
        <f>IF(ROW()&lt;=Results!$C$1+1,IF(ISERROR(C636-E636),"",C636-E636),"")</f>
        <v/>
      </c>
    </row>
    <row r="637" spans="1:6" x14ac:dyDescent="0.2">
      <c r="A637" s="1" t="str">
        <f ca="1">IF(ROW()&lt;=Results!$C$1+1,INDEX(Data!$A:$A,CEILING((COUNTA(Data!$A:$A)-1)*RAND()+1,1)),"")</f>
        <v/>
      </c>
      <c r="B637" s="1" t="str">
        <f>IF(ROW()&lt;=Results!$C$1+1,VLOOKUP($A637,Data!$A$2:$C$117,2,TRUE),"")</f>
        <v/>
      </c>
      <c r="C637" s="14" t="str">
        <f>IF(ROW()&lt;=Results!$C$1+1,IF(B637&lt;=0,"",LN(B637)),"")</f>
        <v/>
      </c>
      <c r="D637" s="1" t="str">
        <f>IF(ROW()&lt;=Results!$C$1+1,VLOOKUP($A637,Data!$A$2:$C$117,3,TRUE),"")</f>
        <v/>
      </c>
      <c r="E637" s="14" t="str">
        <f>IF(ROW()&lt;=Results!$C$1+1,IF(D637&lt;=0,"",LN(D637)),"")</f>
        <v/>
      </c>
      <c r="F637" s="53" t="str">
        <f>IF(ROW()&lt;=Results!$C$1+1,IF(ISERROR(C637-E637),"",C637-E637),"")</f>
        <v/>
      </c>
    </row>
    <row r="638" spans="1:6" x14ac:dyDescent="0.2">
      <c r="A638" s="1" t="str">
        <f ca="1">IF(ROW()&lt;=Results!$C$1+1,INDEX(Data!$A:$A,CEILING((COUNTA(Data!$A:$A)-1)*RAND()+1,1)),"")</f>
        <v/>
      </c>
      <c r="B638" s="1" t="str">
        <f>IF(ROW()&lt;=Results!$C$1+1,VLOOKUP($A638,Data!$A$2:$C$117,2,TRUE),"")</f>
        <v/>
      </c>
      <c r="C638" s="14" t="str">
        <f>IF(ROW()&lt;=Results!$C$1+1,IF(B638&lt;=0,"",LN(B638)),"")</f>
        <v/>
      </c>
      <c r="D638" s="1" t="str">
        <f>IF(ROW()&lt;=Results!$C$1+1,VLOOKUP($A638,Data!$A$2:$C$117,3,TRUE),"")</f>
        <v/>
      </c>
      <c r="E638" s="14" t="str">
        <f>IF(ROW()&lt;=Results!$C$1+1,IF(D638&lt;=0,"",LN(D638)),"")</f>
        <v/>
      </c>
      <c r="F638" s="53" t="str">
        <f>IF(ROW()&lt;=Results!$C$1+1,IF(ISERROR(C638-E638),"",C638-E638),"")</f>
        <v/>
      </c>
    </row>
    <row r="639" spans="1:6" x14ac:dyDescent="0.2">
      <c r="A639" s="1" t="str">
        <f ca="1">IF(ROW()&lt;=Results!$C$1+1,INDEX(Data!$A:$A,CEILING((COUNTA(Data!$A:$A)-1)*RAND()+1,1)),"")</f>
        <v/>
      </c>
      <c r="B639" s="1" t="str">
        <f>IF(ROW()&lt;=Results!$C$1+1,VLOOKUP($A639,Data!$A$2:$C$117,2,TRUE),"")</f>
        <v/>
      </c>
      <c r="C639" s="14" t="str">
        <f>IF(ROW()&lt;=Results!$C$1+1,IF(B639&lt;=0,"",LN(B639)),"")</f>
        <v/>
      </c>
      <c r="D639" s="1" t="str">
        <f>IF(ROW()&lt;=Results!$C$1+1,VLOOKUP($A639,Data!$A$2:$C$117,3,TRUE),"")</f>
        <v/>
      </c>
      <c r="E639" s="14" t="str">
        <f>IF(ROW()&lt;=Results!$C$1+1,IF(D639&lt;=0,"",LN(D639)),"")</f>
        <v/>
      </c>
      <c r="F639" s="53" t="str">
        <f>IF(ROW()&lt;=Results!$C$1+1,IF(ISERROR(C639-E639),"",C639-E639),"")</f>
        <v/>
      </c>
    </row>
    <row r="640" spans="1:6" x14ac:dyDescent="0.2">
      <c r="A640" s="1" t="str">
        <f ca="1">IF(ROW()&lt;=Results!$C$1+1,INDEX(Data!$A:$A,CEILING((COUNTA(Data!$A:$A)-1)*RAND()+1,1)),"")</f>
        <v/>
      </c>
      <c r="B640" s="1" t="str">
        <f>IF(ROW()&lt;=Results!$C$1+1,VLOOKUP($A640,Data!$A$2:$C$117,2,TRUE),"")</f>
        <v/>
      </c>
      <c r="C640" s="14" t="str">
        <f>IF(ROW()&lt;=Results!$C$1+1,IF(B640&lt;=0,"",LN(B640)),"")</f>
        <v/>
      </c>
      <c r="D640" s="1" t="str">
        <f>IF(ROW()&lt;=Results!$C$1+1,VLOOKUP($A640,Data!$A$2:$C$117,3,TRUE),"")</f>
        <v/>
      </c>
      <c r="E640" s="14" t="str">
        <f>IF(ROW()&lt;=Results!$C$1+1,IF(D640&lt;=0,"",LN(D640)),"")</f>
        <v/>
      </c>
      <c r="F640" s="53" t="str">
        <f>IF(ROW()&lt;=Results!$C$1+1,IF(ISERROR(C640-E640),"",C640-E640),"")</f>
        <v/>
      </c>
    </row>
    <row r="641" spans="1:6" x14ac:dyDescent="0.2">
      <c r="A641" s="1" t="str">
        <f ca="1">IF(ROW()&lt;=Results!$C$1+1,INDEX(Data!$A:$A,CEILING((COUNTA(Data!$A:$A)-1)*RAND()+1,1)),"")</f>
        <v/>
      </c>
      <c r="B641" s="1" t="str">
        <f>IF(ROW()&lt;=Results!$C$1+1,VLOOKUP($A641,Data!$A$2:$C$117,2,TRUE),"")</f>
        <v/>
      </c>
      <c r="C641" s="14" t="str">
        <f>IF(ROW()&lt;=Results!$C$1+1,IF(B641&lt;=0,"",LN(B641)),"")</f>
        <v/>
      </c>
      <c r="D641" s="1" t="str">
        <f>IF(ROW()&lt;=Results!$C$1+1,VLOOKUP($A641,Data!$A$2:$C$117,3,TRUE),"")</f>
        <v/>
      </c>
      <c r="E641" s="14" t="str">
        <f>IF(ROW()&lt;=Results!$C$1+1,IF(D641&lt;=0,"",LN(D641)),"")</f>
        <v/>
      </c>
      <c r="F641" s="53" t="str">
        <f>IF(ROW()&lt;=Results!$C$1+1,IF(ISERROR(C641-E641),"",C641-E641),"")</f>
        <v/>
      </c>
    </row>
    <row r="642" spans="1:6" x14ac:dyDescent="0.2">
      <c r="A642" s="1" t="str">
        <f ca="1">IF(ROW()&lt;=Results!$C$1+1,INDEX(Data!$A:$A,CEILING((COUNTA(Data!$A:$A)-1)*RAND()+1,1)),"")</f>
        <v/>
      </c>
      <c r="B642" s="1" t="str">
        <f>IF(ROW()&lt;=Results!$C$1+1,VLOOKUP($A642,Data!$A$2:$C$117,2,TRUE),"")</f>
        <v/>
      </c>
      <c r="C642" s="14" t="str">
        <f>IF(ROW()&lt;=Results!$C$1+1,IF(B642&lt;=0,"",LN(B642)),"")</f>
        <v/>
      </c>
      <c r="D642" s="1" t="str">
        <f>IF(ROW()&lt;=Results!$C$1+1,VLOOKUP($A642,Data!$A$2:$C$117,3,TRUE),"")</f>
        <v/>
      </c>
      <c r="E642" s="14" t="str">
        <f>IF(ROW()&lt;=Results!$C$1+1,IF(D642&lt;=0,"",LN(D642)),"")</f>
        <v/>
      </c>
      <c r="F642" s="53" t="str">
        <f>IF(ROW()&lt;=Results!$C$1+1,IF(ISERROR(C642-E642),"",C642-E642),"")</f>
        <v/>
      </c>
    </row>
    <row r="643" spans="1:6" x14ac:dyDescent="0.2">
      <c r="A643" s="1" t="str">
        <f ca="1">IF(ROW()&lt;=Results!$C$1+1,INDEX(Data!$A:$A,CEILING((COUNTA(Data!$A:$A)-1)*RAND()+1,1)),"")</f>
        <v/>
      </c>
      <c r="B643" s="1" t="str">
        <f>IF(ROW()&lt;=Results!$C$1+1,VLOOKUP($A643,Data!$A$2:$C$117,2,TRUE),"")</f>
        <v/>
      </c>
      <c r="C643" s="14" t="str">
        <f>IF(ROW()&lt;=Results!$C$1+1,IF(B643&lt;=0,"",LN(B643)),"")</f>
        <v/>
      </c>
      <c r="D643" s="1" t="str">
        <f>IF(ROW()&lt;=Results!$C$1+1,VLOOKUP($A643,Data!$A$2:$C$117,3,TRUE),"")</f>
        <v/>
      </c>
      <c r="E643" s="14" t="str">
        <f>IF(ROW()&lt;=Results!$C$1+1,IF(D643&lt;=0,"",LN(D643)),"")</f>
        <v/>
      </c>
      <c r="F643" s="53" t="str">
        <f>IF(ROW()&lt;=Results!$C$1+1,IF(ISERROR(C643-E643),"",C643-E643),"")</f>
        <v/>
      </c>
    </row>
    <row r="644" spans="1:6" x14ac:dyDescent="0.2">
      <c r="A644" s="1" t="str">
        <f ca="1">IF(ROW()&lt;=Results!$C$1+1,INDEX(Data!$A:$A,CEILING((COUNTA(Data!$A:$A)-1)*RAND()+1,1)),"")</f>
        <v/>
      </c>
      <c r="B644" s="1" t="str">
        <f>IF(ROW()&lt;=Results!$C$1+1,VLOOKUP($A644,Data!$A$2:$C$117,2,TRUE),"")</f>
        <v/>
      </c>
      <c r="C644" s="14" t="str">
        <f>IF(ROW()&lt;=Results!$C$1+1,IF(B644&lt;=0,"",LN(B644)),"")</f>
        <v/>
      </c>
      <c r="D644" s="1" t="str">
        <f>IF(ROW()&lt;=Results!$C$1+1,VLOOKUP($A644,Data!$A$2:$C$117,3,TRUE),"")</f>
        <v/>
      </c>
      <c r="E644" s="14" t="str">
        <f>IF(ROW()&lt;=Results!$C$1+1,IF(D644&lt;=0,"",LN(D644)),"")</f>
        <v/>
      </c>
      <c r="F644" s="53" t="str">
        <f>IF(ROW()&lt;=Results!$C$1+1,IF(ISERROR(C644-E644),"",C644-E644),"")</f>
        <v/>
      </c>
    </row>
    <row r="645" spans="1:6" x14ac:dyDescent="0.2">
      <c r="A645" s="1" t="str">
        <f ca="1">IF(ROW()&lt;=Results!$C$1+1,INDEX(Data!$A:$A,CEILING((COUNTA(Data!$A:$A)-1)*RAND()+1,1)),"")</f>
        <v/>
      </c>
      <c r="B645" s="1" t="str">
        <f>IF(ROW()&lt;=Results!$C$1+1,VLOOKUP($A645,Data!$A$2:$C$117,2,TRUE),"")</f>
        <v/>
      </c>
      <c r="C645" s="14" t="str">
        <f>IF(ROW()&lt;=Results!$C$1+1,IF(B645&lt;=0,"",LN(B645)),"")</f>
        <v/>
      </c>
      <c r="D645" s="1" t="str">
        <f>IF(ROW()&lt;=Results!$C$1+1,VLOOKUP($A645,Data!$A$2:$C$117,3,TRUE),"")</f>
        <v/>
      </c>
      <c r="E645" s="14" t="str">
        <f>IF(ROW()&lt;=Results!$C$1+1,IF(D645&lt;=0,"",LN(D645)),"")</f>
        <v/>
      </c>
      <c r="F645" s="53" t="str">
        <f>IF(ROW()&lt;=Results!$C$1+1,IF(ISERROR(C645-E645),"",C645-E645),"")</f>
        <v/>
      </c>
    </row>
    <row r="646" spans="1:6" x14ac:dyDescent="0.2">
      <c r="A646" s="1" t="str">
        <f ca="1">IF(ROW()&lt;=Results!$C$1+1,INDEX(Data!$A:$A,CEILING((COUNTA(Data!$A:$A)-1)*RAND()+1,1)),"")</f>
        <v/>
      </c>
      <c r="B646" s="1" t="str">
        <f>IF(ROW()&lt;=Results!$C$1+1,VLOOKUP($A646,Data!$A$2:$C$117,2,TRUE),"")</f>
        <v/>
      </c>
      <c r="C646" s="14" t="str">
        <f>IF(ROW()&lt;=Results!$C$1+1,IF(B646&lt;=0,"",LN(B646)),"")</f>
        <v/>
      </c>
      <c r="D646" s="1" t="str">
        <f>IF(ROW()&lt;=Results!$C$1+1,VLOOKUP($A646,Data!$A$2:$C$117,3,TRUE),"")</f>
        <v/>
      </c>
      <c r="E646" s="14" t="str">
        <f>IF(ROW()&lt;=Results!$C$1+1,IF(D646&lt;=0,"",LN(D646)),"")</f>
        <v/>
      </c>
      <c r="F646" s="53" t="str">
        <f>IF(ROW()&lt;=Results!$C$1+1,IF(ISERROR(C646-E646),"",C646-E646),"")</f>
        <v/>
      </c>
    </row>
    <row r="647" spans="1:6" x14ac:dyDescent="0.2">
      <c r="A647" s="1" t="str">
        <f ca="1">IF(ROW()&lt;=Results!$C$1+1,INDEX(Data!$A:$A,CEILING((COUNTA(Data!$A:$A)-1)*RAND()+1,1)),"")</f>
        <v/>
      </c>
      <c r="B647" s="1" t="str">
        <f>IF(ROW()&lt;=Results!$C$1+1,VLOOKUP($A647,Data!$A$2:$C$117,2,TRUE),"")</f>
        <v/>
      </c>
      <c r="C647" s="14" t="str">
        <f>IF(ROW()&lt;=Results!$C$1+1,IF(B647&lt;=0,"",LN(B647)),"")</f>
        <v/>
      </c>
      <c r="D647" s="1" t="str">
        <f>IF(ROW()&lt;=Results!$C$1+1,VLOOKUP($A647,Data!$A$2:$C$117,3,TRUE),"")</f>
        <v/>
      </c>
      <c r="E647" s="14" t="str">
        <f>IF(ROW()&lt;=Results!$C$1+1,IF(D647&lt;=0,"",LN(D647)),"")</f>
        <v/>
      </c>
      <c r="F647" s="53" t="str">
        <f>IF(ROW()&lt;=Results!$C$1+1,IF(ISERROR(C647-E647),"",C647-E647),"")</f>
        <v/>
      </c>
    </row>
    <row r="648" spans="1:6" x14ac:dyDescent="0.2">
      <c r="A648" s="1" t="str">
        <f ca="1">IF(ROW()&lt;=Results!$C$1+1,INDEX(Data!$A:$A,CEILING((COUNTA(Data!$A:$A)-1)*RAND()+1,1)),"")</f>
        <v/>
      </c>
      <c r="B648" s="1" t="str">
        <f>IF(ROW()&lt;=Results!$C$1+1,VLOOKUP($A648,Data!$A$2:$C$117,2,TRUE),"")</f>
        <v/>
      </c>
      <c r="C648" s="14" t="str">
        <f>IF(ROW()&lt;=Results!$C$1+1,IF(B648&lt;=0,"",LN(B648)),"")</f>
        <v/>
      </c>
      <c r="D648" s="1" t="str">
        <f>IF(ROW()&lt;=Results!$C$1+1,VLOOKUP($A648,Data!$A$2:$C$117,3,TRUE),"")</f>
        <v/>
      </c>
      <c r="E648" s="14" t="str">
        <f>IF(ROW()&lt;=Results!$C$1+1,IF(D648&lt;=0,"",LN(D648)),"")</f>
        <v/>
      </c>
      <c r="F648" s="53" t="str">
        <f>IF(ROW()&lt;=Results!$C$1+1,IF(ISERROR(C648-E648),"",C648-E648),"")</f>
        <v/>
      </c>
    </row>
    <row r="649" spans="1:6" x14ac:dyDescent="0.2">
      <c r="A649" s="1" t="str">
        <f ca="1">IF(ROW()&lt;=Results!$C$1+1,INDEX(Data!$A:$A,CEILING((COUNTA(Data!$A:$A)-1)*RAND()+1,1)),"")</f>
        <v/>
      </c>
      <c r="B649" s="1" t="str">
        <f>IF(ROW()&lt;=Results!$C$1+1,VLOOKUP($A649,Data!$A$2:$C$117,2,TRUE),"")</f>
        <v/>
      </c>
      <c r="C649" s="14" t="str">
        <f>IF(ROW()&lt;=Results!$C$1+1,IF(B649&lt;=0,"",LN(B649)),"")</f>
        <v/>
      </c>
      <c r="D649" s="1" t="str">
        <f>IF(ROW()&lt;=Results!$C$1+1,VLOOKUP($A649,Data!$A$2:$C$117,3,TRUE),"")</f>
        <v/>
      </c>
      <c r="E649" s="14" t="str">
        <f>IF(ROW()&lt;=Results!$C$1+1,IF(D649&lt;=0,"",LN(D649)),"")</f>
        <v/>
      </c>
      <c r="F649" s="53" t="str">
        <f>IF(ROW()&lt;=Results!$C$1+1,IF(ISERROR(C649-E649),"",C649-E649),"")</f>
        <v/>
      </c>
    </row>
    <row r="650" spans="1:6" x14ac:dyDescent="0.2">
      <c r="A650" s="1" t="str">
        <f ca="1">IF(ROW()&lt;=Results!$C$1+1,INDEX(Data!$A:$A,CEILING((COUNTA(Data!$A:$A)-1)*RAND()+1,1)),"")</f>
        <v/>
      </c>
      <c r="B650" s="1" t="str">
        <f>IF(ROW()&lt;=Results!$C$1+1,VLOOKUP($A650,Data!$A$2:$C$117,2,TRUE),"")</f>
        <v/>
      </c>
      <c r="C650" s="14" t="str">
        <f>IF(ROW()&lt;=Results!$C$1+1,IF(B650&lt;=0,"",LN(B650)),"")</f>
        <v/>
      </c>
      <c r="D650" s="1" t="str">
        <f>IF(ROW()&lt;=Results!$C$1+1,VLOOKUP($A650,Data!$A$2:$C$117,3,TRUE),"")</f>
        <v/>
      </c>
      <c r="E650" s="14" t="str">
        <f>IF(ROW()&lt;=Results!$C$1+1,IF(D650&lt;=0,"",LN(D650)),"")</f>
        <v/>
      </c>
      <c r="F650" s="53" t="str">
        <f>IF(ROW()&lt;=Results!$C$1+1,IF(ISERROR(C650-E650),"",C650-E650),"")</f>
        <v/>
      </c>
    </row>
    <row r="651" spans="1:6" x14ac:dyDescent="0.2">
      <c r="A651" s="1" t="str">
        <f ca="1">IF(ROW()&lt;=Results!$C$1+1,INDEX(Data!$A:$A,CEILING((COUNTA(Data!$A:$A)-1)*RAND()+1,1)),"")</f>
        <v/>
      </c>
      <c r="B651" s="1" t="str">
        <f>IF(ROW()&lt;=Results!$C$1+1,VLOOKUP($A651,Data!$A$2:$C$117,2,TRUE),"")</f>
        <v/>
      </c>
      <c r="C651" s="14" t="str">
        <f>IF(ROW()&lt;=Results!$C$1+1,IF(B651&lt;=0,"",LN(B651)),"")</f>
        <v/>
      </c>
      <c r="D651" s="1" t="str">
        <f>IF(ROW()&lt;=Results!$C$1+1,VLOOKUP($A651,Data!$A$2:$C$117,3,TRUE),"")</f>
        <v/>
      </c>
      <c r="E651" s="14" t="str">
        <f>IF(ROW()&lt;=Results!$C$1+1,IF(D651&lt;=0,"",LN(D651)),"")</f>
        <v/>
      </c>
      <c r="F651" s="53" t="str">
        <f>IF(ROW()&lt;=Results!$C$1+1,IF(ISERROR(C651-E651),"",C651-E651),"")</f>
        <v/>
      </c>
    </row>
    <row r="652" spans="1:6" x14ac:dyDescent="0.2">
      <c r="A652" s="1" t="str">
        <f ca="1">IF(ROW()&lt;=Results!$C$1+1,INDEX(Data!$A:$A,CEILING((COUNTA(Data!$A:$A)-1)*RAND()+1,1)),"")</f>
        <v/>
      </c>
      <c r="B652" s="1" t="str">
        <f>IF(ROW()&lt;=Results!$C$1+1,VLOOKUP($A652,Data!$A$2:$C$117,2,TRUE),"")</f>
        <v/>
      </c>
      <c r="C652" s="14" t="str">
        <f>IF(ROW()&lt;=Results!$C$1+1,IF(B652&lt;=0,"",LN(B652)),"")</f>
        <v/>
      </c>
      <c r="D652" s="1" t="str">
        <f>IF(ROW()&lt;=Results!$C$1+1,VLOOKUP($A652,Data!$A$2:$C$117,3,TRUE),"")</f>
        <v/>
      </c>
      <c r="E652" s="14" t="str">
        <f>IF(ROW()&lt;=Results!$C$1+1,IF(D652&lt;=0,"",LN(D652)),"")</f>
        <v/>
      </c>
      <c r="F652" s="53" t="str">
        <f>IF(ROW()&lt;=Results!$C$1+1,IF(ISERROR(C652-E652),"",C652-E652),"")</f>
        <v/>
      </c>
    </row>
    <row r="653" spans="1:6" x14ac:dyDescent="0.2">
      <c r="A653" s="1" t="str">
        <f ca="1">IF(ROW()&lt;=Results!$C$1+1,INDEX(Data!$A:$A,CEILING((COUNTA(Data!$A:$A)-1)*RAND()+1,1)),"")</f>
        <v/>
      </c>
      <c r="B653" s="1" t="str">
        <f>IF(ROW()&lt;=Results!$C$1+1,VLOOKUP($A653,Data!$A$2:$C$117,2,TRUE),"")</f>
        <v/>
      </c>
      <c r="C653" s="14" t="str">
        <f>IF(ROW()&lt;=Results!$C$1+1,IF(B653&lt;=0,"",LN(B653)),"")</f>
        <v/>
      </c>
      <c r="D653" s="1" t="str">
        <f>IF(ROW()&lt;=Results!$C$1+1,VLOOKUP($A653,Data!$A$2:$C$117,3,TRUE),"")</f>
        <v/>
      </c>
      <c r="E653" s="14" t="str">
        <f>IF(ROW()&lt;=Results!$C$1+1,IF(D653&lt;=0,"",LN(D653)),"")</f>
        <v/>
      </c>
      <c r="F653" s="53" t="str">
        <f>IF(ROW()&lt;=Results!$C$1+1,IF(ISERROR(C653-E653),"",C653-E653),"")</f>
        <v/>
      </c>
    </row>
    <row r="654" spans="1:6" x14ac:dyDescent="0.2">
      <c r="A654" s="1" t="str">
        <f ca="1">IF(ROW()&lt;=Results!$C$1+1,INDEX(Data!$A:$A,CEILING((COUNTA(Data!$A:$A)-1)*RAND()+1,1)),"")</f>
        <v/>
      </c>
      <c r="B654" s="1" t="str">
        <f>IF(ROW()&lt;=Results!$C$1+1,VLOOKUP($A654,Data!$A$2:$C$117,2,TRUE),"")</f>
        <v/>
      </c>
      <c r="C654" s="14" t="str">
        <f>IF(ROW()&lt;=Results!$C$1+1,IF(B654&lt;=0,"",LN(B654)),"")</f>
        <v/>
      </c>
      <c r="D654" s="1" t="str">
        <f>IF(ROW()&lt;=Results!$C$1+1,VLOOKUP($A654,Data!$A$2:$C$117,3,TRUE),"")</f>
        <v/>
      </c>
      <c r="E654" s="14" t="str">
        <f>IF(ROW()&lt;=Results!$C$1+1,IF(D654&lt;=0,"",LN(D654)),"")</f>
        <v/>
      </c>
      <c r="F654" s="53" t="str">
        <f>IF(ROW()&lt;=Results!$C$1+1,IF(ISERROR(C654-E654),"",C654-E654),"")</f>
        <v/>
      </c>
    </row>
    <row r="655" spans="1:6" x14ac:dyDescent="0.2">
      <c r="A655" s="1" t="str">
        <f ca="1">IF(ROW()&lt;=Results!$C$1+1,INDEX(Data!$A:$A,CEILING((COUNTA(Data!$A:$A)-1)*RAND()+1,1)),"")</f>
        <v/>
      </c>
      <c r="B655" s="1" t="str">
        <f>IF(ROW()&lt;=Results!$C$1+1,VLOOKUP($A655,Data!$A$2:$C$117,2,TRUE),"")</f>
        <v/>
      </c>
      <c r="C655" s="14" t="str">
        <f>IF(ROW()&lt;=Results!$C$1+1,IF(B655&lt;=0,"",LN(B655)),"")</f>
        <v/>
      </c>
      <c r="D655" s="1" t="str">
        <f>IF(ROW()&lt;=Results!$C$1+1,VLOOKUP($A655,Data!$A$2:$C$117,3,TRUE),"")</f>
        <v/>
      </c>
      <c r="E655" s="14" t="str">
        <f>IF(ROW()&lt;=Results!$C$1+1,IF(D655&lt;=0,"",LN(D655)),"")</f>
        <v/>
      </c>
      <c r="F655" s="53" t="str">
        <f>IF(ROW()&lt;=Results!$C$1+1,IF(ISERROR(C655-E655),"",C655-E655),"")</f>
        <v/>
      </c>
    </row>
    <row r="656" spans="1:6" x14ac:dyDescent="0.2">
      <c r="A656" s="1" t="str">
        <f ca="1">IF(ROW()&lt;=Results!$C$1+1,INDEX(Data!$A:$A,CEILING((COUNTA(Data!$A:$A)-1)*RAND()+1,1)),"")</f>
        <v/>
      </c>
      <c r="B656" s="1" t="str">
        <f>IF(ROW()&lt;=Results!$C$1+1,VLOOKUP($A656,Data!$A$2:$C$117,2,TRUE),"")</f>
        <v/>
      </c>
      <c r="C656" s="14" t="str">
        <f>IF(ROW()&lt;=Results!$C$1+1,IF(B656&lt;=0,"",LN(B656)),"")</f>
        <v/>
      </c>
      <c r="D656" s="1" t="str">
        <f>IF(ROW()&lt;=Results!$C$1+1,VLOOKUP($A656,Data!$A$2:$C$117,3,TRUE),"")</f>
        <v/>
      </c>
      <c r="E656" s="14" t="str">
        <f>IF(ROW()&lt;=Results!$C$1+1,IF(D656&lt;=0,"",LN(D656)),"")</f>
        <v/>
      </c>
      <c r="F656" s="53" t="str">
        <f>IF(ROW()&lt;=Results!$C$1+1,IF(ISERROR(C656-E656),"",C656-E656),"")</f>
        <v/>
      </c>
    </row>
    <row r="657" spans="1:6" x14ac:dyDescent="0.2">
      <c r="A657" s="1" t="str">
        <f ca="1">IF(ROW()&lt;=Results!$C$1+1,INDEX(Data!$A:$A,CEILING((COUNTA(Data!$A:$A)-1)*RAND()+1,1)),"")</f>
        <v/>
      </c>
      <c r="B657" s="1" t="str">
        <f>IF(ROW()&lt;=Results!$C$1+1,VLOOKUP($A657,Data!$A$2:$C$117,2,TRUE),"")</f>
        <v/>
      </c>
      <c r="C657" s="14" t="str">
        <f>IF(ROW()&lt;=Results!$C$1+1,IF(B657&lt;=0,"",LN(B657)),"")</f>
        <v/>
      </c>
      <c r="D657" s="1" t="str">
        <f>IF(ROW()&lt;=Results!$C$1+1,VLOOKUP($A657,Data!$A$2:$C$117,3,TRUE),"")</f>
        <v/>
      </c>
      <c r="E657" s="14" t="str">
        <f>IF(ROW()&lt;=Results!$C$1+1,IF(D657&lt;=0,"",LN(D657)),"")</f>
        <v/>
      </c>
      <c r="F657" s="53" t="str">
        <f>IF(ROW()&lt;=Results!$C$1+1,IF(ISERROR(C657-E657),"",C657-E657),"")</f>
        <v/>
      </c>
    </row>
    <row r="658" spans="1:6" x14ac:dyDescent="0.2">
      <c r="A658" s="1" t="str">
        <f ca="1">IF(ROW()&lt;=Results!$C$1+1,INDEX(Data!$A:$A,CEILING((COUNTA(Data!$A:$A)-1)*RAND()+1,1)),"")</f>
        <v/>
      </c>
      <c r="B658" s="1" t="str">
        <f>IF(ROW()&lt;=Results!$C$1+1,VLOOKUP($A658,Data!$A$2:$C$117,2,TRUE),"")</f>
        <v/>
      </c>
      <c r="C658" s="14" t="str">
        <f>IF(ROW()&lt;=Results!$C$1+1,IF(B658&lt;=0,"",LN(B658)),"")</f>
        <v/>
      </c>
      <c r="D658" s="1" t="str">
        <f>IF(ROW()&lt;=Results!$C$1+1,VLOOKUP($A658,Data!$A$2:$C$117,3,TRUE),"")</f>
        <v/>
      </c>
      <c r="E658" s="14" t="str">
        <f>IF(ROW()&lt;=Results!$C$1+1,IF(D658&lt;=0,"",LN(D658)),"")</f>
        <v/>
      </c>
      <c r="F658" s="53" t="str">
        <f>IF(ROW()&lt;=Results!$C$1+1,IF(ISERROR(C658-E658),"",C658-E658),"")</f>
        <v/>
      </c>
    </row>
    <row r="659" spans="1:6" x14ac:dyDescent="0.2">
      <c r="A659" s="1" t="str">
        <f ca="1">IF(ROW()&lt;=Results!$C$1+1,INDEX(Data!$A:$A,CEILING((COUNTA(Data!$A:$A)-1)*RAND()+1,1)),"")</f>
        <v/>
      </c>
      <c r="B659" s="1" t="str">
        <f>IF(ROW()&lt;=Results!$C$1+1,VLOOKUP($A659,Data!$A$2:$C$117,2,TRUE),"")</f>
        <v/>
      </c>
      <c r="C659" s="14" t="str">
        <f>IF(ROW()&lt;=Results!$C$1+1,IF(B659&lt;=0,"",LN(B659)),"")</f>
        <v/>
      </c>
      <c r="D659" s="1" t="str">
        <f>IF(ROW()&lt;=Results!$C$1+1,VLOOKUP($A659,Data!$A$2:$C$117,3,TRUE),"")</f>
        <v/>
      </c>
      <c r="E659" s="14" t="str">
        <f>IF(ROW()&lt;=Results!$C$1+1,IF(D659&lt;=0,"",LN(D659)),"")</f>
        <v/>
      </c>
      <c r="F659" s="53" t="str">
        <f>IF(ROW()&lt;=Results!$C$1+1,IF(ISERROR(C659-E659),"",C659-E659),"")</f>
        <v/>
      </c>
    </row>
    <row r="660" spans="1:6" x14ac:dyDescent="0.2">
      <c r="A660" s="1" t="str">
        <f ca="1">IF(ROW()&lt;=Results!$C$1+1,INDEX(Data!$A:$A,CEILING((COUNTA(Data!$A:$A)-1)*RAND()+1,1)),"")</f>
        <v/>
      </c>
      <c r="B660" s="1" t="str">
        <f>IF(ROW()&lt;=Results!$C$1+1,VLOOKUP($A660,Data!$A$2:$C$117,2,TRUE),"")</f>
        <v/>
      </c>
      <c r="C660" s="14" t="str">
        <f>IF(ROW()&lt;=Results!$C$1+1,IF(B660&lt;=0,"",LN(B660)),"")</f>
        <v/>
      </c>
      <c r="D660" s="1" t="str">
        <f>IF(ROW()&lt;=Results!$C$1+1,VLOOKUP($A660,Data!$A$2:$C$117,3,TRUE),"")</f>
        <v/>
      </c>
      <c r="E660" s="14" t="str">
        <f>IF(ROW()&lt;=Results!$C$1+1,IF(D660&lt;=0,"",LN(D660)),"")</f>
        <v/>
      </c>
      <c r="F660" s="53" t="str">
        <f>IF(ROW()&lt;=Results!$C$1+1,IF(ISERROR(C660-E660),"",C660-E660),"")</f>
        <v/>
      </c>
    </row>
    <row r="661" spans="1:6" x14ac:dyDescent="0.2">
      <c r="A661" s="1" t="str">
        <f ca="1">IF(ROW()&lt;=Results!$C$1+1,INDEX(Data!$A:$A,CEILING((COUNTA(Data!$A:$A)-1)*RAND()+1,1)),"")</f>
        <v/>
      </c>
      <c r="B661" s="1" t="str">
        <f>IF(ROW()&lt;=Results!$C$1+1,VLOOKUP($A661,Data!$A$2:$C$117,2,TRUE),"")</f>
        <v/>
      </c>
      <c r="C661" s="14" t="str">
        <f>IF(ROW()&lt;=Results!$C$1+1,IF(B661&lt;=0,"",LN(B661)),"")</f>
        <v/>
      </c>
      <c r="D661" s="1" t="str">
        <f>IF(ROW()&lt;=Results!$C$1+1,VLOOKUP($A661,Data!$A$2:$C$117,3,TRUE),"")</f>
        <v/>
      </c>
      <c r="E661" s="14" t="str">
        <f>IF(ROW()&lt;=Results!$C$1+1,IF(D661&lt;=0,"",LN(D661)),"")</f>
        <v/>
      </c>
      <c r="F661" s="53" t="str">
        <f>IF(ROW()&lt;=Results!$C$1+1,IF(ISERROR(C661-E661),"",C661-E661),"")</f>
        <v/>
      </c>
    </row>
    <row r="662" spans="1:6" x14ac:dyDescent="0.2">
      <c r="A662" s="1" t="str">
        <f ca="1">IF(ROW()&lt;=Results!$C$1+1,INDEX(Data!$A:$A,CEILING((COUNTA(Data!$A:$A)-1)*RAND()+1,1)),"")</f>
        <v/>
      </c>
      <c r="B662" s="1" t="str">
        <f>IF(ROW()&lt;=Results!$C$1+1,VLOOKUP($A662,Data!$A$2:$C$117,2,TRUE),"")</f>
        <v/>
      </c>
      <c r="C662" s="14" t="str">
        <f>IF(ROW()&lt;=Results!$C$1+1,IF(B662&lt;=0,"",LN(B662)),"")</f>
        <v/>
      </c>
      <c r="D662" s="1" t="str">
        <f>IF(ROW()&lt;=Results!$C$1+1,VLOOKUP($A662,Data!$A$2:$C$117,3,TRUE),"")</f>
        <v/>
      </c>
      <c r="E662" s="14" t="str">
        <f>IF(ROW()&lt;=Results!$C$1+1,IF(D662&lt;=0,"",LN(D662)),"")</f>
        <v/>
      </c>
      <c r="F662" s="53" t="str">
        <f>IF(ROW()&lt;=Results!$C$1+1,IF(ISERROR(C662-E662),"",C662-E662),"")</f>
        <v/>
      </c>
    </row>
    <row r="663" spans="1:6" x14ac:dyDescent="0.2">
      <c r="A663" s="1" t="str">
        <f ca="1">IF(ROW()&lt;=Results!$C$1+1,INDEX(Data!$A:$A,CEILING((COUNTA(Data!$A:$A)-1)*RAND()+1,1)),"")</f>
        <v/>
      </c>
      <c r="B663" s="1" t="str">
        <f>IF(ROW()&lt;=Results!$C$1+1,VLOOKUP($A663,Data!$A$2:$C$117,2,TRUE),"")</f>
        <v/>
      </c>
      <c r="C663" s="14" t="str">
        <f>IF(ROW()&lt;=Results!$C$1+1,IF(B663&lt;=0,"",LN(B663)),"")</f>
        <v/>
      </c>
      <c r="D663" s="1" t="str">
        <f>IF(ROW()&lt;=Results!$C$1+1,VLOOKUP($A663,Data!$A$2:$C$117,3,TRUE),"")</f>
        <v/>
      </c>
      <c r="E663" s="14" t="str">
        <f>IF(ROW()&lt;=Results!$C$1+1,IF(D663&lt;=0,"",LN(D663)),"")</f>
        <v/>
      </c>
      <c r="F663" s="53" t="str">
        <f>IF(ROW()&lt;=Results!$C$1+1,IF(ISERROR(C663-E663),"",C663-E663),"")</f>
        <v/>
      </c>
    </row>
    <row r="664" spans="1:6" x14ac:dyDescent="0.2">
      <c r="A664" s="1" t="str">
        <f ca="1">IF(ROW()&lt;=Results!$C$1+1,INDEX(Data!$A:$A,CEILING((COUNTA(Data!$A:$A)-1)*RAND()+1,1)),"")</f>
        <v/>
      </c>
      <c r="B664" s="1" t="str">
        <f>IF(ROW()&lt;=Results!$C$1+1,VLOOKUP($A664,Data!$A$2:$C$117,2,TRUE),"")</f>
        <v/>
      </c>
      <c r="C664" s="14" t="str">
        <f>IF(ROW()&lt;=Results!$C$1+1,IF(B664&lt;=0,"",LN(B664)),"")</f>
        <v/>
      </c>
      <c r="D664" s="1" t="str">
        <f>IF(ROW()&lt;=Results!$C$1+1,VLOOKUP($A664,Data!$A$2:$C$117,3,TRUE),"")</f>
        <v/>
      </c>
      <c r="E664" s="14" t="str">
        <f>IF(ROW()&lt;=Results!$C$1+1,IF(D664&lt;=0,"",LN(D664)),"")</f>
        <v/>
      </c>
      <c r="F664" s="53" t="str">
        <f>IF(ROW()&lt;=Results!$C$1+1,IF(ISERROR(C664-E664),"",C664-E664),"")</f>
        <v/>
      </c>
    </row>
    <row r="665" spans="1:6" x14ac:dyDescent="0.2">
      <c r="A665" s="1" t="str">
        <f ca="1">IF(ROW()&lt;=Results!$C$1+1,INDEX(Data!$A:$A,CEILING((COUNTA(Data!$A:$A)-1)*RAND()+1,1)),"")</f>
        <v/>
      </c>
      <c r="B665" s="1" t="str">
        <f>IF(ROW()&lt;=Results!$C$1+1,VLOOKUP($A665,Data!$A$2:$C$117,2,TRUE),"")</f>
        <v/>
      </c>
      <c r="C665" s="14" t="str">
        <f>IF(ROW()&lt;=Results!$C$1+1,IF(B665&lt;=0,"",LN(B665)),"")</f>
        <v/>
      </c>
      <c r="D665" s="1" t="str">
        <f>IF(ROW()&lt;=Results!$C$1+1,VLOOKUP($A665,Data!$A$2:$C$117,3,TRUE),"")</f>
        <v/>
      </c>
      <c r="E665" s="14" t="str">
        <f>IF(ROW()&lt;=Results!$C$1+1,IF(D665&lt;=0,"",LN(D665)),"")</f>
        <v/>
      </c>
      <c r="F665" s="53" t="str">
        <f>IF(ROW()&lt;=Results!$C$1+1,IF(ISERROR(C665-E665),"",C665-E665),"")</f>
        <v/>
      </c>
    </row>
    <row r="666" spans="1:6" x14ac:dyDescent="0.2">
      <c r="A666" s="1" t="str">
        <f ca="1">IF(ROW()&lt;=Results!$C$1+1,INDEX(Data!$A:$A,CEILING((COUNTA(Data!$A:$A)-1)*RAND()+1,1)),"")</f>
        <v/>
      </c>
      <c r="B666" s="1" t="str">
        <f>IF(ROW()&lt;=Results!$C$1+1,VLOOKUP($A666,Data!$A$2:$C$117,2,TRUE),"")</f>
        <v/>
      </c>
      <c r="C666" s="14" t="str">
        <f>IF(ROW()&lt;=Results!$C$1+1,IF(B666&lt;=0,"",LN(B666)),"")</f>
        <v/>
      </c>
      <c r="D666" s="1" t="str">
        <f>IF(ROW()&lt;=Results!$C$1+1,VLOOKUP($A666,Data!$A$2:$C$117,3,TRUE),"")</f>
        <v/>
      </c>
      <c r="E666" s="14" t="str">
        <f>IF(ROW()&lt;=Results!$C$1+1,IF(D666&lt;=0,"",LN(D666)),"")</f>
        <v/>
      </c>
      <c r="F666" s="53" t="str">
        <f>IF(ROW()&lt;=Results!$C$1+1,IF(ISERROR(C666-E666),"",C666-E666),"")</f>
        <v/>
      </c>
    </row>
    <row r="667" spans="1:6" x14ac:dyDescent="0.2">
      <c r="A667" s="1" t="str">
        <f ca="1">IF(ROW()&lt;=Results!$C$1+1,INDEX(Data!$A:$A,CEILING((COUNTA(Data!$A:$A)-1)*RAND()+1,1)),"")</f>
        <v/>
      </c>
      <c r="B667" s="1" t="str">
        <f>IF(ROW()&lt;=Results!$C$1+1,VLOOKUP($A667,Data!$A$2:$C$117,2,TRUE),"")</f>
        <v/>
      </c>
      <c r="C667" s="14" t="str">
        <f>IF(ROW()&lt;=Results!$C$1+1,IF(B667&lt;=0,"",LN(B667)),"")</f>
        <v/>
      </c>
      <c r="D667" s="1" t="str">
        <f>IF(ROW()&lt;=Results!$C$1+1,VLOOKUP($A667,Data!$A$2:$C$117,3,TRUE),"")</f>
        <v/>
      </c>
      <c r="E667" s="14" t="str">
        <f>IF(ROW()&lt;=Results!$C$1+1,IF(D667&lt;=0,"",LN(D667)),"")</f>
        <v/>
      </c>
      <c r="F667" s="53" t="str">
        <f>IF(ROW()&lt;=Results!$C$1+1,IF(ISERROR(C667-E667),"",C667-E667),"")</f>
        <v/>
      </c>
    </row>
    <row r="668" spans="1:6" x14ac:dyDescent="0.2">
      <c r="A668" s="1" t="str">
        <f ca="1">IF(ROW()&lt;=Results!$C$1+1,INDEX(Data!$A:$A,CEILING((COUNTA(Data!$A:$A)-1)*RAND()+1,1)),"")</f>
        <v/>
      </c>
      <c r="B668" s="1" t="str">
        <f>IF(ROW()&lt;=Results!$C$1+1,VLOOKUP($A668,Data!$A$2:$C$117,2,TRUE),"")</f>
        <v/>
      </c>
      <c r="C668" s="14" t="str">
        <f>IF(ROW()&lt;=Results!$C$1+1,IF(B668&lt;=0,"",LN(B668)),"")</f>
        <v/>
      </c>
      <c r="D668" s="1" t="str">
        <f>IF(ROW()&lt;=Results!$C$1+1,VLOOKUP($A668,Data!$A$2:$C$117,3,TRUE),"")</f>
        <v/>
      </c>
      <c r="E668" s="14" t="str">
        <f>IF(ROW()&lt;=Results!$C$1+1,IF(D668&lt;=0,"",LN(D668)),"")</f>
        <v/>
      </c>
      <c r="F668" s="53" t="str">
        <f>IF(ROW()&lt;=Results!$C$1+1,IF(ISERROR(C668-E668),"",C668-E668),"")</f>
        <v/>
      </c>
    </row>
    <row r="669" spans="1:6" x14ac:dyDescent="0.2">
      <c r="A669" s="1" t="str">
        <f ca="1">IF(ROW()&lt;=Results!$C$1+1,INDEX(Data!$A:$A,CEILING((COUNTA(Data!$A:$A)-1)*RAND()+1,1)),"")</f>
        <v/>
      </c>
      <c r="B669" s="1" t="str">
        <f>IF(ROW()&lt;=Results!$C$1+1,VLOOKUP($A669,Data!$A$2:$C$117,2,TRUE),"")</f>
        <v/>
      </c>
      <c r="C669" s="14" t="str">
        <f>IF(ROW()&lt;=Results!$C$1+1,IF(B669&lt;=0,"",LN(B669)),"")</f>
        <v/>
      </c>
      <c r="D669" s="1" t="str">
        <f>IF(ROW()&lt;=Results!$C$1+1,VLOOKUP($A669,Data!$A$2:$C$117,3,TRUE),"")</f>
        <v/>
      </c>
      <c r="E669" s="14" t="str">
        <f>IF(ROW()&lt;=Results!$C$1+1,IF(D669&lt;=0,"",LN(D669)),"")</f>
        <v/>
      </c>
      <c r="F669" s="53" t="str">
        <f>IF(ROW()&lt;=Results!$C$1+1,IF(ISERROR(C669-E669),"",C669-E669),"")</f>
        <v/>
      </c>
    </row>
    <row r="670" spans="1:6" x14ac:dyDescent="0.2">
      <c r="A670" s="1" t="str">
        <f ca="1">IF(ROW()&lt;=Results!$C$1+1,INDEX(Data!$A:$A,CEILING((COUNTA(Data!$A:$A)-1)*RAND()+1,1)),"")</f>
        <v/>
      </c>
      <c r="B670" s="1" t="str">
        <f>IF(ROW()&lt;=Results!$C$1+1,VLOOKUP($A670,Data!$A$2:$C$117,2,TRUE),"")</f>
        <v/>
      </c>
      <c r="C670" s="14" t="str">
        <f>IF(ROW()&lt;=Results!$C$1+1,IF(B670&lt;=0,"",LN(B670)),"")</f>
        <v/>
      </c>
      <c r="D670" s="1" t="str">
        <f>IF(ROW()&lt;=Results!$C$1+1,VLOOKUP($A670,Data!$A$2:$C$117,3,TRUE),"")</f>
        <v/>
      </c>
      <c r="E670" s="14" t="str">
        <f>IF(ROW()&lt;=Results!$C$1+1,IF(D670&lt;=0,"",LN(D670)),"")</f>
        <v/>
      </c>
      <c r="F670" s="53" t="str">
        <f>IF(ROW()&lt;=Results!$C$1+1,IF(ISERROR(C670-E670),"",C670-E670),"")</f>
        <v/>
      </c>
    </row>
    <row r="671" spans="1:6" x14ac:dyDescent="0.2">
      <c r="A671" s="1" t="str">
        <f ca="1">IF(ROW()&lt;=Results!$C$1+1,INDEX(Data!$A:$A,CEILING((COUNTA(Data!$A:$A)-1)*RAND()+1,1)),"")</f>
        <v/>
      </c>
      <c r="B671" s="1" t="str">
        <f>IF(ROW()&lt;=Results!$C$1+1,VLOOKUP($A671,Data!$A$2:$C$117,2,TRUE),"")</f>
        <v/>
      </c>
      <c r="C671" s="14" t="str">
        <f>IF(ROW()&lt;=Results!$C$1+1,IF(B671&lt;=0,"",LN(B671)),"")</f>
        <v/>
      </c>
      <c r="D671" s="1" t="str">
        <f>IF(ROW()&lt;=Results!$C$1+1,VLOOKUP($A671,Data!$A$2:$C$117,3,TRUE),"")</f>
        <v/>
      </c>
      <c r="E671" s="14" t="str">
        <f>IF(ROW()&lt;=Results!$C$1+1,IF(D671&lt;=0,"",LN(D671)),"")</f>
        <v/>
      </c>
      <c r="F671" s="53" t="str">
        <f>IF(ROW()&lt;=Results!$C$1+1,IF(ISERROR(C671-E671),"",C671-E671),"")</f>
        <v/>
      </c>
    </row>
    <row r="672" spans="1:6" x14ac:dyDescent="0.2">
      <c r="A672" s="1" t="str">
        <f ca="1">IF(ROW()&lt;=Results!$C$1+1,INDEX(Data!$A:$A,CEILING((COUNTA(Data!$A:$A)-1)*RAND()+1,1)),"")</f>
        <v/>
      </c>
      <c r="B672" s="1" t="str">
        <f>IF(ROW()&lt;=Results!$C$1+1,VLOOKUP($A672,Data!$A$2:$C$117,2,TRUE),"")</f>
        <v/>
      </c>
      <c r="C672" s="14" t="str">
        <f>IF(ROW()&lt;=Results!$C$1+1,IF(B672&lt;=0,"",LN(B672)),"")</f>
        <v/>
      </c>
      <c r="D672" s="1" t="str">
        <f>IF(ROW()&lt;=Results!$C$1+1,VLOOKUP($A672,Data!$A$2:$C$117,3,TRUE),"")</f>
        <v/>
      </c>
      <c r="E672" s="14" t="str">
        <f>IF(ROW()&lt;=Results!$C$1+1,IF(D672&lt;=0,"",LN(D672)),"")</f>
        <v/>
      </c>
      <c r="F672" s="53" t="str">
        <f>IF(ROW()&lt;=Results!$C$1+1,IF(ISERROR(C672-E672),"",C672-E672),"")</f>
        <v/>
      </c>
    </row>
    <row r="673" spans="1:6" x14ac:dyDescent="0.2">
      <c r="A673" s="1" t="str">
        <f ca="1">IF(ROW()&lt;=Results!$C$1+1,INDEX(Data!$A:$A,CEILING((COUNTA(Data!$A:$A)-1)*RAND()+1,1)),"")</f>
        <v/>
      </c>
      <c r="B673" s="1" t="str">
        <f>IF(ROW()&lt;=Results!$C$1+1,VLOOKUP($A673,Data!$A$2:$C$117,2,TRUE),"")</f>
        <v/>
      </c>
      <c r="C673" s="14" t="str">
        <f>IF(ROW()&lt;=Results!$C$1+1,IF(B673&lt;=0,"",LN(B673)),"")</f>
        <v/>
      </c>
      <c r="D673" s="1" t="str">
        <f>IF(ROW()&lt;=Results!$C$1+1,VLOOKUP($A673,Data!$A$2:$C$117,3,TRUE),"")</f>
        <v/>
      </c>
      <c r="E673" s="14" t="str">
        <f>IF(ROW()&lt;=Results!$C$1+1,IF(D673&lt;=0,"",LN(D673)),"")</f>
        <v/>
      </c>
      <c r="F673" s="53" t="str">
        <f>IF(ROW()&lt;=Results!$C$1+1,IF(ISERROR(C673-E673),"",C673-E673),"")</f>
        <v/>
      </c>
    </row>
    <row r="674" spans="1:6" x14ac:dyDescent="0.2">
      <c r="A674" s="1" t="str">
        <f ca="1">IF(ROW()&lt;=Results!$C$1+1,INDEX(Data!$A:$A,CEILING((COUNTA(Data!$A:$A)-1)*RAND()+1,1)),"")</f>
        <v/>
      </c>
      <c r="B674" s="1" t="str">
        <f>IF(ROW()&lt;=Results!$C$1+1,VLOOKUP($A674,Data!$A$2:$C$117,2,TRUE),"")</f>
        <v/>
      </c>
      <c r="C674" s="14" t="str">
        <f>IF(ROW()&lt;=Results!$C$1+1,IF(B674&lt;=0,"",LN(B674)),"")</f>
        <v/>
      </c>
      <c r="D674" s="1" t="str">
        <f>IF(ROW()&lt;=Results!$C$1+1,VLOOKUP($A674,Data!$A$2:$C$117,3,TRUE),"")</f>
        <v/>
      </c>
      <c r="E674" s="14" t="str">
        <f>IF(ROW()&lt;=Results!$C$1+1,IF(D674&lt;=0,"",LN(D674)),"")</f>
        <v/>
      </c>
      <c r="F674" s="53" t="str">
        <f>IF(ROW()&lt;=Results!$C$1+1,IF(ISERROR(C674-E674),"",C674-E674),"")</f>
        <v/>
      </c>
    </row>
    <row r="675" spans="1:6" x14ac:dyDescent="0.2">
      <c r="A675" s="1" t="str">
        <f ca="1">IF(ROW()&lt;=Results!$C$1+1,INDEX(Data!$A:$A,CEILING((COUNTA(Data!$A:$A)-1)*RAND()+1,1)),"")</f>
        <v/>
      </c>
      <c r="B675" s="1" t="str">
        <f>IF(ROW()&lt;=Results!$C$1+1,VLOOKUP($A675,Data!$A$2:$C$117,2,TRUE),"")</f>
        <v/>
      </c>
      <c r="C675" s="14" t="str">
        <f>IF(ROW()&lt;=Results!$C$1+1,IF(B675&lt;=0,"",LN(B675)),"")</f>
        <v/>
      </c>
      <c r="D675" s="1" t="str">
        <f>IF(ROW()&lt;=Results!$C$1+1,VLOOKUP($A675,Data!$A$2:$C$117,3,TRUE),"")</f>
        <v/>
      </c>
      <c r="E675" s="14" t="str">
        <f>IF(ROW()&lt;=Results!$C$1+1,IF(D675&lt;=0,"",LN(D675)),"")</f>
        <v/>
      </c>
      <c r="F675" s="53" t="str">
        <f>IF(ROW()&lt;=Results!$C$1+1,IF(ISERROR(C675-E675),"",C675-E675),"")</f>
        <v/>
      </c>
    </row>
    <row r="676" spans="1:6" x14ac:dyDescent="0.2">
      <c r="A676" s="1" t="str">
        <f ca="1">IF(ROW()&lt;=Results!$C$1+1,INDEX(Data!$A:$A,CEILING((COUNTA(Data!$A:$A)-1)*RAND()+1,1)),"")</f>
        <v/>
      </c>
      <c r="B676" s="1" t="str">
        <f>IF(ROW()&lt;=Results!$C$1+1,VLOOKUP($A676,Data!$A$2:$C$117,2,TRUE),"")</f>
        <v/>
      </c>
      <c r="C676" s="14" t="str">
        <f>IF(ROW()&lt;=Results!$C$1+1,IF(B676&lt;=0,"",LN(B676)),"")</f>
        <v/>
      </c>
      <c r="D676" s="1" t="str">
        <f>IF(ROW()&lt;=Results!$C$1+1,VLOOKUP($A676,Data!$A$2:$C$117,3,TRUE),"")</f>
        <v/>
      </c>
      <c r="E676" s="14" t="str">
        <f>IF(ROW()&lt;=Results!$C$1+1,IF(D676&lt;=0,"",LN(D676)),"")</f>
        <v/>
      </c>
      <c r="F676" s="53" t="str">
        <f>IF(ROW()&lt;=Results!$C$1+1,IF(ISERROR(C676-E676),"",C676-E676),"")</f>
        <v/>
      </c>
    </row>
    <row r="677" spans="1:6" x14ac:dyDescent="0.2">
      <c r="A677" s="1" t="str">
        <f ca="1">IF(ROW()&lt;=Results!$C$1+1,INDEX(Data!$A:$A,CEILING((COUNTA(Data!$A:$A)-1)*RAND()+1,1)),"")</f>
        <v/>
      </c>
      <c r="B677" s="1" t="str">
        <f>IF(ROW()&lt;=Results!$C$1+1,VLOOKUP($A677,Data!$A$2:$C$117,2,TRUE),"")</f>
        <v/>
      </c>
      <c r="C677" s="14" t="str">
        <f>IF(ROW()&lt;=Results!$C$1+1,IF(B677&lt;=0,"",LN(B677)),"")</f>
        <v/>
      </c>
      <c r="D677" s="1" t="str">
        <f>IF(ROW()&lt;=Results!$C$1+1,VLOOKUP($A677,Data!$A$2:$C$117,3,TRUE),"")</f>
        <v/>
      </c>
      <c r="E677" s="14" t="str">
        <f>IF(ROW()&lt;=Results!$C$1+1,IF(D677&lt;=0,"",LN(D677)),"")</f>
        <v/>
      </c>
      <c r="F677" s="53" t="str">
        <f>IF(ROW()&lt;=Results!$C$1+1,IF(ISERROR(C677-E677),"",C677-E677),"")</f>
        <v/>
      </c>
    </row>
    <row r="678" spans="1:6" x14ac:dyDescent="0.2">
      <c r="A678" s="1" t="str">
        <f ca="1">IF(ROW()&lt;=Results!$C$1+1,INDEX(Data!$A:$A,CEILING((COUNTA(Data!$A:$A)-1)*RAND()+1,1)),"")</f>
        <v/>
      </c>
      <c r="B678" s="1" t="str">
        <f>IF(ROW()&lt;=Results!$C$1+1,VLOOKUP($A678,Data!$A$2:$C$117,2,TRUE),"")</f>
        <v/>
      </c>
      <c r="C678" s="14" t="str">
        <f>IF(ROW()&lt;=Results!$C$1+1,IF(B678&lt;=0,"",LN(B678)),"")</f>
        <v/>
      </c>
      <c r="D678" s="1" t="str">
        <f>IF(ROW()&lt;=Results!$C$1+1,VLOOKUP($A678,Data!$A$2:$C$117,3,TRUE),"")</f>
        <v/>
      </c>
      <c r="E678" s="14" t="str">
        <f>IF(ROW()&lt;=Results!$C$1+1,IF(D678&lt;=0,"",LN(D678)),"")</f>
        <v/>
      </c>
      <c r="F678" s="53" t="str">
        <f>IF(ROW()&lt;=Results!$C$1+1,IF(ISERROR(C678-E678),"",C678-E678),"")</f>
        <v/>
      </c>
    </row>
    <row r="679" spans="1:6" x14ac:dyDescent="0.2">
      <c r="A679" s="1" t="str">
        <f ca="1">IF(ROW()&lt;=Results!$C$1+1,INDEX(Data!$A:$A,CEILING((COUNTA(Data!$A:$A)-1)*RAND()+1,1)),"")</f>
        <v/>
      </c>
      <c r="B679" s="1" t="str">
        <f>IF(ROW()&lt;=Results!$C$1+1,VLOOKUP($A679,Data!$A$2:$C$117,2,TRUE),"")</f>
        <v/>
      </c>
      <c r="C679" s="14" t="str">
        <f>IF(ROW()&lt;=Results!$C$1+1,IF(B679&lt;=0,"",LN(B679)),"")</f>
        <v/>
      </c>
      <c r="D679" s="1" t="str">
        <f>IF(ROW()&lt;=Results!$C$1+1,VLOOKUP($A679,Data!$A$2:$C$117,3,TRUE),"")</f>
        <v/>
      </c>
      <c r="E679" s="14" t="str">
        <f>IF(ROW()&lt;=Results!$C$1+1,IF(D679&lt;=0,"",LN(D679)),"")</f>
        <v/>
      </c>
      <c r="F679" s="53" t="str">
        <f>IF(ROW()&lt;=Results!$C$1+1,IF(ISERROR(C679-E679),"",C679-E679),"")</f>
        <v/>
      </c>
    </row>
    <row r="680" spans="1:6" x14ac:dyDescent="0.2">
      <c r="A680" s="1" t="str">
        <f ca="1">IF(ROW()&lt;=Results!$C$1+1,INDEX(Data!$A:$A,CEILING((COUNTA(Data!$A:$A)-1)*RAND()+1,1)),"")</f>
        <v/>
      </c>
      <c r="B680" s="1" t="str">
        <f>IF(ROW()&lt;=Results!$C$1+1,VLOOKUP($A680,Data!$A$2:$C$117,2,TRUE),"")</f>
        <v/>
      </c>
      <c r="C680" s="14" t="str">
        <f>IF(ROW()&lt;=Results!$C$1+1,IF(B680&lt;=0,"",LN(B680)),"")</f>
        <v/>
      </c>
      <c r="D680" s="1" t="str">
        <f>IF(ROW()&lt;=Results!$C$1+1,VLOOKUP($A680,Data!$A$2:$C$117,3,TRUE),"")</f>
        <v/>
      </c>
      <c r="E680" s="14" t="str">
        <f>IF(ROW()&lt;=Results!$C$1+1,IF(D680&lt;=0,"",LN(D680)),"")</f>
        <v/>
      </c>
      <c r="F680" s="53" t="str">
        <f>IF(ROW()&lt;=Results!$C$1+1,IF(ISERROR(C680-E680),"",C680-E680),"")</f>
        <v/>
      </c>
    </row>
    <row r="681" spans="1:6" x14ac:dyDescent="0.2">
      <c r="A681" s="1" t="str">
        <f ca="1">IF(ROW()&lt;=Results!$C$1+1,INDEX(Data!$A:$A,CEILING((COUNTA(Data!$A:$A)-1)*RAND()+1,1)),"")</f>
        <v/>
      </c>
      <c r="B681" s="1" t="str">
        <f>IF(ROW()&lt;=Results!$C$1+1,VLOOKUP($A681,Data!$A$2:$C$117,2,TRUE),"")</f>
        <v/>
      </c>
      <c r="C681" s="14" t="str">
        <f>IF(ROW()&lt;=Results!$C$1+1,IF(B681&lt;=0,"",LN(B681)),"")</f>
        <v/>
      </c>
      <c r="D681" s="1" t="str">
        <f>IF(ROW()&lt;=Results!$C$1+1,VLOOKUP($A681,Data!$A$2:$C$117,3,TRUE),"")</f>
        <v/>
      </c>
      <c r="E681" s="14" t="str">
        <f>IF(ROW()&lt;=Results!$C$1+1,IF(D681&lt;=0,"",LN(D681)),"")</f>
        <v/>
      </c>
      <c r="F681" s="53" t="str">
        <f>IF(ROW()&lt;=Results!$C$1+1,IF(ISERROR(C681-E681),"",C681-E681),"")</f>
        <v/>
      </c>
    </row>
    <row r="682" spans="1:6" x14ac:dyDescent="0.2">
      <c r="A682" s="1" t="str">
        <f ca="1">IF(ROW()&lt;=Results!$C$1+1,INDEX(Data!$A:$A,CEILING((COUNTA(Data!$A:$A)-1)*RAND()+1,1)),"")</f>
        <v/>
      </c>
      <c r="B682" s="1" t="str">
        <f>IF(ROW()&lt;=Results!$C$1+1,VLOOKUP($A682,Data!$A$2:$C$117,2,TRUE),"")</f>
        <v/>
      </c>
      <c r="C682" s="14" t="str">
        <f>IF(ROW()&lt;=Results!$C$1+1,IF(B682&lt;=0,"",LN(B682)),"")</f>
        <v/>
      </c>
      <c r="D682" s="1" t="str">
        <f>IF(ROW()&lt;=Results!$C$1+1,VLOOKUP($A682,Data!$A$2:$C$117,3,TRUE),"")</f>
        <v/>
      </c>
      <c r="E682" s="14" t="str">
        <f>IF(ROW()&lt;=Results!$C$1+1,IF(D682&lt;=0,"",LN(D682)),"")</f>
        <v/>
      </c>
      <c r="F682" s="53" t="str">
        <f>IF(ROW()&lt;=Results!$C$1+1,IF(ISERROR(C682-E682),"",C682-E682),"")</f>
        <v/>
      </c>
    </row>
    <row r="683" spans="1:6" x14ac:dyDescent="0.2">
      <c r="A683" s="1" t="str">
        <f ca="1">IF(ROW()&lt;=Results!$C$1+1,INDEX(Data!$A:$A,CEILING((COUNTA(Data!$A:$A)-1)*RAND()+1,1)),"")</f>
        <v/>
      </c>
      <c r="B683" s="1" t="str">
        <f>IF(ROW()&lt;=Results!$C$1+1,VLOOKUP($A683,Data!$A$2:$C$117,2,TRUE),"")</f>
        <v/>
      </c>
      <c r="C683" s="14" t="str">
        <f>IF(ROW()&lt;=Results!$C$1+1,IF(B683&lt;=0,"",LN(B683)),"")</f>
        <v/>
      </c>
      <c r="D683" s="1" t="str">
        <f>IF(ROW()&lt;=Results!$C$1+1,VLOOKUP($A683,Data!$A$2:$C$117,3,TRUE),"")</f>
        <v/>
      </c>
      <c r="E683" s="14" t="str">
        <f>IF(ROW()&lt;=Results!$C$1+1,IF(D683&lt;=0,"",LN(D683)),"")</f>
        <v/>
      </c>
      <c r="F683" s="53" t="str">
        <f>IF(ROW()&lt;=Results!$C$1+1,IF(ISERROR(C683-E683),"",C683-E683),"")</f>
        <v/>
      </c>
    </row>
    <row r="684" spans="1:6" x14ac:dyDescent="0.2">
      <c r="A684" s="1" t="str">
        <f ca="1">IF(ROW()&lt;=Results!$C$1+1,INDEX(Data!$A:$A,CEILING((COUNTA(Data!$A:$A)-1)*RAND()+1,1)),"")</f>
        <v/>
      </c>
      <c r="B684" s="1" t="str">
        <f>IF(ROW()&lt;=Results!$C$1+1,VLOOKUP($A684,Data!$A$2:$C$117,2,TRUE),"")</f>
        <v/>
      </c>
      <c r="C684" s="14" t="str">
        <f>IF(ROW()&lt;=Results!$C$1+1,IF(B684&lt;=0,"",LN(B684)),"")</f>
        <v/>
      </c>
      <c r="D684" s="1" t="str">
        <f>IF(ROW()&lt;=Results!$C$1+1,VLOOKUP($A684,Data!$A$2:$C$117,3,TRUE),"")</f>
        <v/>
      </c>
      <c r="E684" s="14" t="str">
        <f>IF(ROW()&lt;=Results!$C$1+1,IF(D684&lt;=0,"",LN(D684)),"")</f>
        <v/>
      </c>
      <c r="F684" s="53" t="str">
        <f>IF(ROW()&lt;=Results!$C$1+1,IF(ISERROR(C684-E684),"",C684-E684),"")</f>
        <v/>
      </c>
    </row>
    <row r="685" spans="1:6" x14ac:dyDescent="0.2">
      <c r="A685" s="1" t="str">
        <f ca="1">IF(ROW()&lt;=Results!$C$1+1,INDEX(Data!$A:$A,CEILING((COUNTA(Data!$A:$A)-1)*RAND()+1,1)),"")</f>
        <v/>
      </c>
      <c r="B685" s="1" t="str">
        <f>IF(ROW()&lt;=Results!$C$1+1,VLOOKUP($A685,Data!$A$2:$C$117,2,TRUE),"")</f>
        <v/>
      </c>
      <c r="C685" s="14" t="str">
        <f>IF(ROW()&lt;=Results!$C$1+1,IF(B685&lt;=0,"",LN(B685)),"")</f>
        <v/>
      </c>
      <c r="D685" s="1" t="str">
        <f>IF(ROW()&lt;=Results!$C$1+1,VLOOKUP($A685,Data!$A$2:$C$117,3,TRUE),"")</f>
        <v/>
      </c>
      <c r="E685" s="14" t="str">
        <f>IF(ROW()&lt;=Results!$C$1+1,IF(D685&lt;=0,"",LN(D685)),"")</f>
        <v/>
      </c>
      <c r="F685" s="53" t="str">
        <f>IF(ROW()&lt;=Results!$C$1+1,IF(ISERROR(C685-E685),"",C685-E685),"")</f>
        <v/>
      </c>
    </row>
    <row r="686" spans="1:6" x14ac:dyDescent="0.2">
      <c r="A686" s="1" t="str">
        <f ca="1">IF(ROW()&lt;=Results!$C$1+1,INDEX(Data!$A:$A,CEILING((COUNTA(Data!$A:$A)-1)*RAND()+1,1)),"")</f>
        <v/>
      </c>
      <c r="B686" s="1" t="str">
        <f>IF(ROW()&lt;=Results!$C$1+1,VLOOKUP($A686,Data!$A$2:$C$117,2,TRUE),"")</f>
        <v/>
      </c>
      <c r="C686" s="14" t="str">
        <f>IF(ROW()&lt;=Results!$C$1+1,IF(B686&lt;=0,"",LN(B686)),"")</f>
        <v/>
      </c>
      <c r="D686" s="1" t="str">
        <f>IF(ROW()&lt;=Results!$C$1+1,VLOOKUP($A686,Data!$A$2:$C$117,3,TRUE),"")</f>
        <v/>
      </c>
      <c r="E686" s="14" t="str">
        <f>IF(ROW()&lt;=Results!$C$1+1,IF(D686&lt;=0,"",LN(D686)),"")</f>
        <v/>
      </c>
      <c r="F686" s="53" t="str">
        <f>IF(ROW()&lt;=Results!$C$1+1,IF(ISERROR(C686-E686),"",C686-E686),"")</f>
        <v/>
      </c>
    </row>
    <row r="687" spans="1:6" x14ac:dyDescent="0.2">
      <c r="A687" s="1" t="str">
        <f ca="1">IF(ROW()&lt;=Results!$C$1+1,INDEX(Data!$A:$A,CEILING((COUNTA(Data!$A:$A)-1)*RAND()+1,1)),"")</f>
        <v/>
      </c>
      <c r="B687" s="1" t="str">
        <f>IF(ROW()&lt;=Results!$C$1+1,VLOOKUP($A687,Data!$A$2:$C$117,2,TRUE),"")</f>
        <v/>
      </c>
      <c r="C687" s="14" t="str">
        <f>IF(ROW()&lt;=Results!$C$1+1,IF(B687&lt;=0,"",LN(B687)),"")</f>
        <v/>
      </c>
      <c r="D687" s="1" t="str">
        <f>IF(ROW()&lt;=Results!$C$1+1,VLOOKUP($A687,Data!$A$2:$C$117,3,TRUE),"")</f>
        <v/>
      </c>
      <c r="E687" s="14" t="str">
        <f>IF(ROW()&lt;=Results!$C$1+1,IF(D687&lt;=0,"",LN(D687)),"")</f>
        <v/>
      </c>
      <c r="F687" s="53" t="str">
        <f>IF(ROW()&lt;=Results!$C$1+1,IF(ISERROR(C687-E687),"",C687-E687),"")</f>
        <v/>
      </c>
    </row>
    <row r="688" spans="1:6" x14ac:dyDescent="0.2">
      <c r="A688" s="1" t="str">
        <f ca="1">IF(ROW()&lt;=Results!$C$1+1,INDEX(Data!$A:$A,CEILING((COUNTA(Data!$A:$A)-1)*RAND()+1,1)),"")</f>
        <v/>
      </c>
      <c r="B688" s="1" t="str">
        <f>IF(ROW()&lt;=Results!$C$1+1,VLOOKUP($A688,Data!$A$2:$C$117,2,TRUE),"")</f>
        <v/>
      </c>
      <c r="C688" s="14" t="str">
        <f>IF(ROW()&lt;=Results!$C$1+1,IF(B688&lt;=0,"",LN(B688)),"")</f>
        <v/>
      </c>
      <c r="D688" s="1" t="str">
        <f>IF(ROW()&lt;=Results!$C$1+1,VLOOKUP($A688,Data!$A$2:$C$117,3,TRUE),"")</f>
        <v/>
      </c>
      <c r="E688" s="14" t="str">
        <f>IF(ROW()&lt;=Results!$C$1+1,IF(D688&lt;=0,"",LN(D688)),"")</f>
        <v/>
      </c>
      <c r="F688" s="53" t="str">
        <f>IF(ROW()&lt;=Results!$C$1+1,IF(ISERROR(C688-E688),"",C688-E688),"")</f>
        <v/>
      </c>
    </row>
    <row r="689" spans="1:6" x14ac:dyDescent="0.2">
      <c r="A689" s="1" t="str">
        <f ca="1">IF(ROW()&lt;=Results!$C$1+1,INDEX(Data!$A:$A,CEILING((COUNTA(Data!$A:$A)-1)*RAND()+1,1)),"")</f>
        <v/>
      </c>
      <c r="B689" s="1" t="str">
        <f>IF(ROW()&lt;=Results!$C$1+1,VLOOKUP($A689,Data!$A$2:$C$117,2,TRUE),"")</f>
        <v/>
      </c>
      <c r="C689" s="14" t="str">
        <f>IF(ROW()&lt;=Results!$C$1+1,IF(B689&lt;=0,"",LN(B689)),"")</f>
        <v/>
      </c>
      <c r="D689" s="1" t="str">
        <f>IF(ROW()&lt;=Results!$C$1+1,VLOOKUP($A689,Data!$A$2:$C$117,3,TRUE),"")</f>
        <v/>
      </c>
      <c r="E689" s="14" t="str">
        <f>IF(ROW()&lt;=Results!$C$1+1,IF(D689&lt;=0,"",LN(D689)),"")</f>
        <v/>
      </c>
      <c r="F689" s="53" t="str">
        <f>IF(ROW()&lt;=Results!$C$1+1,IF(ISERROR(C689-E689),"",C689-E689),"")</f>
        <v/>
      </c>
    </row>
    <row r="690" spans="1:6" x14ac:dyDescent="0.2">
      <c r="A690" s="1" t="str">
        <f ca="1">IF(ROW()&lt;=Results!$C$1+1,INDEX(Data!$A:$A,CEILING((COUNTA(Data!$A:$A)-1)*RAND()+1,1)),"")</f>
        <v/>
      </c>
      <c r="B690" s="1" t="str">
        <f>IF(ROW()&lt;=Results!$C$1+1,VLOOKUP($A690,Data!$A$2:$C$117,2,TRUE),"")</f>
        <v/>
      </c>
      <c r="C690" s="14" t="str">
        <f>IF(ROW()&lt;=Results!$C$1+1,IF(B690&lt;=0,"",LN(B690)),"")</f>
        <v/>
      </c>
      <c r="D690" s="1" t="str">
        <f>IF(ROW()&lt;=Results!$C$1+1,VLOOKUP($A690,Data!$A$2:$C$117,3,TRUE),"")</f>
        <v/>
      </c>
      <c r="E690" s="14" t="str">
        <f>IF(ROW()&lt;=Results!$C$1+1,IF(D690&lt;=0,"",LN(D690)),"")</f>
        <v/>
      </c>
      <c r="F690" s="53" t="str">
        <f>IF(ROW()&lt;=Results!$C$1+1,IF(ISERROR(C690-E690),"",C690-E690),"")</f>
        <v/>
      </c>
    </row>
    <row r="691" spans="1:6" x14ac:dyDescent="0.2">
      <c r="A691" s="1" t="str">
        <f ca="1">IF(ROW()&lt;=Results!$C$1+1,INDEX(Data!$A:$A,CEILING((COUNTA(Data!$A:$A)-1)*RAND()+1,1)),"")</f>
        <v/>
      </c>
      <c r="B691" s="1" t="str">
        <f>IF(ROW()&lt;=Results!$C$1+1,VLOOKUP($A691,Data!$A$2:$C$117,2,TRUE),"")</f>
        <v/>
      </c>
      <c r="C691" s="14" t="str">
        <f>IF(ROW()&lt;=Results!$C$1+1,IF(B691&lt;=0,"",LN(B691)),"")</f>
        <v/>
      </c>
      <c r="D691" s="1" t="str">
        <f>IF(ROW()&lt;=Results!$C$1+1,VLOOKUP($A691,Data!$A$2:$C$117,3,TRUE),"")</f>
        <v/>
      </c>
      <c r="E691" s="14" t="str">
        <f>IF(ROW()&lt;=Results!$C$1+1,IF(D691&lt;=0,"",LN(D691)),"")</f>
        <v/>
      </c>
      <c r="F691" s="53" t="str">
        <f>IF(ROW()&lt;=Results!$C$1+1,IF(ISERROR(C691-E691),"",C691-E691),"")</f>
        <v/>
      </c>
    </row>
    <row r="692" spans="1:6" x14ac:dyDescent="0.2">
      <c r="A692" s="1" t="str">
        <f ca="1">IF(ROW()&lt;=Results!$C$1+1,INDEX(Data!$A:$A,CEILING((COUNTA(Data!$A:$A)-1)*RAND()+1,1)),"")</f>
        <v/>
      </c>
      <c r="B692" s="1" t="str">
        <f>IF(ROW()&lt;=Results!$C$1+1,VLOOKUP($A692,Data!$A$2:$C$117,2,TRUE),"")</f>
        <v/>
      </c>
      <c r="C692" s="14" t="str">
        <f>IF(ROW()&lt;=Results!$C$1+1,IF(B692&lt;=0,"",LN(B692)),"")</f>
        <v/>
      </c>
      <c r="D692" s="1" t="str">
        <f>IF(ROW()&lt;=Results!$C$1+1,VLOOKUP($A692,Data!$A$2:$C$117,3,TRUE),"")</f>
        <v/>
      </c>
      <c r="E692" s="14" t="str">
        <f>IF(ROW()&lt;=Results!$C$1+1,IF(D692&lt;=0,"",LN(D692)),"")</f>
        <v/>
      </c>
      <c r="F692" s="53" t="str">
        <f>IF(ROW()&lt;=Results!$C$1+1,IF(ISERROR(C692-E692),"",C692-E692),"")</f>
        <v/>
      </c>
    </row>
    <row r="693" spans="1:6" x14ac:dyDescent="0.2">
      <c r="A693" s="1" t="str">
        <f ca="1">IF(ROW()&lt;=Results!$C$1+1,INDEX(Data!$A:$A,CEILING((COUNTA(Data!$A:$A)-1)*RAND()+1,1)),"")</f>
        <v/>
      </c>
      <c r="B693" s="1" t="str">
        <f>IF(ROW()&lt;=Results!$C$1+1,VLOOKUP($A693,Data!$A$2:$C$117,2,TRUE),"")</f>
        <v/>
      </c>
      <c r="C693" s="14" t="str">
        <f>IF(ROW()&lt;=Results!$C$1+1,IF(B693&lt;=0,"",LN(B693)),"")</f>
        <v/>
      </c>
      <c r="D693" s="1" t="str">
        <f>IF(ROW()&lt;=Results!$C$1+1,VLOOKUP($A693,Data!$A$2:$C$117,3,TRUE),"")</f>
        <v/>
      </c>
      <c r="E693" s="14" t="str">
        <f>IF(ROW()&lt;=Results!$C$1+1,IF(D693&lt;=0,"",LN(D693)),"")</f>
        <v/>
      </c>
      <c r="F693" s="53" t="str">
        <f>IF(ROW()&lt;=Results!$C$1+1,IF(ISERROR(C693-E693),"",C693-E693),"")</f>
        <v/>
      </c>
    </row>
    <row r="694" spans="1:6" x14ac:dyDescent="0.2">
      <c r="A694" s="1" t="str">
        <f ca="1">IF(ROW()&lt;=Results!$C$1+1,INDEX(Data!$A:$A,CEILING((COUNTA(Data!$A:$A)-1)*RAND()+1,1)),"")</f>
        <v/>
      </c>
      <c r="B694" s="1" t="str">
        <f>IF(ROW()&lt;=Results!$C$1+1,VLOOKUP($A694,Data!$A$2:$C$117,2,TRUE),"")</f>
        <v/>
      </c>
      <c r="C694" s="14" t="str">
        <f>IF(ROW()&lt;=Results!$C$1+1,IF(B694&lt;=0,"",LN(B694)),"")</f>
        <v/>
      </c>
      <c r="D694" s="1" t="str">
        <f>IF(ROW()&lt;=Results!$C$1+1,VLOOKUP($A694,Data!$A$2:$C$117,3,TRUE),"")</f>
        <v/>
      </c>
      <c r="E694" s="14" t="str">
        <f>IF(ROW()&lt;=Results!$C$1+1,IF(D694&lt;=0,"",LN(D694)),"")</f>
        <v/>
      </c>
      <c r="F694" s="53" t="str">
        <f>IF(ROW()&lt;=Results!$C$1+1,IF(ISERROR(C694-E694),"",C694-E694),"")</f>
        <v/>
      </c>
    </row>
    <row r="695" spans="1:6" x14ac:dyDescent="0.2">
      <c r="A695" s="1" t="str">
        <f ca="1">IF(ROW()&lt;=Results!$C$1+1,INDEX(Data!$A:$A,CEILING((COUNTA(Data!$A:$A)-1)*RAND()+1,1)),"")</f>
        <v/>
      </c>
      <c r="B695" s="1" t="str">
        <f>IF(ROW()&lt;=Results!$C$1+1,VLOOKUP($A695,Data!$A$2:$C$117,2,TRUE),"")</f>
        <v/>
      </c>
      <c r="C695" s="14" t="str">
        <f>IF(ROW()&lt;=Results!$C$1+1,IF(B695&lt;=0,"",LN(B695)),"")</f>
        <v/>
      </c>
      <c r="D695" s="1" t="str">
        <f>IF(ROW()&lt;=Results!$C$1+1,VLOOKUP($A695,Data!$A$2:$C$117,3,TRUE),"")</f>
        <v/>
      </c>
      <c r="E695" s="14" t="str">
        <f>IF(ROW()&lt;=Results!$C$1+1,IF(D695&lt;=0,"",LN(D695)),"")</f>
        <v/>
      </c>
      <c r="F695" s="53" t="str">
        <f>IF(ROW()&lt;=Results!$C$1+1,IF(ISERROR(C695-E695),"",C695-E695),"")</f>
        <v/>
      </c>
    </row>
    <row r="696" spans="1:6" x14ac:dyDescent="0.2">
      <c r="A696" s="1" t="str">
        <f ca="1">IF(ROW()&lt;=Results!$C$1+1,INDEX(Data!$A:$A,CEILING((COUNTA(Data!$A:$A)-1)*RAND()+1,1)),"")</f>
        <v/>
      </c>
      <c r="B696" s="1" t="str">
        <f>IF(ROW()&lt;=Results!$C$1+1,VLOOKUP($A696,Data!$A$2:$C$117,2,TRUE),"")</f>
        <v/>
      </c>
      <c r="C696" s="14" t="str">
        <f>IF(ROW()&lt;=Results!$C$1+1,IF(B696&lt;=0,"",LN(B696)),"")</f>
        <v/>
      </c>
      <c r="D696" s="1" t="str">
        <f>IF(ROW()&lt;=Results!$C$1+1,VLOOKUP($A696,Data!$A$2:$C$117,3,TRUE),"")</f>
        <v/>
      </c>
      <c r="E696" s="14" t="str">
        <f>IF(ROW()&lt;=Results!$C$1+1,IF(D696&lt;=0,"",LN(D696)),"")</f>
        <v/>
      </c>
      <c r="F696" s="53" t="str">
        <f>IF(ROW()&lt;=Results!$C$1+1,IF(ISERROR(C696-E696),"",C696-E696),"")</f>
        <v/>
      </c>
    </row>
    <row r="697" spans="1:6" x14ac:dyDescent="0.2">
      <c r="A697" s="1" t="str">
        <f ca="1">IF(ROW()&lt;=Results!$C$1+1,INDEX(Data!$A:$A,CEILING((COUNTA(Data!$A:$A)-1)*RAND()+1,1)),"")</f>
        <v/>
      </c>
      <c r="B697" s="1" t="str">
        <f>IF(ROW()&lt;=Results!$C$1+1,VLOOKUP($A697,Data!$A$2:$C$117,2,TRUE),"")</f>
        <v/>
      </c>
      <c r="C697" s="14" t="str">
        <f>IF(ROW()&lt;=Results!$C$1+1,IF(B697&lt;=0,"",LN(B697)),"")</f>
        <v/>
      </c>
      <c r="D697" s="1" t="str">
        <f>IF(ROW()&lt;=Results!$C$1+1,VLOOKUP($A697,Data!$A$2:$C$117,3,TRUE),"")</f>
        <v/>
      </c>
      <c r="E697" s="14" t="str">
        <f>IF(ROW()&lt;=Results!$C$1+1,IF(D697&lt;=0,"",LN(D697)),"")</f>
        <v/>
      </c>
      <c r="F697" s="53" t="str">
        <f>IF(ROW()&lt;=Results!$C$1+1,IF(ISERROR(C697-E697),"",C697-E697),"")</f>
        <v/>
      </c>
    </row>
    <row r="698" spans="1:6" x14ac:dyDescent="0.2">
      <c r="A698" s="1" t="str">
        <f ca="1">IF(ROW()&lt;=Results!$C$1+1,INDEX(Data!$A:$A,CEILING((COUNTA(Data!$A:$A)-1)*RAND()+1,1)),"")</f>
        <v/>
      </c>
      <c r="B698" s="1" t="str">
        <f>IF(ROW()&lt;=Results!$C$1+1,VLOOKUP($A698,Data!$A$2:$C$117,2,TRUE),"")</f>
        <v/>
      </c>
      <c r="C698" s="14" t="str">
        <f>IF(ROW()&lt;=Results!$C$1+1,IF(B698&lt;=0,"",LN(B698)),"")</f>
        <v/>
      </c>
      <c r="D698" s="1" t="str">
        <f>IF(ROW()&lt;=Results!$C$1+1,VLOOKUP($A698,Data!$A$2:$C$117,3,TRUE),"")</f>
        <v/>
      </c>
      <c r="E698" s="14" t="str">
        <f>IF(ROW()&lt;=Results!$C$1+1,IF(D698&lt;=0,"",LN(D698)),"")</f>
        <v/>
      </c>
      <c r="F698" s="53" t="str">
        <f>IF(ROW()&lt;=Results!$C$1+1,IF(ISERROR(C698-E698),"",C698-E698),"")</f>
        <v/>
      </c>
    </row>
    <row r="699" spans="1:6" x14ac:dyDescent="0.2">
      <c r="A699" s="1" t="str">
        <f ca="1">IF(ROW()&lt;=Results!$C$1+1,INDEX(Data!$A:$A,CEILING((COUNTA(Data!$A:$A)-1)*RAND()+1,1)),"")</f>
        <v/>
      </c>
      <c r="B699" s="1" t="str">
        <f>IF(ROW()&lt;=Results!$C$1+1,VLOOKUP($A699,Data!$A$2:$C$117,2,TRUE),"")</f>
        <v/>
      </c>
      <c r="C699" s="14" t="str">
        <f>IF(ROW()&lt;=Results!$C$1+1,IF(B699&lt;=0,"",LN(B699)),"")</f>
        <v/>
      </c>
      <c r="D699" s="1" t="str">
        <f>IF(ROW()&lt;=Results!$C$1+1,VLOOKUP($A699,Data!$A$2:$C$117,3,TRUE),"")</f>
        <v/>
      </c>
      <c r="E699" s="14" t="str">
        <f>IF(ROW()&lt;=Results!$C$1+1,IF(D699&lt;=0,"",LN(D699)),"")</f>
        <v/>
      </c>
      <c r="F699" s="53" t="str">
        <f>IF(ROW()&lt;=Results!$C$1+1,IF(ISERROR(C699-E699),"",C699-E699),"")</f>
        <v/>
      </c>
    </row>
    <row r="700" spans="1:6" x14ac:dyDescent="0.2">
      <c r="A700" s="1" t="str">
        <f ca="1">IF(ROW()&lt;=Results!$C$1+1,INDEX(Data!$A:$A,CEILING((COUNTA(Data!$A:$A)-1)*RAND()+1,1)),"")</f>
        <v/>
      </c>
      <c r="B700" s="1" t="str">
        <f>IF(ROW()&lt;=Results!$C$1+1,VLOOKUP($A700,Data!$A$2:$C$117,2,TRUE),"")</f>
        <v/>
      </c>
      <c r="C700" s="14" t="str">
        <f>IF(ROW()&lt;=Results!$C$1+1,IF(B700&lt;=0,"",LN(B700)),"")</f>
        <v/>
      </c>
      <c r="D700" s="1" t="str">
        <f>IF(ROW()&lt;=Results!$C$1+1,VLOOKUP($A700,Data!$A$2:$C$117,3,TRUE),"")</f>
        <v/>
      </c>
      <c r="E700" s="14" t="str">
        <f>IF(ROW()&lt;=Results!$C$1+1,IF(D700&lt;=0,"",LN(D700)),"")</f>
        <v/>
      </c>
      <c r="F700" s="53" t="str">
        <f>IF(ROW()&lt;=Results!$C$1+1,IF(ISERROR(C700-E700),"",C700-E700),"")</f>
        <v/>
      </c>
    </row>
    <row r="701" spans="1:6" x14ac:dyDescent="0.2">
      <c r="A701" s="1" t="str">
        <f ca="1">IF(ROW()&lt;=Results!$C$1+1,INDEX(Data!$A:$A,CEILING((COUNTA(Data!$A:$A)-1)*RAND()+1,1)),"")</f>
        <v/>
      </c>
      <c r="B701" s="1" t="str">
        <f>IF(ROW()&lt;=Results!$C$1+1,VLOOKUP($A701,Data!$A$2:$C$117,2,TRUE),"")</f>
        <v/>
      </c>
      <c r="C701" s="14" t="str">
        <f>IF(ROW()&lt;=Results!$C$1+1,IF(B701&lt;=0,"",LN(B701)),"")</f>
        <v/>
      </c>
      <c r="D701" s="1" t="str">
        <f>IF(ROW()&lt;=Results!$C$1+1,VLOOKUP($A701,Data!$A$2:$C$117,3,TRUE),"")</f>
        <v/>
      </c>
      <c r="E701" s="14" t="str">
        <f>IF(ROW()&lt;=Results!$C$1+1,IF(D701&lt;=0,"",LN(D701)),"")</f>
        <v/>
      </c>
      <c r="F701" s="53" t="str">
        <f>IF(ROW()&lt;=Results!$C$1+1,IF(ISERROR(C701-E701),"",C701-E701),"")</f>
        <v/>
      </c>
    </row>
    <row r="702" spans="1:6" x14ac:dyDescent="0.2">
      <c r="A702" s="1" t="str">
        <f ca="1">IF(ROW()&lt;=Results!$C$1+1,INDEX(Data!$A:$A,CEILING((COUNTA(Data!$A:$A)-1)*RAND()+1,1)),"")</f>
        <v/>
      </c>
      <c r="B702" s="1" t="str">
        <f>IF(ROW()&lt;=Results!$C$1+1,VLOOKUP($A702,Data!$A$2:$C$117,2,TRUE),"")</f>
        <v/>
      </c>
      <c r="C702" s="14" t="str">
        <f>IF(ROW()&lt;=Results!$C$1+1,IF(B702&lt;=0,"",LN(B702)),"")</f>
        <v/>
      </c>
      <c r="D702" s="1" t="str">
        <f>IF(ROW()&lt;=Results!$C$1+1,VLOOKUP($A702,Data!$A$2:$C$117,3,TRUE),"")</f>
        <v/>
      </c>
      <c r="E702" s="14" t="str">
        <f>IF(ROW()&lt;=Results!$C$1+1,IF(D702&lt;=0,"",LN(D702)),"")</f>
        <v/>
      </c>
      <c r="F702" s="53" t="str">
        <f>IF(ROW()&lt;=Results!$C$1+1,IF(ISERROR(C702-E702),"",C702-E702),"")</f>
        <v/>
      </c>
    </row>
    <row r="703" spans="1:6" x14ac:dyDescent="0.2">
      <c r="A703" s="1" t="str">
        <f ca="1">IF(ROW()&lt;=Results!$C$1+1,INDEX(Data!$A:$A,CEILING((COUNTA(Data!$A:$A)-1)*RAND()+1,1)),"")</f>
        <v/>
      </c>
      <c r="B703" s="1" t="str">
        <f>IF(ROW()&lt;=Results!$C$1+1,VLOOKUP($A703,Data!$A$2:$C$117,2,TRUE),"")</f>
        <v/>
      </c>
      <c r="C703" s="14" t="str">
        <f>IF(ROW()&lt;=Results!$C$1+1,IF(B703&lt;=0,"",LN(B703)),"")</f>
        <v/>
      </c>
      <c r="D703" s="1" t="str">
        <f>IF(ROW()&lt;=Results!$C$1+1,VLOOKUP($A703,Data!$A$2:$C$117,3,TRUE),"")</f>
        <v/>
      </c>
      <c r="E703" s="14" t="str">
        <f>IF(ROW()&lt;=Results!$C$1+1,IF(D703&lt;=0,"",LN(D703)),"")</f>
        <v/>
      </c>
      <c r="F703" s="53" t="str">
        <f>IF(ROW()&lt;=Results!$C$1+1,IF(ISERROR(C703-E703),"",C703-E703),"")</f>
        <v/>
      </c>
    </row>
    <row r="704" spans="1:6" x14ac:dyDescent="0.2">
      <c r="A704" s="1" t="str">
        <f ca="1">IF(ROW()&lt;=Results!$C$1+1,INDEX(Data!$A:$A,CEILING((COUNTA(Data!$A:$A)-1)*RAND()+1,1)),"")</f>
        <v/>
      </c>
      <c r="B704" s="1" t="str">
        <f>IF(ROW()&lt;=Results!$C$1+1,VLOOKUP($A704,Data!$A$2:$C$117,2,TRUE),"")</f>
        <v/>
      </c>
      <c r="C704" s="14" t="str">
        <f>IF(ROW()&lt;=Results!$C$1+1,IF(B704&lt;=0,"",LN(B704)),"")</f>
        <v/>
      </c>
      <c r="D704" s="1" t="str">
        <f>IF(ROW()&lt;=Results!$C$1+1,VLOOKUP($A704,Data!$A$2:$C$117,3,TRUE),"")</f>
        <v/>
      </c>
      <c r="E704" s="14" t="str">
        <f>IF(ROW()&lt;=Results!$C$1+1,IF(D704&lt;=0,"",LN(D704)),"")</f>
        <v/>
      </c>
      <c r="F704" s="53" t="str">
        <f>IF(ROW()&lt;=Results!$C$1+1,IF(ISERROR(C704-E704),"",C704-E704),"")</f>
        <v/>
      </c>
    </row>
    <row r="705" spans="1:6" x14ac:dyDescent="0.2">
      <c r="A705" s="1" t="str">
        <f ca="1">IF(ROW()&lt;=Results!$C$1+1,INDEX(Data!$A:$A,CEILING((COUNTA(Data!$A:$A)-1)*RAND()+1,1)),"")</f>
        <v/>
      </c>
      <c r="B705" s="1" t="str">
        <f>IF(ROW()&lt;=Results!$C$1+1,VLOOKUP($A705,Data!$A$2:$C$117,2,TRUE),"")</f>
        <v/>
      </c>
      <c r="C705" s="14" t="str">
        <f>IF(ROW()&lt;=Results!$C$1+1,IF(B705&lt;=0,"",LN(B705)),"")</f>
        <v/>
      </c>
      <c r="D705" s="1" t="str">
        <f>IF(ROW()&lt;=Results!$C$1+1,VLOOKUP($A705,Data!$A$2:$C$117,3,TRUE),"")</f>
        <v/>
      </c>
      <c r="E705" s="14" t="str">
        <f>IF(ROW()&lt;=Results!$C$1+1,IF(D705&lt;=0,"",LN(D705)),"")</f>
        <v/>
      </c>
      <c r="F705" s="53" t="str">
        <f>IF(ROW()&lt;=Results!$C$1+1,IF(ISERROR(C705-E705),"",C705-E705),"")</f>
        <v/>
      </c>
    </row>
    <row r="706" spans="1:6" x14ac:dyDescent="0.2">
      <c r="A706" s="1" t="str">
        <f ca="1">IF(ROW()&lt;=Results!$C$1+1,INDEX(Data!$A:$A,CEILING((COUNTA(Data!$A:$A)-1)*RAND()+1,1)),"")</f>
        <v/>
      </c>
      <c r="B706" s="1" t="str">
        <f>IF(ROW()&lt;=Results!$C$1+1,VLOOKUP($A706,Data!$A$2:$C$117,2,TRUE),"")</f>
        <v/>
      </c>
      <c r="C706" s="14" t="str">
        <f>IF(ROW()&lt;=Results!$C$1+1,IF(B706&lt;=0,"",LN(B706)),"")</f>
        <v/>
      </c>
      <c r="D706" s="1" t="str">
        <f>IF(ROW()&lt;=Results!$C$1+1,VLOOKUP($A706,Data!$A$2:$C$117,3,TRUE),"")</f>
        <v/>
      </c>
      <c r="E706" s="14" t="str">
        <f>IF(ROW()&lt;=Results!$C$1+1,IF(D706&lt;=0,"",LN(D706)),"")</f>
        <v/>
      </c>
      <c r="F706" s="53" t="str">
        <f>IF(ROW()&lt;=Results!$C$1+1,IF(ISERROR(C706-E706),"",C706-E706),"")</f>
        <v/>
      </c>
    </row>
    <row r="707" spans="1:6" x14ac:dyDescent="0.2">
      <c r="A707" s="1" t="str">
        <f ca="1">IF(ROW()&lt;=Results!$C$1+1,INDEX(Data!$A:$A,CEILING((COUNTA(Data!$A:$A)-1)*RAND()+1,1)),"")</f>
        <v/>
      </c>
      <c r="B707" s="1" t="str">
        <f>IF(ROW()&lt;=Results!$C$1+1,VLOOKUP($A707,Data!$A$2:$C$117,2,TRUE),"")</f>
        <v/>
      </c>
      <c r="C707" s="14" t="str">
        <f>IF(ROW()&lt;=Results!$C$1+1,IF(B707&lt;=0,"",LN(B707)),"")</f>
        <v/>
      </c>
      <c r="D707" s="1" t="str">
        <f>IF(ROW()&lt;=Results!$C$1+1,VLOOKUP($A707,Data!$A$2:$C$117,3,TRUE),"")</f>
        <v/>
      </c>
      <c r="E707" s="14" t="str">
        <f>IF(ROW()&lt;=Results!$C$1+1,IF(D707&lt;=0,"",LN(D707)),"")</f>
        <v/>
      </c>
      <c r="F707" s="53" t="str">
        <f>IF(ROW()&lt;=Results!$C$1+1,IF(ISERROR(C707-E707),"",C707-E707),"")</f>
        <v/>
      </c>
    </row>
    <row r="708" spans="1:6" x14ac:dyDescent="0.2">
      <c r="A708" s="1" t="str">
        <f ca="1">IF(ROW()&lt;=Results!$C$1+1,INDEX(Data!$A:$A,CEILING((COUNTA(Data!$A:$A)-1)*RAND()+1,1)),"")</f>
        <v/>
      </c>
      <c r="B708" s="1" t="str">
        <f>IF(ROW()&lt;=Results!$C$1+1,VLOOKUP($A708,Data!$A$2:$C$117,2,TRUE),"")</f>
        <v/>
      </c>
      <c r="C708" s="14" t="str">
        <f>IF(ROW()&lt;=Results!$C$1+1,IF(B708&lt;=0,"",LN(B708)),"")</f>
        <v/>
      </c>
      <c r="D708" s="1" t="str">
        <f>IF(ROW()&lt;=Results!$C$1+1,VLOOKUP($A708,Data!$A$2:$C$117,3,TRUE),"")</f>
        <v/>
      </c>
      <c r="E708" s="14" t="str">
        <f>IF(ROW()&lt;=Results!$C$1+1,IF(D708&lt;=0,"",LN(D708)),"")</f>
        <v/>
      </c>
      <c r="F708" s="53" t="str">
        <f>IF(ROW()&lt;=Results!$C$1+1,IF(ISERROR(C708-E708),"",C708-E708),"")</f>
        <v/>
      </c>
    </row>
    <row r="709" spans="1:6" x14ac:dyDescent="0.2">
      <c r="A709" s="1" t="str">
        <f ca="1">IF(ROW()&lt;=Results!$C$1+1,INDEX(Data!$A:$A,CEILING((COUNTA(Data!$A:$A)-1)*RAND()+1,1)),"")</f>
        <v/>
      </c>
      <c r="B709" s="1" t="str">
        <f>IF(ROW()&lt;=Results!$C$1+1,VLOOKUP($A709,Data!$A$2:$C$117,2,TRUE),"")</f>
        <v/>
      </c>
      <c r="C709" s="14" t="str">
        <f>IF(ROW()&lt;=Results!$C$1+1,IF(B709&lt;=0,"",LN(B709)),"")</f>
        <v/>
      </c>
      <c r="D709" s="1" t="str">
        <f>IF(ROW()&lt;=Results!$C$1+1,VLOOKUP($A709,Data!$A$2:$C$117,3,TRUE),"")</f>
        <v/>
      </c>
      <c r="E709" s="14" t="str">
        <f>IF(ROW()&lt;=Results!$C$1+1,IF(D709&lt;=0,"",LN(D709)),"")</f>
        <v/>
      </c>
      <c r="F709" s="53" t="str">
        <f>IF(ROW()&lt;=Results!$C$1+1,IF(ISERROR(C709-E709),"",C709-E709),"")</f>
        <v/>
      </c>
    </row>
    <row r="710" spans="1:6" x14ac:dyDescent="0.2">
      <c r="A710" s="1" t="str">
        <f ca="1">IF(ROW()&lt;=Results!$C$1+1,INDEX(Data!$A:$A,CEILING((COUNTA(Data!$A:$A)-1)*RAND()+1,1)),"")</f>
        <v/>
      </c>
      <c r="B710" s="1" t="str">
        <f>IF(ROW()&lt;=Results!$C$1+1,VLOOKUP($A710,Data!$A$2:$C$117,2,TRUE),"")</f>
        <v/>
      </c>
      <c r="C710" s="14" t="str">
        <f>IF(ROW()&lt;=Results!$C$1+1,IF(B710&lt;=0,"",LN(B710)),"")</f>
        <v/>
      </c>
      <c r="D710" s="1" t="str">
        <f>IF(ROW()&lt;=Results!$C$1+1,VLOOKUP($A710,Data!$A$2:$C$117,3,TRUE),"")</f>
        <v/>
      </c>
      <c r="E710" s="14" t="str">
        <f>IF(ROW()&lt;=Results!$C$1+1,IF(D710&lt;=0,"",LN(D710)),"")</f>
        <v/>
      </c>
      <c r="F710" s="53" t="str">
        <f>IF(ROW()&lt;=Results!$C$1+1,IF(ISERROR(C710-E710),"",C710-E710),"")</f>
        <v/>
      </c>
    </row>
    <row r="711" spans="1:6" x14ac:dyDescent="0.2">
      <c r="A711" s="1" t="str">
        <f ca="1">IF(ROW()&lt;=Results!$C$1+1,INDEX(Data!$A:$A,CEILING((COUNTA(Data!$A:$A)-1)*RAND()+1,1)),"")</f>
        <v/>
      </c>
      <c r="B711" s="1" t="str">
        <f>IF(ROW()&lt;=Results!$C$1+1,VLOOKUP($A711,Data!$A$2:$C$117,2,TRUE),"")</f>
        <v/>
      </c>
      <c r="C711" s="14" t="str">
        <f>IF(ROW()&lt;=Results!$C$1+1,IF(B711&lt;=0,"",LN(B711)),"")</f>
        <v/>
      </c>
      <c r="D711" s="1" t="str">
        <f>IF(ROW()&lt;=Results!$C$1+1,VLOOKUP($A711,Data!$A$2:$C$117,3,TRUE),"")</f>
        <v/>
      </c>
      <c r="E711" s="14" t="str">
        <f>IF(ROW()&lt;=Results!$C$1+1,IF(D711&lt;=0,"",LN(D711)),"")</f>
        <v/>
      </c>
      <c r="F711" s="53" t="str">
        <f>IF(ROW()&lt;=Results!$C$1+1,IF(ISERROR(C711-E711),"",C711-E711),"")</f>
        <v/>
      </c>
    </row>
    <row r="712" spans="1:6" x14ac:dyDescent="0.2">
      <c r="A712" s="1" t="str">
        <f ca="1">IF(ROW()&lt;=Results!$C$1+1,INDEX(Data!$A:$A,CEILING((COUNTA(Data!$A:$A)-1)*RAND()+1,1)),"")</f>
        <v/>
      </c>
      <c r="B712" s="1" t="str">
        <f>IF(ROW()&lt;=Results!$C$1+1,VLOOKUP($A712,Data!$A$2:$C$117,2,TRUE),"")</f>
        <v/>
      </c>
      <c r="C712" s="14" t="str">
        <f>IF(ROW()&lt;=Results!$C$1+1,IF(B712&lt;=0,"",LN(B712)),"")</f>
        <v/>
      </c>
      <c r="D712" s="1" t="str">
        <f>IF(ROW()&lt;=Results!$C$1+1,VLOOKUP($A712,Data!$A$2:$C$117,3,TRUE),"")</f>
        <v/>
      </c>
      <c r="E712" s="14" t="str">
        <f>IF(ROW()&lt;=Results!$C$1+1,IF(D712&lt;=0,"",LN(D712)),"")</f>
        <v/>
      </c>
      <c r="F712" s="53" t="str">
        <f>IF(ROW()&lt;=Results!$C$1+1,IF(ISERROR(C712-E712),"",C712-E712),"")</f>
        <v/>
      </c>
    </row>
    <row r="713" spans="1:6" x14ac:dyDescent="0.2">
      <c r="A713" s="1" t="str">
        <f ca="1">IF(ROW()&lt;=Results!$C$1+1,INDEX(Data!$A:$A,CEILING((COUNTA(Data!$A:$A)-1)*RAND()+1,1)),"")</f>
        <v/>
      </c>
      <c r="B713" s="1" t="str">
        <f>IF(ROW()&lt;=Results!$C$1+1,VLOOKUP($A713,Data!$A$2:$C$117,2,TRUE),"")</f>
        <v/>
      </c>
      <c r="C713" s="14" t="str">
        <f>IF(ROW()&lt;=Results!$C$1+1,IF(B713&lt;=0,"",LN(B713)),"")</f>
        <v/>
      </c>
      <c r="D713" s="1" t="str">
        <f>IF(ROW()&lt;=Results!$C$1+1,VLOOKUP($A713,Data!$A$2:$C$117,3,TRUE),"")</f>
        <v/>
      </c>
      <c r="E713" s="14" t="str">
        <f>IF(ROW()&lt;=Results!$C$1+1,IF(D713&lt;=0,"",LN(D713)),"")</f>
        <v/>
      </c>
      <c r="F713" s="53" t="str">
        <f>IF(ROW()&lt;=Results!$C$1+1,IF(ISERROR(C713-E713),"",C713-E713),"")</f>
        <v/>
      </c>
    </row>
    <row r="714" spans="1:6" x14ac:dyDescent="0.2">
      <c r="A714" s="1" t="str">
        <f ca="1">IF(ROW()&lt;=Results!$C$1+1,INDEX(Data!$A:$A,CEILING((COUNTA(Data!$A:$A)-1)*RAND()+1,1)),"")</f>
        <v/>
      </c>
      <c r="B714" s="1" t="str">
        <f>IF(ROW()&lt;=Results!$C$1+1,VLOOKUP($A714,Data!$A$2:$C$117,2,TRUE),"")</f>
        <v/>
      </c>
      <c r="C714" s="14" t="str">
        <f>IF(ROW()&lt;=Results!$C$1+1,IF(B714&lt;=0,"",LN(B714)),"")</f>
        <v/>
      </c>
      <c r="D714" s="1" t="str">
        <f>IF(ROW()&lt;=Results!$C$1+1,VLOOKUP($A714,Data!$A$2:$C$117,3,TRUE),"")</f>
        <v/>
      </c>
      <c r="E714" s="14" t="str">
        <f>IF(ROW()&lt;=Results!$C$1+1,IF(D714&lt;=0,"",LN(D714)),"")</f>
        <v/>
      </c>
      <c r="F714" s="53" t="str">
        <f>IF(ROW()&lt;=Results!$C$1+1,IF(ISERROR(C714-E714),"",C714-E714),"")</f>
        <v/>
      </c>
    </row>
    <row r="715" spans="1:6" x14ac:dyDescent="0.2">
      <c r="A715" s="1" t="str">
        <f ca="1">IF(ROW()&lt;=Results!$C$1+1,INDEX(Data!$A:$A,CEILING((COUNTA(Data!$A:$A)-1)*RAND()+1,1)),"")</f>
        <v/>
      </c>
      <c r="B715" s="1" t="str">
        <f>IF(ROW()&lt;=Results!$C$1+1,VLOOKUP($A715,Data!$A$2:$C$117,2,TRUE),"")</f>
        <v/>
      </c>
      <c r="C715" s="14" t="str">
        <f>IF(ROW()&lt;=Results!$C$1+1,IF(B715&lt;=0,"",LN(B715)),"")</f>
        <v/>
      </c>
      <c r="D715" s="1" t="str">
        <f>IF(ROW()&lt;=Results!$C$1+1,VLOOKUP($A715,Data!$A$2:$C$117,3,TRUE),"")</f>
        <v/>
      </c>
      <c r="E715" s="14" t="str">
        <f>IF(ROW()&lt;=Results!$C$1+1,IF(D715&lt;=0,"",LN(D715)),"")</f>
        <v/>
      </c>
      <c r="F715" s="53" t="str">
        <f>IF(ROW()&lt;=Results!$C$1+1,IF(ISERROR(C715-E715),"",C715-E715),"")</f>
        <v/>
      </c>
    </row>
    <row r="716" spans="1:6" x14ac:dyDescent="0.2">
      <c r="A716" s="1" t="str">
        <f ca="1">IF(ROW()&lt;=Results!$C$1+1,INDEX(Data!$A:$A,CEILING((COUNTA(Data!$A:$A)-1)*RAND()+1,1)),"")</f>
        <v/>
      </c>
      <c r="B716" s="1" t="str">
        <f>IF(ROW()&lt;=Results!$C$1+1,VLOOKUP($A716,Data!$A$2:$C$117,2,TRUE),"")</f>
        <v/>
      </c>
      <c r="C716" s="14" t="str">
        <f>IF(ROW()&lt;=Results!$C$1+1,IF(B716&lt;=0,"",LN(B716)),"")</f>
        <v/>
      </c>
      <c r="D716" s="1" t="str">
        <f>IF(ROW()&lt;=Results!$C$1+1,VLOOKUP($A716,Data!$A$2:$C$117,3,TRUE),"")</f>
        <v/>
      </c>
      <c r="E716" s="14" t="str">
        <f>IF(ROW()&lt;=Results!$C$1+1,IF(D716&lt;=0,"",LN(D716)),"")</f>
        <v/>
      </c>
      <c r="F716" s="53" t="str">
        <f>IF(ROW()&lt;=Results!$C$1+1,IF(ISERROR(C716-E716),"",C716-E716),"")</f>
        <v/>
      </c>
    </row>
    <row r="717" spans="1:6" x14ac:dyDescent="0.2">
      <c r="A717" s="1" t="str">
        <f ca="1">IF(ROW()&lt;=Results!$C$1+1,INDEX(Data!$A:$A,CEILING((COUNTA(Data!$A:$A)-1)*RAND()+1,1)),"")</f>
        <v/>
      </c>
      <c r="B717" s="1" t="str">
        <f>IF(ROW()&lt;=Results!$C$1+1,VLOOKUP($A717,Data!$A$2:$C$117,2,TRUE),"")</f>
        <v/>
      </c>
      <c r="C717" s="14" t="str">
        <f>IF(ROW()&lt;=Results!$C$1+1,IF(B717&lt;=0,"",LN(B717)),"")</f>
        <v/>
      </c>
      <c r="D717" s="1" t="str">
        <f>IF(ROW()&lt;=Results!$C$1+1,VLOOKUP($A717,Data!$A$2:$C$117,3,TRUE),"")</f>
        <v/>
      </c>
      <c r="E717" s="14" t="str">
        <f>IF(ROW()&lt;=Results!$C$1+1,IF(D717&lt;=0,"",LN(D717)),"")</f>
        <v/>
      </c>
      <c r="F717" s="53" t="str">
        <f>IF(ROW()&lt;=Results!$C$1+1,IF(ISERROR(C717-E717),"",C717-E717),"")</f>
        <v/>
      </c>
    </row>
    <row r="718" spans="1:6" x14ac:dyDescent="0.2">
      <c r="A718" s="1" t="str">
        <f ca="1">IF(ROW()&lt;=Results!$C$1+1,INDEX(Data!$A:$A,CEILING((COUNTA(Data!$A:$A)-1)*RAND()+1,1)),"")</f>
        <v/>
      </c>
      <c r="B718" s="1" t="str">
        <f>IF(ROW()&lt;=Results!$C$1+1,VLOOKUP($A718,Data!$A$2:$C$117,2,TRUE),"")</f>
        <v/>
      </c>
      <c r="C718" s="14" t="str">
        <f>IF(ROW()&lt;=Results!$C$1+1,IF(B718&lt;=0,"",LN(B718)),"")</f>
        <v/>
      </c>
      <c r="D718" s="1" t="str">
        <f>IF(ROW()&lt;=Results!$C$1+1,VLOOKUP($A718,Data!$A$2:$C$117,3,TRUE),"")</f>
        <v/>
      </c>
      <c r="E718" s="14" t="str">
        <f>IF(ROW()&lt;=Results!$C$1+1,IF(D718&lt;=0,"",LN(D718)),"")</f>
        <v/>
      </c>
      <c r="F718" s="53" t="str">
        <f>IF(ROW()&lt;=Results!$C$1+1,IF(ISERROR(C718-E718),"",C718-E718),"")</f>
        <v/>
      </c>
    </row>
    <row r="719" spans="1:6" x14ac:dyDescent="0.2">
      <c r="A719" s="1" t="str">
        <f ca="1">IF(ROW()&lt;=Results!$C$1+1,INDEX(Data!$A:$A,CEILING((COUNTA(Data!$A:$A)-1)*RAND()+1,1)),"")</f>
        <v/>
      </c>
      <c r="B719" s="1" t="str">
        <f>IF(ROW()&lt;=Results!$C$1+1,VLOOKUP($A719,Data!$A$2:$C$117,2,TRUE),"")</f>
        <v/>
      </c>
      <c r="C719" s="14" t="str">
        <f>IF(ROW()&lt;=Results!$C$1+1,IF(B719&lt;=0,"",LN(B719)),"")</f>
        <v/>
      </c>
      <c r="D719" s="1" t="str">
        <f>IF(ROW()&lt;=Results!$C$1+1,VLOOKUP($A719,Data!$A$2:$C$117,3,TRUE),"")</f>
        <v/>
      </c>
      <c r="E719" s="14" t="str">
        <f>IF(ROW()&lt;=Results!$C$1+1,IF(D719&lt;=0,"",LN(D719)),"")</f>
        <v/>
      </c>
      <c r="F719" s="53" t="str">
        <f>IF(ROW()&lt;=Results!$C$1+1,IF(ISERROR(C719-E719),"",C719-E719),"")</f>
        <v/>
      </c>
    </row>
    <row r="720" spans="1:6" x14ac:dyDescent="0.2">
      <c r="A720" s="1" t="str">
        <f ca="1">IF(ROW()&lt;=Results!$C$1+1,INDEX(Data!$A:$A,CEILING((COUNTA(Data!$A:$A)-1)*RAND()+1,1)),"")</f>
        <v/>
      </c>
      <c r="B720" s="1" t="str">
        <f>IF(ROW()&lt;=Results!$C$1+1,VLOOKUP($A720,Data!$A$2:$C$117,2,TRUE),"")</f>
        <v/>
      </c>
      <c r="C720" s="14" t="str">
        <f>IF(ROW()&lt;=Results!$C$1+1,IF(B720&lt;=0,"",LN(B720)),"")</f>
        <v/>
      </c>
      <c r="D720" s="1" t="str">
        <f>IF(ROW()&lt;=Results!$C$1+1,VLOOKUP($A720,Data!$A$2:$C$117,3,TRUE),"")</f>
        <v/>
      </c>
      <c r="E720" s="14" t="str">
        <f>IF(ROW()&lt;=Results!$C$1+1,IF(D720&lt;=0,"",LN(D720)),"")</f>
        <v/>
      </c>
      <c r="F720" s="53" t="str">
        <f>IF(ROW()&lt;=Results!$C$1+1,IF(ISERROR(C720-E720),"",C720-E720),"")</f>
        <v/>
      </c>
    </row>
    <row r="721" spans="1:6" x14ac:dyDescent="0.2">
      <c r="A721" s="1" t="str">
        <f ca="1">IF(ROW()&lt;=Results!$C$1+1,INDEX(Data!$A:$A,CEILING((COUNTA(Data!$A:$A)-1)*RAND()+1,1)),"")</f>
        <v/>
      </c>
      <c r="B721" s="1" t="str">
        <f>IF(ROW()&lt;=Results!$C$1+1,VLOOKUP($A721,Data!$A$2:$C$117,2,TRUE),"")</f>
        <v/>
      </c>
      <c r="C721" s="14" t="str">
        <f>IF(ROW()&lt;=Results!$C$1+1,IF(B721&lt;=0,"",LN(B721)),"")</f>
        <v/>
      </c>
      <c r="D721" s="1" t="str">
        <f>IF(ROW()&lt;=Results!$C$1+1,VLOOKUP($A721,Data!$A$2:$C$117,3,TRUE),"")</f>
        <v/>
      </c>
      <c r="E721" s="14" t="str">
        <f>IF(ROW()&lt;=Results!$C$1+1,IF(D721&lt;=0,"",LN(D721)),"")</f>
        <v/>
      </c>
      <c r="F721" s="53" t="str">
        <f>IF(ROW()&lt;=Results!$C$1+1,IF(ISERROR(C721-E721),"",C721-E721),"")</f>
        <v/>
      </c>
    </row>
    <row r="722" spans="1:6" x14ac:dyDescent="0.2">
      <c r="A722" s="1" t="str">
        <f ca="1">IF(ROW()&lt;=Results!$C$1+1,INDEX(Data!$A:$A,CEILING((COUNTA(Data!$A:$A)-1)*RAND()+1,1)),"")</f>
        <v/>
      </c>
      <c r="B722" s="1" t="str">
        <f>IF(ROW()&lt;=Results!$C$1+1,VLOOKUP($A722,Data!$A$2:$C$117,2,TRUE),"")</f>
        <v/>
      </c>
      <c r="C722" s="14" t="str">
        <f>IF(ROW()&lt;=Results!$C$1+1,IF(B722&lt;=0,"",LN(B722)),"")</f>
        <v/>
      </c>
      <c r="D722" s="1" t="str">
        <f>IF(ROW()&lt;=Results!$C$1+1,VLOOKUP($A722,Data!$A$2:$C$117,3,TRUE),"")</f>
        <v/>
      </c>
      <c r="E722" s="14" t="str">
        <f>IF(ROW()&lt;=Results!$C$1+1,IF(D722&lt;=0,"",LN(D722)),"")</f>
        <v/>
      </c>
      <c r="F722" s="53" t="str">
        <f>IF(ROW()&lt;=Results!$C$1+1,IF(ISERROR(C722-E722),"",C722-E722),"")</f>
        <v/>
      </c>
    </row>
    <row r="723" spans="1:6" x14ac:dyDescent="0.2">
      <c r="A723" s="1" t="str">
        <f ca="1">IF(ROW()&lt;=Results!$C$1+1,INDEX(Data!$A:$A,CEILING((COUNTA(Data!$A:$A)-1)*RAND()+1,1)),"")</f>
        <v/>
      </c>
      <c r="B723" s="1" t="str">
        <f>IF(ROW()&lt;=Results!$C$1+1,VLOOKUP($A723,Data!$A$2:$C$117,2,TRUE),"")</f>
        <v/>
      </c>
      <c r="C723" s="14" t="str">
        <f>IF(ROW()&lt;=Results!$C$1+1,IF(B723&lt;=0,"",LN(B723)),"")</f>
        <v/>
      </c>
      <c r="D723" s="1" t="str">
        <f>IF(ROW()&lt;=Results!$C$1+1,VLOOKUP($A723,Data!$A$2:$C$117,3,TRUE),"")</f>
        <v/>
      </c>
      <c r="E723" s="14" t="str">
        <f>IF(ROW()&lt;=Results!$C$1+1,IF(D723&lt;=0,"",LN(D723)),"")</f>
        <v/>
      </c>
      <c r="F723" s="53" t="str">
        <f>IF(ROW()&lt;=Results!$C$1+1,IF(ISERROR(C723-E723),"",C723-E723),"")</f>
        <v/>
      </c>
    </row>
    <row r="724" spans="1:6" x14ac:dyDescent="0.2">
      <c r="A724" s="1" t="str">
        <f ca="1">IF(ROW()&lt;=Results!$C$1+1,INDEX(Data!$A:$A,CEILING((COUNTA(Data!$A:$A)-1)*RAND()+1,1)),"")</f>
        <v/>
      </c>
      <c r="B724" s="1" t="str">
        <f>IF(ROW()&lt;=Results!$C$1+1,VLOOKUP($A724,Data!$A$2:$C$117,2,TRUE),"")</f>
        <v/>
      </c>
      <c r="C724" s="14" t="str">
        <f>IF(ROW()&lt;=Results!$C$1+1,IF(B724&lt;=0,"",LN(B724)),"")</f>
        <v/>
      </c>
      <c r="D724" s="1" t="str">
        <f>IF(ROW()&lt;=Results!$C$1+1,VLOOKUP($A724,Data!$A$2:$C$117,3,TRUE),"")</f>
        <v/>
      </c>
      <c r="E724" s="14" t="str">
        <f>IF(ROW()&lt;=Results!$C$1+1,IF(D724&lt;=0,"",LN(D724)),"")</f>
        <v/>
      </c>
      <c r="F724" s="53" t="str">
        <f>IF(ROW()&lt;=Results!$C$1+1,IF(ISERROR(C724-E724),"",C724-E724),"")</f>
        <v/>
      </c>
    </row>
    <row r="725" spans="1:6" x14ac:dyDescent="0.2">
      <c r="A725" s="1" t="str">
        <f ca="1">IF(ROW()&lt;=Results!$C$1+1,INDEX(Data!$A:$A,CEILING((COUNTA(Data!$A:$A)-1)*RAND()+1,1)),"")</f>
        <v/>
      </c>
      <c r="B725" s="1" t="str">
        <f>IF(ROW()&lt;=Results!$C$1+1,VLOOKUP($A725,Data!$A$2:$C$117,2,TRUE),"")</f>
        <v/>
      </c>
      <c r="C725" s="14" t="str">
        <f>IF(ROW()&lt;=Results!$C$1+1,IF(B725&lt;=0,"",LN(B725)),"")</f>
        <v/>
      </c>
      <c r="D725" s="1" t="str">
        <f>IF(ROW()&lt;=Results!$C$1+1,VLOOKUP($A725,Data!$A$2:$C$117,3,TRUE),"")</f>
        <v/>
      </c>
      <c r="E725" s="14" t="str">
        <f>IF(ROW()&lt;=Results!$C$1+1,IF(D725&lt;=0,"",LN(D725)),"")</f>
        <v/>
      </c>
      <c r="F725" s="53" t="str">
        <f>IF(ROW()&lt;=Results!$C$1+1,IF(ISERROR(C725-E725),"",C725-E725),"")</f>
        <v/>
      </c>
    </row>
    <row r="726" spans="1:6" x14ac:dyDescent="0.2">
      <c r="A726" s="1" t="str">
        <f ca="1">IF(ROW()&lt;=Results!$C$1+1,INDEX(Data!$A:$A,CEILING((COUNTA(Data!$A:$A)-1)*RAND()+1,1)),"")</f>
        <v/>
      </c>
      <c r="B726" s="1" t="str">
        <f>IF(ROW()&lt;=Results!$C$1+1,VLOOKUP($A726,Data!$A$2:$C$117,2,TRUE),"")</f>
        <v/>
      </c>
      <c r="C726" s="14" t="str">
        <f>IF(ROW()&lt;=Results!$C$1+1,IF(B726&lt;=0,"",LN(B726)),"")</f>
        <v/>
      </c>
      <c r="D726" s="1" t="str">
        <f>IF(ROW()&lt;=Results!$C$1+1,VLOOKUP($A726,Data!$A$2:$C$117,3,TRUE),"")</f>
        <v/>
      </c>
      <c r="E726" s="14" t="str">
        <f>IF(ROW()&lt;=Results!$C$1+1,IF(D726&lt;=0,"",LN(D726)),"")</f>
        <v/>
      </c>
      <c r="F726" s="53" t="str">
        <f>IF(ROW()&lt;=Results!$C$1+1,IF(ISERROR(C726-E726),"",C726-E726),"")</f>
        <v/>
      </c>
    </row>
    <row r="727" spans="1:6" x14ac:dyDescent="0.2">
      <c r="A727" s="1" t="str">
        <f ca="1">IF(ROW()&lt;=Results!$C$1+1,INDEX(Data!$A:$A,CEILING((COUNTA(Data!$A:$A)-1)*RAND()+1,1)),"")</f>
        <v/>
      </c>
      <c r="B727" s="1" t="str">
        <f>IF(ROW()&lt;=Results!$C$1+1,VLOOKUP($A727,Data!$A$2:$C$117,2,TRUE),"")</f>
        <v/>
      </c>
      <c r="C727" s="14" t="str">
        <f>IF(ROW()&lt;=Results!$C$1+1,IF(B727&lt;=0,"",LN(B727)),"")</f>
        <v/>
      </c>
      <c r="D727" s="1" t="str">
        <f>IF(ROW()&lt;=Results!$C$1+1,VLOOKUP($A727,Data!$A$2:$C$117,3,TRUE),"")</f>
        <v/>
      </c>
      <c r="E727" s="14" t="str">
        <f>IF(ROW()&lt;=Results!$C$1+1,IF(D727&lt;=0,"",LN(D727)),"")</f>
        <v/>
      </c>
      <c r="F727" s="53" t="str">
        <f>IF(ROW()&lt;=Results!$C$1+1,IF(ISERROR(C727-E727),"",C727-E727),"")</f>
        <v/>
      </c>
    </row>
    <row r="728" spans="1:6" x14ac:dyDescent="0.2">
      <c r="A728" s="1" t="str">
        <f ca="1">IF(ROW()&lt;=Results!$C$1+1,INDEX(Data!$A:$A,CEILING((COUNTA(Data!$A:$A)-1)*RAND()+1,1)),"")</f>
        <v/>
      </c>
      <c r="B728" s="1" t="str">
        <f>IF(ROW()&lt;=Results!$C$1+1,VLOOKUP($A728,Data!$A$2:$C$117,2,TRUE),"")</f>
        <v/>
      </c>
      <c r="C728" s="14" t="str">
        <f>IF(ROW()&lt;=Results!$C$1+1,IF(B728&lt;=0,"",LN(B728)),"")</f>
        <v/>
      </c>
      <c r="D728" s="1" t="str">
        <f>IF(ROW()&lt;=Results!$C$1+1,VLOOKUP($A728,Data!$A$2:$C$117,3,TRUE),"")</f>
        <v/>
      </c>
      <c r="E728" s="14" t="str">
        <f>IF(ROW()&lt;=Results!$C$1+1,IF(D728&lt;=0,"",LN(D728)),"")</f>
        <v/>
      </c>
      <c r="F728" s="53" t="str">
        <f>IF(ROW()&lt;=Results!$C$1+1,IF(ISERROR(C728-E728),"",C728-E728),"")</f>
        <v/>
      </c>
    </row>
    <row r="729" spans="1:6" x14ac:dyDescent="0.2">
      <c r="A729" s="1" t="str">
        <f ca="1">IF(ROW()&lt;=Results!$C$1+1,INDEX(Data!$A:$A,CEILING((COUNTA(Data!$A:$A)-1)*RAND()+1,1)),"")</f>
        <v/>
      </c>
      <c r="B729" s="1" t="str">
        <f>IF(ROW()&lt;=Results!$C$1+1,VLOOKUP($A729,Data!$A$2:$C$117,2,TRUE),"")</f>
        <v/>
      </c>
      <c r="C729" s="14" t="str">
        <f>IF(ROW()&lt;=Results!$C$1+1,IF(B729&lt;=0,"",LN(B729)),"")</f>
        <v/>
      </c>
      <c r="D729" s="1" t="str">
        <f>IF(ROW()&lt;=Results!$C$1+1,VLOOKUP($A729,Data!$A$2:$C$117,3,TRUE),"")</f>
        <v/>
      </c>
      <c r="E729" s="14" t="str">
        <f>IF(ROW()&lt;=Results!$C$1+1,IF(D729&lt;=0,"",LN(D729)),"")</f>
        <v/>
      </c>
      <c r="F729" s="53" t="str">
        <f>IF(ROW()&lt;=Results!$C$1+1,IF(ISERROR(C729-E729),"",C729-E729),"")</f>
        <v/>
      </c>
    </row>
    <row r="730" spans="1:6" x14ac:dyDescent="0.2">
      <c r="A730" s="1" t="str">
        <f ca="1">IF(ROW()&lt;=Results!$C$1+1,INDEX(Data!$A:$A,CEILING((COUNTA(Data!$A:$A)-1)*RAND()+1,1)),"")</f>
        <v/>
      </c>
      <c r="B730" s="1" t="str">
        <f>IF(ROW()&lt;=Results!$C$1+1,VLOOKUP($A730,Data!$A$2:$C$117,2,TRUE),"")</f>
        <v/>
      </c>
      <c r="C730" s="14" t="str">
        <f>IF(ROW()&lt;=Results!$C$1+1,IF(B730&lt;=0,"",LN(B730)),"")</f>
        <v/>
      </c>
      <c r="D730" s="1" t="str">
        <f>IF(ROW()&lt;=Results!$C$1+1,VLOOKUP($A730,Data!$A$2:$C$117,3,TRUE),"")</f>
        <v/>
      </c>
      <c r="E730" s="14" t="str">
        <f>IF(ROW()&lt;=Results!$C$1+1,IF(D730&lt;=0,"",LN(D730)),"")</f>
        <v/>
      </c>
      <c r="F730" s="53" t="str">
        <f>IF(ROW()&lt;=Results!$C$1+1,IF(ISERROR(C730-E730),"",C730-E730),"")</f>
        <v/>
      </c>
    </row>
    <row r="731" spans="1:6" x14ac:dyDescent="0.2">
      <c r="A731" s="1" t="str">
        <f ca="1">IF(ROW()&lt;=Results!$C$1+1,INDEX(Data!$A:$A,CEILING((COUNTA(Data!$A:$A)-1)*RAND()+1,1)),"")</f>
        <v/>
      </c>
      <c r="B731" s="1" t="str">
        <f>IF(ROW()&lt;=Results!$C$1+1,VLOOKUP($A731,Data!$A$2:$C$117,2,TRUE),"")</f>
        <v/>
      </c>
      <c r="C731" s="14" t="str">
        <f>IF(ROW()&lt;=Results!$C$1+1,IF(B731&lt;=0,"",LN(B731)),"")</f>
        <v/>
      </c>
      <c r="D731" s="1" t="str">
        <f>IF(ROW()&lt;=Results!$C$1+1,VLOOKUP($A731,Data!$A$2:$C$117,3,TRUE),"")</f>
        <v/>
      </c>
      <c r="E731" s="14" t="str">
        <f>IF(ROW()&lt;=Results!$C$1+1,IF(D731&lt;=0,"",LN(D731)),"")</f>
        <v/>
      </c>
      <c r="F731" s="53" t="str">
        <f>IF(ROW()&lt;=Results!$C$1+1,IF(ISERROR(C731-E731),"",C731-E731),"")</f>
        <v/>
      </c>
    </row>
    <row r="732" spans="1:6" x14ac:dyDescent="0.2">
      <c r="A732" s="1" t="str">
        <f ca="1">IF(ROW()&lt;=Results!$C$1+1,INDEX(Data!$A:$A,CEILING((COUNTA(Data!$A:$A)-1)*RAND()+1,1)),"")</f>
        <v/>
      </c>
      <c r="B732" s="1" t="str">
        <f>IF(ROW()&lt;=Results!$C$1+1,VLOOKUP($A732,Data!$A$2:$C$117,2,TRUE),"")</f>
        <v/>
      </c>
      <c r="C732" s="14" t="str">
        <f>IF(ROW()&lt;=Results!$C$1+1,IF(B732&lt;=0,"",LN(B732)),"")</f>
        <v/>
      </c>
      <c r="D732" s="1" t="str">
        <f>IF(ROW()&lt;=Results!$C$1+1,VLOOKUP($A732,Data!$A$2:$C$117,3,TRUE),"")</f>
        <v/>
      </c>
      <c r="E732" s="14" t="str">
        <f>IF(ROW()&lt;=Results!$C$1+1,IF(D732&lt;=0,"",LN(D732)),"")</f>
        <v/>
      </c>
      <c r="F732" s="53" t="str">
        <f>IF(ROW()&lt;=Results!$C$1+1,IF(ISERROR(C732-E732),"",C732-E732),"")</f>
        <v/>
      </c>
    </row>
    <row r="733" spans="1:6" x14ac:dyDescent="0.2">
      <c r="A733" s="1" t="str">
        <f ca="1">IF(ROW()&lt;=Results!$C$1+1,INDEX(Data!$A:$A,CEILING((COUNTA(Data!$A:$A)-1)*RAND()+1,1)),"")</f>
        <v/>
      </c>
      <c r="B733" s="1" t="str">
        <f>IF(ROW()&lt;=Results!$C$1+1,VLOOKUP($A733,Data!$A$2:$C$117,2,TRUE),"")</f>
        <v/>
      </c>
      <c r="C733" s="14" t="str">
        <f>IF(ROW()&lt;=Results!$C$1+1,IF(B733&lt;=0,"",LN(B733)),"")</f>
        <v/>
      </c>
      <c r="D733" s="1" t="str">
        <f>IF(ROW()&lt;=Results!$C$1+1,VLOOKUP($A733,Data!$A$2:$C$117,3,TRUE),"")</f>
        <v/>
      </c>
      <c r="E733" s="14" t="str">
        <f>IF(ROW()&lt;=Results!$C$1+1,IF(D733&lt;=0,"",LN(D733)),"")</f>
        <v/>
      </c>
      <c r="F733" s="53" t="str">
        <f>IF(ROW()&lt;=Results!$C$1+1,IF(ISERROR(C733-E733),"",C733-E733),"")</f>
        <v/>
      </c>
    </row>
    <row r="734" spans="1:6" x14ac:dyDescent="0.2">
      <c r="A734" s="1" t="str">
        <f ca="1">IF(ROW()&lt;=Results!$C$1+1,INDEX(Data!$A:$A,CEILING((COUNTA(Data!$A:$A)-1)*RAND()+1,1)),"")</f>
        <v/>
      </c>
      <c r="B734" s="1" t="str">
        <f>IF(ROW()&lt;=Results!$C$1+1,VLOOKUP($A734,Data!$A$2:$C$117,2,TRUE),"")</f>
        <v/>
      </c>
      <c r="C734" s="14" t="str">
        <f>IF(ROW()&lt;=Results!$C$1+1,IF(B734&lt;=0,"",LN(B734)),"")</f>
        <v/>
      </c>
      <c r="D734" s="1" t="str">
        <f>IF(ROW()&lt;=Results!$C$1+1,VLOOKUP($A734,Data!$A$2:$C$117,3,TRUE),"")</f>
        <v/>
      </c>
      <c r="E734" s="14" t="str">
        <f>IF(ROW()&lt;=Results!$C$1+1,IF(D734&lt;=0,"",LN(D734)),"")</f>
        <v/>
      </c>
      <c r="F734" s="53" t="str">
        <f>IF(ROW()&lt;=Results!$C$1+1,IF(ISERROR(C734-E734),"",C734-E734),"")</f>
        <v/>
      </c>
    </row>
    <row r="735" spans="1:6" x14ac:dyDescent="0.2">
      <c r="A735" s="1" t="str">
        <f ca="1">IF(ROW()&lt;=Results!$C$1+1,INDEX(Data!$A:$A,CEILING((COUNTA(Data!$A:$A)-1)*RAND()+1,1)),"")</f>
        <v/>
      </c>
      <c r="B735" s="1" t="str">
        <f>IF(ROW()&lt;=Results!$C$1+1,VLOOKUP($A735,Data!$A$2:$C$117,2,TRUE),"")</f>
        <v/>
      </c>
      <c r="C735" s="14" t="str">
        <f>IF(ROW()&lt;=Results!$C$1+1,IF(B735&lt;=0,"",LN(B735)),"")</f>
        <v/>
      </c>
      <c r="D735" s="1" t="str">
        <f>IF(ROW()&lt;=Results!$C$1+1,VLOOKUP($A735,Data!$A$2:$C$117,3,TRUE),"")</f>
        <v/>
      </c>
      <c r="E735" s="14" t="str">
        <f>IF(ROW()&lt;=Results!$C$1+1,IF(D735&lt;=0,"",LN(D735)),"")</f>
        <v/>
      </c>
      <c r="F735" s="53" t="str">
        <f>IF(ROW()&lt;=Results!$C$1+1,IF(ISERROR(C735-E735),"",C735-E735),"")</f>
        <v/>
      </c>
    </row>
    <row r="736" spans="1:6" x14ac:dyDescent="0.2">
      <c r="A736" s="1" t="str">
        <f ca="1">IF(ROW()&lt;=Results!$C$1+1,INDEX(Data!$A:$A,CEILING((COUNTA(Data!$A:$A)-1)*RAND()+1,1)),"")</f>
        <v/>
      </c>
      <c r="B736" s="1" t="str">
        <f>IF(ROW()&lt;=Results!$C$1+1,VLOOKUP($A736,Data!$A$2:$C$117,2,TRUE),"")</f>
        <v/>
      </c>
      <c r="C736" s="14" t="str">
        <f>IF(ROW()&lt;=Results!$C$1+1,IF(B736&lt;=0,"",LN(B736)),"")</f>
        <v/>
      </c>
      <c r="D736" s="1" t="str">
        <f>IF(ROW()&lt;=Results!$C$1+1,VLOOKUP($A736,Data!$A$2:$C$117,3,TRUE),"")</f>
        <v/>
      </c>
      <c r="E736" s="14" t="str">
        <f>IF(ROW()&lt;=Results!$C$1+1,IF(D736&lt;=0,"",LN(D736)),"")</f>
        <v/>
      </c>
      <c r="F736" s="53" t="str">
        <f>IF(ROW()&lt;=Results!$C$1+1,IF(ISERROR(C736-E736),"",C736-E736),"")</f>
        <v/>
      </c>
    </row>
    <row r="737" spans="1:6" x14ac:dyDescent="0.2">
      <c r="A737" s="1" t="str">
        <f ca="1">IF(ROW()&lt;=Results!$C$1+1,INDEX(Data!$A:$A,CEILING((COUNTA(Data!$A:$A)-1)*RAND()+1,1)),"")</f>
        <v/>
      </c>
      <c r="B737" s="1" t="str">
        <f>IF(ROW()&lt;=Results!$C$1+1,VLOOKUP($A737,Data!$A$2:$C$117,2,TRUE),"")</f>
        <v/>
      </c>
      <c r="C737" s="14" t="str">
        <f>IF(ROW()&lt;=Results!$C$1+1,IF(B737&lt;=0,"",LN(B737)),"")</f>
        <v/>
      </c>
      <c r="D737" s="1" t="str">
        <f>IF(ROW()&lt;=Results!$C$1+1,VLOOKUP($A737,Data!$A$2:$C$117,3,TRUE),"")</f>
        <v/>
      </c>
      <c r="E737" s="14" t="str">
        <f>IF(ROW()&lt;=Results!$C$1+1,IF(D737&lt;=0,"",LN(D737)),"")</f>
        <v/>
      </c>
      <c r="F737" s="53" t="str">
        <f>IF(ROW()&lt;=Results!$C$1+1,IF(ISERROR(C737-E737),"",C737-E737),"")</f>
        <v/>
      </c>
    </row>
    <row r="738" spans="1:6" x14ac:dyDescent="0.2">
      <c r="A738" s="1" t="str">
        <f ca="1">IF(ROW()&lt;=Results!$C$1+1,INDEX(Data!$A:$A,CEILING((COUNTA(Data!$A:$A)-1)*RAND()+1,1)),"")</f>
        <v/>
      </c>
      <c r="B738" s="1" t="str">
        <f>IF(ROW()&lt;=Results!$C$1+1,VLOOKUP($A738,Data!$A$2:$C$117,2,TRUE),"")</f>
        <v/>
      </c>
      <c r="C738" s="14" t="str">
        <f>IF(ROW()&lt;=Results!$C$1+1,IF(B738&lt;=0,"",LN(B738)),"")</f>
        <v/>
      </c>
      <c r="D738" s="1" t="str">
        <f>IF(ROW()&lt;=Results!$C$1+1,VLOOKUP($A738,Data!$A$2:$C$117,3,TRUE),"")</f>
        <v/>
      </c>
      <c r="E738" s="14" t="str">
        <f>IF(ROW()&lt;=Results!$C$1+1,IF(D738&lt;=0,"",LN(D738)),"")</f>
        <v/>
      </c>
      <c r="F738" s="53" t="str">
        <f>IF(ROW()&lt;=Results!$C$1+1,IF(ISERROR(C738-E738),"",C738-E738),"")</f>
        <v/>
      </c>
    </row>
    <row r="739" spans="1:6" x14ac:dyDescent="0.2">
      <c r="A739" s="1" t="str">
        <f ca="1">IF(ROW()&lt;=Results!$C$1+1,INDEX(Data!$A:$A,CEILING((COUNTA(Data!$A:$A)-1)*RAND()+1,1)),"")</f>
        <v/>
      </c>
      <c r="B739" s="1" t="str">
        <f>IF(ROW()&lt;=Results!$C$1+1,VLOOKUP($A739,Data!$A$2:$C$117,2,TRUE),"")</f>
        <v/>
      </c>
      <c r="C739" s="14" t="str">
        <f>IF(ROW()&lt;=Results!$C$1+1,IF(B739&lt;=0,"",LN(B739)),"")</f>
        <v/>
      </c>
      <c r="D739" s="1" t="str">
        <f>IF(ROW()&lt;=Results!$C$1+1,VLOOKUP($A739,Data!$A$2:$C$117,3,TRUE),"")</f>
        <v/>
      </c>
      <c r="E739" s="14" t="str">
        <f>IF(ROW()&lt;=Results!$C$1+1,IF(D739&lt;=0,"",LN(D739)),"")</f>
        <v/>
      </c>
      <c r="F739" s="53" t="str">
        <f>IF(ROW()&lt;=Results!$C$1+1,IF(ISERROR(C739-E739),"",C739-E739),"")</f>
        <v/>
      </c>
    </row>
    <row r="740" spans="1:6" x14ac:dyDescent="0.2">
      <c r="A740" s="1" t="str">
        <f ca="1">IF(ROW()&lt;=Results!$C$1+1,INDEX(Data!$A:$A,CEILING((COUNTA(Data!$A:$A)-1)*RAND()+1,1)),"")</f>
        <v/>
      </c>
      <c r="B740" s="1" t="str">
        <f>IF(ROW()&lt;=Results!$C$1+1,VLOOKUP($A740,Data!$A$2:$C$117,2,TRUE),"")</f>
        <v/>
      </c>
      <c r="C740" s="14" t="str">
        <f>IF(ROW()&lt;=Results!$C$1+1,IF(B740&lt;=0,"",LN(B740)),"")</f>
        <v/>
      </c>
      <c r="D740" s="1" t="str">
        <f>IF(ROW()&lt;=Results!$C$1+1,VLOOKUP($A740,Data!$A$2:$C$117,3,TRUE),"")</f>
        <v/>
      </c>
      <c r="E740" s="14" t="str">
        <f>IF(ROW()&lt;=Results!$C$1+1,IF(D740&lt;=0,"",LN(D740)),"")</f>
        <v/>
      </c>
      <c r="F740" s="53" t="str">
        <f>IF(ROW()&lt;=Results!$C$1+1,IF(ISERROR(C740-E740),"",C740-E740),"")</f>
        <v/>
      </c>
    </row>
    <row r="741" spans="1:6" x14ac:dyDescent="0.2">
      <c r="A741" s="1" t="str">
        <f ca="1">IF(ROW()&lt;=Results!$C$1+1,INDEX(Data!$A:$A,CEILING((COUNTA(Data!$A:$A)-1)*RAND()+1,1)),"")</f>
        <v/>
      </c>
      <c r="B741" s="1" t="str">
        <f>IF(ROW()&lt;=Results!$C$1+1,VLOOKUP($A741,Data!$A$2:$C$117,2,TRUE),"")</f>
        <v/>
      </c>
      <c r="C741" s="14" t="str">
        <f>IF(ROW()&lt;=Results!$C$1+1,IF(B741&lt;=0,"",LN(B741)),"")</f>
        <v/>
      </c>
      <c r="D741" s="1" t="str">
        <f>IF(ROW()&lt;=Results!$C$1+1,VLOOKUP($A741,Data!$A$2:$C$117,3,TRUE),"")</f>
        <v/>
      </c>
      <c r="E741" s="14" t="str">
        <f>IF(ROW()&lt;=Results!$C$1+1,IF(D741&lt;=0,"",LN(D741)),"")</f>
        <v/>
      </c>
      <c r="F741" s="53" t="str">
        <f>IF(ROW()&lt;=Results!$C$1+1,IF(ISERROR(C741-E741),"",C741-E741),"")</f>
        <v/>
      </c>
    </row>
    <row r="742" spans="1:6" x14ac:dyDescent="0.2">
      <c r="A742" s="1" t="str">
        <f ca="1">IF(ROW()&lt;=Results!$C$1+1,INDEX(Data!$A:$A,CEILING((COUNTA(Data!$A:$A)-1)*RAND()+1,1)),"")</f>
        <v/>
      </c>
      <c r="B742" s="1" t="str">
        <f>IF(ROW()&lt;=Results!$C$1+1,VLOOKUP($A742,Data!$A$2:$C$117,2,TRUE),"")</f>
        <v/>
      </c>
      <c r="C742" s="14" t="str">
        <f>IF(ROW()&lt;=Results!$C$1+1,IF(B742&lt;=0,"",LN(B742)),"")</f>
        <v/>
      </c>
      <c r="D742" s="1" t="str">
        <f>IF(ROW()&lt;=Results!$C$1+1,VLOOKUP($A742,Data!$A$2:$C$117,3,TRUE),"")</f>
        <v/>
      </c>
      <c r="E742" s="14" t="str">
        <f>IF(ROW()&lt;=Results!$C$1+1,IF(D742&lt;=0,"",LN(D742)),"")</f>
        <v/>
      </c>
      <c r="F742" s="53" t="str">
        <f>IF(ROW()&lt;=Results!$C$1+1,IF(ISERROR(C742-E742),"",C742-E742),"")</f>
        <v/>
      </c>
    </row>
    <row r="743" spans="1:6" x14ac:dyDescent="0.2">
      <c r="A743" s="1" t="str">
        <f ca="1">IF(ROW()&lt;=Results!$C$1+1,INDEX(Data!$A:$A,CEILING((COUNTA(Data!$A:$A)-1)*RAND()+1,1)),"")</f>
        <v/>
      </c>
      <c r="B743" s="1" t="str">
        <f>IF(ROW()&lt;=Results!$C$1+1,VLOOKUP($A743,Data!$A$2:$C$117,2,TRUE),"")</f>
        <v/>
      </c>
      <c r="C743" s="14" t="str">
        <f>IF(ROW()&lt;=Results!$C$1+1,IF(B743&lt;=0,"",LN(B743)),"")</f>
        <v/>
      </c>
      <c r="D743" s="1" t="str">
        <f>IF(ROW()&lt;=Results!$C$1+1,VLOOKUP($A743,Data!$A$2:$C$117,3,TRUE),"")</f>
        <v/>
      </c>
      <c r="E743" s="14" t="str">
        <f>IF(ROW()&lt;=Results!$C$1+1,IF(D743&lt;=0,"",LN(D743)),"")</f>
        <v/>
      </c>
      <c r="F743" s="53" t="str">
        <f>IF(ROW()&lt;=Results!$C$1+1,IF(ISERROR(C743-E743),"",C743-E743),"")</f>
        <v/>
      </c>
    </row>
    <row r="744" spans="1:6" x14ac:dyDescent="0.2">
      <c r="A744" s="1" t="str">
        <f ca="1">IF(ROW()&lt;=Results!$C$1+1,INDEX(Data!$A:$A,CEILING((COUNTA(Data!$A:$A)-1)*RAND()+1,1)),"")</f>
        <v/>
      </c>
      <c r="B744" s="1" t="str">
        <f>IF(ROW()&lt;=Results!$C$1+1,VLOOKUP($A744,Data!$A$2:$C$117,2,TRUE),"")</f>
        <v/>
      </c>
      <c r="C744" s="14" t="str">
        <f>IF(ROW()&lt;=Results!$C$1+1,IF(B744&lt;=0,"",LN(B744)),"")</f>
        <v/>
      </c>
      <c r="D744" s="1" t="str">
        <f>IF(ROW()&lt;=Results!$C$1+1,VLOOKUP($A744,Data!$A$2:$C$117,3,TRUE),"")</f>
        <v/>
      </c>
      <c r="E744" s="14" t="str">
        <f>IF(ROW()&lt;=Results!$C$1+1,IF(D744&lt;=0,"",LN(D744)),"")</f>
        <v/>
      </c>
      <c r="F744" s="53" t="str">
        <f>IF(ROW()&lt;=Results!$C$1+1,IF(ISERROR(C744-E744),"",C744-E744),"")</f>
        <v/>
      </c>
    </row>
    <row r="745" spans="1:6" x14ac:dyDescent="0.2">
      <c r="A745" s="1" t="str">
        <f ca="1">IF(ROW()&lt;=Results!$C$1+1,INDEX(Data!$A:$A,CEILING((COUNTA(Data!$A:$A)-1)*RAND()+1,1)),"")</f>
        <v/>
      </c>
      <c r="B745" s="1" t="str">
        <f>IF(ROW()&lt;=Results!$C$1+1,VLOOKUP($A745,Data!$A$2:$C$117,2,TRUE),"")</f>
        <v/>
      </c>
      <c r="C745" s="14" t="str">
        <f>IF(ROW()&lt;=Results!$C$1+1,IF(B745&lt;=0,"",LN(B745)),"")</f>
        <v/>
      </c>
      <c r="D745" s="1" t="str">
        <f>IF(ROW()&lt;=Results!$C$1+1,VLOOKUP($A745,Data!$A$2:$C$117,3,TRUE),"")</f>
        <v/>
      </c>
      <c r="E745" s="14" t="str">
        <f>IF(ROW()&lt;=Results!$C$1+1,IF(D745&lt;=0,"",LN(D745)),"")</f>
        <v/>
      </c>
      <c r="F745" s="53" t="str">
        <f>IF(ROW()&lt;=Results!$C$1+1,IF(ISERROR(C745-E745),"",C745-E745),"")</f>
        <v/>
      </c>
    </row>
    <row r="746" spans="1:6" x14ac:dyDescent="0.2">
      <c r="A746" s="1" t="str">
        <f ca="1">IF(ROW()&lt;=Results!$C$1+1,INDEX(Data!$A:$A,CEILING((COUNTA(Data!$A:$A)-1)*RAND()+1,1)),"")</f>
        <v/>
      </c>
      <c r="B746" s="1" t="str">
        <f>IF(ROW()&lt;=Results!$C$1+1,VLOOKUP($A746,Data!$A$2:$C$117,2,TRUE),"")</f>
        <v/>
      </c>
      <c r="C746" s="14" t="str">
        <f>IF(ROW()&lt;=Results!$C$1+1,IF(B746&lt;=0,"",LN(B746)),"")</f>
        <v/>
      </c>
      <c r="D746" s="1" t="str">
        <f>IF(ROW()&lt;=Results!$C$1+1,VLOOKUP($A746,Data!$A$2:$C$117,3,TRUE),"")</f>
        <v/>
      </c>
      <c r="E746" s="14" t="str">
        <f>IF(ROW()&lt;=Results!$C$1+1,IF(D746&lt;=0,"",LN(D746)),"")</f>
        <v/>
      </c>
      <c r="F746" s="53" t="str">
        <f>IF(ROW()&lt;=Results!$C$1+1,IF(ISERROR(C746-E746),"",C746-E746),"")</f>
        <v/>
      </c>
    </row>
    <row r="747" spans="1:6" x14ac:dyDescent="0.2">
      <c r="A747" s="1" t="str">
        <f ca="1">IF(ROW()&lt;=Results!$C$1+1,INDEX(Data!$A:$A,CEILING((COUNTA(Data!$A:$A)-1)*RAND()+1,1)),"")</f>
        <v/>
      </c>
      <c r="B747" s="1" t="str">
        <f>IF(ROW()&lt;=Results!$C$1+1,VLOOKUP($A747,Data!$A$2:$C$117,2,TRUE),"")</f>
        <v/>
      </c>
      <c r="C747" s="14" t="str">
        <f>IF(ROW()&lt;=Results!$C$1+1,IF(B747&lt;=0,"",LN(B747)),"")</f>
        <v/>
      </c>
      <c r="D747" s="1" t="str">
        <f>IF(ROW()&lt;=Results!$C$1+1,VLOOKUP($A747,Data!$A$2:$C$117,3,TRUE),"")</f>
        <v/>
      </c>
      <c r="E747" s="14" t="str">
        <f>IF(ROW()&lt;=Results!$C$1+1,IF(D747&lt;=0,"",LN(D747)),"")</f>
        <v/>
      </c>
      <c r="F747" s="53" t="str">
        <f>IF(ROW()&lt;=Results!$C$1+1,IF(ISERROR(C747-E747),"",C747-E747),"")</f>
        <v/>
      </c>
    </row>
    <row r="748" spans="1:6" x14ac:dyDescent="0.2">
      <c r="A748" s="1" t="str">
        <f ca="1">IF(ROW()&lt;=Results!$C$1+1,INDEX(Data!$A:$A,CEILING((COUNTA(Data!$A:$A)-1)*RAND()+1,1)),"")</f>
        <v/>
      </c>
      <c r="B748" s="1" t="str">
        <f>IF(ROW()&lt;=Results!$C$1+1,VLOOKUP($A748,Data!$A$2:$C$117,2,TRUE),"")</f>
        <v/>
      </c>
      <c r="C748" s="14" t="str">
        <f>IF(ROW()&lt;=Results!$C$1+1,IF(B748&lt;=0,"",LN(B748)),"")</f>
        <v/>
      </c>
      <c r="D748" s="1" t="str">
        <f>IF(ROW()&lt;=Results!$C$1+1,VLOOKUP($A748,Data!$A$2:$C$117,3,TRUE),"")</f>
        <v/>
      </c>
      <c r="E748" s="14" t="str">
        <f>IF(ROW()&lt;=Results!$C$1+1,IF(D748&lt;=0,"",LN(D748)),"")</f>
        <v/>
      </c>
      <c r="F748" s="53" t="str">
        <f>IF(ROW()&lt;=Results!$C$1+1,IF(ISERROR(C748-E748),"",C748-E748),"")</f>
        <v/>
      </c>
    </row>
    <row r="749" spans="1:6" x14ac:dyDescent="0.2">
      <c r="A749" s="1" t="str">
        <f ca="1">IF(ROW()&lt;=Results!$C$1+1,INDEX(Data!$A:$A,CEILING((COUNTA(Data!$A:$A)-1)*RAND()+1,1)),"")</f>
        <v/>
      </c>
      <c r="B749" s="1" t="str">
        <f>IF(ROW()&lt;=Results!$C$1+1,VLOOKUP($A749,Data!$A$2:$C$117,2,TRUE),"")</f>
        <v/>
      </c>
      <c r="C749" s="14" t="str">
        <f>IF(ROW()&lt;=Results!$C$1+1,IF(B749&lt;=0,"",LN(B749)),"")</f>
        <v/>
      </c>
      <c r="D749" s="1" t="str">
        <f>IF(ROW()&lt;=Results!$C$1+1,VLOOKUP($A749,Data!$A$2:$C$117,3,TRUE),"")</f>
        <v/>
      </c>
      <c r="E749" s="14" t="str">
        <f>IF(ROW()&lt;=Results!$C$1+1,IF(D749&lt;=0,"",LN(D749)),"")</f>
        <v/>
      </c>
      <c r="F749" s="53" t="str">
        <f>IF(ROW()&lt;=Results!$C$1+1,IF(ISERROR(C749-E749),"",C749-E749),"")</f>
        <v/>
      </c>
    </row>
    <row r="750" spans="1:6" x14ac:dyDescent="0.2">
      <c r="A750" s="1" t="str">
        <f ca="1">IF(ROW()&lt;=Results!$C$1+1,INDEX(Data!$A:$A,CEILING((COUNTA(Data!$A:$A)-1)*RAND()+1,1)),"")</f>
        <v/>
      </c>
      <c r="B750" s="1" t="str">
        <f>IF(ROW()&lt;=Results!$C$1+1,VLOOKUP($A750,Data!$A$2:$C$117,2,TRUE),"")</f>
        <v/>
      </c>
      <c r="C750" s="14" t="str">
        <f>IF(ROW()&lt;=Results!$C$1+1,IF(B750&lt;=0,"",LN(B750)),"")</f>
        <v/>
      </c>
      <c r="D750" s="1" t="str">
        <f>IF(ROW()&lt;=Results!$C$1+1,VLOOKUP($A750,Data!$A$2:$C$117,3,TRUE),"")</f>
        <v/>
      </c>
      <c r="E750" s="14" t="str">
        <f>IF(ROW()&lt;=Results!$C$1+1,IF(D750&lt;=0,"",LN(D750)),"")</f>
        <v/>
      </c>
      <c r="F750" s="53" t="str">
        <f>IF(ROW()&lt;=Results!$C$1+1,IF(ISERROR(C750-E750),"",C750-E750),"")</f>
        <v/>
      </c>
    </row>
    <row r="751" spans="1:6" x14ac:dyDescent="0.2">
      <c r="A751" s="1" t="str">
        <f ca="1">IF(ROW()&lt;=Results!$C$1+1,INDEX(Data!$A:$A,CEILING((COUNTA(Data!$A:$A)-1)*RAND()+1,1)),"")</f>
        <v/>
      </c>
      <c r="B751" s="1" t="str">
        <f>IF(ROW()&lt;=Results!$C$1+1,VLOOKUP($A751,Data!$A$2:$C$117,2,TRUE),"")</f>
        <v/>
      </c>
      <c r="C751" s="14" t="str">
        <f>IF(ROW()&lt;=Results!$C$1+1,IF(B751&lt;=0,"",LN(B751)),"")</f>
        <v/>
      </c>
      <c r="D751" s="1" t="str">
        <f>IF(ROW()&lt;=Results!$C$1+1,VLOOKUP($A751,Data!$A$2:$C$117,3,TRUE),"")</f>
        <v/>
      </c>
      <c r="E751" s="14" t="str">
        <f>IF(ROW()&lt;=Results!$C$1+1,IF(D751&lt;=0,"",LN(D751)),"")</f>
        <v/>
      </c>
      <c r="F751" s="53" t="str">
        <f>IF(ROW()&lt;=Results!$C$1+1,IF(ISERROR(C751-E751),"",C751-E751),"")</f>
        <v/>
      </c>
    </row>
    <row r="752" spans="1:6" x14ac:dyDescent="0.2">
      <c r="A752" s="1" t="str">
        <f ca="1">IF(ROW()&lt;=Results!$C$1+1,INDEX(Data!$A:$A,CEILING((COUNTA(Data!$A:$A)-1)*RAND()+1,1)),"")</f>
        <v/>
      </c>
      <c r="B752" s="1" t="str">
        <f>IF(ROW()&lt;=Results!$C$1+1,VLOOKUP($A752,Data!$A$2:$C$117,2,TRUE),"")</f>
        <v/>
      </c>
      <c r="C752" s="14" t="str">
        <f>IF(ROW()&lt;=Results!$C$1+1,IF(B752&lt;=0,"",LN(B752)),"")</f>
        <v/>
      </c>
      <c r="D752" s="1" t="str">
        <f>IF(ROW()&lt;=Results!$C$1+1,VLOOKUP($A752,Data!$A$2:$C$117,3,TRUE),"")</f>
        <v/>
      </c>
      <c r="E752" s="14" t="str">
        <f>IF(ROW()&lt;=Results!$C$1+1,IF(D752&lt;=0,"",LN(D752)),"")</f>
        <v/>
      </c>
      <c r="F752" s="53" t="str">
        <f>IF(ROW()&lt;=Results!$C$1+1,IF(ISERROR(C752-E752),"",C752-E752),"")</f>
        <v/>
      </c>
    </row>
    <row r="753" spans="1:6" x14ac:dyDescent="0.2">
      <c r="A753" s="1" t="str">
        <f ca="1">IF(ROW()&lt;=Results!$C$1+1,INDEX(Data!$A:$A,CEILING((COUNTA(Data!$A:$A)-1)*RAND()+1,1)),"")</f>
        <v/>
      </c>
      <c r="B753" s="1" t="str">
        <f>IF(ROW()&lt;=Results!$C$1+1,VLOOKUP($A753,Data!$A$2:$C$117,2,TRUE),"")</f>
        <v/>
      </c>
      <c r="C753" s="14" t="str">
        <f>IF(ROW()&lt;=Results!$C$1+1,IF(B753&lt;=0,"",LN(B753)),"")</f>
        <v/>
      </c>
      <c r="D753" s="1" t="str">
        <f>IF(ROW()&lt;=Results!$C$1+1,VLOOKUP($A753,Data!$A$2:$C$117,3,TRUE),"")</f>
        <v/>
      </c>
      <c r="E753" s="14" t="str">
        <f>IF(ROW()&lt;=Results!$C$1+1,IF(D753&lt;=0,"",LN(D753)),"")</f>
        <v/>
      </c>
      <c r="F753" s="53" t="str">
        <f>IF(ROW()&lt;=Results!$C$1+1,IF(ISERROR(C753-E753),"",C753-E753),"")</f>
        <v/>
      </c>
    </row>
    <row r="754" spans="1:6" x14ac:dyDescent="0.2">
      <c r="A754" s="1" t="str">
        <f ca="1">IF(ROW()&lt;=Results!$C$1+1,INDEX(Data!$A:$A,CEILING((COUNTA(Data!$A:$A)-1)*RAND()+1,1)),"")</f>
        <v/>
      </c>
      <c r="B754" s="1" t="str">
        <f>IF(ROW()&lt;=Results!$C$1+1,VLOOKUP($A754,Data!$A$2:$C$117,2,TRUE),"")</f>
        <v/>
      </c>
      <c r="C754" s="14" t="str">
        <f>IF(ROW()&lt;=Results!$C$1+1,IF(B754&lt;=0,"",LN(B754)),"")</f>
        <v/>
      </c>
      <c r="D754" s="1" t="str">
        <f>IF(ROW()&lt;=Results!$C$1+1,VLOOKUP($A754,Data!$A$2:$C$117,3,TRUE),"")</f>
        <v/>
      </c>
      <c r="E754" s="14" t="str">
        <f>IF(ROW()&lt;=Results!$C$1+1,IF(D754&lt;=0,"",LN(D754)),"")</f>
        <v/>
      </c>
      <c r="F754" s="53" t="str">
        <f>IF(ROW()&lt;=Results!$C$1+1,IF(ISERROR(C754-E754),"",C754-E754),"")</f>
        <v/>
      </c>
    </row>
    <row r="755" spans="1:6" x14ac:dyDescent="0.2">
      <c r="A755" s="1" t="str">
        <f ca="1">IF(ROW()&lt;=Results!$C$1+1,INDEX(Data!$A:$A,CEILING((COUNTA(Data!$A:$A)-1)*RAND()+1,1)),"")</f>
        <v/>
      </c>
      <c r="B755" s="1" t="str">
        <f>IF(ROW()&lt;=Results!$C$1+1,VLOOKUP($A755,Data!$A$2:$C$117,2,TRUE),"")</f>
        <v/>
      </c>
      <c r="C755" s="14" t="str">
        <f>IF(ROW()&lt;=Results!$C$1+1,IF(B755&lt;=0,"",LN(B755)),"")</f>
        <v/>
      </c>
      <c r="D755" s="1" t="str">
        <f>IF(ROW()&lt;=Results!$C$1+1,VLOOKUP($A755,Data!$A$2:$C$117,3,TRUE),"")</f>
        <v/>
      </c>
      <c r="E755" s="14" t="str">
        <f>IF(ROW()&lt;=Results!$C$1+1,IF(D755&lt;=0,"",LN(D755)),"")</f>
        <v/>
      </c>
      <c r="F755" s="53" t="str">
        <f>IF(ROW()&lt;=Results!$C$1+1,IF(ISERROR(C755-E755),"",C755-E755),"")</f>
        <v/>
      </c>
    </row>
    <row r="756" spans="1:6" x14ac:dyDescent="0.2">
      <c r="A756" s="1" t="str">
        <f ca="1">IF(ROW()&lt;=Results!$C$1+1,INDEX(Data!$A:$A,CEILING((COUNTA(Data!$A:$A)-1)*RAND()+1,1)),"")</f>
        <v/>
      </c>
      <c r="B756" s="1" t="str">
        <f>IF(ROW()&lt;=Results!$C$1+1,VLOOKUP($A756,Data!$A$2:$C$117,2,TRUE),"")</f>
        <v/>
      </c>
      <c r="C756" s="14" t="str">
        <f>IF(ROW()&lt;=Results!$C$1+1,IF(B756&lt;=0,"",LN(B756)),"")</f>
        <v/>
      </c>
      <c r="D756" s="1" t="str">
        <f>IF(ROW()&lt;=Results!$C$1+1,VLOOKUP($A756,Data!$A$2:$C$117,3,TRUE),"")</f>
        <v/>
      </c>
      <c r="E756" s="14" t="str">
        <f>IF(ROW()&lt;=Results!$C$1+1,IF(D756&lt;=0,"",LN(D756)),"")</f>
        <v/>
      </c>
      <c r="F756" s="53" t="str">
        <f>IF(ROW()&lt;=Results!$C$1+1,IF(ISERROR(C756-E756),"",C756-E756),"")</f>
        <v/>
      </c>
    </row>
    <row r="757" spans="1:6" x14ac:dyDescent="0.2">
      <c r="A757" s="1" t="str">
        <f ca="1">IF(ROW()&lt;=Results!$C$1+1,INDEX(Data!$A:$A,CEILING((COUNTA(Data!$A:$A)-1)*RAND()+1,1)),"")</f>
        <v/>
      </c>
      <c r="B757" s="1" t="str">
        <f>IF(ROW()&lt;=Results!$C$1+1,VLOOKUP($A757,Data!$A$2:$C$117,2,TRUE),"")</f>
        <v/>
      </c>
      <c r="C757" s="14" t="str">
        <f>IF(ROW()&lt;=Results!$C$1+1,IF(B757&lt;=0,"",LN(B757)),"")</f>
        <v/>
      </c>
      <c r="D757" s="1" t="str">
        <f>IF(ROW()&lt;=Results!$C$1+1,VLOOKUP($A757,Data!$A$2:$C$117,3,TRUE),"")</f>
        <v/>
      </c>
      <c r="E757" s="14" t="str">
        <f>IF(ROW()&lt;=Results!$C$1+1,IF(D757&lt;=0,"",LN(D757)),"")</f>
        <v/>
      </c>
      <c r="F757" s="53" t="str">
        <f>IF(ROW()&lt;=Results!$C$1+1,IF(ISERROR(C757-E757),"",C757-E757),"")</f>
        <v/>
      </c>
    </row>
    <row r="758" spans="1:6" x14ac:dyDescent="0.2">
      <c r="A758" s="1" t="str">
        <f ca="1">IF(ROW()&lt;=Results!$C$1+1,INDEX(Data!$A:$A,CEILING((COUNTA(Data!$A:$A)-1)*RAND()+1,1)),"")</f>
        <v/>
      </c>
      <c r="B758" s="1" t="str">
        <f>IF(ROW()&lt;=Results!$C$1+1,VLOOKUP($A758,Data!$A$2:$C$117,2,TRUE),"")</f>
        <v/>
      </c>
      <c r="C758" s="14" t="str">
        <f>IF(ROW()&lt;=Results!$C$1+1,IF(B758&lt;=0,"",LN(B758)),"")</f>
        <v/>
      </c>
      <c r="D758" s="1" t="str">
        <f>IF(ROW()&lt;=Results!$C$1+1,VLOOKUP($A758,Data!$A$2:$C$117,3,TRUE),"")</f>
        <v/>
      </c>
      <c r="E758" s="14" t="str">
        <f>IF(ROW()&lt;=Results!$C$1+1,IF(D758&lt;=0,"",LN(D758)),"")</f>
        <v/>
      </c>
      <c r="F758" s="53" t="str">
        <f>IF(ROW()&lt;=Results!$C$1+1,IF(ISERROR(C758-E758),"",C758-E758),"")</f>
        <v/>
      </c>
    </row>
    <row r="759" spans="1:6" x14ac:dyDescent="0.2">
      <c r="A759" s="1" t="str">
        <f ca="1">IF(ROW()&lt;=Results!$C$1+1,INDEX(Data!$A:$A,CEILING((COUNTA(Data!$A:$A)-1)*RAND()+1,1)),"")</f>
        <v/>
      </c>
      <c r="B759" s="1" t="str">
        <f>IF(ROW()&lt;=Results!$C$1+1,VLOOKUP($A759,Data!$A$2:$C$117,2,TRUE),"")</f>
        <v/>
      </c>
      <c r="C759" s="14" t="str">
        <f>IF(ROW()&lt;=Results!$C$1+1,IF(B759&lt;=0,"",LN(B759)),"")</f>
        <v/>
      </c>
      <c r="D759" s="1" t="str">
        <f>IF(ROW()&lt;=Results!$C$1+1,VLOOKUP($A759,Data!$A$2:$C$117,3,TRUE),"")</f>
        <v/>
      </c>
      <c r="E759" s="14" t="str">
        <f>IF(ROW()&lt;=Results!$C$1+1,IF(D759&lt;=0,"",LN(D759)),"")</f>
        <v/>
      </c>
      <c r="F759" s="53" t="str">
        <f>IF(ROW()&lt;=Results!$C$1+1,IF(ISERROR(C759-E759),"",C759-E759),"")</f>
        <v/>
      </c>
    </row>
    <row r="760" spans="1:6" x14ac:dyDescent="0.2">
      <c r="A760" s="1" t="str">
        <f ca="1">IF(ROW()&lt;=Results!$C$1+1,INDEX(Data!$A:$A,CEILING((COUNTA(Data!$A:$A)-1)*RAND()+1,1)),"")</f>
        <v/>
      </c>
      <c r="B760" s="1" t="str">
        <f>IF(ROW()&lt;=Results!$C$1+1,VLOOKUP($A760,Data!$A$2:$C$117,2,TRUE),"")</f>
        <v/>
      </c>
      <c r="C760" s="14" t="str">
        <f>IF(ROW()&lt;=Results!$C$1+1,IF(B760&lt;=0,"",LN(B760)),"")</f>
        <v/>
      </c>
      <c r="D760" s="1" t="str">
        <f>IF(ROW()&lt;=Results!$C$1+1,VLOOKUP($A760,Data!$A$2:$C$117,3,TRUE),"")</f>
        <v/>
      </c>
      <c r="E760" s="14" t="str">
        <f>IF(ROW()&lt;=Results!$C$1+1,IF(D760&lt;=0,"",LN(D760)),"")</f>
        <v/>
      </c>
      <c r="F760" s="53" t="str">
        <f>IF(ROW()&lt;=Results!$C$1+1,IF(ISERROR(C760-E760),"",C760-E760),"")</f>
        <v/>
      </c>
    </row>
    <row r="761" spans="1:6" x14ac:dyDescent="0.2">
      <c r="A761" s="1" t="str">
        <f ca="1">IF(ROW()&lt;=Results!$C$1+1,INDEX(Data!$A:$A,CEILING((COUNTA(Data!$A:$A)-1)*RAND()+1,1)),"")</f>
        <v/>
      </c>
      <c r="B761" s="1" t="str">
        <f>IF(ROW()&lt;=Results!$C$1+1,VLOOKUP($A761,Data!$A$2:$C$117,2,TRUE),"")</f>
        <v/>
      </c>
      <c r="C761" s="14" t="str">
        <f>IF(ROW()&lt;=Results!$C$1+1,IF(B761&lt;=0,"",LN(B761)),"")</f>
        <v/>
      </c>
      <c r="D761" s="1" t="str">
        <f>IF(ROW()&lt;=Results!$C$1+1,VLOOKUP($A761,Data!$A$2:$C$117,3,TRUE),"")</f>
        <v/>
      </c>
      <c r="E761" s="14" t="str">
        <f>IF(ROW()&lt;=Results!$C$1+1,IF(D761&lt;=0,"",LN(D761)),"")</f>
        <v/>
      </c>
      <c r="F761" s="53" t="str">
        <f>IF(ROW()&lt;=Results!$C$1+1,IF(ISERROR(C761-E761),"",C761-E761),"")</f>
        <v/>
      </c>
    </row>
    <row r="762" spans="1:6" x14ac:dyDescent="0.2">
      <c r="A762" s="1" t="str">
        <f ca="1">IF(ROW()&lt;=Results!$C$1+1,INDEX(Data!$A:$A,CEILING((COUNTA(Data!$A:$A)-1)*RAND()+1,1)),"")</f>
        <v/>
      </c>
      <c r="B762" s="1" t="str">
        <f>IF(ROW()&lt;=Results!$C$1+1,VLOOKUP($A762,Data!$A$2:$C$117,2,TRUE),"")</f>
        <v/>
      </c>
      <c r="C762" s="14" t="str">
        <f>IF(ROW()&lt;=Results!$C$1+1,IF(B762&lt;=0,"",LN(B762)),"")</f>
        <v/>
      </c>
      <c r="D762" s="1" t="str">
        <f>IF(ROW()&lt;=Results!$C$1+1,VLOOKUP($A762,Data!$A$2:$C$117,3,TRUE),"")</f>
        <v/>
      </c>
      <c r="E762" s="14" t="str">
        <f>IF(ROW()&lt;=Results!$C$1+1,IF(D762&lt;=0,"",LN(D762)),"")</f>
        <v/>
      </c>
      <c r="F762" s="53" t="str">
        <f>IF(ROW()&lt;=Results!$C$1+1,IF(ISERROR(C762-E762),"",C762-E762),"")</f>
        <v/>
      </c>
    </row>
    <row r="763" spans="1:6" x14ac:dyDescent="0.2">
      <c r="A763" s="1" t="str">
        <f ca="1">IF(ROW()&lt;=Results!$C$1+1,INDEX(Data!$A:$A,CEILING((COUNTA(Data!$A:$A)-1)*RAND()+1,1)),"")</f>
        <v/>
      </c>
      <c r="B763" s="1" t="str">
        <f>IF(ROW()&lt;=Results!$C$1+1,VLOOKUP($A763,Data!$A$2:$C$117,2,TRUE),"")</f>
        <v/>
      </c>
      <c r="C763" s="14" t="str">
        <f>IF(ROW()&lt;=Results!$C$1+1,IF(B763&lt;=0,"",LN(B763)),"")</f>
        <v/>
      </c>
      <c r="D763" s="1" t="str">
        <f>IF(ROW()&lt;=Results!$C$1+1,VLOOKUP($A763,Data!$A$2:$C$117,3,TRUE),"")</f>
        <v/>
      </c>
      <c r="E763" s="14" t="str">
        <f>IF(ROW()&lt;=Results!$C$1+1,IF(D763&lt;=0,"",LN(D763)),"")</f>
        <v/>
      </c>
      <c r="F763" s="53" t="str">
        <f>IF(ROW()&lt;=Results!$C$1+1,IF(ISERROR(C763-E763),"",C763-E763),"")</f>
        <v/>
      </c>
    </row>
    <row r="764" spans="1:6" x14ac:dyDescent="0.2">
      <c r="A764" s="1" t="str">
        <f ca="1">IF(ROW()&lt;=Results!$C$1+1,INDEX(Data!$A:$A,CEILING((COUNTA(Data!$A:$A)-1)*RAND()+1,1)),"")</f>
        <v/>
      </c>
      <c r="B764" s="1" t="str">
        <f>IF(ROW()&lt;=Results!$C$1+1,VLOOKUP($A764,Data!$A$2:$C$117,2,TRUE),"")</f>
        <v/>
      </c>
      <c r="C764" s="14" t="str">
        <f>IF(ROW()&lt;=Results!$C$1+1,IF(B764&lt;=0,"",LN(B764)),"")</f>
        <v/>
      </c>
      <c r="D764" s="1" t="str">
        <f>IF(ROW()&lt;=Results!$C$1+1,VLOOKUP($A764,Data!$A$2:$C$117,3,TRUE),"")</f>
        <v/>
      </c>
      <c r="E764" s="14" t="str">
        <f>IF(ROW()&lt;=Results!$C$1+1,IF(D764&lt;=0,"",LN(D764)),"")</f>
        <v/>
      </c>
      <c r="F764" s="53" t="str">
        <f>IF(ROW()&lt;=Results!$C$1+1,IF(ISERROR(C764-E764),"",C764-E764),"")</f>
        <v/>
      </c>
    </row>
    <row r="765" spans="1:6" x14ac:dyDescent="0.2">
      <c r="A765" s="1" t="str">
        <f ca="1">IF(ROW()&lt;=Results!$C$1+1,INDEX(Data!$A:$A,CEILING((COUNTA(Data!$A:$A)-1)*RAND()+1,1)),"")</f>
        <v/>
      </c>
      <c r="B765" s="1" t="str">
        <f>IF(ROW()&lt;=Results!$C$1+1,VLOOKUP($A765,Data!$A$2:$C$117,2,TRUE),"")</f>
        <v/>
      </c>
      <c r="C765" s="14" t="str">
        <f>IF(ROW()&lt;=Results!$C$1+1,IF(B765&lt;=0,"",LN(B765)),"")</f>
        <v/>
      </c>
      <c r="D765" s="1" t="str">
        <f>IF(ROW()&lt;=Results!$C$1+1,VLOOKUP($A765,Data!$A$2:$C$117,3,TRUE),"")</f>
        <v/>
      </c>
      <c r="E765" s="14" t="str">
        <f>IF(ROW()&lt;=Results!$C$1+1,IF(D765&lt;=0,"",LN(D765)),"")</f>
        <v/>
      </c>
      <c r="F765" s="53" t="str">
        <f>IF(ROW()&lt;=Results!$C$1+1,IF(ISERROR(C765-E765),"",C765-E765),"")</f>
        <v/>
      </c>
    </row>
    <row r="766" spans="1:6" x14ac:dyDescent="0.2">
      <c r="A766" s="1" t="str">
        <f ca="1">IF(ROW()&lt;=Results!$C$1+1,INDEX(Data!$A:$A,CEILING((COUNTA(Data!$A:$A)-1)*RAND()+1,1)),"")</f>
        <v/>
      </c>
      <c r="B766" s="1" t="str">
        <f>IF(ROW()&lt;=Results!$C$1+1,VLOOKUP($A766,Data!$A$2:$C$117,2,TRUE),"")</f>
        <v/>
      </c>
      <c r="C766" s="14" t="str">
        <f>IF(ROW()&lt;=Results!$C$1+1,IF(B766&lt;=0,"",LN(B766)),"")</f>
        <v/>
      </c>
      <c r="D766" s="1" t="str">
        <f>IF(ROW()&lt;=Results!$C$1+1,VLOOKUP($A766,Data!$A$2:$C$117,3,TRUE),"")</f>
        <v/>
      </c>
      <c r="E766" s="14" t="str">
        <f>IF(ROW()&lt;=Results!$C$1+1,IF(D766&lt;=0,"",LN(D766)),"")</f>
        <v/>
      </c>
      <c r="F766" s="53" t="str">
        <f>IF(ROW()&lt;=Results!$C$1+1,IF(ISERROR(C766-E766),"",C766-E766),"")</f>
        <v/>
      </c>
    </row>
    <row r="767" spans="1:6" x14ac:dyDescent="0.2">
      <c r="A767" s="1" t="str">
        <f ca="1">IF(ROW()&lt;=Results!$C$1+1,INDEX(Data!$A:$A,CEILING((COUNTA(Data!$A:$A)-1)*RAND()+1,1)),"")</f>
        <v/>
      </c>
      <c r="B767" s="1" t="str">
        <f>IF(ROW()&lt;=Results!$C$1+1,VLOOKUP($A767,Data!$A$2:$C$117,2,TRUE),"")</f>
        <v/>
      </c>
      <c r="C767" s="14" t="str">
        <f>IF(ROW()&lt;=Results!$C$1+1,IF(B767&lt;=0,"",LN(B767)),"")</f>
        <v/>
      </c>
      <c r="D767" s="1" t="str">
        <f>IF(ROW()&lt;=Results!$C$1+1,VLOOKUP($A767,Data!$A$2:$C$117,3,TRUE),"")</f>
        <v/>
      </c>
      <c r="E767" s="14" t="str">
        <f>IF(ROW()&lt;=Results!$C$1+1,IF(D767&lt;=0,"",LN(D767)),"")</f>
        <v/>
      </c>
      <c r="F767" s="53" t="str">
        <f>IF(ROW()&lt;=Results!$C$1+1,IF(ISERROR(C767-E767),"",C767-E767),"")</f>
        <v/>
      </c>
    </row>
    <row r="768" spans="1:6" x14ac:dyDescent="0.2">
      <c r="A768" s="1" t="str">
        <f ca="1">IF(ROW()&lt;=Results!$C$1+1,INDEX(Data!$A:$A,CEILING((COUNTA(Data!$A:$A)-1)*RAND()+1,1)),"")</f>
        <v/>
      </c>
      <c r="B768" s="1" t="str">
        <f>IF(ROW()&lt;=Results!$C$1+1,VLOOKUP($A768,Data!$A$2:$C$117,2,TRUE),"")</f>
        <v/>
      </c>
      <c r="C768" s="14" t="str">
        <f>IF(ROW()&lt;=Results!$C$1+1,IF(B768&lt;=0,"",LN(B768)),"")</f>
        <v/>
      </c>
      <c r="D768" s="1" t="str">
        <f>IF(ROW()&lt;=Results!$C$1+1,VLOOKUP($A768,Data!$A$2:$C$117,3,TRUE),"")</f>
        <v/>
      </c>
      <c r="E768" s="14" t="str">
        <f>IF(ROW()&lt;=Results!$C$1+1,IF(D768&lt;=0,"",LN(D768)),"")</f>
        <v/>
      </c>
      <c r="F768" s="53" t="str">
        <f>IF(ROW()&lt;=Results!$C$1+1,IF(ISERROR(C768-E768),"",C768-E768),"")</f>
        <v/>
      </c>
    </row>
    <row r="769" spans="1:6" x14ac:dyDescent="0.2">
      <c r="A769" s="1" t="str">
        <f ca="1">IF(ROW()&lt;=Results!$C$1+1,INDEX(Data!$A:$A,CEILING((COUNTA(Data!$A:$A)-1)*RAND()+1,1)),"")</f>
        <v/>
      </c>
      <c r="B769" s="1" t="str">
        <f>IF(ROW()&lt;=Results!$C$1+1,VLOOKUP($A769,Data!$A$2:$C$117,2,TRUE),"")</f>
        <v/>
      </c>
      <c r="C769" s="14" t="str">
        <f>IF(ROW()&lt;=Results!$C$1+1,IF(B769&lt;=0,"",LN(B769)),"")</f>
        <v/>
      </c>
      <c r="D769" s="1" t="str">
        <f>IF(ROW()&lt;=Results!$C$1+1,VLOOKUP($A769,Data!$A$2:$C$117,3,TRUE),"")</f>
        <v/>
      </c>
      <c r="E769" s="14" t="str">
        <f>IF(ROW()&lt;=Results!$C$1+1,IF(D769&lt;=0,"",LN(D769)),"")</f>
        <v/>
      </c>
      <c r="F769" s="53" t="str">
        <f>IF(ROW()&lt;=Results!$C$1+1,IF(ISERROR(C769-E769),"",C769-E769),"")</f>
        <v/>
      </c>
    </row>
    <row r="770" spans="1:6" x14ac:dyDescent="0.2">
      <c r="A770" s="1" t="str">
        <f ca="1">IF(ROW()&lt;=Results!$C$1+1,INDEX(Data!$A:$A,CEILING((COUNTA(Data!$A:$A)-1)*RAND()+1,1)),"")</f>
        <v/>
      </c>
      <c r="B770" s="1" t="str">
        <f>IF(ROW()&lt;=Results!$C$1+1,VLOOKUP($A770,Data!$A$2:$C$117,2,TRUE),"")</f>
        <v/>
      </c>
      <c r="C770" s="14" t="str">
        <f>IF(ROW()&lt;=Results!$C$1+1,IF(B770&lt;=0,"",LN(B770)),"")</f>
        <v/>
      </c>
      <c r="D770" s="1" t="str">
        <f>IF(ROW()&lt;=Results!$C$1+1,VLOOKUP($A770,Data!$A$2:$C$117,3,TRUE),"")</f>
        <v/>
      </c>
      <c r="E770" s="14" t="str">
        <f>IF(ROW()&lt;=Results!$C$1+1,IF(D770&lt;=0,"",LN(D770)),"")</f>
        <v/>
      </c>
      <c r="F770" s="53" t="str">
        <f>IF(ROW()&lt;=Results!$C$1+1,IF(ISERROR(C770-E770),"",C770-E770),"")</f>
        <v/>
      </c>
    </row>
    <row r="771" spans="1:6" x14ac:dyDescent="0.2">
      <c r="A771" s="1" t="str">
        <f ca="1">IF(ROW()&lt;=Results!$C$1+1,INDEX(Data!$A:$A,CEILING((COUNTA(Data!$A:$A)-1)*RAND()+1,1)),"")</f>
        <v/>
      </c>
      <c r="B771" s="1" t="str">
        <f>IF(ROW()&lt;=Results!$C$1+1,VLOOKUP($A771,Data!$A$2:$C$117,2,TRUE),"")</f>
        <v/>
      </c>
      <c r="C771" s="14" t="str">
        <f>IF(ROW()&lt;=Results!$C$1+1,IF(B771&lt;=0,"",LN(B771)),"")</f>
        <v/>
      </c>
      <c r="D771" s="1" t="str">
        <f>IF(ROW()&lt;=Results!$C$1+1,VLOOKUP($A771,Data!$A$2:$C$117,3,TRUE),"")</f>
        <v/>
      </c>
      <c r="E771" s="14" t="str">
        <f>IF(ROW()&lt;=Results!$C$1+1,IF(D771&lt;=0,"",LN(D771)),"")</f>
        <v/>
      </c>
      <c r="F771" s="53" t="str">
        <f>IF(ROW()&lt;=Results!$C$1+1,IF(ISERROR(C771-E771),"",C771-E771),"")</f>
        <v/>
      </c>
    </row>
    <row r="772" spans="1:6" x14ac:dyDescent="0.2">
      <c r="A772" s="1" t="str">
        <f ca="1">IF(ROW()&lt;=Results!$C$1+1,INDEX(Data!$A:$A,CEILING((COUNTA(Data!$A:$A)-1)*RAND()+1,1)),"")</f>
        <v/>
      </c>
      <c r="B772" s="1" t="str">
        <f>IF(ROW()&lt;=Results!$C$1+1,VLOOKUP($A772,Data!$A$2:$C$117,2,TRUE),"")</f>
        <v/>
      </c>
      <c r="C772" s="14" t="str">
        <f>IF(ROW()&lt;=Results!$C$1+1,IF(B772&lt;=0,"",LN(B772)),"")</f>
        <v/>
      </c>
      <c r="D772" s="1" t="str">
        <f>IF(ROW()&lt;=Results!$C$1+1,VLOOKUP($A772,Data!$A$2:$C$117,3,TRUE),"")</f>
        <v/>
      </c>
      <c r="E772" s="14" t="str">
        <f>IF(ROW()&lt;=Results!$C$1+1,IF(D772&lt;=0,"",LN(D772)),"")</f>
        <v/>
      </c>
      <c r="F772" s="53" t="str">
        <f>IF(ROW()&lt;=Results!$C$1+1,IF(ISERROR(C772-E772),"",C772-E772),"")</f>
        <v/>
      </c>
    </row>
    <row r="773" spans="1:6" x14ac:dyDescent="0.2">
      <c r="A773" s="1" t="str">
        <f ca="1">IF(ROW()&lt;=Results!$C$1+1,INDEX(Data!$A:$A,CEILING((COUNTA(Data!$A:$A)-1)*RAND()+1,1)),"")</f>
        <v/>
      </c>
      <c r="B773" s="1" t="str">
        <f>IF(ROW()&lt;=Results!$C$1+1,VLOOKUP($A773,Data!$A$2:$C$117,2,TRUE),"")</f>
        <v/>
      </c>
      <c r="C773" s="14" t="str">
        <f>IF(ROW()&lt;=Results!$C$1+1,IF(B773&lt;=0,"",LN(B773)),"")</f>
        <v/>
      </c>
      <c r="D773" s="1" t="str">
        <f>IF(ROW()&lt;=Results!$C$1+1,VLOOKUP($A773,Data!$A$2:$C$117,3,TRUE),"")</f>
        <v/>
      </c>
      <c r="E773" s="14" t="str">
        <f>IF(ROW()&lt;=Results!$C$1+1,IF(D773&lt;=0,"",LN(D773)),"")</f>
        <v/>
      </c>
      <c r="F773" s="53" t="str">
        <f>IF(ROW()&lt;=Results!$C$1+1,IF(ISERROR(C773-E773),"",C773-E773),"")</f>
        <v/>
      </c>
    </row>
    <row r="774" spans="1:6" x14ac:dyDescent="0.2">
      <c r="A774" s="1" t="str">
        <f ca="1">IF(ROW()&lt;=Results!$C$1+1,INDEX(Data!$A:$A,CEILING((COUNTA(Data!$A:$A)-1)*RAND()+1,1)),"")</f>
        <v/>
      </c>
      <c r="B774" s="1" t="str">
        <f>IF(ROW()&lt;=Results!$C$1+1,VLOOKUP($A774,Data!$A$2:$C$117,2,TRUE),"")</f>
        <v/>
      </c>
      <c r="C774" s="14" t="str">
        <f>IF(ROW()&lt;=Results!$C$1+1,IF(B774&lt;=0,"",LN(B774)),"")</f>
        <v/>
      </c>
      <c r="D774" s="1" t="str">
        <f>IF(ROW()&lt;=Results!$C$1+1,VLOOKUP($A774,Data!$A$2:$C$117,3,TRUE),"")</f>
        <v/>
      </c>
      <c r="E774" s="14" t="str">
        <f>IF(ROW()&lt;=Results!$C$1+1,IF(D774&lt;=0,"",LN(D774)),"")</f>
        <v/>
      </c>
      <c r="F774" s="53" t="str">
        <f>IF(ROW()&lt;=Results!$C$1+1,IF(ISERROR(C774-E774),"",C774-E774),"")</f>
        <v/>
      </c>
    </row>
    <row r="775" spans="1:6" x14ac:dyDescent="0.2">
      <c r="A775" s="1" t="str">
        <f ca="1">IF(ROW()&lt;=Results!$C$1+1,INDEX(Data!$A:$A,CEILING((COUNTA(Data!$A:$A)-1)*RAND()+1,1)),"")</f>
        <v/>
      </c>
      <c r="B775" s="1" t="str">
        <f>IF(ROW()&lt;=Results!$C$1+1,VLOOKUP($A775,Data!$A$2:$C$117,2,TRUE),"")</f>
        <v/>
      </c>
      <c r="C775" s="14" t="str">
        <f>IF(ROW()&lt;=Results!$C$1+1,IF(B775&lt;=0,"",LN(B775)),"")</f>
        <v/>
      </c>
      <c r="D775" s="1" t="str">
        <f>IF(ROW()&lt;=Results!$C$1+1,VLOOKUP($A775,Data!$A$2:$C$117,3,TRUE),"")</f>
        <v/>
      </c>
      <c r="E775" s="14" t="str">
        <f>IF(ROW()&lt;=Results!$C$1+1,IF(D775&lt;=0,"",LN(D775)),"")</f>
        <v/>
      </c>
      <c r="F775" s="53" t="str">
        <f>IF(ROW()&lt;=Results!$C$1+1,IF(ISERROR(C775-E775),"",C775-E775),"")</f>
        <v/>
      </c>
    </row>
    <row r="776" spans="1:6" x14ac:dyDescent="0.2">
      <c r="A776" s="1" t="str">
        <f ca="1">IF(ROW()&lt;=Results!$C$1+1,INDEX(Data!$A:$A,CEILING((COUNTA(Data!$A:$A)-1)*RAND()+1,1)),"")</f>
        <v/>
      </c>
      <c r="B776" s="1" t="str">
        <f>IF(ROW()&lt;=Results!$C$1+1,VLOOKUP($A776,Data!$A$2:$C$117,2,TRUE),"")</f>
        <v/>
      </c>
      <c r="C776" s="14" t="str">
        <f>IF(ROW()&lt;=Results!$C$1+1,IF(B776&lt;=0,"",LN(B776)),"")</f>
        <v/>
      </c>
      <c r="D776" s="1" t="str">
        <f>IF(ROW()&lt;=Results!$C$1+1,VLOOKUP($A776,Data!$A$2:$C$117,3,TRUE),"")</f>
        <v/>
      </c>
      <c r="E776" s="14" t="str">
        <f>IF(ROW()&lt;=Results!$C$1+1,IF(D776&lt;=0,"",LN(D776)),"")</f>
        <v/>
      </c>
      <c r="F776" s="53" t="str">
        <f>IF(ROW()&lt;=Results!$C$1+1,IF(ISERROR(C776-E776),"",C776-E776),"")</f>
        <v/>
      </c>
    </row>
    <row r="777" spans="1:6" x14ac:dyDescent="0.2">
      <c r="A777" s="1" t="str">
        <f ca="1">IF(ROW()&lt;=Results!$C$1+1,INDEX(Data!$A:$A,CEILING((COUNTA(Data!$A:$A)-1)*RAND()+1,1)),"")</f>
        <v/>
      </c>
      <c r="B777" s="1" t="str">
        <f>IF(ROW()&lt;=Results!$C$1+1,VLOOKUP($A777,Data!$A$2:$C$117,2,TRUE),"")</f>
        <v/>
      </c>
      <c r="C777" s="14" t="str">
        <f>IF(ROW()&lt;=Results!$C$1+1,IF(B777&lt;=0,"",LN(B777)),"")</f>
        <v/>
      </c>
      <c r="D777" s="1" t="str">
        <f>IF(ROW()&lt;=Results!$C$1+1,VLOOKUP($A777,Data!$A$2:$C$117,3,TRUE),"")</f>
        <v/>
      </c>
      <c r="E777" s="14" t="str">
        <f>IF(ROW()&lt;=Results!$C$1+1,IF(D777&lt;=0,"",LN(D777)),"")</f>
        <v/>
      </c>
      <c r="F777" s="53" t="str">
        <f>IF(ROW()&lt;=Results!$C$1+1,IF(ISERROR(C777-E777),"",C777-E777),"")</f>
        <v/>
      </c>
    </row>
    <row r="778" spans="1:6" x14ac:dyDescent="0.2">
      <c r="A778" s="1" t="str">
        <f ca="1">IF(ROW()&lt;=Results!$C$1+1,INDEX(Data!$A:$A,CEILING((COUNTA(Data!$A:$A)-1)*RAND()+1,1)),"")</f>
        <v/>
      </c>
      <c r="B778" s="1" t="str">
        <f>IF(ROW()&lt;=Results!$C$1+1,VLOOKUP($A778,Data!$A$2:$C$117,2,TRUE),"")</f>
        <v/>
      </c>
      <c r="C778" s="14" t="str">
        <f>IF(ROW()&lt;=Results!$C$1+1,IF(B778&lt;=0,"",LN(B778)),"")</f>
        <v/>
      </c>
      <c r="D778" s="1" t="str">
        <f>IF(ROW()&lt;=Results!$C$1+1,VLOOKUP($A778,Data!$A$2:$C$117,3,TRUE),"")</f>
        <v/>
      </c>
      <c r="E778" s="14" t="str">
        <f>IF(ROW()&lt;=Results!$C$1+1,IF(D778&lt;=0,"",LN(D778)),"")</f>
        <v/>
      </c>
      <c r="F778" s="53" t="str">
        <f>IF(ROW()&lt;=Results!$C$1+1,IF(ISERROR(C778-E778),"",C778-E778),"")</f>
        <v/>
      </c>
    </row>
    <row r="779" spans="1:6" x14ac:dyDescent="0.2">
      <c r="A779" s="1" t="str">
        <f ca="1">IF(ROW()&lt;=Results!$C$1+1,INDEX(Data!$A:$A,CEILING((COUNTA(Data!$A:$A)-1)*RAND()+1,1)),"")</f>
        <v/>
      </c>
      <c r="B779" s="1" t="str">
        <f>IF(ROW()&lt;=Results!$C$1+1,VLOOKUP($A779,Data!$A$2:$C$117,2,TRUE),"")</f>
        <v/>
      </c>
      <c r="C779" s="14" t="str">
        <f>IF(ROW()&lt;=Results!$C$1+1,IF(B779&lt;=0,"",LN(B779)),"")</f>
        <v/>
      </c>
      <c r="D779" s="1" t="str">
        <f>IF(ROW()&lt;=Results!$C$1+1,VLOOKUP($A779,Data!$A$2:$C$117,3,TRUE),"")</f>
        <v/>
      </c>
      <c r="E779" s="14" t="str">
        <f>IF(ROW()&lt;=Results!$C$1+1,IF(D779&lt;=0,"",LN(D779)),"")</f>
        <v/>
      </c>
      <c r="F779" s="53" t="str">
        <f>IF(ROW()&lt;=Results!$C$1+1,IF(ISERROR(C779-E779),"",C779-E779),"")</f>
        <v/>
      </c>
    </row>
    <row r="780" spans="1:6" x14ac:dyDescent="0.2">
      <c r="A780" s="1" t="str">
        <f ca="1">IF(ROW()&lt;=Results!$C$1+1,INDEX(Data!$A:$A,CEILING((COUNTA(Data!$A:$A)-1)*RAND()+1,1)),"")</f>
        <v/>
      </c>
      <c r="B780" s="1" t="str">
        <f>IF(ROW()&lt;=Results!$C$1+1,VLOOKUP($A780,Data!$A$2:$C$117,2,TRUE),"")</f>
        <v/>
      </c>
      <c r="C780" s="14" t="str">
        <f>IF(ROW()&lt;=Results!$C$1+1,IF(B780&lt;=0,"",LN(B780)),"")</f>
        <v/>
      </c>
      <c r="D780" s="1" t="str">
        <f>IF(ROW()&lt;=Results!$C$1+1,VLOOKUP($A780,Data!$A$2:$C$117,3,TRUE),"")</f>
        <v/>
      </c>
      <c r="E780" s="14" t="str">
        <f>IF(ROW()&lt;=Results!$C$1+1,IF(D780&lt;=0,"",LN(D780)),"")</f>
        <v/>
      </c>
      <c r="F780" s="53" t="str">
        <f>IF(ROW()&lt;=Results!$C$1+1,IF(ISERROR(C780-E780),"",C780-E780),"")</f>
        <v/>
      </c>
    </row>
    <row r="781" spans="1:6" x14ac:dyDescent="0.2">
      <c r="A781" s="1" t="str">
        <f ca="1">IF(ROW()&lt;=Results!$C$1+1,INDEX(Data!$A:$A,CEILING((COUNTA(Data!$A:$A)-1)*RAND()+1,1)),"")</f>
        <v/>
      </c>
      <c r="B781" s="1" t="str">
        <f>IF(ROW()&lt;=Results!$C$1+1,VLOOKUP($A781,Data!$A$2:$C$117,2,TRUE),"")</f>
        <v/>
      </c>
      <c r="C781" s="14" t="str">
        <f>IF(ROW()&lt;=Results!$C$1+1,IF(B781&lt;=0,"",LN(B781)),"")</f>
        <v/>
      </c>
      <c r="D781" s="1" t="str">
        <f>IF(ROW()&lt;=Results!$C$1+1,VLOOKUP($A781,Data!$A$2:$C$117,3,TRUE),"")</f>
        <v/>
      </c>
      <c r="E781" s="14" t="str">
        <f>IF(ROW()&lt;=Results!$C$1+1,IF(D781&lt;=0,"",LN(D781)),"")</f>
        <v/>
      </c>
      <c r="F781" s="53" t="str">
        <f>IF(ROW()&lt;=Results!$C$1+1,IF(ISERROR(C781-E781),"",C781-E781),"")</f>
        <v/>
      </c>
    </row>
    <row r="782" spans="1:6" x14ac:dyDescent="0.2">
      <c r="A782" s="1" t="str">
        <f ca="1">IF(ROW()&lt;=Results!$C$1+1,INDEX(Data!$A:$A,CEILING((COUNTA(Data!$A:$A)-1)*RAND()+1,1)),"")</f>
        <v/>
      </c>
      <c r="B782" s="1" t="str">
        <f>IF(ROW()&lt;=Results!$C$1+1,VLOOKUP($A782,Data!$A$2:$C$117,2,TRUE),"")</f>
        <v/>
      </c>
      <c r="C782" s="14" t="str">
        <f>IF(ROW()&lt;=Results!$C$1+1,IF(B782&lt;=0,"",LN(B782)),"")</f>
        <v/>
      </c>
      <c r="D782" s="1" t="str">
        <f>IF(ROW()&lt;=Results!$C$1+1,VLOOKUP($A782,Data!$A$2:$C$117,3,TRUE),"")</f>
        <v/>
      </c>
      <c r="E782" s="14" t="str">
        <f>IF(ROW()&lt;=Results!$C$1+1,IF(D782&lt;=0,"",LN(D782)),"")</f>
        <v/>
      </c>
      <c r="F782" s="53" t="str">
        <f>IF(ROW()&lt;=Results!$C$1+1,IF(ISERROR(C782-E782),"",C782-E782),"")</f>
        <v/>
      </c>
    </row>
    <row r="783" spans="1:6" x14ac:dyDescent="0.2">
      <c r="A783" s="1" t="str">
        <f ca="1">IF(ROW()&lt;=Results!$C$1+1,INDEX(Data!$A:$A,CEILING((COUNTA(Data!$A:$A)-1)*RAND()+1,1)),"")</f>
        <v/>
      </c>
      <c r="B783" s="1" t="str">
        <f>IF(ROW()&lt;=Results!$C$1+1,VLOOKUP($A783,Data!$A$2:$C$117,2,TRUE),"")</f>
        <v/>
      </c>
      <c r="C783" s="14" t="str">
        <f>IF(ROW()&lt;=Results!$C$1+1,IF(B783&lt;=0,"",LN(B783)),"")</f>
        <v/>
      </c>
      <c r="D783" s="1" t="str">
        <f>IF(ROW()&lt;=Results!$C$1+1,VLOOKUP($A783,Data!$A$2:$C$117,3,TRUE),"")</f>
        <v/>
      </c>
      <c r="E783" s="14" t="str">
        <f>IF(ROW()&lt;=Results!$C$1+1,IF(D783&lt;=0,"",LN(D783)),"")</f>
        <v/>
      </c>
      <c r="F783" s="53" t="str">
        <f>IF(ROW()&lt;=Results!$C$1+1,IF(ISERROR(C783-E783),"",C783-E783),"")</f>
        <v/>
      </c>
    </row>
    <row r="784" spans="1:6" x14ac:dyDescent="0.2">
      <c r="A784" s="1" t="str">
        <f ca="1">IF(ROW()&lt;=Results!$C$1+1,INDEX(Data!$A:$A,CEILING((COUNTA(Data!$A:$A)-1)*RAND()+1,1)),"")</f>
        <v/>
      </c>
      <c r="B784" s="1" t="str">
        <f>IF(ROW()&lt;=Results!$C$1+1,VLOOKUP($A784,Data!$A$2:$C$117,2,TRUE),"")</f>
        <v/>
      </c>
      <c r="C784" s="14" t="str">
        <f>IF(ROW()&lt;=Results!$C$1+1,IF(B784&lt;=0,"",LN(B784)),"")</f>
        <v/>
      </c>
      <c r="D784" s="1" t="str">
        <f>IF(ROW()&lt;=Results!$C$1+1,VLOOKUP($A784,Data!$A$2:$C$117,3,TRUE),"")</f>
        <v/>
      </c>
      <c r="E784" s="14" t="str">
        <f>IF(ROW()&lt;=Results!$C$1+1,IF(D784&lt;=0,"",LN(D784)),"")</f>
        <v/>
      </c>
      <c r="F784" s="53" t="str">
        <f>IF(ROW()&lt;=Results!$C$1+1,IF(ISERROR(C784-E784),"",C784-E784),"")</f>
        <v/>
      </c>
    </row>
    <row r="785" spans="1:6" x14ac:dyDescent="0.2">
      <c r="A785" s="1" t="str">
        <f ca="1">IF(ROW()&lt;=Results!$C$1+1,INDEX(Data!$A:$A,CEILING((COUNTA(Data!$A:$A)-1)*RAND()+1,1)),"")</f>
        <v/>
      </c>
      <c r="B785" s="1" t="str">
        <f>IF(ROW()&lt;=Results!$C$1+1,VLOOKUP($A785,Data!$A$2:$C$117,2,TRUE),"")</f>
        <v/>
      </c>
      <c r="C785" s="14" t="str">
        <f>IF(ROW()&lt;=Results!$C$1+1,IF(B785&lt;=0,"",LN(B785)),"")</f>
        <v/>
      </c>
      <c r="D785" s="1" t="str">
        <f>IF(ROW()&lt;=Results!$C$1+1,VLOOKUP($A785,Data!$A$2:$C$117,3,TRUE),"")</f>
        <v/>
      </c>
      <c r="E785" s="14" t="str">
        <f>IF(ROW()&lt;=Results!$C$1+1,IF(D785&lt;=0,"",LN(D785)),"")</f>
        <v/>
      </c>
      <c r="F785" s="53" t="str">
        <f>IF(ROW()&lt;=Results!$C$1+1,IF(ISERROR(C785-E785),"",C785-E785),"")</f>
        <v/>
      </c>
    </row>
    <row r="786" spans="1:6" x14ac:dyDescent="0.2">
      <c r="A786" s="1" t="str">
        <f ca="1">IF(ROW()&lt;=Results!$C$1+1,INDEX(Data!$A:$A,CEILING((COUNTA(Data!$A:$A)-1)*RAND()+1,1)),"")</f>
        <v/>
      </c>
      <c r="B786" s="1" t="str">
        <f>IF(ROW()&lt;=Results!$C$1+1,VLOOKUP($A786,Data!$A$2:$C$117,2,TRUE),"")</f>
        <v/>
      </c>
      <c r="C786" s="14" t="str">
        <f>IF(ROW()&lt;=Results!$C$1+1,IF(B786&lt;=0,"",LN(B786)),"")</f>
        <v/>
      </c>
      <c r="D786" s="1" t="str">
        <f>IF(ROW()&lt;=Results!$C$1+1,VLOOKUP($A786,Data!$A$2:$C$117,3,TRUE),"")</f>
        <v/>
      </c>
      <c r="E786" s="14" t="str">
        <f>IF(ROW()&lt;=Results!$C$1+1,IF(D786&lt;=0,"",LN(D786)),"")</f>
        <v/>
      </c>
      <c r="F786" s="53" t="str">
        <f>IF(ROW()&lt;=Results!$C$1+1,IF(ISERROR(C786-E786),"",C786-E786),"")</f>
        <v/>
      </c>
    </row>
    <row r="787" spans="1:6" x14ac:dyDescent="0.2">
      <c r="A787" s="1" t="str">
        <f ca="1">IF(ROW()&lt;=Results!$C$1+1,INDEX(Data!$A:$A,CEILING((COUNTA(Data!$A:$A)-1)*RAND()+1,1)),"")</f>
        <v/>
      </c>
      <c r="B787" s="1" t="str">
        <f>IF(ROW()&lt;=Results!$C$1+1,VLOOKUP($A787,Data!$A$2:$C$117,2,TRUE),"")</f>
        <v/>
      </c>
      <c r="C787" s="14" t="str">
        <f>IF(ROW()&lt;=Results!$C$1+1,IF(B787&lt;=0,"",LN(B787)),"")</f>
        <v/>
      </c>
      <c r="D787" s="1" t="str">
        <f>IF(ROW()&lt;=Results!$C$1+1,VLOOKUP($A787,Data!$A$2:$C$117,3,TRUE),"")</f>
        <v/>
      </c>
      <c r="E787" s="14" t="str">
        <f>IF(ROW()&lt;=Results!$C$1+1,IF(D787&lt;=0,"",LN(D787)),"")</f>
        <v/>
      </c>
      <c r="F787" s="53" t="str">
        <f>IF(ROW()&lt;=Results!$C$1+1,IF(ISERROR(C787-E787),"",C787-E787),"")</f>
        <v/>
      </c>
    </row>
    <row r="788" spans="1:6" x14ac:dyDescent="0.2">
      <c r="A788" s="1" t="str">
        <f ca="1">IF(ROW()&lt;=Results!$C$1+1,INDEX(Data!$A:$A,CEILING((COUNTA(Data!$A:$A)-1)*RAND()+1,1)),"")</f>
        <v/>
      </c>
      <c r="B788" s="1" t="str">
        <f>IF(ROW()&lt;=Results!$C$1+1,VLOOKUP($A788,Data!$A$2:$C$117,2,TRUE),"")</f>
        <v/>
      </c>
      <c r="C788" s="14" t="str">
        <f>IF(ROW()&lt;=Results!$C$1+1,IF(B788&lt;=0,"",LN(B788)),"")</f>
        <v/>
      </c>
      <c r="D788" s="1" t="str">
        <f>IF(ROW()&lt;=Results!$C$1+1,VLOOKUP($A788,Data!$A$2:$C$117,3,TRUE),"")</f>
        <v/>
      </c>
      <c r="E788" s="14" t="str">
        <f>IF(ROW()&lt;=Results!$C$1+1,IF(D788&lt;=0,"",LN(D788)),"")</f>
        <v/>
      </c>
      <c r="F788" s="53" t="str">
        <f>IF(ROW()&lt;=Results!$C$1+1,IF(ISERROR(C788-E788),"",C788-E788),"")</f>
        <v/>
      </c>
    </row>
    <row r="789" spans="1:6" x14ac:dyDescent="0.2">
      <c r="A789" s="1" t="str">
        <f ca="1">IF(ROW()&lt;=Results!$C$1+1,INDEX(Data!$A:$A,CEILING((COUNTA(Data!$A:$A)-1)*RAND()+1,1)),"")</f>
        <v/>
      </c>
      <c r="B789" s="1" t="str">
        <f>IF(ROW()&lt;=Results!$C$1+1,VLOOKUP($A789,Data!$A$2:$C$117,2,TRUE),"")</f>
        <v/>
      </c>
      <c r="C789" s="14" t="str">
        <f>IF(ROW()&lt;=Results!$C$1+1,IF(B789&lt;=0,"",LN(B789)),"")</f>
        <v/>
      </c>
      <c r="D789" s="1" t="str">
        <f>IF(ROW()&lt;=Results!$C$1+1,VLOOKUP($A789,Data!$A$2:$C$117,3,TRUE),"")</f>
        <v/>
      </c>
      <c r="E789" s="14" t="str">
        <f>IF(ROW()&lt;=Results!$C$1+1,IF(D789&lt;=0,"",LN(D789)),"")</f>
        <v/>
      </c>
      <c r="F789" s="53" t="str">
        <f>IF(ROW()&lt;=Results!$C$1+1,IF(ISERROR(C789-E789),"",C789-E789),"")</f>
        <v/>
      </c>
    </row>
    <row r="790" spans="1:6" x14ac:dyDescent="0.2">
      <c r="A790" s="1" t="str">
        <f ca="1">IF(ROW()&lt;=Results!$C$1+1,INDEX(Data!$A:$A,CEILING((COUNTA(Data!$A:$A)-1)*RAND()+1,1)),"")</f>
        <v/>
      </c>
      <c r="B790" s="1" t="str">
        <f>IF(ROW()&lt;=Results!$C$1+1,VLOOKUP($A790,Data!$A$2:$C$117,2,TRUE),"")</f>
        <v/>
      </c>
      <c r="C790" s="14" t="str">
        <f>IF(ROW()&lt;=Results!$C$1+1,IF(B790&lt;=0,"",LN(B790)),"")</f>
        <v/>
      </c>
      <c r="D790" s="1" t="str">
        <f>IF(ROW()&lt;=Results!$C$1+1,VLOOKUP($A790,Data!$A$2:$C$117,3,TRUE),"")</f>
        <v/>
      </c>
      <c r="E790" s="14" t="str">
        <f>IF(ROW()&lt;=Results!$C$1+1,IF(D790&lt;=0,"",LN(D790)),"")</f>
        <v/>
      </c>
      <c r="F790" s="53" t="str">
        <f>IF(ROW()&lt;=Results!$C$1+1,IF(ISERROR(C790-E790),"",C790-E790),"")</f>
        <v/>
      </c>
    </row>
    <row r="791" spans="1:6" x14ac:dyDescent="0.2">
      <c r="A791" s="1" t="str">
        <f ca="1">IF(ROW()&lt;=Results!$C$1+1,INDEX(Data!$A:$A,CEILING((COUNTA(Data!$A:$A)-1)*RAND()+1,1)),"")</f>
        <v/>
      </c>
      <c r="B791" s="1" t="str">
        <f>IF(ROW()&lt;=Results!$C$1+1,VLOOKUP($A791,Data!$A$2:$C$117,2,TRUE),"")</f>
        <v/>
      </c>
      <c r="C791" s="14" t="str">
        <f>IF(ROW()&lt;=Results!$C$1+1,IF(B791&lt;=0,"",LN(B791)),"")</f>
        <v/>
      </c>
      <c r="D791" s="1" t="str">
        <f>IF(ROW()&lt;=Results!$C$1+1,VLOOKUP($A791,Data!$A$2:$C$117,3,TRUE),"")</f>
        <v/>
      </c>
      <c r="E791" s="14" t="str">
        <f>IF(ROW()&lt;=Results!$C$1+1,IF(D791&lt;=0,"",LN(D791)),"")</f>
        <v/>
      </c>
      <c r="F791" s="53" t="str">
        <f>IF(ROW()&lt;=Results!$C$1+1,IF(ISERROR(C791-E791),"",C791-E791),"")</f>
        <v/>
      </c>
    </row>
    <row r="792" spans="1:6" x14ac:dyDescent="0.2">
      <c r="A792" s="1" t="str">
        <f ca="1">IF(ROW()&lt;=Results!$C$1+1,INDEX(Data!$A:$A,CEILING((COUNTA(Data!$A:$A)-1)*RAND()+1,1)),"")</f>
        <v/>
      </c>
      <c r="B792" s="1" t="str">
        <f>IF(ROW()&lt;=Results!$C$1+1,VLOOKUP($A792,Data!$A$2:$C$117,2,TRUE),"")</f>
        <v/>
      </c>
      <c r="C792" s="14" t="str">
        <f>IF(ROW()&lt;=Results!$C$1+1,IF(B792&lt;=0,"",LN(B792)),"")</f>
        <v/>
      </c>
      <c r="D792" s="1" t="str">
        <f>IF(ROW()&lt;=Results!$C$1+1,VLOOKUP($A792,Data!$A$2:$C$117,3,TRUE),"")</f>
        <v/>
      </c>
      <c r="E792" s="14" t="str">
        <f>IF(ROW()&lt;=Results!$C$1+1,IF(D792&lt;=0,"",LN(D792)),"")</f>
        <v/>
      </c>
      <c r="F792" s="53" t="str">
        <f>IF(ROW()&lt;=Results!$C$1+1,IF(ISERROR(C792-E792),"",C792-E792),"")</f>
        <v/>
      </c>
    </row>
    <row r="793" spans="1:6" x14ac:dyDescent="0.2">
      <c r="A793" s="1" t="str">
        <f ca="1">IF(ROW()&lt;=Results!$C$1+1,INDEX(Data!$A:$A,CEILING((COUNTA(Data!$A:$A)-1)*RAND()+1,1)),"")</f>
        <v/>
      </c>
      <c r="B793" s="1" t="str">
        <f>IF(ROW()&lt;=Results!$C$1+1,VLOOKUP($A793,Data!$A$2:$C$117,2,TRUE),"")</f>
        <v/>
      </c>
      <c r="C793" s="14" t="str">
        <f>IF(ROW()&lt;=Results!$C$1+1,IF(B793&lt;=0,"",LN(B793)),"")</f>
        <v/>
      </c>
      <c r="D793" s="1" t="str">
        <f>IF(ROW()&lt;=Results!$C$1+1,VLOOKUP($A793,Data!$A$2:$C$117,3,TRUE),"")</f>
        <v/>
      </c>
      <c r="E793" s="14" t="str">
        <f>IF(ROW()&lt;=Results!$C$1+1,IF(D793&lt;=0,"",LN(D793)),"")</f>
        <v/>
      </c>
      <c r="F793" s="53" t="str">
        <f>IF(ROW()&lt;=Results!$C$1+1,IF(ISERROR(C793-E793),"",C793-E793),"")</f>
        <v/>
      </c>
    </row>
    <row r="794" spans="1:6" x14ac:dyDescent="0.2">
      <c r="A794" s="1" t="str">
        <f ca="1">IF(ROW()&lt;=Results!$C$1+1,INDEX(Data!$A:$A,CEILING((COUNTA(Data!$A:$A)-1)*RAND()+1,1)),"")</f>
        <v/>
      </c>
      <c r="B794" s="1" t="str">
        <f>IF(ROW()&lt;=Results!$C$1+1,VLOOKUP($A794,Data!$A$2:$C$117,2,TRUE),"")</f>
        <v/>
      </c>
      <c r="C794" s="14" t="str">
        <f>IF(ROW()&lt;=Results!$C$1+1,IF(B794&lt;=0,"",LN(B794)),"")</f>
        <v/>
      </c>
      <c r="D794" s="1" t="str">
        <f>IF(ROW()&lt;=Results!$C$1+1,VLOOKUP($A794,Data!$A$2:$C$117,3,TRUE),"")</f>
        <v/>
      </c>
      <c r="E794" s="14" t="str">
        <f>IF(ROW()&lt;=Results!$C$1+1,IF(D794&lt;=0,"",LN(D794)),"")</f>
        <v/>
      </c>
      <c r="F794" s="53" t="str">
        <f>IF(ROW()&lt;=Results!$C$1+1,IF(ISERROR(C794-E794),"",C794-E794),"")</f>
        <v/>
      </c>
    </row>
    <row r="795" spans="1:6" x14ac:dyDescent="0.2">
      <c r="A795" s="1" t="str">
        <f ca="1">IF(ROW()&lt;=Results!$C$1+1,INDEX(Data!$A:$A,CEILING((COUNTA(Data!$A:$A)-1)*RAND()+1,1)),"")</f>
        <v/>
      </c>
      <c r="B795" s="1" t="str">
        <f>IF(ROW()&lt;=Results!$C$1+1,VLOOKUP($A795,Data!$A$2:$C$117,2,TRUE),"")</f>
        <v/>
      </c>
      <c r="C795" s="14" t="str">
        <f>IF(ROW()&lt;=Results!$C$1+1,IF(B795&lt;=0,"",LN(B795)),"")</f>
        <v/>
      </c>
      <c r="D795" s="1" t="str">
        <f>IF(ROW()&lt;=Results!$C$1+1,VLOOKUP($A795,Data!$A$2:$C$117,3,TRUE),"")</f>
        <v/>
      </c>
      <c r="E795" s="14" t="str">
        <f>IF(ROW()&lt;=Results!$C$1+1,IF(D795&lt;=0,"",LN(D795)),"")</f>
        <v/>
      </c>
      <c r="F795" s="53" t="str">
        <f>IF(ROW()&lt;=Results!$C$1+1,IF(ISERROR(C795-E795),"",C795-E795),"")</f>
        <v/>
      </c>
    </row>
    <row r="796" spans="1:6" x14ac:dyDescent="0.2">
      <c r="A796" s="1" t="str">
        <f ca="1">IF(ROW()&lt;=Results!$C$1+1,INDEX(Data!$A:$A,CEILING((COUNTA(Data!$A:$A)-1)*RAND()+1,1)),"")</f>
        <v/>
      </c>
      <c r="B796" s="1" t="str">
        <f>IF(ROW()&lt;=Results!$C$1+1,VLOOKUP($A796,Data!$A$2:$C$117,2,TRUE),"")</f>
        <v/>
      </c>
      <c r="C796" s="14" t="str">
        <f>IF(ROW()&lt;=Results!$C$1+1,IF(B796&lt;=0,"",LN(B796)),"")</f>
        <v/>
      </c>
      <c r="D796" s="1" t="str">
        <f>IF(ROW()&lt;=Results!$C$1+1,VLOOKUP($A796,Data!$A$2:$C$117,3,TRUE),"")</f>
        <v/>
      </c>
      <c r="E796" s="14" t="str">
        <f>IF(ROW()&lt;=Results!$C$1+1,IF(D796&lt;=0,"",LN(D796)),"")</f>
        <v/>
      </c>
      <c r="F796" s="53" t="str">
        <f>IF(ROW()&lt;=Results!$C$1+1,IF(ISERROR(C796-E796),"",C796-E796),"")</f>
        <v/>
      </c>
    </row>
    <row r="797" spans="1:6" x14ac:dyDescent="0.2">
      <c r="A797" s="1" t="str">
        <f ca="1">IF(ROW()&lt;=Results!$C$1+1,INDEX(Data!$A:$A,CEILING((COUNTA(Data!$A:$A)-1)*RAND()+1,1)),"")</f>
        <v/>
      </c>
      <c r="B797" s="1" t="str">
        <f>IF(ROW()&lt;=Results!$C$1+1,VLOOKUP($A797,Data!$A$2:$C$117,2,TRUE),"")</f>
        <v/>
      </c>
      <c r="C797" s="14" t="str">
        <f>IF(ROW()&lt;=Results!$C$1+1,IF(B797&lt;=0,"",LN(B797)),"")</f>
        <v/>
      </c>
      <c r="D797" s="1" t="str">
        <f>IF(ROW()&lt;=Results!$C$1+1,VLOOKUP($A797,Data!$A$2:$C$117,3,TRUE),"")</f>
        <v/>
      </c>
      <c r="E797" s="14" t="str">
        <f>IF(ROW()&lt;=Results!$C$1+1,IF(D797&lt;=0,"",LN(D797)),"")</f>
        <v/>
      </c>
      <c r="F797" s="53" t="str">
        <f>IF(ROW()&lt;=Results!$C$1+1,IF(ISERROR(C797-E797),"",C797-E797),"")</f>
        <v/>
      </c>
    </row>
    <row r="798" spans="1:6" x14ac:dyDescent="0.2">
      <c r="A798" s="1" t="str">
        <f ca="1">IF(ROW()&lt;=Results!$C$1+1,INDEX(Data!$A:$A,CEILING((COUNTA(Data!$A:$A)-1)*RAND()+1,1)),"")</f>
        <v/>
      </c>
      <c r="B798" s="1" t="str">
        <f>IF(ROW()&lt;=Results!$C$1+1,VLOOKUP($A798,Data!$A$2:$C$117,2,TRUE),"")</f>
        <v/>
      </c>
      <c r="C798" s="14" t="str">
        <f>IF(ROW()&lt;=Results!$C$1+1,IF(B798&lt;=0,"",LN(B798)),"")</f>
        <v/>
      </c>
      <c r="D798" s="1" t="str">
        <f>IF(ROW()&lt;=Results!$C$1+1,VLOOKUP($A798,Data!$A$2:$C$117,3,TRUE),"")</f>
        <v/>
      </c>
      <c r="E798" s="14" t="str">
        <f>IF(ROW()&lt;=Results!$C$1+1,IF(D798&lt;=0,"",LN(D798)),"")</f>
        <v/>
      </c>
      <c r="F798" s="53" t="str">
        <f>IF(ROW()&lt;=Results!$C$1+1,IF(ISERROR(C798-E798),"",C798-E798),"")</f>
        <v/>
      </c>
    </row>
    <row r="799" spans="1:6" x14ac:dyDescent="0.2">
      <c r="A799" s="1" t="str">
        <f ca="1">IF(ROW()&lt;=Results!$C$1+1,INDEX(Data!$A:$A,CEILING((COUNTA(Data!$A:$A)-1)*RAND()+1,1)),"")</f>
        <v/>
      </c>
      <c r="B799" s="1" t="str">
        <f>IF(ROW()&lt;=Results!$C$1+1,VLOOKUP($A799,Data!$A$2:$C$117,2,TRUE),"")</f>
        <v/>
      </c>
      <c r="C799" s="14" t="str">
        <f>IF(ROW()&lt;=Results!$C$1+1,IF(B799&lt;=0,"",LN(B799)),"")</f>
        <v/>
      </c>
      <c r="D799" s="1" t="str">
        <f>IF(ROW()&lt;=Results!$C$1+1,VLOOKUP($A799,Data!$A$2:$C$117,3,TRUE),"")</f>
        <v/>
      </c>
      <c r="E799" s="14" t="str">
        <f>IF(ROW()&lt;=Results!$C$1+1,IF(D799&lt;=0,"",LN(D799)),"")</f>
        <v/>
      </c>
      <c r="F799" s="53" t="str">
        <f>IF(ROW()&lt;=Results!$C$1+1,IF(ISERROR(C799-E799),"",C799-E799),"")</f>
        <v/>
      </c>
    </row>
    <row r="800" spans="1:6" x14ac:dyDescent="0.2">
      <c r="A800" s="1" t="str">
        <f ca="1">IF(ROW()&lt;=Results!$C$1+1,INDEX(Data!$A:$A,CEILING((COUNTA(Data!$A:$A)-1)*RAND()+1,1)),"")</f>
        <v/>
      </c>
      <c r="B800" s="1" t="str">
        <f>IF(ROW()&lt;=Results!$C$1+1,VLOOKUP($A800,Data!$A$2:$C$117,2,TRUE),"")</f>
        <v/>
      </c>
      <c r="C800" s="14" t="str">
        <f>IF(ROW()&lt;=Results!$C$1+1,IF(B800&lt;=0,"",LN(B800)),"")</f>
        <v/>
      </c>
      <c r="D800" s="1" t="str">
        <f>IF(ROW()&lt;=Results!$C$1+1,VLOOKUP($A800,Data!$A$2:$C$117,3,TRUE),"")</f>
        <v/>
      </c>
      <c r="E800" s="14" t="str">
        <f>IF(ROW()&lt;=Results!$C$1+1,IF(D800&lt;=0,"",LN(D800)),"")</f>
        <v/>
      </c>
      <c r="F800" s="53" t="str">
        <f>IF(ROW()&lt;=Results!$C$1+1,IF(ISERROR(C800-E800),"",C800-E800),"")</f>
        <v/>
      </c>
    </row>
    <row r="801" spans="1:6" x14ac:dyDescent="0.2">
      <c r="A801" s="1" t="str">
        <f ca="1">IF(ROW()&lt;=Results!$C$1+1,INDEX(Data!$A:$A,CEILING((COUNTA(Data!$A:$A)-1)*RAND()+1,1)),"")</f>
        <v/>
      </c>
      <c r="B801" s="1" t="str">
        <f>IF(ROW()&lt;=Results!$C$1+1,VLOOKUP($A801,Data!$A$2:$C$117,2,TRUE),"")</f>
        <v/>
      </c>
      <c r="C801" s="14" t="str">
        <f>IF(ROW()&lt;=Results!$C$1+1,IF(B801&lt;=0,"",LN(B801)),"")</f>
        <v/>
      </c>
      <c r="D801" s="1" t="str">
        <f>IF(ROW()&lt;=Results!$C$1+1,VLOOKUP($A801,Data!$A$2:$C$117,3,TRUE),"")</f>
        <v/>
      </c>
      <c r="E801" s="14" t="str">
        <f>IF(ROW()&lt;=Results!$C$1+1,IF(D801&lt;=0,"",LN(D801)),"")</f>
        <v/>
      </c>
      <c r="F801" s="53" t="str">
        <f>IF(ROW()&lt;=Results!$C$1+1,IF(ISERROR(C801-E801),"",C801-E801),"")</f>
        <v/>
      </c>
    </row>
    <row r="802" spans="1:6" x14ac:dyDescent="0.2">
      <c r="A802" s="1" t="str">
        <f ca="1">IF(ROW()&lt;=Results!$C$1+1,INDEX(Data!$A:$A,CEILING((COUNTA(Data!$A:$A)-1)*RAND()+1,1)),"")</f>
        <v/>
      </c>
      <c r="B802" s="1" t="str">
        <f>IF(ROW()&lt;=Results!$C$1+1,VLOOKUP($A802,Data!$A$2:$C$117,2,TRUE),"")</f>
        <v/>
      </c>
      <c r="C802" s="14" t="str">
        <f>IF(ROW()&lt;=Results!$C$1+1,IF(B802&lt;=0,"",LN(B802)),"")</f>
        <v/>
      </c>
      <c r="D802" s="1" t="str">
        <f>IF(ROW()&lt;=Results!$C$1+1,VLOOKUP($A802,Data!$A$2:$C$117,3,TRUE),"")</f>
        <v/>
      </c>
      <c r="E802" s="14" t="str">
        <f>IF(ROW()&lt;=Results!$C$1+1,IF(D802&lt;=0,"",LN(D802)),"")</f>
        <v/>
      </c>
      <c r="F802" s="53" t="str">
        <f>IF(ROW()&lt;=Results!$C$1+1,IF(ISERROR(C802-E802),"",C802-E802),"")</f>
        <v/>
      </c>
    </row>
    <row r="803" spans="1:6" x14ac:dyDescent="0.2">
      <c r="A803" s="1" t="str">
        <f ca="1">IF(ROW()&lt;=Results!$C$1+1,INDEX(Data!$A:$A,CEILING((COUNTA(Data!$A:$A)-1)*RAND()+1,1)),"")</f>
        <v/>
      </c>
      <c r="B803" s="1" t="str">
        <f>IF(ROW()&lt;=Results!$C$1+1,VLOOKUP($A803,Data!$A$2:$C$117,2,TRUE),"")</f>
        <v/>
      </c>
      <c r="C803" s="14" t="str">
        <f>IF(ROW()&lt;=Results!$C$1+1,IF(B803&lt;=0,"",LN(B803)),"")</f>
        <v/>
      </c>
      <c r="D803" s="1" t="str">
        <f>IF(ROW()&lt;=Results!$C$1+1,VLOOKUP($A803,Data!$A$2:$C$117,3,TRUE),"")</f>
        <v/>
      </c>
      <c r="E803" s="14" t="str">
        <f>IF(ROW()&lt;=Results!$C$1+1,IF(D803&lt;=0,"",LN(D803)),"")</f>
        <v/>
      </c>
      <c r="F803" s="53" t="str">
        <f>IF(ROW()&lt;=Results!$C$1+1,IF(ISERROR(C803-E803),"",C803-E803),"")</f>
        <v/>
      </c>
    </row>
    <row r="804" spans="1:6" x14ac:dyDescent="0.2">
      <c r="A804" s="1" t="str">
        <f ca="1">IF(ROW()&lt;=Results!$C$1+1,INDEX(Data!$A:$A,CEILING((COUNTA(Data!$A:$A)-1)*RAND()+1,1)),"")</f>
        <v/>
      </c>
      <c r="B804" s="1" t="str">
        <f>IF(ROW()&lt;=Results!$C$1+1,VLOOKUP($A804,Data!$A$2:$C$117,2,TRUE),"")</f>
        <v/>
      </c>
      <c r="C804" s="14" t="str">
        <f>IF(ROW()&lt;=Results!$C$1+1,IF(B804&lt;=0,"",LN(B804)),"")</f>
        <v/>
      </c>
      <c r="D804" s="1" t="str">
        <f>IF(ROW()&lt;=Results!$C$1+1,VLOOKUP($A804,Data!$A$2:$C$117,3,TRUE),"")</f>
        <v/>
      </c>
      <c r="E804" s="14" t="str">
        <f>IF(ROW()&lt;=Results!$C$1+1,IF(D804&lt;=0,"",LN(D804)),"")</f>
        <v/>
      </c>
      <c r="F804" s="53" t="str">
        <f>IF(ROW()&lt;=Results!$C$1+1,IF(ISERROR(C804-E804),"",C804-E804),"")</f>
        <v/>
      </c>
    </row>
    <row r="805" spans="1:6" x14ac:dyDescent="0.2">
      <c r="A805" s="1" t="str">
        <f ca="1">IF(ROW()&lt;=Results!$C$1+1,INDEX(Data!$A:$A,CEILING((COUNTA(Data!$A:$A)-1)*RAND()+1,1)),"")</f>
        <v/>
      </c>
      <c r="B805" s="1" t="str">
        <f>IF(ROW()&lt;=Results!$C$1+1,VLOOKUP($A805,Data!$A$2:$C$117,2,TRUE),"")</f>
        <v/>
      </c>
      <c r="C805" s="14" t="str">
        <f>IF(ROW()&lt;=Results!$C$1+1,IF(B805&lt;=0,"",LN(B805)),"")</f>
        <v/>
      </c>
      <c r="D805" s="1" t="str">
        <f>IF(ROW()&lt;=Results!$C$1+1,VLOOKUP($A805,Data!$A$2:$C$117,3,TRUE),"")</f>
        <v/>
      </c>
      <c r="E805" s="14" t="str">
        <f>IF(ROW()&lt;=Results!$C$1+1,IF(D805&lt;=0,"",LN(D805)),"")</f>
        <v/>
      </c>
      <c r="F805" s="53" t="str">
        <f>IF(ROW()&lt;=Results!$C$1+1,IF(ISERROR(C805-E805),"",C805-E805),"")</f>
        <v/>
      </c>
    </row>
    <row r="806" spans="1:6" x14ac:dyDescent="0.2">
      <c r="A806" s="1" t="str">
        <f ca="1">IF(ROW()&lt;=Results!$C$1+1,INDEX(Data!$A:$A,CEILING((COUNTA(Data!$A:$A)-1)*RAND()+1,1)),"")</f>
        <v/>
      </c>
      <c r="B806" s="1" t="str">
        <f>IF(ROW()&lt;=Results!$C$1+1,VLOOKUP($A806,Data!$A$2:$C$117,2,TRUE),"")</f>
        <v/>
      </c>
      <c r="C806" s="14" t="str">
        <f>IF(ROW()&lt;=Results!$C$1+1,IF(B806&lt;=0,"",LN(B806)),"")</f>
        <v/>
      </c>
      <c r="D806" s="1" t="str">
        <f>IF(ROW()&lt;=Results!$C$1+1,VLOOKUP($A806,Data!$A$2:$C$117,3,TRUE),"")</f>
        <v/>
      </c>
      <c r="E806" s="14" t="str">
        <f>IF(ROW()&lt;=Results!$C$1+1,IF(D806&lt;=0,"",LN(D806)),"")</f>
        <v/>
      </c>
      <c r="F806" s="53" t="str">
        <f>IF(ROW()&lt;=Results!$C$1+1,IF(ISERROR(C806-E806),"",C806-E806),"")</f>
        <v/>
      </c>
    </row>
    <row r="807" spans="1:6" x14ac:dyDescent="0.2">
      <c r="A807" s="1" t="str">
        <f ca="1">IF(ROW()&lt;=Results!$C$1+1,INDEX(Data!$A:$A,CEILING((COUNTA(Data!$A:$A)-1)*RAND()+1,1)),"")</f>
        <v/>
      </c>
      <c r="B807" s="1" t="str">
        <f>IF(ROW()&lt;=Results!$C$1+1,VLOOKUP($A807,Data!$A$2:$C$117,2,TRUE),"")</f>
        <v/>
      </c>
      <c r="C807" s="14" t="str">
        <f>IF(ROW()&lt;=Results!$C$1+1,IF(B807&lt;=0,"",LN(B807)),"")</f>
        <v/>
      </c>
      <c r="D807" s="1" t="str">
        <f>IF(ROW()&lt;=Results!$C$1+1,VLOOKUP($A807,Data!$A$2:$C$117,3,TRUE),"")</f>
        <v/>
      </c>
      <c r="E807" s="14" t="str">
        <f>IF(ROW()&lt;=Results!$C$1+1,IF(D807&lt;=0,"",LN(D807)),"")</f>
        <v/>
      </c>
      <c r="F807" s="53" t="str">
        <f>IF(ROW()&lt;=Results!$C$1+1,IF(ISERROR(C807-E807),"",C807-E807),"")</f>
        <v/>
      </c>
    </row>
    <row r="808" spans="1:6" x14ac:dyDescent="0.2">
      <c r="A808" s="1" t="str">
        <f ca="1">IF(ROW()&lt;=Results!$C$1+1,INDEX(Data!$A:$A,CEILING((COUNTA(Data!$A:$A)-1)*RAND()+1,1)),"")</f>
        <v/>
      </c>
      <c r="B808" s="1" t="str">
        <f>IF(ROW()&lt;=Results!$C$1+1,VLOOKUP($A808,Data!$A$2:$C$117,2,TRUE),"")</f>
        <v/>
      </c>
      <c r="C808" s="14" t="str">
        <f>IF(ROW()&lt;=Results!$C$1+1,IF(B808&lt;=0,"",LN(B808)),"")</f>
        <v/>
      </c>
      <c r="D808" s="1" t="str">
        <f>IF(ROW()&lt;=Results!$C$1+1,VLOOKUP($A808,Data!$A$2:$C$117,3,TRUE),"")</f>
        <v/>
      </c>
      <c r="E808" s="14" t="str">
        <f>IF(ROW()&lt;=Results!$C$1+1,IF(D808&lt;=0,"",LN(D808)),"")</f>
        <v/>
      </c>
      <c r="F808" s="53" t="str">
        <f>IF(ROW()&lt;=Results!$C$1+1,IF(ISERROR(C808-E808),"",C808-E808),"")</f>
        <v/>
      </c>
    </row>
    <row r="809" spans="1:6" x14ac:dyDescent="0.2">
      <c r="A809" s="1" t="str">
        <f ca="1">IF(ROW()&lt;=Results!$C$1+1,INDEX(Data!$A:$A,CEILING((COUNTA(Data!$A:$A)-1)*RAND()+1,1)),"")</f>
        <v/>
      </c>
      <c r="B809" s="1" t="str">
        <f>IF(ROW()&lt;=Results!$C$1+1,VLOOKUP($A809,Data!$A$2:$C$117,2,TRUE),"")</f>
        <v/>
      </c>
      <c r="C809" s="14" t="str">
        <f>IF(ROW()&lt;=Results!$C$1+1,IF(B809&lt;=0,"",LN(B809)),"")</f>
        <v/>
      </c>
      <c r="D809" s="1" t="str">
        <f>IF(ROW()&lt;=Results!$C$1+1,VLOOKUP($A809,Data!$A$2:$C$117,3,TRUE),"")</f>
        <v/>
      </c>
      <c r="E809" s="14" t="str">
        <f>IF(ROW()&lt;=Results!$C$1+1,IF(D809&lt;=0,"",LN(D809)),"")</f>
        <v/>
      </c>
      <c r="F809" s="53" t="str">
        <f>IF(ROW()&lt;=Results!$C$1+1,IF(ISERROR(C809-E809),"",C809-E809),"")</f>
        <v/>
      </c>
    </row>
    <row r="810" spans="1:6" x14ac:dyDescent="0.2">
      <c r="A810" s="1" t="str">
        <f ca="1">IF(ROW()&lt;=Results!$C$1+1,INDEX(Data!$A:$A,CEILING((COUNTA(Data!$A:$A)-1)*RAND()+1,1)),"")</f>
        <v/>
      </c>
      <c r="B810" s="1" t="str">
        <f>IF(ROW()&lt;=Results!$C$1+1,VLOOKUP($A810,Data!$A$2:$C$117,2,TRUE),"")</f>
        <v/>
      </c>
      <c r="C810" s="14" t="str">
        <f>IF(ROW()&lt;=Results!$C$1+1,IF(B810&lt;=0,"",LN(B810)),"")</f>
        <v/>
      </c>
      <c r="D810" s="1" t="str">
        <f>IF(ROW()&lt;=Results!$C$1+1,VLOOKUP($A810,Data!$A$2:$C$117,3,TRUE),"")</f>
        <v/>
      </c>
      <c r="E810" s="14" t="str">
        <f>IF(ROW()&lt;=Results!$C$1+1,IF(D810&lt;=0,"",LN(D810)),"")</f>
        <v/>
      </c>
      <c r="F810" s="53" t="str">
        <f>IF(ROW()&lt;=Results!$C$1+1,IF(ISERROR(C810-E810),"",C810-E810),"")</f>
        <v/>
      </c>
    </row>
    <row r="811" spans="1:6" x14ac:dyDescent="0.2">
      <c r="A811" s="1" t="str">
        <f ca="1">IF(ROW()&lt;=Results!$C$1+1,INDEX(Data!$A:$A,CEILING((COUNTA(Data!$A:$A)-1)*RAND()+1,1)),"")</f>
        <v/>
      </c>
      <c r="B811" s="1" t="str">
        <f>IF(ROW()&lt;=Results!$C$1+1,VLOOKUP($A811,Data!$A$2:$C$117,2,TRUE),"")</f>
        <v/>
      </c>
      <c r="C811" s="14" t="str">
        <f>IF(ROW()&lt;=Results!$C$1+1,IF(B811&lt;=0,"",LN(B811)),"")</f>
        <v/>
      </c>
      <c r="D811" s="1" t="str">
        <f>IF(ROW()&lt;=Results!$C$1+1,VLOOKUP($A811,Data!$A$2:$C$117,3,TRUE),"")</f>
        <v/>
      </c>
      <c r="E811" s="14" t="str">
        <f>IF(ROW()&lt;=Results!$C$1+1,IF(D811&lt;=0,"",LN(D811)),"")</f>
        <v/>
      </c>
      <c r="F811" s="53" t="str">
        <f>IF(ROW()&lt;=Results!$C$1+1,IF(ISERROR(C811-E811),"",C811-E811),"")</f>
        <v/>
      </c>
    </row>
    <row r="812" spans="1:6" x14ac:dyDescent="0.2">
      <c r="A812" s="1" t="str">
        <f ca="1">IF(ROW()&lt;=Results!$C$1+1,INDEX(Data!$A:$A,CEILING((COUNTA(Data!$A:$A)-1)*RAND()+1,1)),"")</f>
        <v/>
      </c>
      <c r="B812" s="1" t="str">
        <f>IF(ROW()&lt;=Results!$C$1+1,VLOOKUP($A812,Data!$A$2:$C$117,2,TRUE),"")</f>
        <v/>
      </c>
      <c r="C812" s="14" t="str">
        <f>IF(ROW()&lt;=Results!$C$1+1,IF(B812&lt;=0,"",LN(B812)),"")</f>
        <v/>
      </c>
      <c r="D812" s="1" t="str">
        <f>IF(ROW()&lt;=Results!$C$1+1,VLOOKUP($A812,Data!$A$2:$C$117,3,TRUE),"")</f>
        <v/>
      </c>
      <c r="E812" s="14" t="str">
        <f>IF(ROW()&lt;=Results!$C$1+1,IF(D812&lt;=0,"",LN(D812)),"")</f>
        <v/>
      </c>
      <c r="F812" s="53" t="str">
        <f>IF(ROW()&lt;=Results!$C$1+1,IF(ISERROR(C812-E812),"",C812-E812),"")</f>
        <v/>
      </c>
    </row>
    <row r="813" spans="1:6" x14ac:dyDescent="0.2">
      <c r="A813" s="1" t="str">
        <f ca="1">IF(ROW()&lt;=Results!$C$1+1,INDEX(Data!$A:$A,CEILING((COUNTA(Data!$A:$A)-1)*RAND()+1,1)),"")</f>
        <v/>
      </c>
      <c r="B813" s="1" t="str">
        <f>IF(ROW()&lt;=Results!$C$1+1,VLOOKUP($A813,Data!$A$2:$C$117,2,TRUE),"")</f>
        <v/>
      </c>
      <c r="C813" s="14" t="str">
        <f>IF(ROW()&lt;=Results!$C$1+1,IF(B813&lt;=0,"",LN(B813)),"")</f>
        <v/>
      </c>
      <c r="D813" s="1" t="str">
        <f>IF(ROW()&lt;=Results!$C$1+1,VLOOKUP($A813,Data!$A$2:$C$117,3,TRUE),"")</f>
        <v/>
      </c>
      <c r="E813" s="14" t="str">
        <f>IF(ROW()&lt;=Results!$C$1+1,IF(D813&lt;=0,"",LN(D813)),"")</f>
        <v/>
      </c>
      <c r="F813" s="53" t="str">
        <f>IF(ROW()&lt;=Results!$C$1+1,IF(ISERROR(C813-E813),"",C813-E813),"")</f>
        <v/>
      </c>
    </row>
    <row r="814" spans="1:6" x14ac:dyDescent="0.2">
      <c r="A814" s="1" t="str">
        <f ca="1">IF(ROW()&lt;=Results!$C$1+1,INDEX(Data!$A:$A,CEILING((COUNTA(Data!$A:$A)-1)*RAND()+1,1)),"")</f>
        <v/>
      </c>
      <c r="B814" s="1" t="str">
        <f>IF(ROW()&lt;=Results!$C$1+1,VLOOKUP($A814,Data!$A$2:$C$117,2,TRUE),"")</f>
        <v/>
      </c>
      <c r="C814" s="14" t="str">
        <f>IF(ROW()&lt;=Results!$C$1+1,IF(B814&lt;=0,"",LN(B814)),"")</f>
        <v/>
      </c>
      <c r="D814" s="1" t="str">
        <f>IF(ROW()&lt;=Results!$C$1+1,VLOOKUP($A814,Data!$A$2:$C$117,3,TRUE),"")</f>
        <v/>
      </c>
      <c r="E814" s="14" t="str">
        <f>IF(ROW()&lt;=Results!$C$1+1,IF(D814&lt;=0,"",LN(D814)),"")</f>
        <v/>
      </c>
      <c r="F814" s="53" t="str">
        <f>IF(ROW()&lt;=Results!$C$1+1,IF(ISERROR(C814-E814),"",C814-E814),"")</f>
        <v/>
      </c>
    </row>
    <row r="815" spans="1:6" x14ac:dyDescent="0.2">
      <c r="A815" s="1" t="str">
        <f ca="1">IF(ROW()&lt;=Results!$C$1+1,INDEX(Data!$A:$A,CEILING((COUNTA(Data!$A:$A)-1)*RAND()+1,1)),"")</f>
        <v/>
      </c>
      <c r="B815" s="1" t="str">
        <f>IF(ROW()&lt;=Results!$C$1+1,VLOOKUP($A815,Data!$A$2:$C$117,2,TRUE),"")</f>
        <v/>
      </c>
      <c r="C815" s="14" t="str">
        <f>IF(ROW()&lt;=Results!$C$1+1,IF(B815&lt;=0,"",LN(B815)),"")</f>
        <v/>
      </c>
      <c r="D815" s="1" t="str">
        <f>IF(ROW()&lt;=Results!$C$1+1,VLOOKUP($A815,Data!$A$2:$C$117,3,TRUE),"")</f>
        <v/>
      </c>
      <c r="E815" s="14" t="str">
        <f>IF(ROW()&lt;=Results!$C$1+1,IF(D815&lt;=0,"",LN(D815)),"")</f>
        <v/>
      </c>
      <c r="F815" s="53" t="str">
        <f>IF(ROW()&lt;=Results!$C$1+1,IF(ISERROR(C815-E815),"",C815-E815),"")</f>
        <v/>
      </c>
    </row>
    <row r="816" spans="1:6" x14ac:dyDescent="0.2">
      <c r="A816" s="1" t="str">
        <f ca="1">IF(ROW()&lt;=Results!$C$1+1,INDEX(Data!$A:$A,CEILING((COUNTA(Data!$A:$A)-1)*RAND()+1,1)),"")</f>
        <v/>
      </c>
      <c r="B816" s="1" t="str">
        <f>IF(ROW()&lt;=Results!$C$1+1,VLOOKUP($A816,Data!$A$2:$C$117,2,TRUE),"")</f>
        <v/>
      </c>
      <c r="C816" s="14" t="str">
        <f>IF(ROW()&lt;=Results!$C$1+1,IF(B816&lt;=0,"",LN(B816)),"")</f>
        <v/>
      </c>
      <c r="D816" s="1" t="str">
        <f>IF(ROW()&lt;=Results!$C$1+1,VLOOKUP($A816,Data!$A$2:$C$117,3,TRUE),"")</f>
        <v/>
      </c>
      <c r="E816" s="14" t="str">
        <f>IF(ROW()&lt;=Results!$C$1+1,IF(D816&lt;=0,"",LN(D816)),"")</f>
        <v/>
      </c>
      <c r="F816" s="53" t="str">
        <f>IF(ROW()&lt;=Results!$C$1+1,IF(ISERROR(C816-E816),"",C816-E816),"")</f>
        <v/>
      </c>
    </row>
    <row r="817" spans="1:6" x14ac:dyDescent="0.2">
      <c r="A817" s="1" t="str">
        <f ca="1">IF(ROW()&lt;=Results!$C$1+1,INDEX(Data!$A:$A,CEILING((COUNTA(Data!$A:$A)-1)*RAND()+1,1)),"")</f>
        <v/>
      </c>
      <c r="B817" s="1" t="str">
        <f>IF(ROW()&lt;=Results!$C$1+1,VLOOKUP($A817,Data!$A$2:$C$117,2,TRUE),"")</f>
        <v/>
      </c>
      <c r="C817" s="14" t="str">
        <f>IF(ROW()&lt;=Results!$C$1+1,IF(B817&lt;=0,"",LN(B817)),"")</f>
        <v/>
      </c>
      <c r="D817" s="1" t="str">
        <f>IF(ROW()&lt;=Results!$C$1+1,VLOOKUP($A817,Data!$A$2:$C$117,3,TRUE),"")</f>
        <v/>
      </c>
      <c r="E817" s="14" t="str">
        <f>IF(ROW()&lt;=Results!$C$1+1,IF(D817&lt;=0,"",LN(D817)),"")</f>
        <v/>
      </c>
      <c r="F817" s="53" t="str">
        <f>IF(ROW()&lt;=Results!$C$1+1,IF(ISERROR(C817-E817),"",C817-E817),"")</f>
        <v/>
      </c>
    </row>
    <row r="818" spans="1:6" x14ac:dyDescent="0.2">
      <c r="A818" s="1" t="str">
        <f ca="1">IF(ROW()&lt;=Results!$C$1+1,INDEX(Data!$A:$A,CEILING((COUNTA(Data!$A:$A)-1)*RAND()+1,1)),"")</f>
        <v/>
      </c>
      <c r="B818" s="1" t="str">
        <f>IF(ROW()&lt;=Results!$C$1+1,VLOOKUP($A818,Data!$A$2:$C$117,2,TRUE),"")</f>
        <v/>
      </c>
      <c r="C818" s="14" t="str">
        <f>IF(ROW()&lt;=Results!$C$1+1,IF(B818&lt;=0,"",LN(B818)),"")</f>
        <v/>
      </c>
      <c r="D818" s="1" t="str">
        <f>IF(ROW()&lt;=Results!$C$1+1,VLOOKUP($A818,Data!$A$2:$C$117,3,TRUE),"")</f>
        <v/>
      </c>
      <c r="E818" s="14" t="str">
        <f>IF(ROW()&lt;=Results!$C$1+1,IF(D818&lt;=0,"",LN(D818)),"")</f>
        <v/>
      </c>
      <c r="F818" s="53" t="str">
        <f>IF(ROW()&lt;=Results!$C$1+1,IF(ISERROR(C818-E818),"",C818-E818),"")</f>
        <v/>
      </c>
    </row>
    <row r="819" spans="1:6" x14ac:dyDescent="0.2">
      <c r="A819" s="1" t="str">
        <f ca="1">IF(ROW()&lt;=Results!$C$1+1,INDEX(Data!$A:$A,CEILING((COUNTA(Data!$A:$A)-1)*RAND()+1,1)),"")</f>
        <v/>
      </c>
      <c r="B819" s="1" t="str">
        <f>IF(ROW()&lt;=Results!$C$1+1,VLOOKUP($A819,Data!$A$2:$C$117,2,TRUE),"")</f>
        <v/>
      </c>
      <c r="C819" s="14" t="str">
        <f>IF(ROW()&lt;=Results!$C$1+1,IF(B819&lt;=0,"",LN(B819)),"")</f>
        <v/>
      </c>
      <c r="D819" s="1" t="str">
        <f>IF(ROW()&lt;=Results!$C$1+1,VLOOKUP($A819,Data!$A$2:$C$117,3,TRUE),"")</f>
        <v/>
      </c>
      <c r="E819" s="14" t="str">
        <f>IF(ROW()&lt;=Results!$C$1+1,IF(D819&lt;=0,"",LN(D819)),"")</f>
        <v/>
      </c>
      <c r="F819" s="53" t="str">
        <f>IF(ROW()&lt;=Results!$C$1+1,IF(ISERROR(C819-E819),"",C819-E819),"")</f>
        <v/>
      </c>
    </row>
    <row r="820" spans="1:6" x14ac:dyDescent="0.2">
      <c r="A820" s="1" t="str">
        <f ca="1">IF(ROW()&lt;=Results!$C$1+1,INDEX(Data!$A:$A,CEILING((COUNTA(Data!$A:$A)-1)*RAND()+1,1)),"")</f>
        <v/>
      </c>
      <c r="B820" s="1" t="str">
        <f>IF(ROW()&lt;=Results!$C$1+1,VLOOKUP($A820,Data!$A$2:$C$117,2,TRUE),"")</f>
        <v/>
      </c>
      <c r="C820" s="14" t="str">
        <f>IF(ROW()&lt;=Results!$C$1+1,IF(B820&lt;=0,"",LN(B820)),"")</f>
        <v/>
      </c>
      <c r="D820" s="1" t="str">
        <f>IF(ROW()&lt;=Results!$C$1+1,VLOOKUP($A820,Data!$A$2:$C$117,3,TRUE),"")</f>
        <v/>
      </c>
      <c r="E820" s="14" t="str">
        <f>IF(ROW()&lt;=Results!$C$1+1,IF(D820&lt;=0,"",LN(D820)),"")</f>
        <v/>
      </c>
      <c r="F820" s="53" t="str">
        <f>IF(ROW()&lt;=Results!$C$1+1,IF(ISERROR(C820-E820),"",C820-E820),"")</f>
        <v/>
      </c>
    </row>
    <row r="821" spans="1:6" x14ac:dyDescent="0.2">
      <c r="A821" s="1" t="str">
        <f ca="1">IF(ROW()&lt;=Results!$C$1+1,INDEX(Data!$A:$A,CEILING((COUNTA(Data!$A:$A)-1)*RAND()+1,1)),"")</f>
        <v/>
      </c>
      <c r="B821" s="1" t="str">
        <f>IF(ROW()&lt;=Results!$C$1+1,VLOOKUP($A821,Data!$A$2:$C$117,2,TRUE),"")</f>
        <v/>
      </c>
      <c r="C821" s="14" t="str">
        <f>IF(ROW()&lt;=Results!$C$1+1,IF(B821&lt;=0,"",LN(B821)),"")</f>
        <v/>
      </c>
      <c r="D821" s="1" t="str">
        <f>IF(ROW()&lt;=Results!$C$1+1,VLOOKUP($A821,Data!$A$2:$C$117,3,TRUE),"")</f>
        <v/>
      </c>
      <c r="E821" s="14" t="str">
        <f>IF(ROW()&lt;=Results!$C$1+1,IF(D821&lt;=0,"",LN(D821)),"")</f>
        <v/>
      </c>
      <c r="F821" s="53" t="str">
        <f>IF(ROW()&lt;=Results!$C$1+1,IF(ISERROR(C821-E821),"",C821-E821),"")</f>
        <v/>
      </c>
    </row>
    <row r="822" spans="1:6" x14ac:dyDescent="0.2">
      <c r="A822" s="1" t="str">
        <f ca="1">IF(ROW()&lt;=Results!$C$1+1,INDEX(Data!$A:$A,CEILING((COUNTA(Data!$A:$A)-1)*RAND()+1,1)),"")</f>
        <v/>
      </c>
      <c r="B822" s="1" t="str">
        <f>IF(ROW()&lt;=Results!$C$1+1,VLOOKUP($A822,Data!$A$2:$C$117,2,TRUE),"")</f>
        <v/>
      </c>
      <c r="C822" s="14" t="str">
        <f>IF(ROW()&lt;=Results!$C$1+1,IF(B822&lt;=0,"",LN(B822)),"")</f>
        <v/>
      </c>
      <c r="D822" s="1" t="str">
        <f>IF(ROW()&lt;=Results!$C$1+1,VLOOKUP($A822,Data!$A$2:$C$117,3,TRUE),"")</f>
        <v/>
      </c>
      <c r="E822" s="14" t="str">
        <f>IF(ROW()&lt;=Results!$C$1+1,IF(D822&lt;=0,"",LN(D822)),"")</f>
        <v/>
      </c>
      <c r="F822" s="53" t="str">
        <f>IF(ROW()&lt;=Results!$C$1+1,IF(ISERROR(C822-E822),"",C822-E822),"")</f>
        <v/>
      </c>
    </row>
    <row r="823" spans="1:6" x14ac:dyDescent="0.2">
      <c r="A823" s="1" t="str">
        <f ca="1">IF(ROW()&lt;=Results!$C$1+1,INDEX(Data!$A:$A,CEILING((COUNTA(Data!$A:$A)-1)*RAND()+1,1)),"")</f>
        <v/>
      </c>
      <c r="B823" s="1" t="str">
        <f>IF(ROW()&lt;=Results!$C$1+1,VLOOKUP($A823,Data!$A$2:$C$117,2,TRUE),"")</f>
        <v/>
      </c>
      <c r="C823" s="14" t="str">
        <f>IF(ROW()&lt;=Results!$C$1+1,IF(B823&lt;=0,"",LN(B823)),"")</f>
        <v/>
      </c>
      <c r="D823" s="1" t="str">
        <f>IF(ROW()&lt;=Results!$C$1+1,VLOOKUP($A823,Data!$A$2:$C$117,3,TRUE),"")</f>
        <v/>
      </c>
      <c r="E823" s="14" t="str">
        <f>IF(ROW()&lt;=Results!$C$1+1,IF(D823&lt;=0,"",LN(D823)),"")</f>
        <v/>
      </c>
      <c r="F823" s="53" t="str">
        <f>IF(ROW()&lt;=Results!$C$1+1,IF(ISERROR(C823-E823),"",C823-E823),"")</f>
        <v/>
      </c>
    </row>
    <row r="824" spans="1:6" x14ac:dyDescent="0.2">
      <c r="A824" s="1" t="str">
        <f ca="1">IF(ROW()&lt;=Results!$C$1+1,INDEX(Data!$A:$A,CEILING((COUNTA(Data!$A:$A)-1)*RAND()+1,1)),"")</f>
        <v/>
      </c>
      <c r="B824" s="1" t="str">
        <f>IF(ROW()&lt;=Results!$C$1+1,VLOOKUP($A824,Data!$A$2:$C$117,2,TRUE),"")</f>
        <v/>
      </c>
      <c r="C824" s="14" t="str">
        <f>IF(ROW()&lt;=Results!$C$1+1,IF(B824&lt;=0,"",LN(B824)),"")</f>
        <v/>
      </c>
      <c r="D824" s="1" t="str">
        <f>IF(ROW()&lt;=Results!$C$1+1,VLOOKUP($A824,Data!$A$2:$C$117,3,TRUE),"")</f>
        <v/>
      </c>
      <c r="E824" s="14" t="str">
        <f>IF(ROW()&lt;=Results!$C$1+1,IF(D824&lt;=0,"",LN(D824)),"")</f>
        <v/>
      </c>
      <c r="F824" s="53" t="str">
        <f>IF(ROW()&lt;=Results!$C$1+1,IF(ISERROR(C824-E824),"",C824-E824),"")</f>
        <v/>
      </c>
    </row>
    <row r="825" spans="1:6" x14ac:dyDescent="0.2">
      <c r="A825" s="1" t="str">
        <f ca="1">IF(ROW()&lt;=Results!$C$1+1,INDEX(Data!$A:$A,CEILING((COUNTA(Data!$A:$A)-1)*RAND()+1,1)),"")</f>
        <v/>
      </c>
      <c r="B825" s="1" t="str">
        <f>IF(ROW()&lt;=Results!$C$1+1,VLOOKUP($A825,Data!$A$2:$C$117,2,TRUE),"")</f>
        <v/>
      </c>
      <c r="C825" s="14" t="str">
        <f>IF(ROW()&lt;=Results!$C$1+1,IF(B825&lt;=0,"",LN(B825)),"")</f>
        <v/>
      </c>
      <c r="D825" s="1" t="str">
        <f>IF(ROW()&lt;=Results!$C$1+1,VLOOKUP($A825,Data!$A$2:$C$117,3,TRUE),"")</f>
        <v/>
      </c>
      <c r="E825" s="14" t="str">
        <f>IF(ROW()&lt;=Results!$C$1+1,IF(D825&lt;=0,"",LN(D825)),"")</f>
        <v/>
      </c>
      <c r="F825" s="53" t="str">
        <f>IF(ROW()&lt;=Results!$C$1+1,IF(ISERROR(C825-E825),"",C825-E825),"")</f>
        <v/>
      </c>
    </row>
    <row r="826" spans="1:6" x14ac:dyDescent="0.2">
      <c r="A826" s="1" t="str">
        <f ca="1">IF(ROW()&lt;=Results!$C$1+1,INDEX(Data!$A:$A,CEILING((COUNTA(Data!$A:$A)-1)*RAND()+1,1)),"")</f>
        <v/>
      </c>
      <c r="B826" s="1" t="str">
        <f>IF(ROW()&lt;=Results!$C$1+1,VLOOKUP($A826,Data!$A$2:$C$117,2,TRUE),"")</f>
        <v/>
      </c>
      <c r="C826" s="14" t="str">
        <f>IF(ROW()&lt;=Results!$C$1+1,IF(B826&lt;=0,"",LN(B826)),"")</f>
        <v/>
      </c>
      <c r="D826" s="1" t="str">
        <f>IF(ROW()&lt;=Results!$C$1+1,VLOOKUP($A826,Data!$A$2:$C$117,3,TRUE),"")</f>
        <v/>
      </c>
      <c r="E826" s="14" t="str">
        <f>IF(ROW()&lt;=Results!$C$1+1,IF(D826&lt;=0,"",LN(D826)),"")</f>
        <v/>
      </c>
      <c r="F826" s="53" t="str">
        <f>IF(ROW()&lt;=Results!$C$1+1,IF(ISERROR(C826-E826),"",C826-E826),"")</f>
        <v/>
      </c>
    </row>
    <row r="827" spans="1:6" x14ac:dyDescent="0.2">
      <c r="A827" s="1" t="str">
        <f ca="1">IF(ROW()&lt;=Results!$C$1+1,INDEX(Data!$A:$A,CEILING((COUNTA(Data!$A:$A)-1)*RAND()+1,1)),"")</f>
        <v/>
      </c>
      <c r="B827" s="1" t="str">
        <f>IF(ROW()&lt;=Results!$C$1+1,VLOOKUP($A827,Data!$A$2:$C$117,2,TRUE),"")</f>
        <v/>
      </c>
      <c r="C827" s="14" t="str">
        <f>IF(ROW()&lt;=Results!$C$1+1,IF(B827&lt;=0,"",LN(B827)),"")</f>
        <v/>
      </c>
      <c r="D827" s="1" t="str">
        <f>IF(ROW()&lt;=Results!$C$1+1,VLOOKUP($A827,Data!$A$2:$C$117,3,TRUE),"")</f>
        <v/>
      </c>
      <c r="E827" s="14" t="str">
        <f>IF(ROW()&lt;=Results!$C$1+1,IF(D827&lt;=0,"",LN(D827)),"")</f>
        <v/>
      </c>
      <c r="F827" s="53" t="str">
        <f>IF(ROW()&lt;=Results!$C$1+1,IF(ISERROR(C827-E827),"",C827-E827),"")</f>
        <v/>
      </c>
    </row>
    <row r="828" spans="1:6" x14ac:dyDescent="0.2">
      <c r="A828" s="1" t="str">
        <f ca="1">IF(ROW()&lt;=Results!$C$1+1,INDEX(Data!$A:$A,CEILING((COUNTA(Data!$A:$A)-1)*RAND()+1,1)),"")</f>
        <v/>
      </c>
      <c r="B828" s="1" t="str">
        <f>IF(ROW()&lt;=Results!$C$1+1,VLOOKUP($A828,Data!$A$2:$C$117,2,TRUE),"")</f>
        <v/>
      </c>
      <c r="C828" s="14" t="str">
        <f>IF(ROW()&lt;=Results!$C$1+1,IF(B828&lt;=0,"",LN(B828)),"")</f>
        <v/>
      </c>
      <c r="D828" s="1" t="str">
        <f>IF(ROW()&lt;=Results!$C$1+1,VLOOKUP($A828,Data!$A$2:$C$117,3,TRUE),"")</f>
        <v/>
      </c>
      <c r="E828" s="14" t="str">
        <f>IF(ROW()&lt;=Results!$C$1+1,IF(D828&lt;=0,"",LN(D828)),"")</f>
        <v/>
      </c>
      <c r="F828" s="53" t="str">
        <f>IF(ROW()&lt;=Results!$C$1+1,IF(ISERROR(C828-E828),"",C828-E828),"")</f>
        <v/>
      </c>
    </row>
    <row r="829" spans="1:6" x14ac:dyDescent="0.2">
      <c r="A829" s="1" t="str">
        <f ca="1">IF(ROW()&lt;=Results!$C$1+1,INDEX(Data!$A:$A,CEILING((COUNTA(Data!$A:$A)-1)*RAND()+1,1)),"")</f>
        <v/>
      </c>
      <c r="B829" s="1" t="str">
        <f>IF(ROW()&lt;=Results!$C$1+1,VLOOKUP($A829,Data!$A$2:$C$117,2,TRUE),"")</f>
        <v/>
      </c>
      <c r="C829" s="14" t="str">
        <f>IF(ROW()&lt;=Results!$C$1+1,IF(B829&lt;=0,"",LN(B829)),"")</f>
        <v/>
      </c>
      <c r="D829" s="1" t="str">
        <f>IF(ROW()&lt;=Results!$C$1+1,VLOOKUP($A829,Data!$A$2:$C$117,3,TRUE),"")</f>
        <v/>
      </c>
      <c r="E829" s="14" t="str">
        <f>IF(ROW()&lt;=Results!$C$1+1,IF(D829&lt;=0,"",LN(D829)),"")</f>
        <v/>
      </c>
      <c r="F829" s="53" t="str">
        <f>IF(ROW()&lt;=Results!$C$1+1,IF(ISERROR(C829-E829),"",C829-E829),"")</f>
        <v/>
      </c>
    </row>
    <row r="830" spans="1:6" x14ac:dyDescent="0.2">
      <c r="A830" s="1" t="str">
        <f ca="1">IF(ROW()&lt;=Results!$C$1+1,INDEX(Data!$A:$A,CEILING((COUNTA(Data!$A:$A)-1)*RAND()+1,1)),"")</f>
        <v/>
      </c>
      <c r="B830" s="1" t="str">
        <f>IF(ROW()&lt;=Results!$C$1+1,VLOOKUP($A830,Data!$A$2:$C$117,2,TRUE),"")</f>
        <v/>
      </c>
      <c r="C830" s="14" t="str">
        <f>IF(ROW()&lt;=Results!$C$1+1,IF(B830&lt;=0,"",LN(B830)),"")</f>
        <v/>
      </c>
      <c r="D830" s="1" t="str">
        <f>IF(ROW()&lt;=Results!$C$1+1,VLOOKUP($A830,Data!$A$2:$C$117,3,TRUE),"")</f>
        <v/>
      </c>
      <c r="E830" s="14" t="str">
        <f>IF(ROW()&lt;=Results!$C$1+1,IF(D830&lt;=0,"",LN(D830)),"")</f>
        <v/>
      </c>
      <c r="F830" s="53" t="str">
        <f>IF(ROW()&lt;=Results!$C$1+1,IF(ISERROR(C830-E830),"",C830-E830),"")</f>
        <v/>
      </c>
    </row>
    <row r="831" spans="1:6" x14ac:dyDescent="0.2">
      <c r="A831" s="1" t="str">
        <f ca="1">IF(ROW()&lt;=Results!$C$1+1,INDEX(Data!$A:$A,CEILING((COUNTA(Data!$A:$A)-1)*RAND()+1,1)),"")</f>
        <v/>
      </c>
      <c r="B831" s="1" t="str">
        <f>IF(ROW()&lt;=Results!$C$1+1,VLOOKUP($A831,Data!$A$2:$C$117,2,TRUE),"")</f>
        <v/>
      </c>
      <c r="C831" s="14" t="str">
        <f>IF(ROW()&lt;=Results!$C$1+1,IF(B831&lt;=0,"",LN(B831)),"")</f>
        <v/>
      </c>
      <c r="D831" s="1" t="str">
        <f>IF(ROW()&lt;=Results!$C$1+1,VLOOKUP($A831,Data!$A$2:$C$117,3,TRUE),"")</f>
        <v/>
      </c>
      <c r="E831" s="14" t="str">
        <f>IF(ROW()&lt;=Results!$C$1+1,IF(D831&lt;=0,"",LN(D831)),"")</f>
        <v/>
      </c>
      <c r="F831" s="53" t="str">
        <f>IF(ROW()&lt;=Results!$C$1+1,IF(ISERROR(C831-E831),"",C831-E831),"")</f>
        <v/>
      </c>
    </row>
    <row r="832" spans="1:6" x14ac:dyDescent="0.2">
      <c r="A832" s="1" t="str">
        <f ca="1">IF(ROW()&lt;=Results!$C$1+1,INDEX(Data!$A:$A,CEILING((COUNTA(Data!$A:$A)-1)*RAND()+1,1)),"")</f>
        <v/>
      </c>
      <c r="B832" s="1" t="str">
        <f>IF(ROW()&lt;=Results!$C$1+1,VLOOKUP($A832,Data!$A$2:$C$117,2,TRUE),"")</f>
        <v/>
      </c>
      <c r="C832" s="14" t="str">
        <f>IF(ROW()&lt;=Results!$C$1+1,IF(B832&lt;=0,"",LN(B832)),"")</f>
        <v/>
      </c>
      <c r="D832" s="1" t="str">
        <f>IF(ROW()&lt;=Results!$C$1+1,VLOOKUP($A832,Data!$A$2:$C$117,3,TRUE),"")</f>
        <v/>
      </c>
      <c r="E832" s="14" t="str">
        <f>IF(ROW()&lt;=Results!$C$1+1,IF(D832&lt;=0,"",LN(D832)),"")</f>
        <v/>
      </c>
      <c r="F832" s="53" t="str">
        <f>IF(ROW()&lt;=Results!$C$1+1,IF(ISERROR(C832-E832),"",C832-E832),"")</f>
        <v/>
      </c>
    </row>
    <row r="833" spans="1:6" x14ac:dyDescent="0.2">
      <c r="A833" s="1" t="str">
        <f ca="1">IF(ROW()&lt;=Results!$C$1+1,INDEX(Data!$A:$A,CEILING((COUNTA(Data!$A:$A)-1)*RAND()+1,1)),"")</f>
        <v/>
      </c>
      <c r="B833" s="1" t="str">
        <f>IF(ROW()&lt;=Results!$C$1+1,VLOOKUP($A833,Data!$A$2:$C$117,2,TRUE),"")</f>
        <v/>
      </c>
      <c r="C833" s="14" t="str">
        <f>IF(ROW()&lt;=Results!$C$1+1,IF(B833&lt;=0,"",LN(B833)),"")</f>
        <v/>
      </c>
      <c r="D833" s="1" t="str">
        <f>IF(ROW()&lt;=Results!$C$1+1,VLOOKUP($A833,Data!$A$2:$C$117,3,TRUE),"")</f>
        <v/>
      </c>
      <c r="E833" s="14" t="str">
        <f>IF(ROW()&lt;=Results!$C$1+1,IF(D833&lt;=0,"",LN(D833)),"")</f>
        <v/>
      </c>
      <c r="F833" s="53" t="str">
        <f>IF(ROW()&lt;=Results!$C$1+1,IF(ISERROR(C833-E833),"",C833-E833),"")</f>
        <v/>
      </c>
    </row>
    <row r="834" spans="1:6" x14ac:dyDescent="0.2">
      <c r="A834" s="1" t="str">
        <f ca="1">IF(ROW()&lt;=Results!$C$1+1,INDEX(Data!$A:$A,CEILING((COUNTA(Data!$A:$A)-1)*RAND()+1,1)),"")</f>
        <v/>
      </c>
      <c r="B834" s="1" t="str">
        <f>IF(ROW()&lt;=Results!$C$1+1,VLOOKUP($A834,Data!$A$2:$C$117,2,TRUE),"")</f>
        <v/>
      </c>
      <c r="C834" s="14" t="str">
        <f>IF(ROW()&lt;=Results!$C$1+1,IF(B834&lt;=0,"",LN(B834)),"")</f>
        <v/>
      </c>
      <c r="D834" s="1" t="str">
        <f>IF(ROW()&lt;=Results!$C$1+1,VLOOKUP($A834,Data!$A$2:$C$117,3,TRUE),"")</f>
        <v/>
      </c>
      <c r="E834" s="14" t="str">
        <f>IF(ROW()&lt;=Results!$C$1+1,IF(D834&lt;=0,"",LN(D834)),"")</f>
        <v/>
      </c>
      <c r="F834" s="53" t="str">
        <f>IF(ROW()&lt;=Results!$C$1+1,IF(ISERROR(C834-E834),"",C834-E834),"")</f>
        <v/>
      </c>
    </row>
    <row r="835" spans="1:6" x14ac:dyDescent="0.2">
      <c r="A835" s="1" t="str">
        <f ca="1">IF(ROW()&lt;=Results!$C$1+1,INDEX(Data!$A:$A,CEILING((COUNTA(Data!$A:$A)-1)*RAND()+1,1)),"")</f>
        <v/>
      </c>
      <c r="B835" s="1" t="str">
        <f>IF(ROW()&lt;=Results!$C$1+1,VLOOKUP($A835,Data!$A$2:$C$117,2,TRUE),"")</f>
        <v/>
      </c>
      <c r="C835" s="14" t="str">
        <f>IF(ROW()&lt;=Results!$C$1+1,IF(B835&lt;=0,"",LN(B835)),"")</f>
        <v/>
      </c>
      <c r="D835" s="1" t="str">
        <f>IF(ROW()&lt;=Results!$C$1+1,VLOOKUP($A835,Data!$A$2:$C$117,3,TRUE),"")</f>
        <v/>
      </c>
      <c r="E835" s="14" t="str">
        <f>IF(ROW()&lt;=Results!$C$1+1,IF(D835&lt;=0,"",LN(D835)),"")</f>
        <v/>
      </c>
      <c r="F835" s="53" t="str">
        <f>IF(ROW()&lt;=Results!$C$1+1,IF(ISERROR(C835-E835),"",C835-E835),"")</f>
        <v/>
      </c>
    </row>
    <row r="836" spans="1:6" x14ac:dyDescent="0.2">
      <c r="A836" s="1" t="str">
        <f ca="1">IF(ROW()&lt;=Results!$C$1+1,INDEX(Data!$A:$A,CEILING((COUNTA(Data!$A:$A)-1)*RAND()+1,1)),"")</f>
        <v/>
      </c>
      <c r="B836" s="1" t="str">
        <f>IF(ROW()&lt;=Results!$C$1+1,VLOOKUP($A836,Data!$A$2:$C$117,2,TRUE),"")</f>
        <v/>
      </c>
      <c r="C836" s="14" t="str">
        <f>IF(ROW()&lt;=Results!$C$1+1,IF(B836&lt;=0,"",LN(B836)),"")</f>
        <v/>
      </c>
      <c r="D836" s="1" t="str">
        <f>IF(ROW()&lt;=Results!$C$1+1,VLOOKUP($A836,Data!$A$2:$C$117,3,TRUE),"")</f>
        <v/>
      </c>
      <c r="E836" s="14" t="str">
        <f>IF(ROW()&lt;=Results!$C$1+1,IF(D836&lt;=0,"",LN(D836)),"")</f>
        <v/>
      </c>
      <c r="F836" s="53" t="str">
        <f>IF(ROW()&lt;=Results!$C$1+1,IF(ISERROR(C836-E836),"",C836-E836),"")</f>
        <v/>
      </c>
    </row>
    <row r="837" spans="1:6" x14ac:dyDescent="0.2">
      <c r="A837" s="1" t="str">
        <f ca="1">IF(ROW()&lt;=Results!$C$1+1,INDEX(Data!$A:$A,CEILING((COUNTA(Data!$A:$A)-1)*RAND()+1,1)),"")</f>
        <v/>
      </c>
      <c r="B837" s="1" t="str">
        <f>IF(ROW()&lt;=Results!$C$1+1,VLOOKUP($A837,Data!$A$2:$C$117,2,TRUE),"")</f>
        <v/>
      </c>
      <c r="C837" s="14" t="str">
        <f>IF(ROW()&lt;=Results!$C$1+1,IF(B837&lt;=0,"",LN(B837)),"")</f>
        <v/>
      </c>
      <c r="D837" s="1" t="str">
        <f>IF(ROW()&lt;=Results!$C$1+1,VLOOKUP($A837,Data!$A$2:$C$117,3,TRUE),"")</f>
        <v/>
      </c>
      <c r="E837" s="14" t="str">
        <f>IF(ROW()&lt;=Results!$C$1+1,IF(D837&lt;=0,"",LN(D837)),"")</f>
        <v/>
      </c>
      <c r="F837" s="53" t="str">
        <f>IF(ROW()&lt;=Results!$C$1+1,IF(ISERROR(C837-E837),"",C837-E837),"")</f>
        <v/>
      </c>
    </row>
    <row r="838" spans="1:6" x14ac:dyDescent="0.2">
      <c r="A838" s="1" t="str">
        <f ca="1">IF(ROW()&lt;=Results!$C$1+1,INDEX(Data!$A:$A,CEILING((COUNTA(Data!$A:$A)-1)*RAND()+1,1)),"")</f>
        <v/>
      </c>
      <c r="B838" s="1" t="str">
        <f>IF(ROW()&lt;=Results!$C$1+1,VLOOKUP($A838,Data!$A$2:$C$117,2,TRUE),"")</f>
        <v/>
      </c>
      <c r="C838" s="14" t="str">
        <f>IF(ROW()&lt;=Results!$C$1+1,IF(B838&lt;=0,"",LN(B838)),"")</f>
        <v/>
      </c>
      <c r="D838" s="1" t="str">
        <f>IF(ROW()&lt;=Results!$C$1+1,VLOOKUP($A838,Data!$A$2:$C$117,3,TRUE),"")</f>
        <v/>
      </c>
      <c r="E838" s="14" t="str">
        <f>IF(ROW()&lt;=Results!$C$1+1,IF(D838&lt;=0,"",LN(D838)),"")</f>
        <v/>
      </c>
      <c r="F838" s="53" t="str">
        <f>IF(ROW()&lt;=Results!$C$1+1,IF(ISERROR(C838-E838),"",C838-E838),"")</f>
        <v/>
      </c>
    </row>
    <row r="839" spans="1:6" x14ac:dyDescent="0.2">
      <c r="A839" s="1" t="str">
        <f ca="1">IF(ROW()&lt;=Results!$C$1+1,INDEX(Data!$A:$A,CEILING((COUNTA(Data!$A:$A)-1)*RAND()+1,1)),"")</f>
        <v/>
      </c>
      <c r="B839" s="1" t="str">
        <f>IF(ROW()&lt;=Results!$C$1+1,VLOOKUP($A839,Data!$A$2:$C$117,2,TRUE),"")</f>
        <v/>
      </c>
      <c r="C839" s="14" t="str">
        <f>IF(ROW()&lt;=Results!$C$1+1,IF(B839&lt;=0,"",LN(B839)),"")</f>
        <v/>
      </c>
      <c r="D839" s="1" t="str">
        <f>IF(ROW()&lt;=Results!$C$1+1,VLOOKUP($A839,Data!$A$2:$C$117,3,TRUE),"")</f>
        <v/>
      </c>
      <c r="E839" s="14" t="str">
        <f>IF(ROW()&lt;=Results!$C$1+1,IF(D839&lt;=0,"",LN(D839)),"")</f>
        <v/>
      </c>
      <c r="F839" s="53" t="str">
        <f>IF(ROW()&lt;=Results!$C$1+1,IF(ISERROR(C839-E839),"",C839-E839),"")</f>
        <v/>
      </c>
    </row>
    <row r="840" spans="1:6" x14ac:dyDescent="0.2">
      <c r="A840" s="1" t="str">
        <f ca="1">IF(ROW()&lt;=Results!$C$1+1,INDEX(Data!$A:$A,CEILING((COUNTA(Data!$A:$A)-1)*RAND()+1,1)),"")</f>
        <v/>
      </c>
      <c r="B840" s="1" t="str">
        <f>IF(ROW()&lt;=Results!$C$1+1,VLOOKUP($A840,Data!$A$2:$C$117,2,TRUE),"")</f>
        <v/>
      </c>
      <c r="C840" s="14" t="str">
        <f>IF(ROW()&lt;=Results!$C$1+1,IF(B840&lt;=0,"",LN(B840)),"")</f>
        <v/>
      </c>
      <c r="D840" s="1" t="str">
        <f>IF(ROW()&lt;=Results!$C$1+1,VLOOKUP($A840,Data!$A$2:$C$117,3,TRUE),"")</f>
        <v/>
      </c>
      <c r="E840" s="14" t="str">
        <f>IF(ROW()&lt;=Results!$C$1+1,IF(D840&lt;=0,"",LN(D840)),"")</f>
        <v/>
      </c>
      <c r="F840" s="53" t="str">
        <f>IF(ROW()&lt;=Results!$C$1+1,IF(ISERROR(C840-E840),"",C840-E840),"")</f>
        <v/>
      </c>
    </row>
    <row r="841" spans="1:6" x14ac:dyDescent="0.2">
      <c r="A841" s="1" t="str">
        <f ca="1">IF(ROW()&lt;=Results!$C$1+1,INDEX(Data!$A:$A,CEILING((COUNTA(Data!$A:$A)-1)*RAND()+1,1)),"")</f>
        <v/>
      </c>
      <c r="B841" s="1" t="str">
        <f>IF(ROW()&lt;=Results!$C$1+1,VLOOKUP($A841,Data!$A$2:$C$117,2,TRUE),"")</f>
        <v/>
      </c>
      <c r="C841" s="14" t="str">
        <f>IF(ROW()&lt;=Results!$C$1+1,IF(B841&lt;=0,"",LN(B841)),"")</f>
        <v/>
      </c>
      <c r="D841" s="1" t="str">
        <f>IF(ROW()&lt;=Results!$C$1+1,VLOOKUP($A841,Data!$A$2:$C$117,3,TRUE),"")</f>
        <v/>
      </c>
      <c r="E841" s="14" t="str">
        <f>IF(ROW()&lt;=Results!$C$1+1,IF(D841&lt;=0,"",LN(D841)),"")</f>
        <v/>
      </c>
      <c r="F841" s="53" t="str">
        <f>IF(ROW()&lt;=Results!$C$1+1,IF(ISERROR(C841-E841),"",C841-E841),"")</f>
        <v/>
      </c>
    </row>
    <row r="842" spans="1:6" x14ac:dyDescent="0.2">
      <c r="A842" s="1" t="str">
        <f ca="1">IF(ROW()&lt;=Results!$C$1+1,INDEX(Data!$A:$A,CEILING((COUNTA(Data!$A:$A)-1)*RAND()+1,1)),"")</f>
        <v/>
      </c>
      <c r="B842" s="1" t="str">
        <f>IF(ROW()&lt;=Results!$C$1+1,VLOOKUP($A842,Data!$A$2:$C$117,2,TRUE),"")</f>
        <v/>
      </c>
      <c r="C842" s="14" t="str">
        <f>IF(ROW()&lt;=Results!$C$1+1,IF(B842&lt;=0,"",LN(B842)),"")</f>
        <v/>
      </c>
      <c r="D842" s="1" t="str">
        <f>IF(ROW()&lt;=Results!$C$1+1,VLOOKUP($A842,Data!$A$2:$C$117,3,TRUE),"")</f>
        <v/>
      </c>
      <c r="E842" s="14" t="str">
        <f>IF(ROW()&lt;=Results!$C$1+1,IF(D842&lt;=0,"",LN(D842)),"")</f>
        <v/>
      </c>
      <c r="F842" s="53" t="str">
        <f>IF(ROW()&lt;=Results!$C$1+1,IF(ISERROR(C842-E842),"",C842-E842),"")</f>
        <v/>
      </c>
    </row>
    <row r="843" spans="1:6" x14ac:dyDescent="0.2">
      <c r="A843" s="1" t="str">
        <f ca="1">IF(ROW()&lt;=Results!$C$1+1,INDEX(Data!$A:$A,CEILING((COUNTA(Data!$A:$A)-1)*RAND()+1,1)),"")</f>
        <v/>
      </c>
      <c r="B843" s="1" t="str">
        <f>IF(ROW()&lt;=Results!$C$1+1,VLOOKUP($A843,Data!$A$2:$C$117,2,TRUE),"")</f>
        <v/>
      </c>
      <c r="C843" s="14" t="str">
        <f>IF(ROW()&lt;=Results!$C$1+1,IF(B843&lt;=0,"",LN(B843)),"")</f>
        <v/>
      </c>
      <c r="D843" s="1" t="str">
        <f>IF(ROW()&lt;=Results!$C$1+1,VLOOKUP($A843,Data!$A$2:$C$117,3,TRUE),"")</f>
        <v/>
      </c>
      <c r="E843" s="14" t="str">
        <f>IF(ROW()&lt;=Results!$C$1+1,IF(D843&lt;=0,"",LN(D843)),"")</f>
        <v/>
      </c>
      <c r="F843" s="53" t="str">
        <f>IF(ROW()&lt;=Results!$C$1+1,IF(ISERROR(C843-E843),"",C843-E843),"")</f>
        <v/>
      </c>
    </row>
    <row r="844" spans="1:6" x14ac:dyDescent="0.2">
      <c r="A844" s="1" t="str">
        <f ca="1">IF(ROW()&lt;=Results!$C$1+1,INDEX(Data!$A:$A,CEILING((COUNTA(Data!$A:$A)-1)*RAND()+1,1)),"")</f>
        <v/>
      </c>
      <c r="B844" s="1" t="str">
        <f>IF(ROW()&lt;=Results!$C$1+1,VLOOKUP($A844,Data!$A$2:$C$117,2,TRUE),"")</f>
        <v/>
      </c>
      <c r="C844" s="14" t="str">
        <f>IF(ROW()&lt;=Results!$C$1+1,IF(B844&lt;=0,"",LN(B844)),"")</f>
        <v/>
      </c>
      <c r="D844" s="1" t="str">
        <f>IF(ROW()&lt;=Results!$C$1+1,VLOOKUP($A844,Data!$A$2:$C$117,3,TRUE),"")</f>
        <v/>
      </c>
      <c r="E844" s="14" t="str">
        <f>IF(ROW()&lt;=Results!$C$1+1,IF(D844&lt;=0,"",LN(D844)),"")</f>
        <v/>
      </c>
      <c r="F844" s="53" t="str">
        <f>IF(ROW()&lt;=Results!$C$1+1,IF(ISERROR(C844-E844),"",C844-E844),"")</f>
        <v/>
      </c>
    </row>
    <row r="845" spans="1:6" x14ac:dyDescent="0.2">
      <c r="A845" s="1" t="str">
        <f ca="1">IF(ROW()&lt;=Results!$C$1+1,INDEX(Data!$A:$A,CEILING((COUNTA(Data!$A:$A)-1)*RAND()+1,1)),"")</f>
        <v/>
      </c>
      <c r="B845" s="1" t="str">
        <f>IF(ROW()&lt;=Results!$C$1+1,VLOOKUP($A845,Data!$A$2:$C$117,2,TRUE),"")</f>
        <v/>
      </c>
      <c r="C845" s="14" t="str">
        <f>IF(ROW()&lt;=Results!$C$1+1,IF(B845&lt;=0,"",LN(B845)),"")</f>
        <v/>
      </c>
      <c r="D845" s="1" t="str">
        <f>IF(ROW()&lt;=Results!$C$1+1,VLOOKUP($A845,Data!$A$2:$C$117,3,TRUE),"")</f>
        <v/>
      </c>
      <c r="E845" s="14" t="str">
        <f>IF(ROW()&lt;=Results!$C$1+1,IF(D845&lt;=0,"",LN(D845)),"")</f>
        <v/>
      </c>
      <c r="F845" s="53" t="str">
        <f>IF(ROW()&lt;=Results!$C$1+1,IF(ISERROR(C845-E845),"",C845-E845),"")</f>
        <v/>
      </c>
    </row>
    <row r="846" spans="1:6" x14ac:dyDescent="0.2">
      <c r="A846" s="1" t="str">
        <f ca="1">IF(ROW()&lt;=Results!$C$1+1,INDEX(Data!$A:$A,CEILING((COUNTA(Data!$A:$A)-1)*RAND()+1,1)),"")</f>
        <v/>
      </c>
      <c r="B846" s="1" t="str">
        <f>IF(ROW()&lt;=Results!$C$1+1,VLOOKUP($A846,Data!$A$2:$C$117,2,TRUE),"")</f>
        <v/>
      </c>
      <c r="C846" s="14" t="str">
        <f>IF(ROW()&lt;=Results!$C$1+1,IF(B846&lt;=0,"",LN(B846)),"")</f>
        <v/>
      </c>
      <c r="D846" s="1" t="str">
        <f>IF(ROW()&lt;=Results!$C$1+1,VLOOKUP($A846,Data!$A$2:$C$117,3,TRUE),"")</f>
        <v/>
      </c>
      <c r="E846" s="14" t="str">
        <f>IF(ROW()&lt;=Results!$C$1+1,IF(D846&lt;=0,"",LN(D846)),"")</f>
        <v/>
      </c>
      <c r="F846" s="53" t="str">
        <f>IF(ROW()&lt;=Results!$C$1+1,IF(ISERROR(C846-E846),"",C846-E846),"")</f>
        <v/>
      </c>
    </row>
    <row r="847" spans="1:6" x14ac:dyDescent="0.2">
      <c r="A847" s="1" t="str">
        <f ca="1">IF(ROW()&lt;=Results!$C$1+1,INDEX(Data!$A:$A,CEILING((COUNTA(Data!$A:$A)-1)*RAND()+1,1)),"")</f>
        <v/>
      </c>
      <c r="B847" s="1" t="str">
        <f>IF(ROW()&lt;=Results!$C$1+1,VLOOKUP($A847,Data!$A$2:$C$117,2,TRUE),"")</f>
        <v/>
      </c>
      <c r="C847" s="14" t="str">
        <f>IF(ROW()&lt;=Results!$C$1+1,IF(B847&lt;=0,"",LN(B847)),"")</f>
        <v/>
      </c>
      <c r="D847" s="1" t="str">
        <f>IF(ROW()&lt;=Results!$C$1+1,VLOOKUP($A847,Data!$A$2:$C$117,3,TRUE),"")</f>
        <v/>
      </c>
      <c r="E847" s="14" t="str">
        <f>IF(ROW()&lt;=Results!$C$1+1,IF(D847&lt;=0,"",LN(D847)),"")</f>
        <v/>
      </c>
      <c r="F847" s="53" t="str">
        <f>IF(ROW()&lt;=Results!$C$1+1,IF(ISERROR(C847-E847),"",C847-E847),"")</f>
        <v/>
      </c>
    </row>
    <row r="848" spans="1:6" x14ac:dyDescent="0.2">
      <c r="A848" s="1" t="str">
        <f ca="1">IF(ROW()&lt;=Results!$C$1+1,INDEX(Data!$A:$A,CEILING((COUNTA(Data!$A:$A)-1)*RAND()+1,1)),"")</f>
        <v/>
      </c>
      <c r="B848" s="1" t="str">
        <f>IF(ROW()&lt;=Results!$C$1+1,VLOOKUP($A848,Data!$A$2:$C$117,2,TRUE),"")</f>
        <v/>
      </c>
      <c r="C848" s="14" t="str">
        <f>IF(ROW()&lt;=Results!$C$1+1,IF(B848&lt;=0,"",LN(B848)),"")</f>
        <v/>
      </c>
      <c r="D848" s="1" t="str">
        <f>IF(ROW()&lt;=Results!$C$1+1,VLOOKUP($A848,Data!$A$2:$C$117,3,TRUE),"")</f>
        <v/>
      </c>
      <c r="E848" s="14" t="str">
        <f>IF(ROW()&lt;=Results!$C$1+1,IF(D848&lt;=0,"",LN(D848)),"")</f>
        <v/>
      </c>
      <c r="F848" s="53" t="str">
        <f>IF(ROW()&lt;=Results!$C$1+1,IF(ISERROR(C848-E848),"",C848-E848),"")</f>
        <v/>
      </c>
    </row>
    <row r="849" spans="1:6" x14ac:dyDescent="0.2">
      <c r="A849" s="1" t="str">
        <f ca="1">IF(ROW()&lt;=Results!$C$1+1,INDEX(Data!$A:$A,CEILING((COUNTA(Data!$A:$A)-1)*RAND()+1,1)),"")</f>
        <v/>
      </c>
      <c r="B849" s="1" t="str">
        <f>IF(ROW()&lt;=Results!$C$1+1,VLOOKUP($A849,Data!$A$2:$C$117,2,TRUE),"")</f>
        <v/>
      </c>
      <c r="C849" s="14" t="str">
        <f>IF(ROW()&lt;=Results!$C$1+1,IF(B849&lt;=0,"",LN(B849)),"")</f>
        <v/>
      </c>
      <c r="D849" s="1" t="str">
        <f>IF(ROW()&lt;=Results!$C$1+1,VLOOKUP($A849,Data!$A$2:$C$117,3,TRUE),"")</f>
        <v/>
      </c>
      <c r="E849" s="14" t="str">
        <f>IF(ROW()&lt;=Results!$C$1+1,IF(D849&lt;=0,"",LN(D849)),"")</f>
        <v/>
      </c>
      <c r="F849" s="53" t="str">
        <f>IF(ROW()&lt;=Results!$C$1+1,IF(ISERROR(C849-E849),"",C849-E849),"")</f>
        <v/>
      </c>
    </row>
    <row r="850" spans="1:6" x14ac:dyDescent="0.2">
      <c r="A850" s="1" t="str">
        <f ca="1">IF(ROW()&lt;=Results!$C$1+1,INDEX(Data!$A:$A,CEILING((COUNTA(Data!$A:$A)-1)*RAND()+1,1)),"")</f>
        <v/>
      </c>
      <c r="B850" s="1" t="str">
        <f>IF(ROW()&lt;=Results!$C$1+1,VLOOKUP($A850,Data!$A$2:$C$117,2,TRUE),"")</f>
        <v/>
      </c>
      <c r="C850" s="14" t="str">
        <f>IF(ROW()&lt;=Results!$C$1+1,IF(B850&lt;=0,"",LN(B850)),"")</f>
        <v/>
      </c>
      <c r="D850" s="1" t="str">
        <f>IF(ROW()&lt;=Results!$C$1+1,VLOOKUP($A850,Data!$A$2:$C$117,3,TRUE),"")</f>
        <v/>
      </c>
      <c r="E850" s="14" t="str">
        <f>IF(ROW()&lt;=Results!$C$1+1,IF(D850&lt;=0,"",LN(D850)),"")</f>
        <v/>
      </c>
      <c r="F850" s="53" t="str">
        <f>IF(ROW()&lt;=Results!$C$1+1,IF(ISERROR(C850-E850),"",C850-E850),"")</f>
        <v/>
      </c>
    </row>
    <row r="851" spans="1:6" x14ac:dyDescent="0.2">
      <c r="A851" s="1" t="str">
        <f ca="1">IF(ROW()&lt;=Results!$C$1+1,INDEX(Data!$A:$A,CEILING((COUNTA(Data!$A:$A)-1)*RAND()+1,1)),"")</f>
        <v/>
      </c>
      <c r="B851" s="1" t="str">
        <f>IF(ROW()&lt;=Results!$C$1+1,VLOOKUP($A851,Data!$A$2:$C$117,2,TRUE),"")</f>
        <v/>
      </c>
      <c r="C851" s="14" t="str">
        <f>IF(ROW()&lt;=Results!$C$1+1,IF(B851&lt;=0,"",LN(B851)),"")</f>
        <v/>
      </c>
      <c r="D851" s="1" t="str">
        <f>IF(ROW()&lt;=Results!$C$1+1,VLOOKUP($A851,Data!$A$2:$C$117,3,TRUE),"")</f>
        <v/>
      </c>
      <c r="E851" s="14" t="str">
        <f>IF(ROW()&lt;=Results!$C$1+1,IF(D851&lt;=0,"",LN(D851)),"")</f>
        <v/>
      </c>
      <c r="F851" s="53" t="str">
        <f>IF(ROW()&lt;=Results!$C$1+1,IF(ISERROR(C851-E851),"",C851-E851),"")</f>
        <v/>
      </c>
    </row>
    <row r="852" spans="1:6" x14ac:dyDescent="0.2">
      <c r="A852" s="1" t="str">
        <f ca="1">IF(ROW()&lt;=Results!$C$1+1,INDEX(Data!$A:$A,CEILING((COUNTA(Data!$A:$A)-1)*RAND()+1,1)),"")</f>
        <v/>
      </c>
      <c r="B852" s="1" t="str">
        <f>IF(ROW()&lt;=Results!$C$1+1,VLOOKUP($A852,Data!$A$2:$C$117,2,TRUE),"")</f>
        <v/>
      </c>
      <c r="C852" s="14" t="str">
        <f>IF(ROW()&lt;=Results!$C$1+1,IF(B852&lt;=0,"",LN(B852)),"")</f>
        <v/>
      </c>
      <c r="D852" s="1" t="str">
        <f>IF(ROW()&lt;=Results!$C$1+1,VLOOKUP($A852,Data!$A$2:$C$117,3,TRUE),"")</f>
        <v/>
      </c>
      <c r="E852" s="14" t="str">
        <f>IF(ROW()&lt;=Results!$C$1+1,IF(D852&lt;=0,"",LN(D852)),"")</f>
        <v/>
      </c>
      <c r="F852" s="53" t="str">
        <f>IF(ROW()&lt;=Results!$C$1+1,IF(ISERROR(C852-E852),"",C852-E852),"")</f>
        <v/>
      </c>
    </row>
    <row r="853" spans="1:6" x14ac:dyDescent="0.2">
      <c r="A853" s="1" t="str">
        <f ca="1">IF(ROW()&lt;=Results!$C$1+1,INDEX(Data!$A:$A,CEILING((COUNTA(Data!$A:$A)-1)*RAND()+1,1)),"")</f>
        <v/>
      </c>
      <c r="B853" s="1" t="str">
        <f>IF(ROW()&lt;=Results!$C$1+1,VLOOKUP($A853,Data!$A$2:$C$117,2,TRUE),"")</f>
        <v/>
      </c>
      <c r="C853" s="14" t="str">
        <f>IF(ROW()&lt;=Results!$C$1+1,IF(B853&lt;=0,"",LN(B853)),"")</f>
        <v/>
      </c>
      <c r="D853" s="1" t="str">
        <f>IF(ROW()&lt;=Results!$C$1+1,VLOOKUP($A853,Data!$A$2:$C$117,3,TRUE),"")</f>
        <v/>
      </c>
      <c r="E853" s="14" t="str">
        <f>IF(ROW()&lt;=Results!$C$1+1,IF(D853&lt;=0,"",LN(D853)),"")</f>
        <v/>
      </c>
      <c r="F853" s="53" t="str">
        <f>IF(ROW()&lt;=Results!$C$1+1,IF(ISERROR(C853-E853),"",C853-E853),"")</f>
        <v/>
      </c>
    </row>
    <row r="854" spans="1:6" x14ac:dyDescent="0.2">
      <c r="A854" s="1" t="str">
        <f ca="1">IF(ROW()&lt;=Results!$C$1+1,INDEX(Data!$A:$A,CEILING((COUNTA(Data!$A:$A)-1)*RAND()+1,1)),"")</f>
        <v/>
      </c>
      <c r="B854" s="1" t="str">
        <f>IF(ROW()&lt;=Results!$C$1+1,VLOOKUP($A854,Data!$A$2:$C$117,2,TRUE),"")</f>
        <v/>
      </c>
      <c r="C854" s="14" t="str">
        <f>IF(ROW()&lt;=Results!$C$1+1,IF(B854&lt;=0,"",LN(B854)),"")</f>
        <v/>
      </c>
      <c r="D854" s="1" t="str">
        <f>IF(ROW()&lt;=Results!$C$1+1,VLOOKUP($A854,Data!$A$2:$C$117,3,TRUE),"")</f>
        <v/>
      </c>
      <c r="E854" s="14" t="str">
        <f>IF(ROW()&lt;=Results!$C$1+1,IF(D854&lt;=0,"",LN(D854)),"")</f>
        <v/>
      </c>
      <c r="F854" s="53" t="str">
        <f>IF(ROW()&lt;=Results!$C$1+1,IF(ISERROR(C854-E854),"",C854-E854),"")</f>
        <v/>
      </c>
    </row>
    <row r="855" spans="1:6" x14ac:dyDescent="0.2">
      <c r="A855" s="1" t="str">
        <f ca="1">IF(ROW()&lt;=Results!$C$1+1,INDEX(Data!$A:$A,CEILING((COUNTA(Data!$A:$A)-1)*RAND()+1,1)),"")</f>
        <v/>
      </c>
      <c r="B855" s="1" t="str">
        <f>IF(ROW()&lt;=Results!$C$1+1,VLOOKUP($A855,Data!$A$2:$C$117,2,TRUE),"")</f>
        <v/>
      </c>
      <c r="C855" s="14" t="str">
        <f>IF(ROW()&lt;=Results!$C$1+1,IF(B855&lt;=0,"",LN(B855)),"")</f>
        <v/>
      </c>
      <c r="D855" s="1" t="str">
        <f>IF(ROW()&lt;=Results!$C$1+1,VLOOKUP($A855,Data!$A$2:$C$117,3,TRUE),"")</f>
        <v/>
      </c>
      <c r="E855" s="14" t="str">
        <f>IF(ROW()&lt;=Results!$C$1+1,IF(D855&lt;=0,"",LN(D855)),"")</f>
        <v/>
      </c>
      <c r="F855" s="53" t="str">
        <f>IF(ROW()&lt;=Results!$C$1+1,IF(ISERROR(C855-E855),"",C855-E855),"")</f>
        <v/>
      </c>
    </row>
    <row r="856" spans="1:6" x14ac:dyDescent="0.2">
      <c r="A856" s="1" t="str">
        <f ca="1">IF(ROW()&lt;=Results!$C$1+1,INDEX(Data!$A:$A,CEILING((COUNTA(Data!$A:$A)-1)*RAND()+1,1)),"")</f>
        <v/>
      </c>
      <c r="B856" s="1" t="str">
        <f>IF(ROW()&lt;=Results!$C$1+1,VLOOKUP($A856,Data!$A$2:$C$117,2,TRUE),"")</f>
        <v/>
      </c>
      <c r="C856" s="14" t="str">
        <f>IF(ROW()&lt;=Results!$C$1+1,IF(B856&lt;=0,"",LN(B856)),"")</f>
        <v/>
      </c>
      <c r="D856" s="1" t="str">
        <f>IF(ROW()&lt;=Results!$C$1+1,VLOOKUP($A856,Data!$A$2:$C$117,3,TRUE),"")</f>
        <v/>
      </c>
      <c r="E856" s="14" t="str">
        <f>IF(ROW()&lt;=Results!$C$1+1,IF(D856&lt;=0,"",LN(D856)),"")</f>
        <v/>
      </c>
      <c r="F856" s="53" t="str">
        <f>IF(ROW()&lt;=Results!$C$1+1,IF(ISERROR(C856-E856),"",C856-E856),"")</f>
        <v/>
      </c>
    </row>
    <row r="857" spans="1:6" x14ac:dyDescent="0.2">
      <c r="A857" s="1" t="str">
        <f ca="1">IF(ROW()&lt;=Results!$C$1+1,INDEX(Data!$A:$A,CEILING((COUNTA(Data!$A:$A)-1)*RAND()+1,1)),"")</f>
        <v/>
      </c>
      <c r="B857" s="1" t="str">
        <f>IF(ROW()&lt;=Results!$C$1+1,VLOOKUP($A857,Data!$A$2:$C$117,2,TRUE),"")</f>
        <v/>
      </c>
      <c r="C857" s="14" t="str">
        <f>IF(ROW()&lt;=Results!$C$1+1,IF(B857&lt;=0,"",LN(B857)),"")</f>
        <v/>
      </c>
      <c r="D857" s="1" t="str">
        <f>IF(ROW()&lt;=Results!$C$1+1,VLOOKUP($A857,Data!$A$2:$C$117,3,TRUE),"")</f>
        <v/>
      </c>
      <c r="E857" s="14" t="str">
        <f>IF(ROW()&lt;=Results!$C$1+1,IF(D857&lt;=0,"",LN(D857)),"")</f>
        <v/>
      </c>
      <c r="F857" s="53" t="str">
        <f>IF(ROW()&lt;=Results!$C$1+1,IF(ISERROR(C857-E857),"",C857-E857),"")</f>
        <v/>
      </c>
    </row>
    <row r="858" spans="1:6" x14ac:dyDescent="0.2">
      <c r="A858" s="1" t="str">
        <f ca="1">IF(ROW()&lt;=Results!$C$1+1,INDEX(Data!$A:$A,CEILING((COUNTA(Data!$A:$A)-1)*RAND()+1,1)),"")</f>
        <v/>
      </c>
      <c r="B858" s="1" t="str">
        <f>IF(ROW()&lt;=Results!$C$1+1,VLOOKUP($A858,Data!$A$2:$C$117,2,TRUE),"")</f>
        <v/>
      </c>
      <c r="C858" s="14" t="str">
        <f>IF(ROW()&lt;=Results!$C$1+1,IF(B858&lt;=0,"",LN(B858)),"")</f>
        <v/>
      </c>
      <c r="D858" s="1" t="str">
        <f>IF(ROW()&lt;=Results!$C$1+1,VLOOKUP($A858,Data!$A$2:$C$117,3,TRUE),"")</f>
        <v/>
      </c>
      <c r="E858" s="14" t="str">
        <f>IF(ROW()&lt;=Results!$C$1+1,IF(D858&lt;=0,"",LN(D858)),"")</f>
        <v/>
      </c>
      <c r="F858" s="53" t="str">
        <f>IF(ROW()&lt;=Results!$C$1+1,IF(ISERROR(C858-E858),"",C858-E858),"")</f>
        <v/>
      </c>
    </row>
    <row r="859" spans="1:6" x14ac:dyDescent="0.2">
      <c r="A859" s="1" t="str">
        <f ca="1">IF(ROW()&lt;=Results!$C$1+1,INDEX(Data!$A:$A,CEILING((COUNTA(Data!$A:$A)-1)*RAND()+1,1)),"")</f>
        <v/>
      </c>
      <c r="B859" s="1" t="str">
        <f>IF(ROW()&lt;=Results!$C$1+1,VLOOKUP($A859,Data!$A$2:$C$117,2,TRUE),"")</f>
        <v/>
      </c>
      <c r="C859" s="14" t="str">
        <f>IF(ROW()&lt;=Results!$C$1+1,IF(B859&lt;=0,"",LN(B859)),"")</f>
        <v/>
      </c>
      <c r="D859" s="1" t="str">
        <f>IF(ROW()&lt;=Results!$C$1+1,VLOOKUP($A859,Data!$A$2:$C$117,3,TRUE),"")</f>
        <v/>
      </c>
      <c r="E859" s="14" t="str">
        <f>IF(ROW()&lt;=Results!$C$1+1,IF(D859&lt;=0,"",LN(D859)),"")</f>
        <v/>
      </c>
      <c r="F859" s="53" t="str">
        <f>IF(ROW()&lt;=Results!$C$1+1,IF(ISERROR(C859-E859),"",C859-E859),"")</f>
        <v/>
      </c>
    </row>
    <row r="860" spans="1:6" x14ac:dyDescent="0.2">
      <c r="A860" s="1" t="str">
        <f ca="1">IF(ROW()&lt;=Results!$C$1+1,INDEX(Data!$A:$A,CEILING((COUNTA(Data!$A:$A)-1)*RAND()+1,1)),"")</f>
        <v/>
      </c>
      <c r="B860" s="1" t="str">
        <f>IF(ROW()&lt;=Results!$C$1+1,VLOOKUP($A860,Data!$A$2:$C$117,2,TRUE),"")</f>
        <v/>
      </c>
      <c r="C860" s="14" t="str">
        <f>IF(ROW()&lt;=Results!$C$1+1,IF(B860&lt;=0,"",LN(B860)),"")</f>
        <v/>
      </c>
      <c r="D860" s="1" t="str">
        <f>IF(ROW()&lt;=Results!$C$1+1,VLOOKUP($A860,Data!$A$2:$C$117,3,TRUE),"")</f>
        <v/>
      </c>
      <c r="E860" s="14" t="str">
        <f>IF(ROW()&lt;=Results!$C$1+1,IF(D860&lt;=0,"",LN(D860)),"")</f>
        <v/>
      </c>
      <c r="F860" s="53" t="str">
        <f>IF(ROW()&lt;=Results!$C$1+1,IF(ISERROR(C860-E860),"",C860-E860),"")</f>
        <v/>
      </c>
    </row>
    <row r="861" spans="1:6" x14ac:dyDescent="0.2">
      <c r="A861" s="1" t="str">
        <f ca="1">IF(ROW()&lt;=Results!$C$1+1,INDEX(Data!$A:$A,CEILING((COUNTA(Data!$A:$A)-1)*RAND()+1,1)),"")</f>
        <v/>
      </c>
      <c r="B861" s="1" t="str">
        <f>IF(ROW()&lt;=Results!$C$1+1,VLOOKUP($A861,Data!$A$2:$C$117,2,TRUE),"")</f>
        <v/>
      </c>
      <c r="C861" s="14" t="str">
        <f>IF(ROW()&lt;=Results!$C$1+1,IF(B861&lt;=0,"",LN(B861)),"")</f>
        <v/>
      </c>
      <c r="D861" s="1" t="str">
        <f>IF(ROW()&lt;=Results!$C$1+1,VLOOKUP($A861,Data!$A$2:$C$117,3,TRUE),"")</f>
        <v/>
      </c>
      <c r="E861" s="14" t="str">
        <f>IF(ROW()&lt;=Results!$C$1+1,IF(D861&lt;=0,"",LN(D861)),"")</f>
        <v/>
      </c>
      <c r="F861" s="53" t="str">
        <f>IF(ROW()&lt;=Results!$C$1+1,IF(ISERROR(C861-E861),"",C861-E861),"")</f>
        <v/>
      </c>
    </row>
    <row r="862" spans="1:6" x14ac:dyDescent="0.2">
      <c r="A862" s="1" t="str">
        <f ca="1">IF(ROW()&lt;=Results!$C$1+1,INDEX(Data!$A:$A,CEILING((COUNTA(Data!$A:$A)-1)*RAND()+1,1)),"")</f>
        <v/>
      </c>
      <c r="B862" s="1" t="str">
        <f>IF(ROW()&lt;=Results!$C$1+1,VLOOKUP($A862,Data!$A$2:$C$117,2,TRUE),"")</f>
        <v/>
      </c>
      <c r="C862" s="14" t="str">
        <f>IF(ROW()&lt;=Results!$C$1+1,IF(B862&lt;=0,"",LN(B862)),"")</f>
        <v/>
      </c>
      <c r="D862" s="1" t="str">
        <f>IF(ROW()&lt;=Results!$C$1+1,VLOOKUP($A862,Data!$A$2:$C$117,3,TRUE),"")</f>
        <v/>
      </c>
      <c r="E862" s="14" t="str">
        <f>IF(ROW()&lt;=Results!$C$1+1,IF(D862&lt;=0,"",LN(D862)),"")</f>
        <v/>
      </c>
      <c r="F862" s="53" t="str">
        <f>IF(ROW()&lt;=Results!$C$1+1,IF(ISERROR(C862-E862),"",C862-E862),"")</f>
        <v/>
      </c>
    </row>
    <row r="863" spans="1:6" x14ac:dyDescent="0.2">
      <c r="A863" s="1" t="str">
        <f ca="1">IF(ROW()&lt;=Results!$C$1+1,INDEX(Data!$A:$A,CEILING((COUNTA(Data!$A:$A)-1)*RAND()+1,1)),"")</f>
        <v/>
      </c>
      <c r="B863" s="1" t="str">
        <f>IF(ROW()&lt;=Results!$C$1+1,VLOOKUP($A863,Data!$A$2:$C$117,2,TRUE),"")</f>
        <v/>
      </c>
      <c r="C863" s="14" t="str">
        <f>IF(ROW()&lt;=Results!$C$1+1,IF(B863&lt;=0,"",LN(B863)),"")</f>
        <v/>
      </c>
      <c r="D863" s="1" t="str">
        <f>IF(ROW()&lt;=Results!$C$1+1,VLOOKUP($A863,Data!$A$2:$C$117,3,TRUE),"")</f>
        <v/>
      </c>
      <c r="E863" s="14" t="str">
        <f>IF(ROW()&lt;=Results!$C$1+1,IF(D863&lt;=0,"",LN(D863)),"")</f>
        <v/>
      </c>
      <c r="F863" s="53" t="str">
        <f>IF(ROW()&lt;=Results!$C$1+1,IF(ISERROR(C863-E863),"",C863-E863),"")</f>
        <v/>
      </c>
    </row>
    <row r="864" spans="1:6" x14ac:dyDescent="0.2">
      <c r="A864" s="1" t="str">
        <f ca="1">IF(ROW()&lt;=Results!$C$1+1,INDEX(Data!$A:$A,CEILING((COUNTA(Data!$A:$A)-1)*RAND()+1,1)),"")</f>
        <v/>
      </c>
      <c r="B864" s="1" t="str">
        <f>IF(ROW()&lt;=Results!$C$1+1,VLOOKUP($A864,Data!$A$2:$C$117,2,TRUE),"")</f>
        <v/>
      </c>
      <c r="C864" s="14" t="str">
        <f>IF(ROW()&lt;=Results!$C$1+1,IF(B864&lt;=0,"",LN(B864)),"")</f>
        <v/>
      </c>
      <c r="D864" s="1" t="str">
        <f>IF(ROW()&lt;=Results!$C$1+1,VLOOKUP($A864,Data!$A$2:$C$117,3,TRUE),"")</f>
        <v/>
      </c>
      <c r="E864" s="14" t="str">
        <f>IF(ROW()&lt;=Results!$C$1+1,IF(D864&lt;=0,"",LN(D864)),"")</f>
        <v/>
      </c>
      <c r="F864" s="53" t="str">
        <f>IF(ROW()&lt;=Results!$C$1+1,IF(ISERROR(C864-E864),"",C864-E864),"")</f>
        <v/>
      </c>
    </row>
    <row r="865" spans="1:6" x14ac:dyDescent="0.2">
      <c r="A865" s="1" t="str">
        <f ca="1">IF(ROW()&lt;=Results!$C$1+1,INDEX(Data!$A:$A,CEILING((COUNTA(Data!$A:$A)-1)*RAND()+1,1)),"")</f>
        <v/>
      </c>
      <c r="B865" s="1" t="str">
        <f>IF(ROW()&lt;=Results!$C$1+1,VLOOKUP($A865,Data!$A$2:$C$117,2,TRUE),"")</f>
        <v/>
      </c>
      <c r="C865" s="14" t="str">
        <f>IF(ROW()&lt;=Results!$C$1+1,IF(B865&lt;=0,"",LN(B865)),"")</f>
        <v/>
      </c>
      <c r="D865" s="1" t="str">
        <f>IF(ROW()&lt;=Results!$C$1+1,VLOOKUP($A865,Data!$A$2:$C$117,3,TRUE),"")</f>
        <v/>
      </c>
      <c r="E865" s="14" t="str">
        <f>IF(ROW()&lt;=Results!$C$1+1,IF(D865&lt;=0,"",LN(D865)),"")</f>
        <v/>
      </c>
      <c r="F865" s="53" t="str">
        <f>IF(ROW()&lt;=Results!$C$1+1,IF(ISERROR(C865-E865),"",C865-E865),"")</f>
        <v/>
      </c>
    </row>
    <row r="866" spans="1:6" x14ac:dyDescent="0.2">
      <c r="A866" s="1" t="str">
        <f ca="1">IF(ROW()&lt;=Results!$C$1+1,INDEX(Data!$A:$A,CEILING((COUNTA(Data!$A:$A)-1)*RAND()+1,1)),"")</f>
        <v/>
      </c>
      <c r="B866" s="1" t="str">
        <f>IF(ROW()&lt;=Results!$C$1+1,VLOOKUP($A866,Data!$A$2:$C$117,2,TRUE),"")</f>
        <v/>
      </c>
      <c r="C866" s="14" t="str">
        <f>IF(ROW()&lt;=Results!$C$1+1,IF(B866&lt;=0,"",LN(B866)),"")</f>
        <v/>
      </c>
      <c r="D866" s="1" t="str">
        <f>IF(ROW()&lt;=Results!$C$1+1,VLOOKUP($A866,Data!$A$2:$C$117,3,TRUE),"")</f>
        <v/>
      </c>
      <c r="E866" s="14" t="str">
        <f>IF(ROW()&lt;=Results!$C$1+1,IF(D866&lt;=0,"",LN(D866)),"")</f>
        <v/>
      </c>
      <c r="F866" s="53" t="str">
        <f>IF(ROW()&lt;=Results!$C$1+1,IF(ISERROR(C866-E866),"",C866-E866),"")</f>
        <v/>
      </c>
    </row>
    <row r="867" spans="1:6" x14ac:dyDescent="0.2">
      <c r="A867" s="1" t="str">
        <f ca="1">IF(ROW()&lt;=Results!$C$1+1,INDEX(Data!$A:$A,CEILING((COUNTA(Data!$A:$A)-1)*RAND()+1,1)),"")</f>
        <v/>
      </c>
      <c r="B867" s="1" t="str">
        <f>IF(ROW()&lt;=Results!$C$1+1,VLOOKUP($A867,Data!$A$2:$C$117,2,TRUE),"")</f>
        <v/>
      </c>
      <c r="C867" s="14" t="str">
        <f>IF(ROW()&lt;=Results!$C$1+1,IF(B867&lt;=0,"",LN(B867)),"")</f>
        <v/>
      </c>
      <c r="D867" s="1" t="str">
        <f>IF(ROW()&lt;=Results!$C$1+1,VLOOKUP($A867,Data!$A$2:$C$117,3,TRUE),"")</f>
        <v/>
      </c>
      <c r="E867" s="14" t="str">
        <f>IF(ROW()&lt;=Results!$C$1+1,IF(D867&lt;=0,"",LN(D867)),"")</f>
        <v/>
      </c>
      <c r="F867" s="53" t="str">
        <f>IF(ROW()&lt;=Results!$C$1+1,IF(ISERROR(C867-E867),"",C867-E867),"")</f>
        <v/>
      </c>
    </row>
    <row r="868" spans="1:6" x14ac:dyDescent="0.2">
      <c r="A868" s="1" t="str">
        <f ca="1">IF(ROW()&lt;=Results!$C$1+1,INDEX(Data!$A:$A,CEILING((COUNTA(Data!$A:$A)-1)*RAND()+1,1)),"")</f>
        <v/>
      </c>
      <c r="B868" s="1" t="str">
        <f>IF(ROW()&lt;=Results!$C$1+1,VLOOKUP($A868,Data!$A$2:$C$117,2,TRUE),"")</f>
        <v/>
      </c>
      <c r="C868" s="14" t="str">
        <f>IF(ROW()&lt;=Results!$C$1+1,IF(B868&lt;=0,"",LN(B868)),"")</f>
        <v/>
      </c>
      <c r="D868" s="1" t="str">
        <f>IF(ROW()&lt;=Results!$C$1+1,VLOOKUP($A868,Data!$A$2:$C$117,3,TRUE),"")</f>
        <v/>
      </c>
      <c r="E868" s="14" t="str">
        <f>IF(ROW()&lt;=Results!$C$1+1,IF(D868&lt;=0,"",LN(D868)),"")</f>
        <v/>
      </c>
      <c r="F868" s="53" t="str">
        <f>IF(ROW()&lt;=Results!$C$1+1,IF(ISERROR(C868-E868),"",C868-E868),"")</f>
        <v/>
      </c>
    </row>
    <row r="869" spans="1:6" x14ac:dyDescent="0.2">
      <c r="A869" s="1" t="str">
        <f ca="1">IF(ROW()&lt;=Results!$C$1+1,INDEX(Data!$A:$A,CEILING((COUNTA(Data!$A:$A)-1)*RAND()+1,1)),"")</f>
        <v/>
      </c>
      <c r="B869" s="1" t="str">
        <f>IF(ROW()&lt;=Results!$C$1+1,VLOOKUP($A869,Data!$A$2:$C$117,2,TRUE),"")</f>
        <v/>
      </c>
      <c r="C869" s="14" t="str">
        <f>IF(ROW()&lt;=Results!$C$1+1,IF(B869&lt;=0,"",LN(B869)),"")</f>
        <v/>
      </c>
      <c r="D869" s="1" t="str">
        <f>IF(ROW()&lt;=Results!$C$1+1,VLOOKUP($A869,Data!$A$2:$C$117,3,TRUE),"")</f>
        <v/>
      </c>
      <c r="E869" s="14" t="str">
        <f>IF(ROW()&lt;=Results!$C$1+1,IF(D869&lt;=0,"",LN(D869)),"")</f>
        <v/>
      </c>
      <c r="F869" s="53" t="str">
        <f>IF(ROW()&lt;=Results!$C$1+1,IF(ISERROR(C869-E869),"",C869-E869),"")</f>
        <v/>
      </c>
    </row>
    <row r="870" spans="1:6" x14ac:dyDescent="0.2">
      <c r="A870" s="1" t="str">
        <f ca="1">IF(ROW()&lt;=Results!$C$1+1,INDEX(Data!$A:$A,CEILING((COUNTA(Data!$A:$A)-1)*RAND()+1,1)),"")</f>
        <v/>
      </c>
      <c r="B870" s="1" t="str">
        <f>IF(ROW()&lt;=Results!$C$1+1,VLOOKUP($A870,Data!$A$2:$C$117,2,TRUE),"")</f>
        <v/>
      </c>
      <c r="C870" s="14" t="str">
        <f>IF(ROW()&lt;=Results!$C$1+1,IF(B870&lt;=0,"",LN(B870)),"")</f>
        <v/>
      </c>
      <c r="D870" s="1" t="str">
        <f>IF(ROW()&lt;=Results!$C$1+1,VLOOKUP($A870,Data!$A$2:$C$117,3,TRUE),"")</f>
        <v/>
      </c>
      <c r="E870" s="14" t="str">
        <f>IF(ROW()&lt;=Results!$C$1+1,IF(D870&lt;=0,"",LN(D870)),"")</f>
        <v/>
      </c>
      <c r="F870" s="53" t="str">
        <f>IF(ROW()&lt;=Results!$C$1+1,IF(ISERROR(C870-E870),"",C870-E870),"")</f>
        <v/>
      </c>
    </row>
    <row r="871" spans="1:6" x14ac:dyDescent="0.2">
      <c r="A871" s="1" t="str">
        <f ca="1">IF(ROW()&lt;=Results!$C$1+1,INDEX(Data!$A:$A,CEILING((COUNTA(Data!$A:$A)-1)*RAND()+1,1)),"")</f>
        <v/>
      </c>
      <c r="B871" s="1" t="str">
        <f>IF(ROW()&lt;=Results!$C$1+1,VLOOKUP($A871,Data!$A$2:$C$117,2,TRUE),"")</f>
        <v/>
      </c>
      <c r="C871" s="14" t="str">
        <f>IF(ROW()&lt;=Results!$C$1+1,IF(B871&lt;=0,"",LN(B871)),"")</f>
        <v/>
      </c>
      <c r="D871" s="1" t="str">
        <f>IF(ROW()&lt;=Results!$C$1+1,VLOOKUP($A871,Data!$A$2:$C$117,3,TRUE),"")</f>
        <v/>
      </c>
      <c r="E871" s="14" t="str">
        <f>IF(ROW()&lt;=Results!$C$1+1,IF(D871&lt;=0,"",LN(D871)),"")</f>
        <v/>
      </c>
      <c r="F871" s="53" t="str">
        <f>IF(ROW()&lt;=Results!$C$1+1,IF(ISERROR(C871-E871),"",C871-E871),"")</f>
        <v/>
      </c>
    </row>
    <row r="872" spans="1:6" x14ac:dyDescent="0.2">
      <c r="A872" s="1" t="str">
        <f ca="1">IF(ROW()&lt;=Results!$C$1+1,INDEX(Data!$A:$A,CEILING((COUNTA(Data!$A:$A)-1)*RAND()+1,1)),"")</f>
        <v/>
      </c>
      <c r="B872" s="1" t="str">
        <f>IF(ROW()&lt;=Results!$C$1+1,VLOOKUP($A872,Data!$A$2:$C$117,2,TRUE),"")</f>
        <v/>
      </c>
      <c r="C872" s="14" t="str">
        <f>IF(ROW()&lt;=Results!$C$1+1,IF(B872&lt;=0,"",LN(B872)),"")</f>
        <v/>
      </c>
      <c r="D872" s="1" t="str">
        <f>IF(ROW()&lt;=Results!$C$1+1,VLOOKUP($A872,Data!$A$2:$C$117,3,TRUE),"")</f>
        <v/>
      </c>
      <c r="E872" s="14" t="str">
        <f>IF(ROW()&lt;=Results!$C$1+1,IF(D872&lt;=0,"",LN(D872)),"")</f>
        <v/>
      </c>
      <c r="F872" s="53" t="str">
        <f>IF(ROW()&lt;=Results!$C$1+1,IF(ISERROR(C872-E872),"",C872-E872),"")</f>
        <v/>
      </c>
    </row>
    <row r="873" spans="1:6" x14ac:dyDescent="0.2">
      <c r="A873" s="1" t="str">
        <f ca="1">IF(ROW()&lt;=Results!$C$1+1,INDEX(Data!$A:$A,CEILING((COUNTA(Data!$A:$A)-1)*RAND()+1,1)),"")</f>
        <v/>
      </c>
      <c r="B873" s="1" t="str">
        <f>IF(ROW()&lt;=Results!$C$1+1,VLOOKUP($A873,Data!$A$2:$C$117,2,TRUE),"")</f>
        <v/>
      </c>
      <c r="C873" s="14" t="str">
        <f>IF(ROW()&lt;=Results!$C$1+1,IF(B873&lt;=0,"",LN(B873)),"")</f>
        <v/>
      </c>
      <c r="D873" s="1" t="str">
        <f>IF(ROW()&lt;=Results!$C$1+1,VLOOKUP($A873,Data!$A$2:$C$117,3,TRUE),"")</f>
        <v/>
      </c>
      <c r="E873" s="14" t="str">
        <f>IF(ROW()&lt;=Results!$C$1+1,IF(D873&lt;=0,"",LN(D873)),"")</f>
        <v/>
      </c>
      <c r="F873" s="53" t="str">
        <f>IF(ROW()&lt;=Results!$C$1+1,IF(ISERROR(C873-E873),"",C873-E873),"")</f>
        <v/>
      </c>
    </row>
    <row r="874" spans="1:6" x14ac:dyDescent="0.2">
      <c r="A874" s="1" t="str">
        <f ca="1">IF(ROW()&lt;=Results!$C$1+1,INDEX(Data!$A:$A,CEILING((COUNTA(Data!$A:$A)-1)*RAND()+1,1)),"")</f>
        <v/>
      </c>
      <c r="B874" s="1" t="str">
        <f>IF(ROW()&lt;=Results!$C$1+1,VLOOKUP($A874,Data!$A$2:$C$117,2,TRUE),"")</f>
        <v/>
      </c>
      <c r="C874" s="14" t="str">
        <f>IF(ROW()&lt;=Results!$C$1+1,IF(B874&lt;=0,"",LN(B874)),"")</f>
        <v/>
      </c>
      <c r="D874" s="1" t="str">
        <f>IF(ROW()&lt;=Results!$C$1+1,VLOOKUP($A874,Data!$A$2:$C$117,3,TRUE),"")</f>
        <v/>
      </c>
      <c r="E874" s="14" t="str">
        <f>IF(ROW()&lt;=Results!$C$1+1,IF(D874&lt;=0,"",LN(D874)),"")</f>
        <v/>
      </c>
      <c r="F874" s="53" t="str">
        <f>IF(ROW()&lt;=Results!$C$1+1,IF(ISERROR(C874-E874),"",C874-E874),"")</f>
        <v/>
      </c>
    </row>
    <row r="875" spans="1:6" x14ac:dyDescent="0.2">
      <c r="A875" s="1" t="str">
        <f ca="1">IF(ROW()&lt;=Results!$C$1+1,INDEX(Data!$A:$A,CEILING((COUNTA(Data!$A:$A)-1)*RAND()+1,1)),"")</f>
        <v/>
      </c>
      <c r="B875" s="1" t="str">
        <f>IF(ROW()&lt;=Results!$C$1+1,VLOOKUP($A875,Data!$A$2:$C$117,2,TRUE),"")</f>
        <v/>
      </c>
      <c r="C875" s="14" t="str">
        <f>IF(ROW()&lt;=Results!$C$1+1,IF(B875&lt;=0,"",LN(B875)),"")</f>
        <v/>
      </c>
      <c r="D875" s="1" t="str">
        <f>IF(ROW()&lt;=Results!$C$1+1,VLOOKUP($A875,Data!$A$2:$C$117,3,TRUE),"")</f>
        <v/>
      </c>
      <c r="E875" s="14" t="str">
        <f>IF(ROW()&lt;=Results!$C$1+1,IF(D875&lt;=0,"",LN(D875)),"")</f>
        <v/>
      </c>
      <c r="F875" s="53" t="str">
        <f>IF(ROW()&lt;=Results!$C$1+1,IF(ISERROR(C875-E875),"",C875-E875),"")</f>
        <v/>
      </c>
    </row>
    <row r="876" spans="1:6" x14ac:dyDescent="0.2">
      <c r="A876" s="1" t="str">
        <f ca="1">IF(ROW()&lt;=Results!$C$1+1,INDEX(Data!$A:$A,CEILING((COUNTA(Data!$A:$A)-1)*RAND()+1,1)),"")</f>
        <v/>
      </c>
      <c r="B876" s="1" t="str">
        <f>IF(ROW()&lt;=Results!$C$1+1,VLOOKUP($A876,Data!$A$2:$C$117,2,TRUE),"")</f>
        <v/>
      </c>
      <c r="C876" s="14" t="str">
        <f>IF(ROW()&lt;=Results!$C$1+1,IF(B876&lt;=0,"",LN(B876)),"")</f>
        <v/>
      </c>
      <c r="D876" s="1" t="str">
        <f>IF(ROW()&lt;=Results!$C$1+1,VLOOKUP($A876,Data!$A$2:$C$117,3,TRUE),"")</f>
        <v/>
      </c>
      <c r="E876" s="14" t="str">
        <f>IF(ROW()&lt;=Results!$C$1+1,IF(D876&lt;=0,"",LN(D876)),"")</f>
        <v/>
      </c>
      <c r="F876" s="53" t="str">
        <f>IF(ROW()&lt;=Results!$C$1+1,IF(ISERROR(C876-E876),"",C876-E876),"")</f>
        <v/>
      </c>
    </row>
    <row r="877" spans="1:6" x14ac:dyDescent="0.2">
      <c r="A877" s="1" t="str">
        <f ca="1">IF(ROW()&lt;=Results!$C$1+1,INDEX(Data!$A:$A,CEILING((COUNTA(Data!$A:$A)-1)*RAND()+1,1)),"")</f>
        <v/>
      </c>
      <c r="B877" s="1" t="str">
        <f>IF(ROW()&lt;=Results!$C$1+1,VLOOKUP($A877,Data!$A$2:$C$117,2,TRUE),"")</f>
        <v/>
      </c>
      <c r="C877" s="14" t="str">
        <f>IF(ROW()&lt;=Results!$C$1+1,IF(B877&lt;=0,"",LN(B877)),"")</f>
        <v/>
      </c>
      <c r="D877" s="1" t="str">
        <f>IF(ROW()&lt;=Results!$C$1+1,VLOOKUP($A877,Data!$A$2:$C$117,3,TRUE),"")</f>
        <v/>
      </c>
      <c r="E877" s="14" t="str">
        <f>IF(ROW()&lt;=Results!$C$1+1,IF(D877&lt;=0,"",LN(D877)),"")</f>
        <v/>
      </c>
      <c r="F877" s="53" t="str">
        <f>IF(ROW()&lt;=Results!$C$1+1,IF(ISERROR(C877-E877),"",C877-E877),"")</f>
        <v/>
      </c>
    </row>
    <row r="878" spans="1:6" x14ac:dyDescent="0.2">
      <c r="A878" s="1" t="str">
        <f ca="1">IF(ROW()&lt;=Results!$C$1+1,INDEX(Data!$A:$A,CEILING((COUNTA(Data!$A:$A)-1)*RAND()+1,1)),"")</f>
        <v/>
      </c>
      <c r="B878" s="1" t="str">
        <f>IF(ROW()&lt;=Results!$C$1+1,VLOOKUP($A878,Data!$A$2:$C$117,2,TRUE),"")</f>
        <v/>
      </c>
      <c r="C878" s="14" t="str">
        <f>IF(ROW()&lt;=Results!$C$1+1,IF(B878&lt;=0,"",LN(B878)),"")</f>
        <v/>
      </c>
      <c r="D878" s="1" t="str">
        <f>IF(ROW()&lt;=Results!$C$1+1,VLOOKUP($A878,Data!$A$2:$C$117,3,TRUE),"")</f>
        <v/>
      </c>
      <c r="E878" s="14" t="str">
        <f>IF(ROW()&lt;=Results!$C$1+1,IF(D878&lt;=0,"",LN(D878)),"")</f>
        <v/>
      </c>
      <c r="F878" s="53" t="str">
        <f>IF(ROW()&lt;=Results!$C$1+1,IF(ISERROR(C878-E878),"",C878-E878),"")</f>
        <v/>
      </c>
    </row>
    <row r="879" spans="1:6" x14ac:dyDescent="0.2">
      <c r="A879" s="1" t="str">
        <f ca="1">IF(ROW()&lt;=Results!$C$1+1,INDEX(Data!$A:$A,CEILING((COUNTA(Data!$A:$A)-1)*RAND()+1,1)),"")</f>
        <v/>
      </c>
      <c r="B879" s="1" t="str">
        <f>IF(ROW()&lt;=Results!$C$1+1,VLOOKUP($A879,Data!$A$2:$C$117,2,TRUE),"")</f>
        <v/>
      </c>
      <c r="C879" s="14" t="str">
        <f>IF(ROW()&lt;=Results!$C$1+1,IF(B879&lt;=0,"",LN(B879)),"")</f>
        <v/>
      </c>
      <c r="D879" s="1" t="str">
        <f>IF(ROW()&lt;=Results!$C$1+1,VLOOKUP($A879,Data!$A$2:$C$117,3,TRUE),"")</f>
        <v/>
      </c>
      <c r="E879" s="14" t="str">
        <f>IF(ROW()&lt;=Results!$C$1+1,IF(D879&lt;=0,"",LN(D879)),"")</f>
        <v/>
      </c>
      <c r="F879" s="53" t="str">
        <f>IF(ROW()&lt;=Results!$C$1+1,IF(ISERROR(C879-E879),"",C879-E879),"")</f>
        <v/>
      </c>
    </row>
    <row r="880" spans="1:6" x14ac:dyDescent="0.2">
      <c r="A880" s="1" t="str">
        <f ca="1">IF(ROW()&lt;=Results!$C$1+1,INDEX(Data!$A:$A,CEILING((COUNTA(Data!$A:$A)-1)*RAND()+1,1)),"")</f>
        <v/>
      </c>
      <c r="B880" s="1" t="str">
        <f>IF(ROW()&lt;=Results!$C$1+1,VLOOKUP($A880,Data!$A$2:$C$117,2,TRUE),"")</f>
        <v/>
      </c>
      <c r="C880" s="14" t="str">
        <f>IF(ROW()&lt;=Results!$C$1+1,IF(B880&lt;=0,"",LN(B880)),"")</f>
        <v/>
      </c>
      <c r="D880" s="1" t="str">
        <f>IF(ROW()&lt;=Results!$C$1+1,VLOOKUP($A880,Data!$A$2:$C$117,3,TRUE),"")</f>
        <v/>
      </c>
      <c r="E880" s="14" t="str">
        <f>IF(ROW()&lt;=Results!$C$1+1,IF(D880&lt;=0,"",LN(D880)),"")</f>
        <v/>
      </c>
      <c r="F880" s="53" t="str">
        <f>IF(ROW()&lt;=Results!$C$1+1,IF(ISERROR(C880-E880),"",C880-E880),"")</f>
        <v/>
      </c>
    </row>
    <row r="881" spans="1:6" x14ac:dyDescent="0.2">
      <c r="A881" s="1" t="str">
        <f ca="1">IF(ROW()&lt;=Results!$C$1+1,INDEX(Data!$A:$A,CEILING((COUNTA(Data!$A:$A)-1)*RAND()+1,1)),"")</f>
        <v/>
      </c>
      <c r="B881" s="1" t="str">
        <f>IF(ROW()&lt;=Results!$C$1+1,VLOOKUP($A881,Data!$A$2:$C$117,2,TRUE),"")</f>
        <v/>
      </c>
      <c r="C881" s="14" t="str">
        <f>IF(ROW()&lt;=Results!$C$1+1,IF(B881&lt;=0,"",LN(B881)),"")</f>
        <v/>
      </c>
      <c r="D881" s="1" t="str">
        <f>IF(ROW()&lt;=Results!$C$1+1,VLOOKUP($A881,Data!$A$2:$C$117,3,TRUE),"")</f>
        <v/>
      </c>
      <c r="E881" s="14" t="str">
        <f>IF(ROW()&lt;=Results!$C$1+1,IF(D881&lt;=0,"",LN(D881)),"")</f>
        <v/>
      </c>
      <c r="F881" s="53" t="str">
        <f>IF(ROW()&lt;=Results!$C$1+1,IF(ISERROR(C881-E881),"",C881-E881),"")</f>
        <v/>
      </c>
    </row>
    <row r="882" spans="1:6" x14ac:dyDescent="0.2">
      <c r="A882" s="1" t="str">
        <f ca="1">IF(ROW()&lt;=Results!$C$1+1,INDEX(Data!$A:$A,CEILING((COUNTA(Data!$A:$A)-1)*RAND()+1,1)),"")</f>
        <v/>
      </c>
      <c r="B882" s="1" t="str">
        <f>IF(ROW()&lt;=Results!$C$1+1,VLOOKUP($A882,Data!$A$2:$C$117,2,TRUE),"")</f>
        <v/>
      </c>
      <c r="C882" s="14" t="str">
        <f>IF(ROW()&lt;=Results!$C$1+1,IF(B882&lt;=0,"",LN(B882)),"")</f>
        <v/>
      </c>
      <c r="D882" s="1" t="str">
        <f>IF(ROW()&lt;=Results!$C$1+1,VLOOKUP($A882,Data!$A$2:$C$117,3,TRUE),"")</f>
        <v/>
      </c>
      <c r="E882" s="14" t="str">
        <f>IF(ROW()&lt;=Results!$C$1+1,IF(D882&lt;=0,"",LN(D882)),"")</f>
        <v/>
      </c>
      <c r="F882" s="53" t="str">
        <f>IF(ROW()&lt;=Results!$C$1+1,IF(ISERROR(C882-E882),"",C882-E882),"")</f>
        <v/>
      </c>
    </row>
    <row r="883" spans="1:6" x14ac:dyDescent="0.2">
      <c r="A883" s="1" t="str">
        <f ca="1">IF(ROW()&lt;=Results!$C$1+1,INDEX(Data!$A:$A,CEILING((COUNTA(Data!$A:$A)-1)*RAND()+1,1)),"")</f>
        <v/>
      </c>
      <c r="B883" s="1" t="str">
        <f>IF(ROW()&lt;=Results!$C$1+1,VLOOKUP($A883,Data!$A$2:$C$117,2,TRUE),"")</f>
        <v/>
      </c>
      <c r="C883" s="14" t="str">
        <f>IF(ROW()&lt;=Results!$C$1+1,IF(B883&lt;=0,"",LN(B883)),"")</f>
        <v/>
      </c>
      <c r="D883" s="1" t="str">
        <f>IF(ROW()&lt;=Results!$C$1+1,VLOOKUP($A883,Data!$A$2:$C$117,3,TRUE),"")</f>
        <v/>
      </c>
      <c r="E883" s="14" t="str">
        <f>IF(ROW()&lt;=Results!$C$1+1,IF(D883&lt;=0,"",LN(D883)),"")</f>
        <v/>
      </c>
      <c r="F883" s="53" t="str">
        <f>IF(ROW()&lt;=Results!$C$1+1,IF(ISERROR(C883-E883),"",C883-E883),"")</f>
        <v/>
      </c>
    </row>
    <row r="884" spans="1:6" x14ac:dyDescent="0.2">
      <c r="A884" s="1" t="str">
        <f ca="1">IF(ROW()&lt;=Results!$C$1+1,INDEX(Data!$A:$A,CEILING((COUNTA(Data!$A:$A)-1)*RAND()+1,1)),"")</f>
        <v/>
      </c>
      <c r="B884" s="1" t="str">
        <f>IF(ROW()&lt;=Results!$C$1+1,VLOOKUP($A884,Data!$A$2:$C$117,2,TRUE),"")</f>
        <v/>
      </c>
      <c r="C884" s="14" t="str">
        <f>IF(ROW()&lt;=Results!$C$1+1,IF(B884&lt;=0,"",LN(B884)),"")</f>
        <v/>
      </c>
      <c r="D884" s="1" t="str">
        <f>IF(ROW()&lt;=Results!$C$1+1,VLOOKUP($A884,Data!$A$2:$C$117,3,TRUE),"")</f>
        <v/>
      </c>
      <c r="E884" s="14" t="str">
        <f>IF(ROW()&lt;=Results!$C$1+1,IF(D884&lt;=0,"",LN(D884)),"")</f>
        <v/>
      </c>
      <c r="F884" s="53" t="str">
        <f>IF(ROW()&lt;=Results!$C$1+1,IF(ISERROR(C884-E884),"",C884-E884),"")</f>
        <v/>
      </c>
    </row>
    <row r="885" spans="1:6" x14ac:dyDescent="0.2">
      <c r="A885" s="1" t="str">
        <f ca="1">IF(ROW()&lt;=Results!$C$1+1,INDEX(Data!$A:$A,CEILING((COUNTA(Data!$A:$A)-1)*RAND()+1,1)),"")</f>
        <v/>
      </c>
      <c r="B885" s="1" t="str">
        <f>IF(ROW()&lt;=Results!$C$1+1,VLOOKUP($A885,Data!$A$2:$C$117,2,TRUE),"")</f>
        <v/>
      </c>
      <c r="C885" s="14" t="str">
        <f>IF(ROW()&lt;=Results!$C$1+1,IF(B885&lt;=0,"",LN(B885)),"")</f>
        <v/>
      </c>
      <c r="D885" s="1" t="str">
        <f>IF(ROW()&lt;=Results!$C$1+1,VLOOKUP($A885,Data!$A$2:$C$117,3,TRUE),"")</f>
        <v/>
      </c>
      <c r="E885" s="14" t="str">
        <f>IF(ROW()&lt;=Results!$C$1+1,IF(D885&lt;=0,"",LN(D885)),"")</f>
        <v/>
      </c>
      <c r="F885" s="53" t="str">
        <f>IF(ROW()&lt;=Results!$C$1+1,IF(ISERROR(C885-E885),"",C885-E885),"")</f>
        <v/>
      </c>
    </row>
    <row r="886" spans="1:6" x14ac:dyDescent="0.2">
      <c r="A886" s="1" t="str">
        <f ca="1">IF(ROW()&lt;=Results!$C$1+1,INDEX(Data!$A:$A,CEILING((COUNTA(Data!$A:$A)-1)*RAND()+1,1)),"")</f>
        <v/>
      </c>
      <c r="B886" s="1" t="str">
        <f>IF(ROW()&lt;=Results!$C$1+1,VLOOKUP($A886,Data!$A$2:$C$117,2,TRUE),"")</f>
        <v/>
      </c>
      <c r="C886" s="14" t="str">
        <f>IF(ROW()&lt;=Results!$C$1+1,IF(B886&lt;=0,"",LN(B886)),"")</f>
        <v/>
      </c>
      <c r="D886" s="1" t="str">
        <f>IF(ROW()&lt;=Results!$C$1+1,VLOOKUP($A886,Data!$A$2:$C$117,3,TRUE),"")</f>
        <v/>
      </c>
      <c r="E886" s="14" t="str">
        <f>IF(ROW()&lt;=Results!$C$1+1,IF(D886&lt;=0,"",LN(D886)),"")</f>
        <v/>
      </c>
      <c r="F886" s="53" t="str">
        <f>IF(ROW()&lt;=Results!$C$1+1,IF(ISERROR(C886-E886),"",C886-E886),"")</f>
        <v/>
      </c>
    </row>
    <row r="887" spans="1:6" x14ac:dyDescent="0.2">
      <c r="A887" s="1" t="str">
        <f ca="1">IF(ROW()&lt;=Results!$C$1+1,INDEX(Data!$A:$A,CEILING((COUNTA(Data!$A:$A)-1)*RAND()+1,1)),"")</f>
        <v/>
      </c>
      <c r="B887" s="1" t="str">
        <f>IF(ROW()&lt;=Results!$C$1+1,VLOOKUP($A887,Data!$A$2:$C$117,2,TRUE),"")</f>
        <v/>
      </c>
      <c r="C887" s="14" t="str">
        <f>IF(ROW()&lt;=Results!$C$1+1,IF(B887&lt;=0,"",LN(B887)),"")</f>
        <v/>
      </c>
      <c r="D887" s="1" t="str">
        <f>IF(ROW()&lt;=Results!$C$1+1,VLOOKUP($A887,Data!$A$2:$C$117,3,TRUE),"")</f>
        <v/>
      </c>
      <c r="E887" s="14" t="str">
        <f>IF(ROW()&lt;=Results!$C$1+1,IF(D887&lt;=0,"",LN(D887)),"")</f>
        <v/>
      </c>
      <c r="F887" s="53" t="str">
        <f>IF(ROW()&lt;=Results!$C$1+1,IF(ISERROR(C887-E887),"",C887-E887),"")</f>
        <v/>
      </c>
    </row>
    <row r="888" spans="1:6" x14ac:dyDescent="0.2">
      <c r="A888" s="1" t="str">
        <f ca="1">IF(ROW()&lt;=Results!$C$1+1,INDEX(Data!$A:$A,CEILING((COUNTA(Data!$A:$A)-1)*RAND()+1,1)),"")</f>
        <v/>
      </c>
      <c r="B888" s="1" t="str">
        <f>IF(ROW()&lt;=Results!$C$1+1,VLOOKUP($A888,Data!$A$2:$C$117,2,TRUE),"")</f>
        <v/>
      </c>
      <c r="C888" s="14" t="str">
        <f>IF(ROW()&lt;=Results!$C$1+1,IF(B888&lt;=0,"",LN(B888)),"")</f>
        <v/>
      </c>
      <c r="D888" s="1" t="str">
        <f>IF(ROW()&lt;=Results!$C$1+1,VLOOKUP($A888,Data!$A$2:$C$117,3,TRUE),"")</f>
        <v/>
      </c>
      <c r="E888" s="14" t="str">
        <f>IF(ROW()&lt;=Results!$C$1+1,IF(D888&lt;=0,"",LN(D888)),"")</f>
        <v/>
      </c>
      <c r="F888" s="53" t="str">
        <f>IF(ROW()&lt;=Results!$C$1+1,IF(ISERROR(C888-E888),"",C888-E888),"")</f>
        <v/>
      </c>
    </row>
    <row r="889" spans="1:6" x14ac:dyDescent="0.2">
      <c r="A889" s="1" t="str">
        <f ca="1">IF(ROW()&lt;=Results!$C$1+1,INDEX(Data!$A:$A,CEILING((COUNTA(Data!$A:$A)-1)*RAND()+1,1)),"")</f>
        <v/>
      </c>
      <c r="B889" s="1" t="str">
        <f>IF(ROW()&lt;=Results!$C$1+1,VLOOKUP($A889,Data!$A$2:$C$117,2,TRUE),"")</f>
        <v/>
      </c>
      <c r="C889" s="14" t="str">
        <f>IF(ROW()&lt;=Results!$C$1+1,IF(B889&lt;=0,"",LN(B889)),"")</f>
        <v/>
      </c>
      <c r="D889" s="1" t="str">
        <f>IF(ROW()&lt;=Results!$C$1+1,VLOOKUP($A889,Data!$A$2:$C$117,3,TRUE),"")</f>
        <v/>
      </c>
      <c r="E889" s="14" t="str">
        <f>IF(ROW()&lt;=Results!$C$1+1,IF(D889&lt;=0,"",LN(D889)),"")</f>
        <v/>
      </c>
      <c r="F889" s="53" t="str">
        <f>IF(ROW()&lt;=Results!$C$1+1,IF(ISERROR(C889-E889),"",C889-E889),"")</f>
        <v/>
      </c>
    </row>
    <row r="890" spans="1:6" x14ac:dyDescent="0.2">
      <c r="A890" s="1" t="str">
        <f ca="1">IF(ROW()&lt;=Results!$C$1+1,INDEX(Data!$A:$A,CEILING((COUNTA(Data!$A:$A)-1)*RAND()+1,1)),"")</f>
        <v/>
      </c>
      <c r="B890" s="1" t="str">
        <f>IF(ROW()&lt;=Results!$C$1+1,VLOOKUP($A890,Data!$A$2:$C$117,2,TRUE),"")</f>
        <v/>
      </c>
      <c r="C890" s="14" t="str">
        <f>IF(ROW()&lt;=Results!$C$1+1,IF(B890&lt;=0,"",LN(B890)),"")</f>
        <v/>
      </c>
      <c r="D890" s="1" t="str">
        <f>IF(ROW()&lt;=Results!$C$1+1,VLOOKUP($A890,Data!$A$2:$C$117,3,TRUE),"")</f>
        <v/>
      </c>
      <c r="E890" s="14" t="str">
        <f>IF(ROW()&lt;=Results!$C$1+1,IF(D890&lt;=0,"",LN(D890)),"")</f>
        <v/>
      </c>
      <c r="F890" s="53" t="str">
        <f>IF(ROW()&lt;=Results!$C$1+1,IF(ISERROR(C890-E890),"",C890-E890),"")</f>
        <v/>
      </c>
    </row>
    <row r="891" spans="1:6" x14ac:dyDescent="0.2">
      <c r="A891" s="1" t="str">
        <f ca="1">IF(ROW()&lt;=Results!$C$1+1,INDEX(Data!$A:$A,CEILING((COUNTA(Data!$A:$A)-1)*RAND()+1,1)),"")</f>
        <v/>
      </c>
      <c r="B891" s="1" t="str">
        <f>IF(ROW()&lt;=Results!$C$1+1,VLOOKUP($A891,Data!$A$2:$C$117,2,TRUE),"")</f>
        <v/>
      </c>
      <c r="C891" s="14" t="str">
        <f>IF(ROW()&lt;=Results!$C$1+1,IF(B891&lt;=0,"",LN(B891)),"")</f>
        <v/>
      </c>
      <c r="D891" s="1" t="str">
        <f>IF(ROW()&lt;=Results!$C$1+1,VLOOKUP($A891,Data!$A$2:$C$117,3,TRUE),"")</f>
        <v/>
      </c>
      <c r="E891" s="14" t="str">
        <f>IF(ROW()&lt;=Results!$C$1+1,IF(D891&lt;=0,"",LN(D891)),"")</f>
        <v/>
      </c>
      <c r="F891" s="53" t="str">
        <f>IF(ROW()&lt;=Results!$C$1+1,IF(ISERROR(C891-E891),"",C891-E891),"")</f>
        <v/>
      </c>
    </row>
    <row r="892" spans="1:6" x14ac:dyDescent="0.2">
      <c r="A892" s="1" t="str">
        <f ca="1">IF(ROW()&lt;=Results!$C$1+1,INDEX(Data!$A:$A,CEILING((COUNTA(Data!$A:$A)-1)*RAND()+1,1)),"")</f>
        <v/>
      </c>
      <c r="B892" s="1" t="str">
        <f>IF(ROW()&lt;=Results!$C$1+1,VLOOKUP($A892,Data!$A$2:$C$117,2,TRUE),"")</f>
        <v/>
      </c>
      <c r="C892" s="14" t="str">
        <f>IF(ROW()&lt;=Results!$C$1+1,IF(B892&lt;=0,"",LN(B892)),"")</f>
        <v/>
      </c>
      <c r="D892" s="1" t="str">
        <f>IF(ROW()&lt;=Results!$C$1+1,VLOOKUP($A892,Data!$A$2:$C$117,3,TRUE),"")</f>
        <v/>
      </c>
      <c r="E892" s="14" t="str">
        <f>IF(ROW()&lt;=Results!$C$1+1,IF(D892&lt;=0,"",LN(D892)),"")</f>
        <v/>
      </c>
      <c r="F892" s="53" t="str">
        <f>IF(ROW()&lt;=Results!$C$1+1,IF(ISERROR(C892-E892),"",C892-E892),"")</f>
        <v/>
      </c>
    </row>
    <row r="893" spans="1:6" x14ac:dyDescent="0.2">
      <c r="A893" s="1" t="str">
        <f ca="1">IF(ROW()&lt;=Results!$C$1+1,INDEX(Data!$A:$A,CEILING((COUNTA(Data!$A:$A)-1)*RAND()+1,1)),"")</f>
        <v/>
      </c>
      <c r="B893" s="1" t="str">
        <f>IF(ROW()&lt;=Results!$C$1+1,VLOOKUP($A893,Data!$A$2:$C$117,2,TRUE),"")</f>
        <v/>
      </c>
      <c r="C893" s="14" t="str">
        <f>IF(ROW()&lt;=Results!$C$1+1,IF(B893&lt;=0,"",LN(B893)),"")</f>
        <v/>
      </c>
      <c r="D893" s="1" t="str">
        <f>IF(ROW()&lt;=Results!$C$1+1,VLOOKUP($A893,Data!$A$2:$C$117,3,TRUE),"")</f>
        <v/>
      </c>
      <c r="E893" s="14" t="str">
        <f>IF(ROW()&lt;=Results!$C$1+1,IF(D893&lt;=0,"",LN(D893)),"")</f>
        <v/>
      </c>
      <c r="F893" s="53" t="str">
        <f>IF(ROW()&lt;=Results!$C$1+1,IF(ISERROR(C893-E893),"",C893-E893),"")</f>
        <v/>
      </c>
    </row>
    <row r="894" spans="1:6" x14ac:dyDescent="0.2">
      <c r="A894" s="1" t="str">
        <f ca="1">IF(ROW()&lt;=Results!$C$1+1,INDEX(Data!$A:$A,CEILING((COUNTA(Data!$A:$A)-1)*RAND()+1,1)),"")</f>
        <v/>
      </c>
      <c r="B894" s="1" t="str">
        <f>IF(ROW()&lt;=Results!$C$1+1,VLOOKUP($A894,Data!$A$2:$C$117,2,TRUE),"")</f>
        <v/>
      </c>
      <c r="C894" s="14" t="str">
        <f>IF(ROW()&lt;=Results!$C$1+1,IF(B894&lt;=0,"",LN(B894)),"")</f>
        <v/>
      </c>
      <c r="D894" s="1" t="str">
        <f>IF(ROW()&lt;=Results!$C$1+1,VLOOKUP($A894,Data!$A$2:$C$117,3,TRUE),"")</f>
        <v/>
      </c>
      <c r="E894" s="14" t="str">
        <f>IF(ROW()&lt;=Results!$C$1+1,IF(D894&lt;=0,"",LN(D894)),"")</f>
        <v/>
      </c>
      <c r="F894" s="53" t="str">
        <f>IF(ROW()&lt;=Results!$C$1+1,IF(ISERROR(C894-E894),"",C894-E894),"")</f>
        <v/>
      </c>
    </row>
    <row r="895" spans="1:6" x14ac:dyDescent="0.2">
      <c r="A895" s="1" t="str">
        <f ca="1">IF(ROW()&lt;=Results!$C$1+1,INDEX(Data!$A:$A,CEILING((COUNTA(Data!$A:$A)-1)*RAND()+1,1)),"")</f>
        <v/>
      </c>
      <c r="B895" s="1" t="str">
        <f>IF(ROW()&lt;=Results!$C$1+1,VLOOKUP($A895,Data!$A$2:$C$117,2,TRUE),"")</f>
        <v/>
      </c>
      <c r="C895" s="14" t="str">
        <f>IF(ROW()&lt;=Results!$C$1+1,IF(B895&lt;=0,"",LN(B895)),"")</f>
        <v/>
      </c>
      <c r="D895" s="1" t="str">
        <f>IF(ROW()&lt;=Results!$C$1+1,VLOOKUP($A895,Data!$A$2:$C$117,3,TRUE),"")</f>
        <v/>
      </c>
      <c r="E895" s="14" t="str">
        <f>IF(ROW()&lt;=Results!$C$1+1,IF(D895&lt;=0,"",LN(D895)),"")</f>
        <v/>
      </c>
      <c r="F895" s="53" t="str">
        <f>IF(ROW()&lt;=Results!$C$1+1,IF(ISERROR(C895-E895),"",C895-E895),"")</f>
        <v/>
      </c>
    </row>
    <row r="896" spans="1:6" x14ac:dyDescent="0.2">
      <c r="A896" s="1" t="str">
        <f ca="1">IF(ROW()&lt;=Results!$C$1+1,INDEX(Data!$A:$A,CEILING((COUNTA(Data!$A:$A)-1)*RAND()+1,1)),"")</f>
        <v/>
      </c>
      <c r="B896" s="1" t="str">
        <f>IF(ROW()&lt;=Results!$C$1+1,VLOOKUP($A896,Data!$A$2:$C$117,2,TRUE),"")</f>
        <v/>
      </c>
      <c r="C896" s="14" t="str">
        <f>IF(ROW()&lt;=Results!$C$1+1,IF(B896&lt;=0,"",LN(B896)),"")</f>
        <v/>
      </c>
      <c r="D896" s="1" t="str">
        <f>IF(ROW()&lt;=Results!$C$1+1,VLOOKUP($A896,Data!$A$2:$C$117,3,TRUE),"")</f>
        <v/>
      </c>
      <c r="E896" s="14" t="str">
        <f>IF(ROW()&lt;=Results!$C$1+1,IF(D896&lt;=0,"",LN(D896)),"")</f>
        <v/>
      </c>
      <c r="F896" s="53" t="str">
        <f>IF(ROW()&lt;=Results!$C$1+1,IF(ISERROR(C896-E896),"",C896-E896),"")</f>
        <v/>
      </c>
    </row>
    <row r="897" spans="1:6" x14ac:dyDescent="0.2">
      <c r="A897" s="1" t="str">
        <f ca="1">IF(ROW()&lt;=Results!$C$1+1,INDEX(Data!$A:$A,CEILING((COUNTA(Data!$A:$A)-1)*RAND()+1,1)),"")</f>
        <v/>
      </c>
      <c r="B897" s="1" t="str">
        <f>IF(ROW()&lt;=Results!$C$1+1,VLOOKUP($A897,Data!$A$2:$C$117,2,TRUE),"")</f>
        <v/>
      </c>
      <c r="C897" s="14" t="str">
        <f>IF(ROW()&lt;=Results!$C$1+1,IF(B897&lt;=0,"",LN(B897)),"")</f>
        <v/>
      </c>
      <c r="D897" s="1" t="str">
        <f>IF(ROW()&lt;=Results!$C$1+1,VLOOKUP($A897,Data!$A$2:$C$117,3,TRUE),"")</f>
        <v/>
      </c>
      <c r="E897" s="14" t="str">
        <f>IF(ROW()&lt;=Results!$C$1+1,IF(D897&lt;=0,"",LN(D897)),"")</f>
        <v/>
      </c>
      <c r="F897" s="53" t="str">
        <f>IF(ROW()&lt;=Results!$C$1+1,IF(ISERROR(C897-E897),"",C897-E897),"")</f>
        <v/>
      </c>
    </row>
    <row r="898" spans="1:6" x14ac:dyDescent="0.2">
      <c r="A898" s="1" t="str">
        <f ca="1">IF(ROW()&lt;=Results!$C$1+1,INDEX(Data!$A:$A,CEILING((COUNTA(Data!$A:$A)-1)*RAND()+1,1)),"")</f>
        <v/>
      </c>
      <c r="B898" s="1" t="str">
        <f>IF(ROW()&lt;=Results!$C$1+1,VLOOKUP($A898,Data!$A$2:$C$117,2,TRUE),"")</f>
        <v/>
      </c>
      <c r="C898" s="14" t="str">
        <f>IF(ROW()&lt;=Results!$C$1+1,IF(B898&lt;=0,"",LN(B898)),"")</f>
        <v/>
      </c>
      <c r="D898" s="1" t="str">
        <f>IF(ROW()&lt;=Results!$C$1+1,VLOOKUP($A898,Data!$A$2:$C$117,3,TRUE),"")</f>
        <v/>
      </c>
      <c r="E898" s="14" t="str">
        <f>IF(ROW()&lt;=Results!$C$1+1,IF(D898&lt;=0,"",LN(D898)),"")</f>
        <v/>
      </c>
      <c r="F898" s="53" t="str">
        <f>IF(ROW()&lt;=Results!$C$1+1,IF(ISERROR(C898-E898),"",C898-E898),"")</f>
        <v/>
      </c>
    </row>
    <row r="899" spans="1:6" x14ac:dyDescent="0.2">
      <c r="A899" s="1" t="str">
        <f ca="1">IF(ROW()&lt;=Results!$C$1+1,INDEX(Data!$A:$A,CEILING((COUNTA(Data!$A:$A)-1)*RAND()+1,1)),"")</f>
        <v/>
      </c>
      <c r="B899" s="1" t="str">
        <f>IF(ROW()&lt;=Results!$C$1+1,VLOOKUP($A899,Data!$A$2:$C$117,2,TRUE),"")</f>
        <v/>
      </c>
      <c r="C899" s="14" t="str">
        <f>IF(ROW()&lt;=Results!$C$1+1,IF(B899&lt;=0,"",LN(B899)),"")</f>
        <v/>
      </c>
      <c r="D899" s="1" t="str">
        <f>IF(ROW()&lt;=Results!$C$1+1,VLOOKUP($A899,Data!$A$2:$C$117,3,TRUE),"")</f>
        <v/>
      </c>
      <c r="E899" s="14" t="str">
        <f>IF(ROW()&lt;=Results!$C$1+1,IF(D899&lt;=0,"",LN(D899)),"")</f>
        <v/>
      </c>
      <c r="F899" s="53" t="str">
        <f>IF(ROW()&lt;=Results!$C$1+1,IF(ISERROR(C899-E899),"",C899-E899),"")</f>
        <v/>
      </c>
    </row>
    <row r="900" spans="1:6" x14ac:dyDescent="0.2">
      <c r="A900" s="1" t="str">
        <f ca="1">IF(ROW()&lt;=Results!$C$1+1,INDEX(Data!$A:$A,CEILING((COUNTA(Data!$A:$A)-1)*RAND()+1,1)),"")</f>
        <v/>
      </c>
      <c r="B900" s="1" t="str">
        <f>IF(ROW()&lt;=Results!$C$1+1,VLOOKUP($A900,Data!$A$2:$C$117,2,TRUE),"")</f>
        <v/>
      </c>
      <c r="C900" s="14" t="str">
        <f>IF(ROW()&lt;=Results!$C$1+1,IF(B900&lt;=0,"",LN(B900)),"")</f>
        <v/>
      </c>
      <c r="D900" s="1" t="str">
        <f>IF(ROW()&lt;=Results!$C$1+1,VLOOKUP($A900,Data!$A$2:$C$117,3,TRUE),"")</f>
        <v/>
      </c>
      <c r="E900" s="14" t="str">
        <f>IF(ROW()&lt;=Results!$C$1+1,IF(D900&lt;=0,"",LN(D900)),"")</f>
        <v/>
      </c>
      <c r="F900" s="53" t="str">
        <f>IF(ROW()&lt;=Results!$C$1+1,IF(ISERROR(C900-E900),"",C900-E900),"")</f>
        <v/>
      </c>
    </row>
    <row r="901" spans="1:6" x14ac:dyDescent="0.2">
      <c r="A901" s="1" t="str">
        <f ca="1">IF(ROW()&lt;=Results!$C$1+1,INDEX(Data!$A:$A,CEILING((COUNTA(Data!$A:$A)-1)*RAND()+1,1)),"")</f>
        <v/>
      </c>
      <c r="B901" s="1" t="str">
        <f>IF(ROW()&lt;=Results!$C$1+1,VLOOKUP($A901,Data!$A$2:$C$117,2,TRUE),"")</f>
        <v/>
      </c>
      <c r="C901" s="14" t="str">
        <f>IF(ROW()&lt;=Results!$C$1+1,IF(B901&lt;=0,"",LN(B901)),"")</f>
        <v/>
      </c>
      <c r="D901" s="1" t="str">
        <f>IF(ROW()&lt;=Results!$C$1+1,VLOOKUP($A901,Data!$A$2:$C$117,3,TRUE),"")</f>
        <v/>
      </c>
      <c r="E901" s="14" t="str">
        <f>IF(ROW()&lt;=Results!$C$1+1,IF(D901&lt;=0,"",LN(D901)),"")</f>
        <v/>
      </c>
      <c r="F901" s="53" t="str">
        <f>IF(ROW()&lt;=Results!$C$1+1,IF(ISERROR(C901-E901),"",C901-E901),"")</f>
        <v/>
      </c>
    </row>
    <row r="902" spans="1:6" x14ac:dyDescent="0.2">
      <c r="A902" s="1" t="str">
        <f ca="1">IF(ROW()&lt;=Results!$C$1+1,INDEX(Data!$A:$A,CEILING((COUNTA(Data!$A:$A)-1)*RAND()+1,1)),"")</f>
        <v/>
      </c>
      <c r="B902" s="1" t="str">
        <f>IF(ROW()&lt;=Results!$C$1+1,VLOOKUP($A902,Data!$A$2:$C$117,2,TRUE),"")</f>
        <v/>
      </c>
      <c r="C902" s="14" t="str">
        <f>IF(ROW()&lt;=Results!$C$1+1,IF(B902&lt;=0,"",LN(B902)),"")</f>
        <v/>
      </c>
      <c r="D902" s="1" t="str">
        <f>IF(ROW()&lt;=Results!$C$1+1,VLOOKUP($A902,Data!$A$2:$C$117,3,TRUE),"")</f>
        <v/>
      </c>
      <c r="E902" s="14" t="str">
        <f>IF(ROW()&lt;=Results!$C$1+1,IF(D902&lt;=0,"",LN(D902)),"")</f>
        <v/>
      </c>
      <c r="F902" s="53" t="str">
        <f>IF(ROW()&lt;=Results!$C$1+1,IF(ISERROR(C902-E902),"",C902-E902),"")</f>
        <v/>
      </c>
    </row>
    <row r="903" spans="1:6" x14ac:dyDescent="0.2">
      <c r="A903" s="1" t="str">
        <f ca="1">IF(ROW()&lt;=Results!$C$1+1,INDEX(Data!$A:$A,CEILING((COUNTA(Data!$A:$A)-1)*RAND()+1,1)),"")</f>
        <v/>
      </c>
      <c r="B903" s="1" t="str">
        <f>IF(ROW()&lt;=Results!$C$1+1,VLOOKUP($A903,Data!$A$2:$C$117,2,TRUE),"")</f>
        <v/>
      </c>
      <c r="C903" s="14" t="str">
        <f>IF(ROW()&lt;=Results!$C$1+1,IF(B903&lt;=0,"",LN(B903)),"")</f>
        <v/>
      </c>
      <c r="D903" s="1" t="str">
        <f>IF(ROW()&lt;=Results!$C$1+1,VLOOKUP($A903,Data!$A$2:$C$117,3,TRUE),"")</f>
        <v/>
      </c>
      <c r="E903" s="14" t="str">
        <f>IF(ROW()&lt;=Results!$C$1+1,IF(D903&lt;=0,"",LN(D903)),"")</f>
        <v/>
      </c>
      <c r="F903" s="53" t="str">
        <f>IF(ROW()&lt;=Results!$C$1+1,IF(ISERROR(C903-E903),"",C903-E903),"")</f>
        <v/>
      </c>
    </row>
    <row r="904" spans="1:6" x14ac:dyDescent="0.2">
      <c r="A904" s="1" t="str">
        <f ca="1">IF(ROW()&lt;=Results!$C$1+1,INDEX(Data!$A:$A,CEILING((COUNTA(Data!$A:$A)-1)*RAND()+1,1)),"")</f>
        <v/>
      </c>
      <c r="B904" s="1" t="str">
        <f>IF(ROW()&lt;=Results!$C$1+1,VLOOKUP($A904,Data!$A$2:$C$117,2,TRUE),"")</f>
        <v/>
      </c>
      <c r="C904" s="14" t="str">
        <f>IF(ROW()&lt;=Results!$C$1+1,IF(B904&lt;=0,"",LN(B904)),"")</f>
        <v/>
      </c>
      <c r="D904" s="1" t="str">
        <f>IF(ROW()&lt;=Results!$C$1+1,VLOOKUP($A904,Data!$A$2:$C$117,3,TRUE),"")</f>
        <v/>
      </c>
      <c r="E904" s="14" t="str">
        <f>IF(ROW()&lt;=Results!$C$1+1,IF(D904&lt;=0,"",LN(D904)),"")</f>
        <v/>
      </c>
      <c r="F904" s="53" t="str">
        <f>IF(ROW()&lt;=Results!$C$1+1,IF(ISERROR(C904-E904),"",C904-E904),"")</f>
        <v/>
      </c>
    </row>
    <row r="905" spans="1:6" x14ac:dyDescent="0.2">
      <c r="A905" s="1" t="str">
        <f ca="1">IF(ROW()&lt;=Results!$C$1+1,INDEX(Data!$A:$A,CEILING((COUNTA(Data!$A:$A)-1)*RAND()+1,1)),"")</f>
        <v/>
      </c>
      <c r="B905" s="1" t="str">
        <f>IF(ROW()&lt;=Results!$C$1+1,VLOOKUP($A905,Data!$A$2:$C$117,2,TRUE),"")</f>
        <v/>
      </c>
      <c r="C905" s="14" t="str">
        <f>IF(ROW()&lt;=Results!$C$1+1,IF(B905&lt;=0,"",LN(B905)),"")</f>
        <v/>
      </c>
      <c r="D905" s="1" t="str">
        <f>IF(ROW()&lt;=Results!$C$1+1,VLOOKUP($A905,Data!$A$2:$C$117,3,TRUE),"")</f>
        <v/>
      </c>
      <c r="E905" s="14" t="str">
        <f>IF(ROW()&lt;=Results!$C$1+1,IF(D905&lt;=0,"",LN(D905)),"")</f>
        <v/>
      </c>
      <c r="F905" s="53" t="str">
        <f>IF(ROW()&lt;=Results!$C$1+1,IF(ISERROR(C905-E905),"",C905-E905),"")</f>
        <v/>
      </c>
    </row>
    <row r="906" spans="1:6" x14ac:dyDescent="0.2">
      <c r="A906" s="1" t="str">
        <f ca="1">IF(ROW()&lt;=Results!$C$1+1,INDEX(Data!$A:$A,CEILING((COUNTA(Data!$A:$A)-1)*RAND()+1,1)),"")</f>
        <v/>
      </c>
      <c r="B906" s="1" t="str">
        <f>IF(ROW()&lt;=Results!$C$1+1,VLOOKUP($A906,Data!$A$2:$C$117,2,TRUE),"")</f>
        <v/>
      </c>
      <c r="C906" s="14" t="str">
        <f>IF(ROW()&lt;=Results!$C$1+1,IF(B906&lt;=0,"",LN(B906)),"")</f>
        <v/>
      </c>
      <c r="D906" s="1" t="str">
        <f>IF(ROW()&lt;=Results!$C$1+1,VLOOKUP($A906,Data!$A$2:$C$117,3,TRUE),"")</f>
        <v/>
      </c>
      <c r="E906" s="14" t="str">
        <f>IF(ROW()&lt;=Results!$C$1+1,IF(D906&lt;=0,"",LN(D906)),"")</f>
        <v/>
      </c>
      <c r="F906" s="53" t="str">
        <f>IF(ROW()&lt;=Results!$C$1+1,IF(ISERROR(C906-E906),"",C906-E906),"")</f>
        <v/>
      </c>
    </row>
    <row r="907" spans="1:6" x14ac:dyDescent="0.2">
      <c r="A907" s="1" t="str">
        <f ca="1">IF(ROW()&lt;=Results!$C$1+1,INDEX(Data!$A:$A,CEILING((COUNTA(Data!$A:$A)-1)*RAND()+1,1)),"")</f>
        <v/>
      </c>
      <c r="B907" s="1" t="str">
        <f>IF(ROW()&lt;=Results!$C$1+1,VLOOKUP($A907,Data!$A$2:$C$117,2,TRUE),"")</f>
        <v/>
      </c>
      <c r="C907" s="14" t="str">
        <f>IF(ROW()&lt;=Results!$C$1+1,IF(B907&lt;=0,"",LN(B907)),"")</f>
        <v/>
      </c>
      <c r="D907" s="1" t="str">
        <f>IF(ROW()&lt;=Results!$C$1+1,VLOOKUP($A907,Data!$A$2:$C$117,3,TRUE),"")</f>
        <v/>
      </c>
      <c r="E907" s="14" t="str">
        <f>IF(ROW()&lt;=Results!$C$1+1,IF(D907&lt;=0,"",LN(D907)),"")</f>
        <v/>
      </c>
      <c r="F907" s="53" t="str">
        <f>IF(ROW()&lt;=Results!$C$1+1,IF(ISERROR(C907-E907),"",C907-E907),"")</f>
        <v/>
      </c>
    </row>
    <row r="908" spans="1:6" x14ac:dyDescent="0.2">
      <c r="A908" s="1" t="str">
        <f ca="1">IF(ROW()&lt;=Results!$C$1+1,INDEX(Data!$A:$A,CEILING((COUNTA(Data!$A:$A)-1)*RAND()+1,1)),"")</f>
        <v/>
      </c>
      <c r="B908" s="1" t="str">
        <f>IF(ROW()&lt;=Results!$C$1+1,VLOOKUP($A908,Data!$A$2:$C$117,2,TRUE),"")</f>
        <v/>
      </c>
      <c r="C908" s="14" t="str">
        <f>IF(ROW()&lt;=Results!$C$1+1,IF(B908&lt;=0,"",LN(B908)),"")</f>
        <v/>
      </c>
      <c r="D908" s="1" t="str">
        <f>IF(ROW()&lt;=Results!$C$1+1,VLOOKUP($A908,Data!$A$2:$C$117,3,TRUE),"")</f>
        <v/>
      </c>
      <c r="E908" s="14" t="str">
        <f>IF(ROW()&lt;=Results!$C$1+1,IF(D908&lt;=0,"",LN(D908)),"")</f>
        <v/>
      </c>
      <c r="F908" s="53" t="str">
        <f>IF(ROW()&lt;=Results!$C$1+1,IF(ISERROR(C908-E908),"",C908-E908),"")</f>
        <v/>
      </c>
    </row>
    <row r="909" spans="1:6" x14ac:dyDescent="0.2">
      <c r="A909" s="1" t="str">
        <f ca="1">IF(ROW()&lt;=Results!$C$1+1,INDEX(Data!$A:$A,CEILING((COUNTA(Data!$A:$A)-1)*RAND()+1,1)),"")</f>
        <v/>
      </c>
      <c r="B909" s="1" t="str">
        <f>IF(ROW()&lt;=Results!$C$1+1,VLOOKUP($A909,Data!$A$2:$C$117,2,TRUE),"")</f>
        <v/>
      </c>
      <c r="C909" s="14" t="str">
        <f>IF(ROW()&lt;=Results!$C$1+1,IF(B909&lt;=0,"",LN(B909)),"")</f>
        <v/>
      </c>
      <c r="D909" s="1" t="str">
        <f>IF(ROW()&lt;=Results!$C$1+1,VLOOKUP($A909,Data!$A$2:$C$117,3,TRUE),"")</f>
        <v/>
      </c>
      <c r="E909" s="14" t="str">
        <f>IF(ROW()&lt;=Results!$C$1+1,IF(D909&lt;=0,"",LN(D909)),"")</f>
        <v/>
      </c>
      <c r="F909" s="53" t="str">
        <f>IF(ROW()&lt;=Results!$C$1+1,IF(ISERROR(C909-E909),"",C909-E909),"")</f>
        <v/>
      </c>
    </row>
    <row r="910" spans="1:6" x14ac:dyDescent="0.2">
      <c r="A910" s="1" t="str">
        <f ca="1">IF(ROW()&lt;=Results!$C$1+1,INDEX(Data!$A:$A,CEILING((COUNTA(Data!$A:$A)-1)*RAND()+1,1)),"")</f>
        <v/>
      </c>
      <c r="B910" s="1" t="str">
        <f>IF(ROW()&lt;=Results!$C$1+1,VLOOKUP($A910,Data!$A$2:$C$117,2,TRUE),"")</f>
        <v/>
      </c>
      <c r="C910" s="14" t="str">
        <f>IF(ROW()&lt;=Results!$C$1+1,IF(B910&lt;=0,"",LN(B910)),"")</f>
        <v/>
      </c>
      <c r="D910" s="1" t="str">
        <f>IF(ROW()&lt;=Results!$C$1+1,VLOOKUP($A910,Data!$A$2:$C$117,3,TRUE),"")</f>
        <v/>
      </c>
      <c r="E910" s="14" t="str">
        <f>IF(ROW()&lt;=Results!$C$1+1,IF(D910&lt;=0,"",LN(D910)),"")</f>
        <v/>
      </c>
      <c r="F910" s="53" t="str">
        <f>IF(ROW()&lt;=Results!$C$1+1,IF(ISERROR(C910-E910),"",C910-E910),"")</f>
        <v/>
      </c>
    </row>
    <row r="911" spans="1:6" x14ac:dyDescent="0.2">
      <c r="A911" s="1" t="str">
        <f ca="1">IF(ROW()&lt;=Results!$C$1+1,INDEX(Data!$A:$A,CEILING((COUNTA(Data!$A:$A)-1)*RAND()+1,1)),"")</f>
        <v/>
      </c>
      <c r="B911" s="1" t="str">
        <f>IF(ROW()&lt;=Results!$C$1+1,VLOOKUP($A911,Data!$A$2:$C$117,2,TRUE),"")</f>
        <v/>
      </c>
      <c r="C911" s="14" t="str">
        <f>IF(ROW()&lt;=Results!$C$1+1,IF(B911&lt;=0,"",LN(B911)),"")</f>
        <v/>
      </c>
      <c r="D911" s="1" t="str">
        <f>IF(ROW()&lt;=Results!$C$1+1,VLOOKUP($A911,Data!$A$2:$C$117,3,TRUE),"")</f>
        <v/>
      </c>
      <c r="E911" s="14" t="str">
        <f>IF(ROW()&lt;=Results!$C$1+1,IF(D911&lt;=0,"",LN(D911)),"")</f>
        <v/>
      </c>
      <c r="F911" s="53" t="str">
        <f>IF(ROW()&lt;=Results!$C$1+1,IF(ISERROR(C911-E911),"",C911-E911),"")</f>
        <v/>
      </c>
    </row>
    <row r="912" spans="1:6" x14ac:dyDescent="0.2">
      <c r="A912" s="1" t="str">
        <f ca="1">IF(ROW()&lt;=Results!$C$1+1,INDEX(Data!$A:$A,CEILING((COUNTA(Data!$A:$A)-1)*RAND()+1,1)),"")</f>
        <v/>
      </c>
      <c r="B912" s="1" t="str">
        <f>IF(ROW()&lt;=Results!$C$1+1,VLOOKUP($A912,Data!$A$2:$C$117,2,TRUE),"")</f>
        <v/>
      </c>
      <c r="C912" s="14" t="str">
        <f>IF(ROW()&lt;=Results!$C$1+1,IF(B912&lt;=0,"",LN(B912)),"")</f>
        <v/>
      </c>
      <c r="D912" s="1" t="str">
        <f>IF(ROW()&lt;=Results!$C$1+1,VLOOKUP($A912,Data!$A$2:$C$117,3,TRUE),"")</f>
        <v/>
      </c>
      <c r="E912" s="14" t="str">
        <f>IF(ROW()&lt;=Results!$C$1+1,IF(D912&lt;=0,"",LN(D912)),"")</f>
        <v/>
      </c>
      <c r="F912" s="53" t="str">
        <f>IF(ROW()&lt;=Results!$C$1+1,IF(ISERROR(C912-E912),"",C912-E912),"")</f>
        <v/>
      </c>
    </row>
    <row r="913" spans="1:6" x14ac:dyDescent="0.2">
      <c r="A913" s="1" t="str">
        <f ca="1">IF(ROW()&lt;=Results!$C$1+1,INDEX(Data!$A:$A,CEILING((COUNTA(Data!$A:$A)-1)*RAND()+1,1)),"")</f>
        <v/>
      </c>
      <c r="B913" s="1" t="str">
        <f>IF(ROW()&lt;=Results!$C$1+1,VLOOKUP($A913,Data!$A$2:$C$117,2,TRUE),"")</f>
        <v/>
      </c>
      <c r="C913" s="14" t="str">
        <f>IF(ROW()&lt;=Results!$C$1+1,IF(B913&lt;=0,"",LN(B913)),"")</f>
        <v/>
      </c>
      <c r="D913" s="1" t="str">
        <f>IF(ROW()&lt;=Results!$C$1+1,VLOOKUP($A913,Data!$A$2:$C$117,3,TRUE),"")</f>
        <v/>
      </c>
      <c r="E913" s="14" t="str">
        <f>IF(ROW()&lt;=Results!$C$1+1,IF(D913&lt;=0,"",LN(D913)),"")</f>
        <v/>
      </c>
      <c r="F913" s="53" t="str">
        <f>IF(ROW()&lt;=Results!$C$1+1,IF(ISERROR(C913-E913),"",C913-E913),"")</f>
        <v/>
      </c>
    </row>
    <row r="914" spans="1:6" x14ac:dyDescent="0.2">
      <c r="A914" s="1" t="str">
        <f ca="1">IF(ROW()&lt;=Results!$C$1+1,INDEX(Data!$A:$A,CEILING((COUNTA(Data!$A:$A)-1)*RAND()+1,1)),"")</f>
        <v/>
      </c>
      <c r="B914" s="1" t="str">
        <f>IF(ROW()&lt;=Results!$C$1+1,VLOOKUP($A914,Data!$A$2:$C$117,2,TRUE),"")</f>
        <v/>
      </c>
      <c r="C914" s="14" t="str">
        <f>IF(ROW()&lt;=Results!$C$1+1,IF(B914&lt;=0,"",LN(B914)),"")</f>
        <v/>
      </c>
      <c r="D914" s="1" t="str">
        <f>IF(ROW()&lt;=Results!$C$1+1,VLOOKUP($A914,Data!$A$2:$C$117,3,TRUE),"")</f>
        <v/>
      </c>
      <c r="E914" s="14" t="str">
        <f>IF(ROW()&lt;=Results!$C$1+1,IF(D914&lt;=0,"",LN(D914)),"")</f>
        <v/>
      </c>
      <c r="F914" s="53" t="str">
        <f>IF(ROW()&lt;=Results!$C$1+1,IF(ISERROR(C914-E914),"",C914-E914),"")</f>
        <v/>
      </c>
    </row>
    <row r="915" spans="1:6" x14ac:dyDescent="0.2">
      <c r="A915" s="1" t="str">
        <f ca="1">IF(ROW()&lt;=Results!$C$1+1,INDEX(Data!$A:$A,CEILING((COUNTA(Data!$A:$A)-1)*RAND()+1,1)),"")</f>
        <v/>
      </c>
      <c r="B915" s="1" t="str">
        <f>IF(ROW()&lt;=Results!$C$1+1,VLOOKUP($A915,Data!$A$2:$C$117,2,TRUE),"")</f>
        <v/>
      </c>
      <c r="C915" s="14" t="str">
        <f>IF(ROW()&lt;=Results!$C$1+1,IF(B915&lt;=0,"",LN(B915)),"")</f>
        <v/>
      </c>
      <c r="D915" s="1" t="str">
        <f>IF(ROW()&lt;=Results!$C$1+1,VLOOKUP($A915,Data!$A$2:$C$117,3,TRUE),"")</f>
        <v/>
      </c>
      <c r="E915" s="14" t="str">
        <f>IF(ROW()&lt;=Results!$C$1+1,IF(D915&lt;=0,"",LN(D915)),"")</f>
        <v/>
      </c>
      <c r="F915" s="53" t="str">
        <f>IF(ROW()&lt;=Results!$C$1+1,IF(ISERROR(C915-E915),"",C915-E915),"")</f>
        <v/>
      </c>
    </row>
    <row r="916" spans="1:6" x14ac:dyDescent="0.2">
      <c r="A916" s="1" t="str">
        <f ca="1">IF(ROW()&lt;=Results!$C$1+1,INDEX(Data!$A:$A,CEILING((COUNTA(Data!$A:$A)-1)*RAND()+1,1)),"")</f>
        <v/>
      </c>
      <c r="B916" s="1" t="str">
        <f>IF(ROW()&lt;=Results!$C$1+1,VLOOKUP($A916,Data!$A$2:$C$117,2,TRUE),"")</f>
        <v/>
      </c>
      <c r="C916" s="14" t="str">
        <f>IF(ROW()&lt;=Results!$C$1+1,IF(B916&lt;=0,"",LN(B916)),"")</f>
        <v/>
      </c>
      <c r="D916" s="1" t="str">
        <f>IF(ROW()&lt;=Results!$C$1+1,VLOOKUP($A916,Data!$A$2:$C$117,3,TRUE),"")</f>
        <v/>
      </c>
      <c r="E916" s="14" t="str">
        <f>IF(ROW()&lt;=Results!$C$1+1,IF(D916&lt;=0,"",LN(D916)),"")</f>
        <v/>
      </c>
      <c r="F916" s="53" t="str">
        <f>IF(ROW()&lt;=Results!$C$1+1,IF(ISERROR(C916-E916),"",C916-E916),"")</f>
        <v/>
      </c>
    </row>
    <row r="917" spans="1:6" x14ac:dyDescent="0.2">
      <c r="A917" s="1" t="str">
        <f ca="1">IF(ROW()&lt;=Results!$C$1+1,INDEX(Data!$A:$A,CEILING((COUNTA(Data!$A:$A)-1)*RAND()+1,1)),"")</f>
        <v/>
      </c>
      <c r="B917" s="1" t="str">
        <f>IF(ROW()&lt;=Results!$C$1+1,VLOOKUP($A917,Data!$A$2:$C$117,2,TRUE),"")</f>
        <v/>
      </c>
      <c r="C917" s="14" t="str">
        <f>IF(ROW()&lt;=Results!$C$1+1,IF(B917&lt;=0,"",LN(B917)),"")</f>
        <v/>
      </c>
      <c r="D917" s="1" t="str">
        <f>IF(ROW()&lt;=Results!$C$1+1,VLOOKUP($A917,Data!$A$2:$C$117,3,TRUE),"")</f>
        <v/>
      </c>
      <c r="E917" s="14" t="str">
        <f>IF(ROW()&lt;=Results!$C$1+1,IF(D917&lt;=0,"",LN(D917)),"")</f>
        <v/>
      </c>
      <c r="F917" s="53" t="str">
        <f>IF(ROW()&lt;=Results!$C$1+1,IF(ISERROR(C917-E917),"",C917-E917),"")</f>
        <v/>
      </c>
    </row>
    <row r="918" spans="1:6" x14ac:dyDescent="0.2">
      <c r="A918" s="1" t="str">
        <f ca="1">IF(ROW()&lt;=Results!$C$1+1,INDEX(Data!$A:$A,CEILING((COUNTA(Data!$A:$A)-1)*RAND()+1,1)),"")</f>
        <v/>
      </c>
      <c r="B918" s="1" t="str">
        <f>IF(ROW()&lt;=Results!$C$1+1,VLOOKUP($A918,Data!$A$2:$C$117,2,TRUE),"")</f>
        <v/>
      </c>
      <c r="C918" s="14" t="str">
        <f>IF(ROW()&lt;=Results!$C$1+1,IF(B918&lt;=0,"",LN(B918)),"")</f>
        <v/>
      </c>
      <c r="D918" s="1" t="str">
        <f>IF(ROW()&lt;=Results!$C$1+1,VLOOKUP($A918,Data!$A$2:$C$117,3,TRUE),"")</f>
        <v/>
      </c>
      <c r="E918" s="14" t="str">
        <f>IF(ROW()&lt;=Results!$C$1+1,IF(D918&lt;=0,"",LN(D918)),"")</f>
        <v/>
      </c>
      <c r="F918" s="53" t="str">
        <f>IF(ROW()&lt;=Results!$C$1+1,IF(ISERROR(C918-E918),"",C918-E918),"")</f>
        <v/>
      </c>
    </row>
    <row r="919" spans="1:6" x14ac:dyDescent="0.2">
      <c r="A919" s="1" t="str">
        <f ca="1">IF(ROW()&lt;=Results!$C$1+1,INDEX(Data!$A:$A,CEILING((COUNTA(Data!$A:$A)-1)*RAND()+1,1)),"")</f>
        <v/>
      </c>
      <c r="B919" s="1" t="str">
        <f>IF(ROW()&lt;=Results!$C$1+1,VLOOKUP($A919,Data!$A$2:$C$117,2,TRUE),"")</f>
        <v/>
      </c>
      <c r="C919" s="14" t="str">
        <f>IF(ROW()&lt;=Results!$C$1+1,IF(B919&lt;=0,"",LN(B919)),"")</f>
        <v/>
      </c>
      <c r="D919" s="1" t="str">
        <f>IF(ROW()&lt;=Results!$C$1+1,VLOOKUP($A919,Data!$A$2:$C$117,3,TRUE),"")</f>
        <v/>
      </c>
      <c r="E919" s="14" t="str">
        <f>IF(ROW()&lt;=Results!$C$1+1,IF(D919&lt;=0,"",LN(D919)),"")</f>
        <v/>
      </c>
      <c r="F919" s="53" t="str">
        <f>IF(ROW()&lt;=Results!$C$1+1,IF(ISERROR(C919-E919),"",C919-E919),"")</f>
        <v/>
      </c>
    </row>
    <row r="920" spans="1:6" x14ac:dyDescent="0.2">
      <c r="A920" s="1" t="str">
        <f ca="1">IF(ROW()&lt;=Results!$C$1+1,INDEX(Data!$A:$A,CEILING((COUNTA(Data!$A:$A)-1)*RAND()+1,1)),"")</f>
        <v/>
      </c>
      <c r="B920" s="1" t="str">
        <f>IF(ROW()&lt;=Results!$C$1+1,VLOOKUP($A920,Data!$A$2:$C$117,2,TRUE),"")</f>
        <v/>
      </c>
      <c r="C920" s="14" t="str">
        <f>IF(ROW()&lt;=Results!$C$1+1,IF(B920&lt;=0,"",LN(B920)),"")</f>
        <v/>
      </c>
      <c r="D920" s="1" t="str">
        <f>IF(ROW()&lt;=Results!$C$1+1,VLOOKUP($A920,Data!$A$2:$C$117,3,TRUE),"")</f>
        <v/>
      </c>
      <c r="E920" s="14" t="str">
        <f>IF(ROW()&lt;=Results!$C$1+1,IF(D920&lt;=0,"",LN(D920)),"")</f>
        <v/>
      </c>
      <c r="F920" s="53" t="str">
        <f>IF(ROW()&lt;=Results!$C$1+1,IF(ISERROR(C920-E920),"",C920-E920),"")</f>
        <v/>
      </c>
    </row>
    <row r="921" spans="1:6" x14ac:dyDescent="0.2">
      <c r="A921" s="1" t="str">
        <f ca="1">IF(ROW()&lt;=Results!$C$1+1,INDEX(Data!$A:$A,CEILING((COUNTA(Data!$A:$A)-1)*RAND()+1,1)),"")</f>
        <v/>
      </c>
      <c r="B921" s="1" t="str">
        <f>IF(ROW()&lt;=Results!$C$1+1,VLOOKUP($A921,Data!$A$2:$C$117,2,TRUE),"")</f>
        <v/>
      </c>
      <c r="C921" s="14" t="str">
        <f>IF(ROW()&lt;=Results!$C$1+1,IF(B921&lt;=0,"",LN(B921)),"")</f>
        <v/>
      </c>
      <c r="D921" s="1" t="str">
        <f>IF(ROW()&lt;=Results!$C$1+1,VLOOKUP($A921,Data!$A$2:$C$117,3,TRUE),"")</f>
        <v/>
      </c>
      <c r="E921" s="14" t="str">
        <f>IF(ROW()&lt;=Results!$C$1+1,IF(D921&lt;=0,"",LN(D921)),"")</f>
        <v/>
      </c>
      <c r="F921" s="53" t="str">
        <f>IF(ROW()&lt;=Results!$C$1+1,IF(ISERROR(C921-E921),"",C921-E921),"")</f>
        <v/>
      </c>
    </row>
    <row r="922" spans="1:6" x14ac:dyDescent="0.2">
      <c r="A922" s="1" t="str">
        <f ca="1">IF(ROW()&lt;=Results!$C$1+1,INDEX(Data!$A:$A,CEILING((COUNTA(Data!$A:$A)-1)*RAND()+1,1)),"")</f>
        <v/>
      </c>
      <c r="B922" s="1" t="str">
        <f>IF(ROW()&lt;=Results!$C$1+1,VLOOKUP($A922,Data!$A$2:$C$117,2,TRUE),"")</f>
        <v/>
      </c>
      <c r="C922" s="14" t="str">
        <f>IF(ROW()&lt;=Results!$C$1+1,IF(B922&lt;=0,"",LN(B922)),"")</f>
        <v/>
      </c>
      <c r="D922" s="1" t="str">
        <f>IF(ROW()&lt;=Results!$C$1+1,VLOOKUP($A922,Data!$A$2:$C$117,3,TRUE),"")</f>
        <v/>
      </c>
      <c r="E922" s="14" t="str">
        <f>IF(ROW()&lt;=Results!$C$1+1,IF(D922&lt;=0,"",LN(D922)),"")</f>
        <v/>
      </c>
      <c r="F922" s="53" t="str">
        <f>IF(ROW()&lt;=Results!$C$1+1,IF(ISERROR(C922-E922),"",C922-E922),"")</f>
        <v/>
      </c>
    </row>
    <row r="923" spans="1:6" x14ac:dyDescent="0.2">
      <c r="A923" s="1" t="str">
        <f ca="1">IF(ROW()&lt;=Results!$C$1+1,INDEX(Data!$A:$A,CEILING((COUNTA(Data!$A:$A)-1)*RAND()+1,1)),"")</f>
        <v/>
      </c>
      <c r="B923" s="1" t="str">
        <f>IF(ROW()&lt;=Results!$C$1+1,VLOOKUP($A923,Data!$A$2:$C$117,2,TRUE),"")</f>
        <v/>
      </c>
      <c r="C923" s="14" t="str">
        <f>IF(ROW()&lt;=Results!$C$1+1,IF(B923&lt;=0,"",LN(B923)),"")</f>
        <v/>
      </c>
      <c r="D923" s="1" t="str">
        <f>IF(ROW()&lt;=Results!$C$1+1,VLOOKUP($A923,Data!$A$2:$C$117,3,TRUE),"")</f>
        <v/>
      </c>
      <c r="E923" s="14" t="str">
        <f>IF(ROW()&lt;=Results!$C$1+1,IF(D923&lt;=0,"",LN(D923)),"")</f>
        <v/>
      </c>
      <c r="F923" s="53" t="str">
        <f>IF(ROW()&lt;=Results!$C$1+1,IF(ISERROR(C923-E923),"",C923-E923),"")</f>
        <v/>
      </c>
    </row>
    <row r="924" spans="1:6" x14ac:dyDescent="0.2">
      <c r="A924" s="1" t="str">
        <f ca="1">IF(ROW()&lt;=Results!$C$1+1,INDEX(Data!$A:$A,CEILING((COUNTA(Data!$A:$A)-1)*RAND()+1,1)),"")</f>
        <v/>
      </c>
      <c r="B924" s="1" t="str">
        <f>IF(ROW()&lt;=Results!$C$1+1,VLOOKUP($A924,Data!$A$2:$C$117,2,TRUE),"")</f>
        <v/>
      </c>
      <c r="C924" s="14" t="str">
        <f>IF(ROW()&lt;=Results!$C$1+1,IF(B924&lt;=0,"",LN(B924)),"")</f>
        <v/>
      </c>
      <c r="D924" s="1" t="str">
        <f>IF(ROW()&lt;=Results!$C$1+1,VLOOKUP($A924,Data!$A$2:$C$117,3,TRUE),"")</f>
        <v/>
      </c>
      <c r="E924" s="14" t="str">
        <f>IF(ROW()&lt;=Results!$C$1+1,IF(D924&lt;=0,"",LN(D924)),"")</f>
        <v/>
      </c>
      <c r="F924" s="53" t="str">
        <f>IF(ROW()&lt;=Results!$C$1+1,IF(ISERROR(C924-E924),"",C924-E924),"")</f>
        <v/>
      </c>
    </row>
    <row r="925" spans="1:6" x14ac:dyDescent="0.2">
      <c r="A925" s="1" t="str">
        <f ca="1">IF(ROW()&lt;=Results!$C$1+1,INDEX(Data!$A:$A,CEILING((COUNTA(Data!$A:$A)-1)*RAND()+1,1)),"")</f>
        <v/>
      </c>
      <c r="B925" s="1" t="str">
        <f>IF(ROW()&lt;=Results!$C$1+1,VLOOKUP($A925,Data!$A$2:$C$117,2,TRUE),"")</f>
        <v/>
      </c>
      <c r="C925" s="14" t="str">
        <f>IF(ROW()&lt;=Results!$C$1+1,IF(B925&lt;=0,"",LN(B925)),"")</f>
        <v/>
      </c>
      <c r="D925" s="1" t="str">
        <f>IF(ROW()&lt;=Results!$C$1+1,VLOOKUP($A925,Data!$A$2:$C$117,3,TRUE),"")</f>
        <v/>
      </c>
      <c r="E925" s="14" t="str">
        <f>IF(ROW()&lt;=Results!$C$1+1,IF(D925&lt;=0,"",LN(D925)),"")</f>
        <v/>
      </c>
      <c r="F925" s="53" t="str">
        <f>IF(ROW()&lt;=Results!$C$1+1,IF(ISERROR(C925-E925),"",C925-E925),"")</f>
        <v/>
      </c>
    </row>
    <row r="926" spans="1:6" x14ac:dyDescent="0.2">
      <c r="A926" s="1" t="str">
        <f ca="1">IF(ROW()&lt;=Results!$C$1+1,INDEX(Data!$A:$A,CEILING((COUNTA(Data!$A:$A)-1)*RAND()+1,1)),"")</f>
        <v/>
      </c>
      <c r="B926" s="1" t="str">
        <f>IF(ROW()&lt;=Results!$C$1+1,VLOOKUP($A926,Data!$A$2:$C$117,2,TRUE),"")</f>
        <v/>
      </c>
      <c r="C926" s="14" t="str">
        <f>IF(ROW()&lt;=Results!$C$1+1,IF(B926&lt;=0,"",LN(B926)),"")</f>
        <v/>
      </c>
      <c r="D926" s="1" t="str">
        <f>IF(ROW()&lt;=Results!$C$1+1,VLOOKUP($A926,Data!$A$2:$C$117,3,TRUE),"")</f>
        <v/>
      </c>
      <c r="E926" s="14" t="str">
        <f>IF(ROW()&lt;=Results!$C$1+1,IF(D926&lt;=0,"",LN(D926)),"")</f>
        <v/>
      </c>
      <c r="F926" s="53" t="str">
        <f>IF(ROW()&lt;=Results!$C$1+1,IF(ISERROR(C926-E926),"",C926-E926),"")</f>
        <v/>
      </c>
    </row>
    <row r="927" spans="1:6" x14ac:dyDescent="0.2">
      <c r="A927" s="1" t="str">
        <f ca="1">IF(ROW()&lt;=Results!$C$1+1,INDEX(Data!$A:$A,CEILING((COUNTA(Data!$A:$A)-1)*RAND()+1,1)),"")</f>
        <v/>
      </c>
      <c r="B927" s="1" t="str">
        <f>IF(ROW()&lt;=Results!$C$1+1,VLOOKUP($A927,Data!$A$2:$C$117,2,TRUE),"")</f>
        <v/>
      </c>
      <c r="C927" s="14" t="str">
        <f>IF(ROW()&lt;=Results!$C$1+1,IF(B927&lt;=0,"",LN(B927)),"")</f>
        <v/>
      </c>
      <c r="D927" s="1" t="str">
        <f>IF(ROW()&lt;=Results!$C$1+1,VLOOKUP($A927,Data!$A$2:$C$117,3,TRUE),"")</f>
        <v/>
      </c>
      <c r="E927" s="14" t="str">
        <f>IF(ROW()&lt;=Results!$C$1+1,IF(D927&lt;=0,"",LN(D927)),"")</f>
        <v/>
      </c>
      <c r="F927" s="53" t="str">
        <f>IF(ROW()&lt;=Results!$C$1+1,IF(ISERROR(C927-E927),"",C927-E927),"")</f>
        <v/>
      </c>
    </row>
    <row r="928" spans="1:6" x14ac:dyDescent="0.2">
      <c r="A928" s="1" t="str">
        <f ca="1">IF(ROW()&lt;=Results!$C$1+1,INDEX(Data!$A:$A,CEILING((COUNTA(Data!$A:$A)-1)*RAND()+1,1)),"")</f>
        <v/>
      </c>
      <c r="B928" s="1" t="str">
        <f>IF(ROW()&lt;=Results!$C$1+1,VLOOKUP($A928,Data!$A$2:$C$117,2,TRUE),"")</f>
        <v/>
      </c>
      <c r="C928" s="14" t="str">
        <f>IF(ROW()&lt;=Results!$C$1+1,IF(B928&lt;=0,"",LN(B928)),"")</f>
        <v/>
      </c>
      <c r="D928" s="1" t="str">
        <f>IF(ROW()&lt;=Results!$C$1+1,VLOOKUP($A928,Data!$A$2:$C$117,3,TRUE),"")</f>
        <v/>
      </c>
      <c r="E928" s="14" t="str">
        <f>IF(ROW()&lt;=Results!$C$1+1,IF(D928&lt;=0,"",LN(D928)),"")</f>
        <v/>
      </c>
      <c r="F928" s="53" t="str">
        <f>IF(ROW()&lt;=Results!$C$1+1,IF(ISERROR(C928-E928),"",C928-E928),"")</f>
        <v/>
      </c>
    </row>
    <row r="929" spans="1:6" x14ac:dyDescent="0.2">
      <c r="A929" s="1" t="str">
        <f ca="1">IF(ROW()&lt;=Results!$C$1+1,INDEX(Data!$A:$A,CEILING((COUNTA(Data!$A:$A)-1)*RAND()+1,1)),"")</f>
        <v/>
      </c>
      <c r="B929" s="1" t="str">
        <f>IF(ROW()&lt;=Results!$C$1+1,VLOOKUP($A929,Data!$A$2:$C$117,2,TRUE),"")</f>
        <v/>
      </c>
      <c r="C929" s="14" t="str">
        <f>IF(ROW()&lt;=Results!$C$1+1,IF(B929&lt;=0,"",LN(B929)),"")</f>
        <v/>
      </c>
      <c r="D929" s="1" t="str">
        <f>IF(ROW()&lt;=Results!$C$1+1,VLOOKUP($A929,Data!$A$2:$C$117,3,TRUE),"")</f>
        <v/>
      </c>
      <c r="E929" s="14" t="str">
        <f>IF(ROW()&lt;=Results!$C$1+1,IF(D929&lt;=0,"",LN(D929)),"")</f>
        <v/>
      </c>
      <c r="F929" s="53" t="str">
        <f>IF(ROW()&lt;=Results!$C$1+1,IF(ISERROR(C929-E929),"",C929-E929),"")</f>
        <v/>
      </c>
    </row>
    <row r="930" spans="1:6" x14ac:dyDescent="0.2">
      <c r="A930" s="1" t="str">
        <f ca="1">IF(ROW()&lt;=Results!$C$1+1,INDEX(Data!$A:$A,CEILING((COUNTA(Data!$A:$A)-1)*RAND()+1,1)),"")</f>
        <v/>
      </c>
      <c r="B930" s="1" t="str">
        <f>IF(ROW()&lt;=Results!$C$1+1,VLOOKUP($A930,Data!$A$2:$C$117,2,TRUE),"")</f>
        <v/>
      </c>
      <c r="C930" s="14" t="str">
        <f>IF(ROW()&lt;=Results!$C$1+1,IF(B930&lt;=0,"",LN(B930)),"")</f>
        <v/>
      </c>
      <c r="D930" s="1" t="str">
        <f>IF(ROW()&lt;=Results!$C$1+1,VLOOKUP($A930,Data!$A$2:$C$117,3,TRUE),"")</f>
        <v/>
      </c>
      <c r="E930" s="14" t="str">
        <f>IF(ROW()&lt;=Results!$C$1+1,IF(D930&lt;=0,"",LN(D930)),"")</f>
        <v/>
      </c>
      <c r="F930" s="53" t="str">
        <f>IF(ROW()&lt;=Results!$C$1+1,IF(ISERROR(C930-E930),"",C930-E930),"")</f>
        <v/>
      </c>
    </row>
    <row r="931" spans="1:6" x14ac:dyDescent="0.2">
      <c r="A931" s="1" t="str">
        <f ca="1">IF(ROW()&lt;=Results!$C$1+1,INDEX(Data!$A:$A,CEILING((COUNTA(Data!$A:$A)-1)*RAND()+1,1)),"")</f>
        <v/>
      </c>
      <c r="B931" s="1" t="str">
        <f>IF(ROW()&lt;=Results!$C$1+1,VLOOKUP($A931,Data!$A$2:$C$117,2,TRUE),"")</f>
        <v/>
      </c>
      <c r="C931" s="14" t="str">
        <f>IF(ROW()&lt;=Results!$C$1+1,IF(B931&lt;=0,"",LN(B931)),"")</f>
        <v/>
      </c>
      <c r="D931" s="1" t="str">
        <f>IF(ROW()&lt;=Results!$C$1+1,VLOOKUP($A931,Data!$A$2:$C$117,3,TRUE),"")</f>
        <v/>
      </c>
      <c r="E931" s="14" t="str">
        <f>IF(ROW()&lt;=Results!$C$1+1,IF(D931&lt;=0,"",LN(D931)),"")</f>
        <v/>
      </c>
      <c r="F931" s="53" t="str">
        <f>IF(ROW()&lt;=Results!$C$1+1,IF(ISERROR(C931-E931),"",C931-E931),"")</f>
        <v/>
      </c>
    </row>
    <row r="932" spans="1:6" x14ac:dyDescent="0.2">
      <c r="A932" s="1" t="str">
        <f ca="1">IF(ROW()&lt;=Results!$C$1+1,INDEX(Data!$A:$A,CEILING((COUNTA(Data!$A:$A)-1)*RAND()+1,1)),"")</f>
        <v/>
      </c>
      <c r="B932" s="1" t="str">
        <f>IF(ROW()&lt;=Results!$C$1+1,VLOOKUP($A932,Data!$A$2:$C$117,2,TRUE),"")</f>
        <v/>
      </c>
      <c r="C932" s="14" t="str">
        <f>IF(ROW()&lt;=Results!$C$1+1,IF(B932&lt;=0,"",LN(B932)),"")</f>
        <v/>
      </c>
      <c r="D932" s="1" t="str">
        <f>IF(ROW()&lt;=Results!$C$1+1,VLOOKUP($A932,Data!$A$2:$C$117,3,TRUE),"")</f>
        <v/>
      </c>
      <c r="E932" s="14" t="str">
        <f>IF(ROW()&lt;=Results!$C$1+1,IF(D932&lt;=0,"",LN(D932)),"")</f>
        <v/>
      </c>
      <c r="F932" s="53" t="str">
        <f>IF(ROW()&lt;=Results!$C$1+1,IF(ISERROR(C932-E932),"",C932-E932),"")</f>
        <v/>
      </c>
    </row>
    <row r="933" spans="1:6" x14ac:dyDescent="0.2">
      <c r="A933" s="1" t="str">
        <f ca="1">IF(ROW()&lt;=Results!$C$1+1,INDEX(Data!$A:$A,CEILING((COUNTA(Data!$A:$A)-1)*RAND()+1,1)),"")</f>
        <v/>
      </c>
      <c r="B933" s="1" t="str">
        <f>IF(ROW()&lt;=Results!$C$1+1,VLOOKUP($A933,Data!$A$2:$C$117,2,TRUE),"")</f>
        <v/>
      </c>
      <c r="C933" s="14" t="str">
        <f>IF(ROW()&lt;=Results!$C$1+1,IF(B933&lt;=0,"",LN(B933)),"")</f>
        <v/>
      </c>
      <c r="D933" s="1" t="str">
        <f>IF(ROW()&lt;=Results!$C$1+1,VLOOKUP($A933,Data!$A$2:$C$117,3,TRUE),"")</f>
        <v/>
      </c>
      <c r="E933" s="14" t="str">
        <f>IF(ROW()&lt;=Results!$C$1+1,IF(D933&lt;=0,"",LN(D933)),"")</f>
        <v/>
      </c>
      <c r="F933" s="53" t="str">
        <f>IF(ROW()&lt;=Results!$C$1+1,IF(ISERROR(C933-E933),"",C933-E933),"")</f>
        <v/>
      </c>
    </row>
    <row r="934" spans="1:6" x14ac:dyDescent="0.2">
      <c r="A934" s="1" t="str">
        <f ca="1">IF(ROW()&lt;=Results!$C$1+1,INDEX(Data!$A:$A,CEILING((COUNTA(Data!$A:$A)-1)*RAND()+1,1)),"")</f>
        <v/>
      </c>
      <c r="B934" s="1" t="str">
        <f>IF(ROW()&lt;=Results!$C$1+1,VLOOKUP($A934,Data!$A$2:$C$117,2,TRUE),"")</f>
        <v/>
      </c>
      <c r="C934" s="14" t="str">
        <f>IF(ROW()&lt;=Results!$C$1+1,IF(B934&lt;=0,"",LN(B934)),"")</f>
        <v/>
      </c>
      <c r="D934" s="1" t="str">
        <f>IF(ROW()&lt;=Results!$C$1+1,VLOOKUP($A934,Data!$A$2:$C$117,3,TRUE),"")</f>
        <v/>
      </c>
      <c r="E934" s="14" t="str">
        <f>IF(ROW()&lt;=Results!$C$1+1,IF(D934&lt;=0,"",LN(D934)),"")</f>
        <v/>
      </c>
      <c r="F934" s="53" t="str">
        <f>IF(ROW()&lt;=Results!$C$1+1,IF(ISERROR(C934-E934),"",C934-E934),"")</f>
        <v/>
      </c>
    </row>
    <row r="935" spans="1:6" x14ac:dyDescent="0.2">
      <c r="A935" s="1" t="str">
        <f ca="1">IF(ROW()&lt;=Results!$C$1+1,INDEX(Data!$A:$A,CEILING((COUNTA(Data!$A:$A)-1)*RAND()+1,1)),"")</f>
        <v/>
      </c>
      <c r="B935" s="1" t="str">
        <f>IF(ROW()&lt;=Results!$C$1+1,VLOOKUP($A935,Data!$A$2:$C$117,2,TRUE),"")</f>
        <v/>
      </c>
      <c r="C935" s="14" t="str">
        <f>IF(ROW()&lt;=Results!$C$1+1,IF(B935&lt;=0,"",LN(B935)),"")</f>
        <v/>
      </c>
      <c r="D935" s="1" t="str">
        <f>IF(ROW()&lt;=Results!$C$1+1,VLOOKUP($A935,Data!$A$2:$C$117,3,TRUE),"")</f>
        <v/>
      </c>
      <c r="E935" s="14" t="str">
        <f>IF(ROW()&lt;=Results!$C$1+1,IF(D935&lt;=0,"",LN(D935)),"")</f>
        <v/>
      </c>
      <c r="F935" s="53" t="str">
        <f>IF(ROW()&lt;=Results!$C$1+1,IF(ISERROR(C935-E935),"",C935-E935),"")</f>
        <v/>
      </c>
    </row>
    <row r="936" spans="1:6" x14ac:dyDescent="0.2">
      <c r="A936" s="1" t="str">
        <f ca="1">IF(ROW()&lt;=Results!$C$1+1,INDEX(Data!$A:$A,CEILING((COUNTA(Data!$A:$A)-1)*RAND()+1,1)),"")</f>
        <v/>
      </c>
      <c r="B936" s="1" t="str">
        <f>IF(ROW()&lt;=Results!$C$1+1,VLOOKUP($A936,Data!$A$2:$C$117,2,TRUE),"")</f>
        <v/>
      </c>
      <c r="C936" s="14" t="str">
        <f>IF(ROW()&lt;=Results!$C$1+1,IF(B936&lt;=0,"",LN(B936)),"")</f>
        <v/>
      </c>
      <c r="D936" s="1" t="str">
        <f>IF(ROW()&lt;=Results!$C$1+1,VLOOKUP($A936,Data!$A$2:$C$117,3,TRUE),"")</f>
        <v/>
      </c>
      <c r="E936" s="14" t="str">
        <f>IF(ROW()&lt;=Results!$C$1+1,IF(D936&lt;=0,"",LN(D936)),"")</f>
        <v/>
      </c>
      <c r="F936" s="53" t="str">
        <f>IF(ROW()&lt;=Results!$C$1+1,IF(ISERROR(C936-E936),"",C936-E936),"")</f>
        <v/>
      </c>
    </row>
    <row r="937" spans="1:6" x14ac:dyDescent="0.2">
      <c r="A937" s="1" t="str">
        <f ca="1">IF(ROW()&lt;=Results!$C$1+1,INDEX(Data!$A:$A,CEILING((COUNTA(Data!$A:$A)-1)*RAND()+1,1)),"")</f>
        <v/>
      </c>
      <c r="B937" s="1" t="str">
        <f>IF(ROW()&lt;=Results!$C$1+1,VLOOKUP($A937,Data!$A$2:$C$117,2,TRUE),"")</f>
        <v/>
      </c>
      <c r="C937" s="14" t="str">
        <f>IF(ROW()&lt;=Results!$C$1+1,IF(B937&lt;=0,"",LN(B937)),"")</f>
        <v/>
      </c>
      <c r="D937" s="1" t="str">
        <f>IF(ROW()&lt;=Results!$C$1+1,VLOOKUP($A937,Data!$A$2:$C$117,3,TRUE),"")</f>
        <v/>
      </c>
      <c r="E937" s="14" t="str">
        <f>IF(ROW()&lt;=Results!$C$1+1,IF(D937&lt;=0,"",LN(D937)),"")</f>
        <v/>
      </c>
      <c r="F937" s="53" t="str">
        <f>IF(ROW()&lt;=Results!$C$1+1,IF(ISERROR(C937-E937),"",C937-E937),"")</f>
        <v/>
      </c>
    </row>
    <row r="938" spans="1:6" x14ac:dyDescent="0.2">
      <c r="A938" s="1" t="str">
        <f ca="1">IF(ROW()&lt;=Results!$C$1+1,INDEX(Data!$A:$A,CEILING((COUNTA(Data!$A:$A)-1)*RAND()+1,1)),"")</f>
        <v/>
      </c>
      <c r="B938" s="1" t="str">
        <f>IF(ROW()&lt;=Results!$C$1+1,VLOOKUP($A938,Data!$A$2:$C$117,2,TRUE),"")</f>
        <v/>
      </c>
      <c r="C938" s="14" t="str">
        <f>IF(ROW()&lt;=Results!$C$1+1,IF(B938&lt;=0,"",LN(B938)),"")</f>
        <v/>
      </c>
      <c r="D938" s="1" t="str">
        <f>IF(ROW()&lt;=Results!$C$1+1,VLOOKUP($A938,Data!$A$2:$C$117,3,TRUE),"")</f>
        <v/>
      </c>
      <c r="E938" s="14" t="str">
        <f>IF(ROW()&lt;=Results!$C$1+1,IF(D938&lt;=0,"",LN(D938)),"")</f>
        <v/>
      </c>
      <c r="F938" s="53" t="str">
        <f>IF(ROW()&lt;=Results!$C$1+1,IF(ISERROR(C938-E938),"",C938-E938),"")</f>
        <v/>
      </c>
    </row>
    <row r="939" spans="1:6" x14ac:dyDescent="0.2">
      <c r="A939" s="1" t="str">
        <f ca="1">IF(ROW()&lt;=Results!$C$1+1,INDEX(Data!$A:$A,CEILING((COUNTA(Data!$A:$A)-1)*RAND()+1,1)),"")</f>
        <v/>
      </c>
      <c r="B939" s="1" t="str">
        <f>IF(ROW()&lt;=Results!$C$1+1,VLOOKUP($A939,Data!$A$2:$C$117,2,TRUE),"")</f>
        <v/>
      </c>
      <c r="C939" s="14" t="str">
        <f>IF(ROW()&lt;=Results!$C$1+1,IF(B939&lt;=0,"",LN(B939)),"")</f>
        <v/>
      </c>
      <c r="D939" s="1" t="str">
        <f>IF(ROW()&lt;=Results!$C$1+1,VLOOKUP($A939,Data!$A$2:$C$117,3,TRUE),"")</f>
        <v/>
      </c>
      <c r="E939" s="14" t="str">
        <f>IF(ROW()&lt;=Results!$C$1+1,IF(D939&lt;=0,"",LN(D939)),"")</f>
        <v/>
      </c>
      <c r="F939" s="53" t="str">
        <f>IF(ROW()&lt;=Results!$C$1+1,IF(ISERROR(C939-E939),"",C939-E939),"")</f>
        <v/>
      </c>
    </row>
    <row r="940" spans="1:6" x14ac:dyDescent="0.2">
      <c r="A940" s="1" t="str">
        <f ca="1">IF(ROW()&lt;=Results!$C$1+1,INDEX(Data!$A:$A,CEILING((COUNTA(Data!$A:$A)-1)*RAND()+1,1)),"")</f>
        <v/>
      </c>
      <c r="B940" s="1" t="str">
        <f>IF(ROW()&lt;=Results!$C$1+1,VLOOKUP($A940,Data!$A$2:$C$117,2,TRUE),"")</f>
        <v/>
      </c>
      <c r="C940" s="14" t="str">
        <f>IF(ROW()&lt;=Results!$C$1+1,IF(B940&lt;=0,"",LN(B940)),"")</f>
        <v/>
      </c>
      <c r="D940" s="1" t="str">
        <f>IF(ROW()&lt;=Results!$C$1+1,VLOOKUP($A940,Data!$A$2:$C$117,3,TRUE),"")</f>
        <v/>
      </c>
      <c r="E940" s="14" t="str">
        <f>IF(ROW()&lt;=Results!$C$1+1,IF(D940&lt;=0,"",LN(D940)),"")</f>
        <v/>
      </c>
      <c r="F940" s="53" t="str">
        <f>IF(ROW()&lt;=Results!$C$1+1,IF(ISERROR(C940-E940),"",C940-E940),"")</f>
        <v/>
      </c>
    </row>
    <row r="941" spans="1:6" x14ac:dyDescent="0.2">
      <c r="A941" s="1" t="str">
        <f ca="1">IF(ROW()&lt;=Results!$C$1+1,INDEX(Data!$A:$A,CEILING((COUNTA(Data!$A:$A)-1)*RAND()+1,1)),"")</f>
        <v/>
      </c>
      <c r="B941" s="1" t="str">
        <f>IF(ROW()&lt;=Results!$C$1+1,VLOOKUP($A941,Data!$A$2:$C$117,2,TRUE),"")</f>
        <v/>
      </c>
      <c r="C941" s="14" t="str">
        <f>IF(ROW()&lt;=Results!$C$1+1,IF(B941&lt;=0,"",LN(B941)),"")</f>
        <v/>
      </c>
      <c r="D941" s="1" t="str">
        <f>IF(ROW()&lt;=Results!$C$1+1,VLOOKUP($A941,Data!$A$2:$C$117,3,TRUE),"")</f>
        <v/>
      </c>
      <c r="E941" s="14" t="str">
        <f>IF(ROW()&lt;=Results!$C$1+1,IF(D941&lt;=0,"",LN(D941)),"")</f>
        <v/>
      </c>
      <c r="F941" s="53" t="str">
        <f>IF(ROW()&lt;=Results!$C$1+1,IF(ISERROR(C941-E941),"",C941-E941),"")</f>
        <v/>
      </c>
    </row>
    <row r="942" spans="1:6" x14ac:dyDescent="0.2">
      <c r="A942" s="1" t="str">
        <f ca="1">IF(ROW()&lt;=Results!$C$1+1,INDEX(Data!$A:$A,CEILING((COUNTA(Data!$A:$A)-1)*RAND()+1,1)),"")</f>
        <v/>
      </c>
      <c r="B942" s="1" t="str">
        <f>IF(ROW()&lt;=Results!$C$1+1,VLOOKUP($A942,Data!$A$2:$C$117,2,TRUE),"")</f>
        <v/>
      </c>
      <c r="C942" s="14" t="str">
        <f>IF(ROW()&lt;=Results!$C$1+1,IF(B942&lt;=0,"",LN(B942)),"")</f>
        <v/>
      </c>
      <c r="D942" s="1" t="str">
        <f>IF(ROW()&lt;=Results!$C$1+1,VLOOKUP($A942,Data!$A$2:$C$117,3,TRUE),"")</f>
        <v/>
      </c>
      <c r="E942" s="14" t="str">
        <f>IF(ROW()&lt;=Results!$C$1+1,IF(D942&lt;=0,"",LN(D942)),"")</f>
        <v/>
      </c>
      <c r="F942" s="53" t="str">
        <f>IF(ROW()&lt;=Results!$C$1+1,IF(ISERROR(C942-E942),"",C942-E942),"")</f>
        <v/>
      </c>
    </row>
    <row r="943" spans="1:6" x14ac:dyDescent="0.2">
      <c r="A943" s="1" t="str">
        <f ca="1">IF(ROW()&lt;=Results!$C$1+1,INDEX(Data!$A:$A,CEILING((COUNTA(Data!$A:$A)-1)*RAND()+1,1)),"")</f>
        <v/>
      </c>
      <c r="B943" s="1" t="str">
        <f>IF(ROW()&lt;=Results!$C$1+1,VLOOKUP($A943,Data!$A$2:$C$117,2,TRUE),"")</f>
        <v/>
      </c>
      <c r="C943" s="14" t="str">
        <f>IF(ROW()&lt;=Results!$C$1+1,IF(B943&lt;=0,"",LN(B943)),"")</f>
        <v/>
      </c>
      <c r="D943" s="1" t="str">
        <f>IF(ROW()&lt;=Results!$C$1+1,VLOOKUP($A943,Data!$A$2:$C$117,3,TRUE),"")</f>
        <v/>
      </c>
      <c r="E943" s="14" t="str">
        <f>IF(ROW()&lt;=Results!$C$1+1,IF(D943&lt;=0,"",LN(D943)),"")</f>
        <v/>
      </c>
      <c r="F943" s="53" t="str">
        <f>IF(ROW()&lt;=Results!$C$1+1,IF(ISERROR(C943-E943),"",C943-E943),"")</f>
        <v/>
      </c>
    </row>
    <row r="944" spans="1:6" x14ac:dyDescent="0.2">
      <c r="A944" s="1" t="str">
        <f ca="1">IF(ROW()&lt;=Results!$C$1+1,INDEX(Data!$A:$A,CEILING((COUNTA(Data!$A:$A)-1)*RAND()+1,1)),"")</f>
        <v/>
      </c>
      <c r="B944" s="1" t="str">
        <f>IF(ROW()&lt;=Results!$C$1+1,VLOOKUP($A944,Data!$A$2:$C$117,2,TRUE),"")</f>
        <v/>
      </c>
      <c r="C944" s="14" t="str">
        <f>IF(ROW()&lt;=Results!$C$1+1,IF(B944&lt;=0,"",LN(B944)),"")</f>
        <v/>
      </c>
      <c r="D944" s="1" t="str">
        <f>IF(ROW()&lt;=Results!$C$1+1,VLOOKUP($A944,Data!$A$2:$C$117,3,TRUE),"")</f>
        <v/>
      </c>
      <c r="E944" s="14" t="str">
        <f>IF(ROW()&lt;=Results!$C$1+1,IF(D944&lt;=0,"",LN(D944)),"")</f>
        <v/>
      </c>
      <c r="F944" s="53" t="str">
        <f>IF(ROW()&lt;=Results!$C$1+1,IF(ISERROR(C944-E944),"",C944-E944),"")</f>
        <v/>
      </c>
    </row>
    <row r="945" spans="1:6" x14ac:dyDescent="0.2">
      <c r="A945" s="1" t="str">
        <f ca="1">IF(ROW()&lt;=Results!$C$1+1,INDEX(Data!$A:$A,CEILING((COUNTA(Data!$A:$A)-1)*RAND()+1,1)),"")</f>
        <v/>
      </c>
      <c r="B945" s="1" t="str">
        <f>IF(ROW()&lt;=Results!$C$1+1,VLOOKUP($A945,Data!$A$2:$C$117,2,TRUE),"")</f>
        <v/>
      </c>
      <c r="C945" s="14" t="str">
        <f>IF(ROW()&lt;=Results!$C$1+1,IF(B945&lt;=0,"",LN(B945)),"")</f>
        <v/>
      </c>
      <c r="D945" s="1" t="str">
        <f>IF(ROW()&lt;=Results!$C$1+1,VLOOKUP($A945,Data!$A$2:$C$117,3,TRUE),"")</f>
        <v/>
      </c>
      <c r="E945" s="14" t="str">
        <f>IF(ROW()&lt;=Results!$C$1+1,IF(D945&lt;=0,"",LN(D945)),"")</f>
        <v/>
      </c>
      <c r="F945" s="53" t="str">
        <f>IF(ROW()&lt;=Results!$C$1+1,IF(ISERROR(C945-E945),"",C945-E945),"")</f>
        <v/>
      </c>
    </row>
    <row r="946" spans="1:6" x14ac:dyDescent="0.2">
      <c r="A946" s="1" t="str">
        <f ca="1">IF(ROW()&lt;=Results!$C$1+1,INDEX(Data!$A:$A,CEILING((COUNTA(Data!$A:$A)-1)*RAND()+1,1)),"")</f>
        <v/>
      </c>
      <c r="B946" s="1" t="str">
        <f>IF(ROW()&lt;=Results!$C$1+1,VLOOKUP($A946,Data!$A$2:$C$117,2,TRUE),"")</f>
        <v/>
      </c>
      <c r="C946" s="14" t="str">
        <f>IF(ROW()&lt;=Results!$C$1+1,IF(B946&lt;=0,"",LN(B946)),"")</f>
        <v/>
      </c>
      <c r="D946" s="1" t="str">
        <f>IF(ROW()&lt;=Results!$C$1+1,VLOOKUP($A946,Data!$A$2:$C$117,3,TRUE),"")</f>
        <v/>
      </c>
      <c r="E946" s="14" t="str">
        <f>IF(ROW()&lt;=Results!$C$1+1,IF(D946&lt;=0,"",LN(D946)),"")</f>
        <v/>
      </c>
      <c r="F946" s="53" t="str">
        <f>IF(ROW()&lt;=Results!$C$1+1,IF(ISERROR(C946-E946),"",C946-E946),"")</f>
        <v/>
      </c>
    </row>
    <row r="947" spans="1:6" x14ac:dyDescent="0.2">
      <c r="A947" s="1" t="str">
        <f ca="1">IF(ROW()&lt;=Results!$C$1+1,INDEX(Data!$A:$A,CEILING((COUNTA(Data!$A:$A)-1)*RAND()+1,1)),"")</f>
        <v/>
      </c>
      <c r="B947" s="1" t="str">
        <f>IF(ROW()&lt;=Results!$C$1+1,VLOOKUP($A947,Data!$A$2:$C$117,2,TRUE),"")</f>
        <v/>
      </c>
      <c r="C947" s="14" t="str">
        <f>IF(ROW()&lt;=Results!$C$1+1,IF(B947&lt;=0,"",LN(B947)),"")</f>
        <v/>
      </c>
      <c r="D947" s="1" t="str">
        <f>IF(ROW()&lt;=Results!$C$1+1,VLOOKUP($A947,Data!$A$2:$C$117,3,TRUE),"")</f>
        <v/>
      </c>
      <c r="E947" s="14" t="str">
        <f>IF(ROW()&lt;=Results!$C$1+1,IF(D947&lt;=0,"",LN(D947)),"")</f>
        <v/>
      </c>
      <c r="F947" s="53" t="str">
        <f>IF(ROW()&lt;=Results!$C$1+1,IF(ISERROR(C947-E947),"",C947-E947),"")</f>
        <v/>
      </c>
    </row>
    <row r="948" spans="1:6" x14ac:dyDescent="0.2">
      <c r="A948" s="1" t="str">
        <f ca="1">IF(ROW()&lt;=Results!$C$1+1,INDEX(Data!$A:$A,CEILING((COUNTA(Data!$A:$A)-1)*RAND()+1,1)),"")</f>
        <v/>
      </c>
      <c r="B948" s="1" t="str">
        <f>IF(ROW()&lt;=Results!$C$1+1,VLOOKUP($A948,Data!$A$2:$C$117,2,TRUE),"")</f>
        <v/>
      </c>
      <c r="C948" s="14" t="str">
        <f>IF(ROW()&lt;=Results!$C$1+1,IF(B948&lt;=0,"",LN(B948)),"")</f>
        <v/>
      </c>
      <c r="D948" s="1" t="str">
        <f>IF(ROW()&lt;=Results!$C$1+1,VLOOKUP($A948,Data!$A$2:$C$117,3,TRUE),"")</f>
        <v/>
      </c>
      <c r="E948" s="14" t="str">
        <f>IF(ROW()&lt;=Results!$C$1+1,IF(D948&lt;=0,"",LN(D948)),"")</f>
        <v/>
      </c>
      <c r="F948" s="53" t="str">
        <f>IF(ROW()&lt;=Results!$C$1+1,IF(ISERROR(C948-E948),"",C948-E948),"")</f>
        <v/>
      </c>
    </row>
    <row r="949" spans="1:6" x14ac:dyDescent="0.2">
      <c r="A949" s="1" t="str">
        <f ca="1">IF(ROW()&lt;=Results!$C$1+1,INDEX(Data!$A:$A,CEILING((COUNTA(Data!$A:$A)-1)*RAND()+1,1)),"")</f>
        <v/>
      </c>
      <c r="B949" s="1" t="str">
        <f>IF(ROW()&lt;=Results!$C$1+1,VLOOKUP($A949,Data!$A$2:$C$117,2,TRUE),"")</f>
        <v/>
      </c>
      <c r="C949" s="14" t="str">
        <f>IF(ROW()&lt;=Results!$C$1+1,IF(B949&lt;=0,"",LN(B949)),"")</f>
        <v/>
      </c>
      <c r="D949" s="1" t="str">
        <f>IF(ROW()&lt;=Results!$C$1+1,VLOOKUP($A949,Data!$A$2:$C$117,3,TRUE),"")</f>
        <v/>
      </c>
      <c r="E949" s="14" t="str">
        <f>IF(ROW()&lt;=Results!$C$1+1,IF(D949&lt;=0,"",LN(D949)),"")</f>
        <v/>
      </c>
      <c r="F949" s="53" t="str">
        <f>IF(ROW()&lt;=Results!$C$1+1,IF(ISERROR(C949-E949),"",C949-E949),"")</f>
        <v/>
      </c>
    </row>
    <row r="950" spans="1:6" x14ac:dyDescent="0.2">
      <c r="A950" s="1" t="str">
        <f ca="1">IF(ROW()&lt;=Results!$C$1+1,INDEX(Data!$A:$A,CEILING((COUNTA(Data!$A:$A)-1)*RAND()+1,1)),"")</f>
        <v/>
      </c>
      <c r="B950" s="1" t="str">
        <f>IF(ROW()&lt;=Results!$C$1+1,VLOOKUP($A950,Data!$A$2:$C$117,2,TRUE),"")</f>
        <v/>
      </c>
      <c r="C950" s="14" t="str">
        <f>IF(ROW()&lt;=Results!$C$1+1,IF(B950&lt;=0,"",LN(B950)),"")</f>
        <v/>
      </c>
      <c r="D950" s="1" t="str">
        <f>IF(ROW()&lt;=Results!$C$1+1,VLOOKUP($A950,Data!$A$2:$C$117,3,TRUE),"")</f>
        <v/>
      </c>
      <c r="E950" s="14" t="str">
        <f>IF(ROW()&lt;=Results!$C$1+1,IF(D950&lt;=0,"",LN(D950)),"")</f>
        <v/>
      </c>
      <c r="F950" s="53" t="str">
        <f>IF(ROW()&lt;=Results!$C$1+1,IF(ISERROR(C950-E950),"",C950-E950),"")</f>
        <v/>
      </c>
    </row>
    <row r="951" spans="1:6" x14ac:dyDescent="0.2">
      <c r="A951" s="1" t="str">
        <f ca="1">IF(ROW()&lt;=Results!$C$1+1,INDEX(Data!$A:$A,CEILING((COUNTA(Data!$A:$A)-1)*RAND()+1,1)),"")</f>
        <v/>
      </c>
      <c r="B951" s="1" t="str">
        <f>IF(ROW()&lt;=Results!$C$1+1,VLOOKUP($A951,Data!$A$2:$C$117,2,TRUE),"")</f>
        <v/>
      </c>
      <c r="C951" s="14" t="str">
        <f>IF(ROW()&lt;=Results!$C$1+1,IF(B951&lt;=0,"",LN(B951)),"")</f>
        <v/>
      </c>
      <c r="D951" s="1" t="str">
        <f>IF(ROW()&lt;=Results!$C$1+1,VLOOKUP($A951,Data!$A$2:$C$117,3,TRUE),"")</f>
        <v/>
      </c>
      <c r="E951" s="14" t="str">
        <f>IF(ROW()&lt;=Results!$C$1+1,IF(D951&lt;=0,"",LN(D951)),"")</f>
        <v/>
      </c>
      <c r="F951" s="53" t="str">
        <f>IF(ROW()&lt;=Results!$C$1+1,IF(ISERROR(C951-E951),"",C951-E951),"")</f>
        <v/>
      </c>
    </row>
    <row r="952" spans="1:6" x14ac:dyDescent="0.2">
      <c r="A952" s="1" t="str">
        <f ca="1">IF(ROW()&lt;=Results!$C$1+1,INDEX(Data!$A:$A,CEILING((COUNTA(Data!$A:$A)-1)*RAND()+1,1)),"")</f>
        <v/>
      </c>
      <c r="B952" s="1" t="str">
        <f>IF(ROW()&lt;=Results!$C$1+1,VLOOKUP($A952,Data!$A$2:$C$117,2,TRUE),"")</f>
        <v/>
      </c>
      <c r="C952" s="14" t="str">
        <f>IF(ROW()&lt;=Results!$C$1+1,IF(B952&lt;=0,"",LN(B952)),"")</f>
        <v/>
      </c>
      <c r="D952" s="1" t="str">
        <f>IF(ROW()&lt;=Results!$C$1+1,VLOOKUP($A952,Data!$A$2:$C$117,3,TRUE),"")</f>
        <v/>
      </c>
      <c r="E952" s="14" t="str">
        <f>IF(ROW()&lt;=Results!$C$1+1,IF(D952&lt;=0,"",LN(D952)),"")</f>
        <v/>
      </c>
      <c r="F952" s="53" t="str">
        <f>IF(ROW()&lt;=Results!$C$1+1,IF(ISERROR(C952-E952),"",C952-E952),"")</f>
        <v/>
      </c>
    </row>
    <row r="953" spans="1:6" x14ac:dyDescent="0.2">
      <c r="A953" s="1" t="str">
        <f ca="1">IF(ROW()&lt;=Results!$C$1+1,INDEX(Data!$A:$A,CEILING((COUNTA(Data!$A:$A)-1)*RAND()+1,1)),"")</f>
        <v/>
      </c>
      <c r="B953" s="1" t="str">
        <f>IF(ROW()&lt;=Results!$C$1+1,VLOOKUP($A953,Data!$A$2:$C$117,2,TRUE),"")</f>
        <v/>
      </c>
      <c r="C953" s="14" t="str">
        <f>IF(ROW()&lt;=Results!$C$1+1,IF(B953&lt;=0,"",LN(B953)),"")</f>
        <v/>
      </c>
      <c r="D953" s="1" t="str">
        <f>IF(ROW()&lt;=Results!$C$1+1,VLOOKUP($A953,Data!$A$2:$C$117,3,TRUE),"")</f>
        <v/>
      </c>
      <c r="E953" s="14" t="str">
        <f>IF(ROW()&lt;=Results!$C$1+1,IF(D953&lt;=0,"",LN(D953)),"")</f>
        <v/>
      </c>
      <c r="F953" s="53" t="str">
        <f>IF(ROW()&lt;=Results!$C$1+1,IF(ISERROR(C953-E953),"",C953-E953),"")</f>
        <v/>
      </c>
    </row>
    <row r="954" spans="1:6" x14ac:dyDescent="0.2">
      <c r="A954" s="1" t="str">
        <f ca="1">IF(ROW()&lt;=Results!$C$1+1,INDEX(Data!$A:$A,CEILING((COUNTA(Data!$A:$A)-1)*RAND()+1,1)),"")</f>
        <v/>
      </c>
      <c r="B954" s="1" t="str">
        <f>IF(ROW()&lt;=Results!$C$1+1,VLOOKUP($A954,Data!$A$2:$C$117,2,TRUE),"")</f>
        <v/>
      </c>
      <c r="C954" s="14" t="str">
        <f>IF(ROW()&lt;=Results!$C$1+1,IF(B954&lt;=0,"",LN(B954)),"")</f>
        <v/>
      </c>
      <c r="D954" s="1" t="str">
        <f>IF(ROW()&lt;=Results!$C$1+1,VLOOKUP($A954,Data!$A$2:$C$117,3,TRUE),"")</f>
        <v/>
      </c>
      <c r="E954" s="14" t="str">
        <f>IF(ROW()&lt;=Results!$C$1+1,IF(D954&lt;=0,"",LN(D954)),"")</f>
        <v/>
      </c>
      <c r="F954" s="53" t="str">
        <f>IF(ROW()&lt;=Results!$C$1+1,IF(ISERROR(C954-E954),"",C954-E954),"")</f>
        <v/>
      </c>
    </row>
    <row r="955" spans="1:6" x14ac:dyDescent="0.2">
      <c r="A955" s="1" t="str">
        <f ca="1">IF(ROW()&lt;=Results!$C$1+1,INDEX(Data!$A:$A,CEILING((COUNTA(Data!$A:$A)-1)*RAND()+1,1)),"")</f>
        <v/>
      </c>
      <c r="B955" s="1" t="str">
        <f>IF(ROW()&lt;=Results!$C$1+1,VLOOKUP($A955,Data!$A$2:$C$117,2,TRUE),"")</f>
        <v/>
      </c>
      <c r="C955" s="14" t="str">
        <f>IF(ROW()&lt;=Results!$C$1+1,IF(B955&lt;=0,"",LN(B955)),"")</f>
        <v/>
      </c>
      <c r="D955" s="1" t="str">
        <f>IF(ROW()&lt;=Results!$C$1+1,VLOOKUP($A955,Data!$A$2:$C$117,3,TRUE),"")</f>
        <v/>
      </c>
      <c r="E955" s="14" t="str">
        <f>IF(ROW()&lt;=Results!$C$1+1,IF(D955&lt;=0,"",LN(D955)),"")</f>
        <v/>
      </c>
      <c r="F955" s="53" t="str">
        <f>IF(ROW()&lt;=Results!$C$1+1,IF(ISERROR(C955-E955),"",C955-E955),"")</f>
        <v/>
      </c>
    </row>
    <row r="956" spans="1:6" x14ac:dyDescent="0.2">
      <c r="A956" s="1" t="str">
        <f ca="1">IF(ROW()&lt;=Results!$C$1+1,INDEX(Data!$A:$A,CEILING((COUNTA(Data!$A:$A)-1)*RAND()+1,1)),"")</f>
        <v/>
      </c>
      <c r="B956" s="1" t="str">
        <f>IF(ROW()&lt;=Results!$C$1+1,VLOOKUP($A956,Data!$A$2:$C$117,2,TRUE),"")</f>
        <v/>
      </c>
      <c r="C956" s="14" t="str">
        <f>IF(ROW()&lt;=Results!$C$1+1,IF(B956&lt;=0,"",LN(B956)),"")</f>
        <v/>
      </c>
      <c r="D956" s="1" t="str">
        <f>IF(ROW()&lt;=Results!$C$1+1,VLOOKUP($A956,Data!$A$2:$C$117,3,TRUE),"")</f>
        <v/>
      </c>
      <c r="E956" s="14" t="str">
        <f>IF(ROW()&lt;=Results!$C$1+1,IF(D956&lt;=0,"",LN(D956)),"")</f>
        <v/>
      </c>
      <c r="F956" s="53" t="str">
        <f>IF(ROW()&lt;=Results!$C$1+1,IF(ISERROR(C956-E956),"",C956-E956),"")</f>
        <v/>
      </c>
    </row>
    <row r="957" spans="1:6" x14ac:dyDescent="0.2">
      <c r="A957" s="1" t="str">
        <f ca="1">IF(ROW()&lt;=Results!$C$1+1,INDEX(Data!$A:$A,CEILING((COUNTA(Data!$A:$A)-1)*RAND()+1,1)),"")</f>
        <v/>
      </c>
      <c r="B957" s="1" t="str">
        <f>IF(ROW()&lt;=Results!$C$1+1,VLOOKUP($A957,Data!$A$2:$C$117,2,TRUE),"")</f>
        <v/>
      </c>
      <c r="C957" s="14" t="str">
        <f>IF(ROW()&lt;=Results!$C$1+1,IF(B957&lt;=0,"",LN(B957)),"")</f>
        <v/>
      </c>
      <c r="D957" s="1" t="str">
        <f>IF(ROW()&lt;=Results!$C$1+1,VLOOKUP($A957,Data!$A$2:$C$117,3,TRUE),"")</f>
        <v/>
      </c>
      <c r="E957" s="14" t="str">
        <f>IF(ROW()&lt;=Results!$C$1+1,IF(D957&lt;=0,"",LN(D957)),"")</f>
        <v/>
      </c>
      <c r="F957" s="53" t="str">
        <f>IF(ROW()&lt;=Results!$C$1+1,IF(ISERROR(C957-E957),"",C957-E957),"")</f>
        <v/>
      </c>
    </row>
    <row r="958" spans="1:6" x14ac:dyDescent="0.2">
      <c r="A958" s="1" t="str">
        <f ca="1">IF(ROW()&lt;=Results!$C$1+1,INDEX(Data!$A:$A,CEILING((COUNTA(Data!$A:$A)-1)*RAND()+1,1)),"")</f>
        <v/>
      </c>
      <c r="B958" s="1" t="str">
        <f>IF(ROW()&lt;=Results!$C$1+1,VLOOKUP($A958,Data!$A$2:$C$117,2,TRUE),"")</f>
        <v/>
      </c>
      <c r="C958" s="14" t="str">
        <f>IF(ROW()&lt;=Results!$C$1+1,IF(B958&lt;=0,"",LN(B958)),"")</f>
        <v/>
      </c>
      <c r="D958" s="1" t="str">
        <f>IF(ROW()&lt;=Results!$C$1+1,VLOOKUP($A958,Data!$A$2:$C$117,3,TRUE),"")</f>
        <v/>
      </c>
      <c r="E958" s="14" t="str">
        <f>IF(ROW()&lt;=Results!$C$1+1,IF(D958&lt;=0,"",LN(D958)),"")</f>
        <v/>
      </c>
      <c r="F958" s="53" t="str">
        <f>IF(ROW()&lt;=Results!$C$1+1,IF(ISERROR(C958-E958),"",C958-E958),"")</f>
        <v/>
      </c>
    </row>
    <row r="959" spans="1:6" x14ac:dyDescent="0.2">
      <c r="A959" s="1" t="str">
        <f ca="1">IF(ROW()&lt;=Results!$C$1+1,INDEX(Data!$A:$A,CEILING((COUNTA(Data!$A:$A)-1)*RAND()+1,1)),"")</f>
        <v/>
      </c>
      <c r="B959" s="1" t="str">
        <f>IF(ROW()&lt;=Results!$C$1+1,VLOOKUP($A959,Data!$A$2:$C$117,2,TRUE),"")</f>
        <v/>
      </c>
      <c r="C959" s="14" t="str">
        <f>IF(ROW()&lt;=Results!$C$1+1,IF(B959&lt;=0,"",LN(B959)),"")</f>
        <v/>
      </c>
      <c r="D959" s="1" t="str">
        <f>IF(ROW()&lt;=Results!$C$1+1,VLOOKUP($A959,Data!$A$2:$C$117,3,TRUE),"")</f>
        <v/>
      </c>
      <c r="E959" s="14" t="str">
        <f>IF(ROW()&lt;=Results!$C$1+1,IF(D959&lt;=0,"",LN(D959)),"")</f>
        <v/>
      </c>
      <c r="F959" s="53" t="str">
        <f>IF(ROW()&lt;=Results!$C$1+1,IF(ISERROR(C959-E959),"",C959-E959),"")</f>
        <v/>
      </c>
    </row>
    <row r="960" spans="1:6" x14ac:dyDescent="0.2">
      <c r="A960" s="1" t="str">
        <f ca="1">IF(ROW()&lt;=Results!$C$1+1,INDEX(Data!$A:$A,CEILING((COUNTA(Data!$A:$A)-1)*RAND()+1,1)),"")</f>
        <v/>
      </c>
      <c r="B960" s="1" t="str">
        <f>IF(ROW()&lt;=Results!$C$1+1,VLOOKUP($A960,Data!$A$2:$C$117,2,TRUE),"")</f>
        <v/>
      </c>
      <c r="C960" s="14" t="str">
        <f>IF(ROW()&lt;=Results!$C$1+1,IF(B960&lt;=0,"",LN(B960)),"")</f>
        <v/>
      </c>
      <c r="D960" s="1" t="str">
        <f>IF(ROW()&lt;=Results!$C$1+1,VLOOKUP($A960,Data!$A$2:$C$117,3,TRUE),"")</f>
        <v/>
      </c>
      <c r="E960" s="14" t="str">
        <f>IF(ROW()&lt;=Results!$C$1+1,IF(D960&lt;=0,"",LN(D960)),"")</f>
        <v/>
      </c>
      <c r="F960" s="53" t="str">
        <f>IF(ROW()&lt;=Results!$C$1+1,IF(ISERROR(C960-E960),"",C960-E960),"")</f>
        <v/>
      </c>
    </row>
    <row r="961" spans="1:6" x14ac:dyDescent="0.2">
      <c r="A961" s="1" t="str">
        <f ca="1">IF(ROW()&lt;=Results!$C$1+1,INDEX(Data!$A:$A,CEILING((COUNTA(Data!$A:$A)-1)*RAND()+1,1)),"")</f>
        <v/>
      </c>
      <c r="B961" s="1" t="str">
        <f>IF(ROW()&lt;=Results!$C$1+1,VLOOKUP($A961,Data!$A$2:$C$117,2,TRUE),"")</f>
        <v/>
      </c>
      <c r="C961" s="14" t="str">
        <f>IF(ROW()&lt;=Results!$C$1+1,IF(B961&lt;=0,"",LN(B961)),"")</f>
        <v/>
      </c>
      <c r="D961" s="1" t="str">
        <f>IF(ROW()&lt;=Results!$C$1+1,VLOOKUP($A961,Data!$A$2:$C$117,3,TRUE),"")</f>
        <v/>
      </c>
      <c r="E961" s="14" t="str">
        <f>IF(ROW()&lt;=Results!$C$1+1,IF(D961&lt;=0,"",LN(D961)),"")</f>
        <v/>
      </c>
      <c r="F961" s="53" t="str">
        <f>IF(ROW()&lt;=Results!$C$1+1,IF(ISERROR(C961-E961),"",C961-E961),"")</f>
        <v/>
      </c>
    </row>
    <row r="962" spans="1:6" x14ac:dyDescent="0.2">
      <c r="A962" s="1" t="str">
        <f ca="1">IF(ROW()&lt;=Results!$C$1+1,INDEX(Data!$A:$A,CEILING((COUNTA(Data!$A:$A)-1)*RAND()+1,1)),"")</f>
        <v/>
      </c>
      <c r="B962" s="1" t="str">
        <f>IF(ROW()&lt;=Results!$C$1+1,VLOOKUP($A962,Data!$A$2:$C$117,2,TRUE),"")</f>
        <v/>
      </c>
      <c r="C962" s="14" t="str">
        <f>IF(ROW()&lt;=Results!$C$1+1,IF(B962&lt;=0,"",LN(B962)),"")</f>
        <v/>
      </c>
      <c r="D962" s="1" t="str">
        <f>IF(ROW()&lt;=Results!$C$1+1,VLOOKUP($A962,Data!$A$2:$C$117,3,TRUE),"")</f>
        <v/>
      </c>
      <c r="E962" s="14" t="str">
        <f>IF(ROW()&lt;=Results!$C$1+1,IF(D962&lt;=0,"",LN(D962)),"")</f>
        <v/>
      </c>
      <c r="F962" s="53" t="str">
        <f>IF(ROW()&lt;=Results!$C$1+1,IF(ISERROR(C962-E962),"",C962-E962),"")</f>
        <v/>
      </c>
    </row>
    <row r="963" spans="1:6" x14ac:dyDescent="0.2">
      <c r="A963" s="1" t="str">
        <f ca="1">IF(ROW()&lt;=Results!$C$1+1,INDEX(Data!$A:$A,CEILING((COUNTA(Data!$A:$A)-1)*RAND()+1,1)),"")</f>
        <v/>
      </c>
      <c r="B963" s="1" t="str">
        <f>IF(ROW()&lt;=Results!$C$1+1,VLOOKUP($A963,Data!$A$2:$C$117,2,TRUE),"")</f>
        <v/>
      </c>
      <c r="C963" s="14" t="str">
        <f>IF(ROW()&lt;=Results!$C$1+1,IF(B963&lt;=0,"",LN(B963)),"")</f>
        <v/>
      </c>
      <c r="D963" s="1" t="str">
        <f>IF(ROW()&lt;=Results!$C$1+1,VLOOKUP($A963,Data!$A$2:$C$117,3,TRUE),"")</f>
        <v/>
      </c>
      <c r="E963" s="14" t="str">
        <f>IF(ROW()&lt;=Results!$C$1+1,IF(D963&lt;=0,"",LN(D963)),"")</f>
        <v/>
      </c>
      <c r="F963" s="53" t="str">
        <f>IF(ROW()&lt;=Results!$C$1+1,IF(ISERROR(C963-E963),"",C963-E963),"")</f>
        <v/>
      </c>
    </row>
    <row r="964" spans="1:6" x14ac:dyDescent="0.2">
      <c r="A964" s="1" t="str">
        <f ca="1">IF(ROW()&lt;=Results!$C$1+1,INDEX(Data!$A:$A,CEILING((COUNTA(Data!$A:$A)-1)*RAND()+1,1)),"")</f>
        <v/>
      </c>
      <c r="B964" s="1" t="str">
        <f>IF(ROW()&lt;=Results!$C$1+1,VLOOKUP($A964,Data!$A$2:$C$117,2,TRUE),"")</f>
        <v/>
      </c>
      <c r="C964" s="14" t="str">
        <f>IF(ROW()&lt;=Results!$C$1+1,IF(B964&lt;=0,"",LN(B964)),"")</f>
        <v/>
      </c>
      <c r="D964" s="1" t="str">
        <f>IF(ROW()&lt;=Results!$C$1+1,VLOOKUP($A964,Data!$A$2:$C$117,3,TRUE),"")</f>
        <v/>
      </c>
      <c r="E964" s="14" t="str">
        <f>IF(ROW()&lt;=Results!$C$1+1,IF(D964&lt;=0,"",LN(D964)),"")</f>
        <v/>
      </c>
      <c r="F964" s="53" t="str">
        <f>IF(ROW()&lt;=Results!$C$1+1,IF(ISERROR(C964-E964),"",C964-E964),"")</f>
        <v/>
      </c>
    </row>
    <row r="965" spans="1:6" x14ac:dyDescent="0.2">
      <c r="A965" s="1" t="str">
        <f ca="1">IF(ROW()&lt;=Results!$C$1+1,INDEX(Data!$A:$A,CEILING((COUNTA(Data!$A:$A)-1)*RAND()+1,1)),"")</f>
        <v/>
      </c>
      <c r="B965" s="1" t="str">
        <f>IF(ROW()&lt;=Results!$C$1+1,VLOOKUP($A965,Data!$A$2:$C$117,2,TRUE),"")</f>
        <v/>
      </c>
      <c r="C965" s="14" t="str">
        <f>IF(ROW()&lt;=Results!$C$1+1,IF(B965&lt;=0,"",LN(B965)),"")</f>
        <v/>
      </c>
      <c r="D965" s="1" t="str">
        <f>IF(ROW()&lt;=Results!$C$1+1,VLOOKUP($A965,Data!$A$2:$C$117,3,TRUE),"")</f>
        <v/>
      </c>
      <c r="E965" s="14" t="str">
        <f>IF(ROW()&lt;=Results!$C$1+1,IF(D965&lt;=0,"",LN(D965)),"")</f>
        <v/>
      </c>
      <c r="F965" s="53" t="str">
        <f>IF(ROW()&lt;=Results!$C$1+1,IF(ISERROR(C965-E965),"",C965-E965),"")</f>
        <v/>
      </c>
    </row>
    <row r="966" spans="1:6" x14ac:dyDescent="0.2">
      <c r="A966" s="1" t="str">
        <f ca="1">IF(ROW()&lt;=Results!$C$1+1,INDEX(Data!$A:$A,CEILING((COUNTA(Data!$A:$A)-1)*RAND()+1,1)),"")</f>
        <v/>
      </c>
      <c r="B966" s="1" t="str">
        <f>IF(ROW()&lt;=Results!$C$1+1,VLOOKUP($A966,Data!$A$2:$C$117,2,TRUE),"")</f>
        <v/>
      </c>
      <c r="C966" s="14" t="str">
        <f>IF(ROW()&lt;=Results!$C$1+1,IF(B966&lt;=0,"",LN(B966)),"")</f>
        <v/>
      </c>
      <c r="D966" s="1" t="str">
        <f>IF(ROW()&lt;=Results!$C$1+1,VLOOKUP($A966,Data!$A$2:$C$117,3,TRUE),"")</f>
        <v/>
      </c>
      <c r="E966" s="14" t="str">
        <f>IF(ROW()&lt;=Results!$C$1+1,IF(D966&lt;=0,"",LN(D966)),"")</f>
        <v/>
      </c>
      <c r="F966" s="53" t="str">
        <f>IF(ROW()&lt;=Results!$C$1+1,IF(ISERROR(C966-E966),"",C966-E966),"")</f>
        <v/>
      </c>
    </row>
    <row r="967" spans="1:6" x14ac:dyDescent="0.2">
      <c r="A967" s="1" t="str">
        <f ca="1">IF(ROW()&lt;=Results!$C$1+1,INDEX(Data!$A:$A,CEILING((COUNTA(Data!$A:$A)-1)*RAND()+1,1)),"")</f>
        <v/>
      </c>
      <c r="B967" s="1" t="str">
        <f>IF(ROW()&lt;=Results!$C$1+1,VLOOKUP($A967,Data!$A$2:$C$117,2,TRUE),"")</f>
        <v/>
      </c>
      <c r="C967" s="14" t="str">
        <f>IF(ROW()&lt;=Results!$C$1+1,IF(B967&lt;=0,"",LN(B967)),"")</f>
        <v/>
      </c>
      <c r="D967" s="1" t="str">
        <f>IF(ROW()&lt;=Results!$C$1+1,VLOOKUP($A967,Data!$A$2:$C$117,3,TRUE),"")</f>
        <v/>
      </c>
      <c r="E967" s="14" t="str">
        <f>IF(ROW()&lt;=Results!$C$1+1,IF(D967&lt;=0,"",LN(D967)),"")</f>
        <v/>
      </c>
      <c r="F967" s="53" t="str">
        <f>IF(ROW()&lt;=Results!$C$1+1,IF(ISERROR(C967-E967),"",C967-E967),"")</f>
        <v/>
      </c>
    </row>
    <row r="968" spans="1:6" x14ac:dyDescent="0.2">
      <c r="A968" s="1" t="str">
        <f ca="1">IF(ROW()&lt;=Results!$C$1+1,INDEX(Data!$A:$A,CEILING((COUNTA(Data!$A:$A)-1)*RAND()+1,1)),"")</f>
        <v/>
      </c>
      <c r="B968" s="1" t="str">
        <f>IF(ROW()&lt;=Results!$C$1+1,VLOOKUP($A968,Data!$A$2:$C$117,2,TRUE),"")</f>
        <v/>
      </c>
      <c r="C968" s="14" t="str">
        <f>IF(ROW()&lt;=Results!$C$1+1,IF(B968&lt;=0,"",LN(B968)),"")</f>
        <v/>
      </c>
      <c r="D968" s="1" t="str">
        <f>IF(ROW()&lt;=Results!$C$1+1,VLOOKUP($A968,Data!$A$2:$C$117,3,TRUE),"")</f>
        <v/>
      </c>
      <c r="E968" s="14" t="str">
        <f>IF(ROW()&lt;=Results!$C$1+1,IF(D968&lt;=0,"",LN(D968)),"")</f>
        <v/>
      </c>
      <c r="F968" s="53" t="str">
        <f>IF(ROW()&lt;=Results!$C$1+1,IF(ISERROR(C968-E968),"",C968-E968),"")</f>
        <v/>
      </c>
    </row>
    <row r="969" spans="1:6" x14ac:dyDescent="0.2">
      <c r="A969" s="1" t="str">
        <f ca="1">IF(ROW()&lt;=Results!$C$1+1,INDEX(Data!$A:$A,CEILING((COUNTA(Data!$A:$A)-1)*RAND()+1,1)),"")</f>
        <v/>
      </c>
      <c r="B969" s="1" t="str">
        <f>IF(ROW()&lt;=Results!$C$1+1,VLOOKUP($A969,Data!$A$2:$C$117,2,TRUE),"")</f>
        <v/>
      </c>
      <c r="C969" s="14" t="str">
        <f>IF(ROW()&lt;=Results!$C$1+1,IF(B969&lt;=0,"",LN(B969)),"")</f>
        <v/>
      </c>
      <c r="D969" s="1" t="str">
        <f>IF(ROW()&lt;=Results!$C$1+1,VLOOKUP($A969,Data!$A$2:$C$117,3,TRUE),"")</f>
        <v/>
      </c>
      <c r="E969" s="14" t="str">
        <f>IF(ROW()&lt;=Results!$C$1+1,IF(D969&lt;=0,"",LN(D969)),"")</f>
        <v/>
      </c>
      <c r="F969" s="53" t="str">
        <f>IF(ROW()&lt;=Results!$C$1+1,IF(ISERROR(C969-E969),"",C969-E969),"")</f>
        <v/>
      </c>
    </row>
    <row r="970" spans="1:6" x14ac:dyDescent="0.2">
      <c r="A970" s="1" t="str">
        <f ca="1">IF(ROW()&lt;=Results!$C$1+1,INDEX(Data!$A:$A,CEILING((COUNTA(Data!$A:$A)-1)*RAND()+1,1)),"")</f>
        <v/>
      </c>
      <c r="B970" s="1" t="str">
        <f>IF(ROW()&lt;=Results!$C$1+1,VLOOKUP($A970,Data!$A$2:$C$117,2,TRUE),"")</f>
        <v/>
      </c>
      <c r="C970" s="14" t="str">
        <f>IF(ROW()&lt;=Results!$C$1+1,IF(B970&lt;=0,"",LN(B970)),"")</f>
        <v/>
      </c>
      <c r="D970" s="1" t="str">
        <f>IF(ROW()&lt;=Results!$C$1+1,VLOOKUP($A970,Data!$A$2:$C$117,3,TRUE),"")</f>
        <v/>
      </c>
      <c r="E970" s="14" t="str">
        <f>IF(ROW()&lt;=Results!$C$1+1,IF(D970&lt;=0,"",LN(D970)),"")</f>
        <v/>
      </c>
      <c r="F970" s="53" t="str">
        <f>IF(ROW()&lt;=Results!$C$1+1,IF(ISERROR(C970-E970),"",C970-E970),"")</f>
        <v/>
      </c>
    </row>
    <row r="971" spans="1:6" x14ac:dyDescent="0.2">
      <c r="A971" s="1" t="str">
        <f ca="1">IF(ROW()&lt;=Results!$C$1+1,INDEX(Data!$A:$A,CEILING((COUNTA(Data!$A:$A)-1)*RAND()+1,1)),"")</f>
        <v/>
      </c>
      <c r="B971" s="1" t="str">
        <f>IF(ROW()&lt;=Results!$C$1+1,VLOOKUP($A971,Data!$A$2:$C$117,2,TRUE),"")</f>
        <v/>
      </c>
      <c r="C971" s="14" t="str">
        <f>IF(ROW()&lt;=Results!$C$1+1,IF(B971&lt;=0,"",LN(B971)),"")</f>
        <v/>
      </c>
      <c r="D971" s="1" t="str">
        <f>IF(ROW()&lt;=Results!$C$1+1,VLOOKUP($A971,Data!$A$2:$C$117,3,TRUE),"")</f>
        <v/>
      </c>
      <c r="E971" s="14" t="str">
        <f>IF(ROW()&lt;=Results!$C$1+1,IF(D971&lt;=0,"",LN(D971)),"")</f>
        <v/>
      </c>
      <c r="F971" s="53" t="str">
        <f>IF(ROW()&lt;=Results!$C$1+1,IF(ISERROR(C971-E971),"",C971-E971),"")</f>
        <v/>
      </c>
    </row>
    <row r="972" spans="1:6" x14ac:dyDescent="0.2">
      <c r="A972" s="1" t="str">
        <f ca="1">IF(ROW()&lt;=Results!$C$1+1,INDEX(Data!$A:$A,CEILING((COUNTA(Data!$A:$A)-1)*RAND()+1,1)),"")</f>
        <v/>
      </c>
      <c r="B972" s="1" t="str">
        <f>IF(ROW()&lt;=Results!$C$1+1,VLOOKUP($A972,Data!$A$2:$C$117,2,TRUE),"")</f>
        <v/>
      </c>
      <c r="C972" s="14" t="str">
        <f>IF(ROW()&lt;=Results!$C$1+1,IF(B972&lt;=0,"",LN(B972)),"")</f>
        <v/>
      </c>
      <c r="D972" s="1" t="str">
        <f>IF(ROW()&lt;=Results!$C$1+1,VLOOKUP($A972,Data!$A$2:$C$117,3,TRUE),"")</f>
        <v/>
      </c>
      <c r="E972" s="14" t="str">
        <f>IF(ROW()&lt;=Results!$C$1+1,IF(D972&lt;=0,"",LN(D972)),"")</f>
        <v/>
      </c>
      <c r="F972" s="53" t="str">
        <f>IF(ROW()&lt;=Results!$C$1+1,IF(ISERROR(C972-E972),"",C972-E972),"")</f>
        <v/>
      </c>
    </row>
    <row r="973" spans="1:6" x14ac:dyDescent="0.2">
      <c r="A973" s="1" t="str">
        <f ca="1">IF(ROW()&lt;=Results!$C$1+1,INDEX(Data!$A:$A,CEILING((COUNTA(Data!$A:$A)-1)*RAND()+1,1)),"")</f>
        <v/>
      </c>
      <c r="B973" s="1" t="str">
        <f>IF(ROW()&lt;=Results!$C$1+1,VLOOKUP($A973,Data!$A$2:$C$117,2,TRUE),"")</f>
        <v/>
      </c>
      <c r="C973" s="14" t="str">
        <f>IF(ROW()&lt;=Results!$C$1+1,IF(B973&lt;=0,"",LN(B973)),"")</f>
        <v/>
      </c>
      <c r="D973" s="1" t="str">
        <f>IF(ROW()&lt;=Results!$C$1+1,VLOOKUP($A973,Data!$A$2:$C$117,3,TRUE),"")</f>
        <v/>
      </c>
      <c r="E973" s="14" t="str">
        <f>IF(ROW()&lt;=Results!$C$1+1,IF(D973&lt;=0,"",LN(D973)),"")</f>
        <v/>
      </c>
      <c r="F973" s="53" t="str">
        <f>IF(ROW()&lt;=Results!$C$1+1,IF(ISERROR(C973-E973),"",C973-E973),"")</f>
        <v/>
      </c>
    </row>
    <row r="974" spans="1:6" x14ac:dyDescent="0.2">
      <c r="A974" s="1" t="str">
        <f ca="1">IF(ROW()&lt;=Results!$C$1+1,INDEX(Data!$A:$A,CEILING((COUNTA(Data!$A:$A)-1)*RAND()+1,1)),"")</f>
        <v/>
      </c>
      <c r="B974" s="1" t="str">
        <f>IF(ROW()&lt;=Results!$C$1+1,VLOOKUP($A974,Data!$A$2:$C$117,2,TRUE),"")</f>
        <v/>
      </c>
      <c r="C974" s="14" t="str">
        <f>IF(ROW()&lt;=Results!$C$1+1,IF(B974&lt;=0,"",LN(B974)),"")</f>
        <v/>
      </c>
      <c r="D974" s="1" t="str">
        <f>IF(ROW()&lt;=Results!$C$1+1,VLOOKUP($A974,Data!$A$2:$C$117,3,TRUE),"")</f>
        <v/>
      </c>
      <c r="E974" s="14" t="str">
        <f>IF(ROW()&lt;=Results!$C$1+1,IF(D974&lt;=0,"",LN(D974)),"")</f>
        <v/>
      </c>
      <c r="F974" s="53" t="str">
        <f>IF(ROW()&lt;=Results!$C$1+1,IF(ISERROR(C974-E974),"",C974-E974),"")</f>
        <v/>
      </c>
    </row>
    <row r="975" spans="1:6" x14ac:dyDescent="0.2">
      <c r="A975" s="1" t="str">
        <f ca="1">IF(ROW()&lt;=Results!$C$1+1,INDEX(Data!$A:$A,CEILING((COUNTA(Data!$A:$A)-1)*RAND()+1,1)),"")</f>
        <v/>
      </c>
      <c r="B975" s="1" t="str">
        <f>IF(ROW()&lt;=Results!$C$1+1,VLOOKUP($A975,Data!$A$2:$C$117,2,TRUE),"")</f>
        <v/>
      </c>
      <c r="C975" s="14" t="str">
        <f>IF(ROW()&lt;=Results!$C$1+1,IF(B975&lt;=0,"",LN(B975)),"")</f>
        <v/>
      </c>
      <c r="D975" s="1" t="str">
        <f>IF(ROW()&lt;=Results!$C$1+1,VLOOKUP($A975,Data!$A$2:$C$117,3,TRUE),"")</f>
        <v/>
      </c>
      <c r="E975" s="14" t="str">
        <f>IF(ROW()&lt;=Results!$C$1+1,IF(D975&lt;=0,"",LN(D975)),"")</f>
        <v/>
      </c>
      <c r="F975" s="53" t="str">
        <f>IF(ROW()&lt;=Results!$C$1+1,IF(ISERROR(C975-E975),"",C975-E975),"")</f>
        <v/>
      </c>
    </row>
    <row r="976" spans="1:6" x14ac:dyDescent="0.2">
      <c r="A976" s="1" t="str">
        <f ca="1">IF(ROW()&lt;=Results!$C$1+1,INDEX(Data!$A:$A,CEILING((COUNTA(Data!$A:$A)-1)*RAND()+1,1)),"")</f>
        <v/>
      </c>
      <c r="B976" s="1" t="str">
        <f>IF(ROW()&lt;=Results!$C$1+1,VLOOKUP($A976,Data!$A$2:$C$117,2,TRUE),"")</f>
        <v/>
      </c>
      <c r="C976" s="14" t="str">
        <f>IF(ROW()&lt;=Results!$C$1+1,IF(B976&lt;=0,"",LN(B976)),"")</f>
        <v/>
      </c>
      <c r="D976" s="1" t="str">
        <f>IF(ROW()&lt;=Results!$C$1+1,VLOOKUP($A976,Data!$A$2:$C$117,3,TRUE),"")</f>
        <v/>
      </c>
      <c r="E976" s="14" t="str">
        <f>IF(ROW()&lt;=Results!$C$1+1,IF(D976&lt;=0,"",LN(D976)),"")</f>
        <v/>
      </c>
      <c r="F976" s="53" t="str">
        <f>IF(ROW()&lt;=Results!$C$1+1,IF(ISERROR(C976-E976),"",C976-E976),"")</f>
        <v/>
      </c>
    </row>
    <row r="977" spans="1:6" x14ac:dyDescent="0.2">
      <c r="A977" s="1" t="str">
        <f ca="1">IF(ROW()&lt;=Results!$C$1+1,INDEX(Data!$A:$A,CEILING((COUNTA(Data!$A:$A)-1)*RAND()+1,1)),"")</f>
        <v/>
      </c>
      <c r="B977" s="1" t="str">
        <f>IF(ROW()&lt;=Results!$C$1+1,VLOOKUP($A977,Data!$A$2:$C$117,2,TRUE),"")</f>
        <v/>
      </c>
      <c r="C977" s="14" t="str">
        <f>IF(ROW()&lt;=Results!$C$1+1,IF(B977&lt;=0,"",LN(B977)),"")</f>
        <v/>
      </c>
      <c r="D977" s="1" t="str">
        <f>IF(ROW()&lt;=Results!$C$1+1,VLOOKUP($A977,Data!$A$2:$C$117,3,TRUE),"")</f>
        <v/>
      </c>
      <c r="E977" s="14" t="str">
        <f>IF(ROW()&lt;=Results!$C$1+1,IF(D977&lt;=0,"",LN(D977)),"")</f>
        <v/>
      </c>
      <c r="F977" s="53" t="str">
        <f>IF(ROW()&lt;=Results!$C$1+1,IF(ISERROR(C977-E977),"",C977-E977),"")</f>
        <v/>
      </c>
    </row>
    <row r="978" spans="1:6" x14ac:dyDescent="0.2">
      <c r="A978" s="1" t="str">
        <f ca="1">IF(ROW()&lt;=Results!$C$1+1,INDEX(Data!$A:$A,CEILING((COUNTA(Data!$A:$A)-1)*RAND()+1,1)),"")</f>
        <v/>
      </c>
      <c r="B978" s="1" t="str">
        <f>IF(ROW()&lt;=Results!$C$1+1,VLOOKUP($A978,Data!$A$2:$C$117,2,TRUE),"")</f>
        <v/>
      </c>
      <c r="C978" s="14" t="str">
        <f>IF(ROW()&lt;=Results!$C$1+1,IF(B978&lt;=0,"",LN(B978)),"")</f>
        <v/>
      </c>
      <c r="D978" s="1" t="str">
        <f>IF(ROW()&lt;=Results!$C$1+1,VLOOKUP($A978,Data!$A$2:$C$117,3,TRUE),"")</f>
        <v/>
      </c>
      <c r="E978" s="14" t="str">
        <f>IF(ROW()&lt;=Results!$C$1+1,IF(D978&lt;=0,"",LN(D978)),"")</f>
        <v/>
      </c>
      <c r="F978" s="53" t="str">
        <f>IF(ROW()&lt;=Results!$C$1+1,IF(ISERROR(C978-E978),"",C978-E978),"")</f>
        <v/>
      </c>
    </row>
    <row r="979" spans="1:6" x14ac:dyDescent="0.2">
      <c r="A979" s="1" t="str">
        <f ca="1">IF(ROW()&lt;=Results!$C$1+1,INDEX(Data!$A:$A,CEILING((COUNTA(Data!$A:$A)-1)*RAND()+1,1)),"")</f>
        <v/>
      </c>
      <c r="B979" s="1" t="str">
        <f>IF(ROW()&lt;=Results!$C$1+1,VLOOKUP($A979,Data!$A$2:$C$117,2,TRUE),"")</f>
        <v/>
      </c>
      <c r="C979" s="14" t="str">
        <f>IF(ROW()&lt;=Results!$C$1+1,IF(B979&lt;=0,"",LN(B979)),"")</f>
        <v/>
      </c>
      <c r="D979" s="1" t="str">
        <f>IF(ROW()&lt;=Results!$C$1+1,VLOOKUP($A979,Data!$A$2:$C$117,3,TRUE),"")</f>
        <v/>
      </c>
      <c r="E979" s="14" t="str">
        <f>IF(ROW()&lt;=Results!$C$1+1,IF(D979&lt;=0,"",LN(D979)),"")</f>
        <v/>
      </c>
      <c r="F979" s="53" t="str">
        <f>IF(ROW()&lt;=Results!$C$1+1,IF(ISERROR(C979-E979),"",C979-E979),"")</f>
        <v/>
      </c>
    </row>
    <row r="980" spans="1:6" x14ac:dyDescent="0.2">
      <c r="A980" s="1" t="str">
        <f ca="1">IF(ROW()&lt;=Results!$C$1+1,INDEX(Data!$A:$A,CEILING((COUNTA(Data!$A:$A)-1)*RAND()+1,1)),"")</f>
        <v/>
      </c>
      <c r="B980" s="1" t="str">
        <f>IF(ROW()&lt;=Results!$C$1+1,VLOOKUP($A980,Data!$A$2:$C$117,2,TRUE),"")</f>
        <v/>
      </c>
      <c r="C980" s="14" t="str">
        <f>IF(ROW()&lt;=Results!$C$1+1,IF(B980&lt;=0,"",LN(B980)),"")</f>
        <v/>
      </c>
      <c r="D980" s="1" t="str">
        <f>IF(ROW()&lt;=Results!$C$1+1,VLOOKUP($A980,Data!$A$2:$C$117,3,TRUE),"")</f>
        <v/>
      </c>
      <c r="E980" s="14" t="str">
        <f>IF(ROW()&lt;=Results!$C$1+1,IF(D980&lt;=0,"",LN(D980)),"")</f>
        <v/>
      </c>
      <c r="F980" s="53" t="str">
        <f>IF(ROW()&lt;=Results!$C$1+1,IF(ISERROR(C980-E980),"",C980-E980),"")</f>
        <v/>
      </c>
    </row>
    <row r="981" spans="1:6" x14ac:dyDescent="0.2">
      <c r="A981" s="1" t="str">
        <f ca="1">IF(ROW()&lt;=Results!$C$1+1,INDEX(Data!$A:$A,CEILING((COUNTA(Data!$A:$A)-1)*RAND()+1,1)),"")</f>
        <v/>
      </c>
      <c r="B981" s="1" t="str">
        <f>IF(ROW()&lt;=Results!$C$1+1,VLOOKUP($A981,Data!$A$2:$C$117,2,TRUE),"")</f>
        <v/>
      </c>
      <c r="C981" s="14" t="str">
        <f>IF(ROW()&lt;=Results!$C$1+1,IF(B981&lt;=0,"",LN(B981)),"")</f>
        <v/>
      </c>
      <c r="D981" s="1" t="str">
        <f>IF(ROW()&lt;=Results!$C$1+1,VLOOKUP($A981,Data!$A$2:$C$117,3,TRUE),"")</f>
        <v/>
      </c>
      <c r="E981" s="14" t="str">
        <f>IF(ROW()&lt;=Results!$C$1+1,IF(D981&lt;=0,"",LN(D981)),"")</f>
        <v/>
      </c>
      <c r="F981" s="53" t="str">
        <f>IF(ROW()&lt;=Results!$C$1+1,IF(ISERROR(C981-E981),"",C981-E981),"")</f>
        <v/>
      </c>
    </row>
    <row r="982" spans="1:6" x14ac:dyDescent="0.2">
      <c r="A982" s="1" t="str">
        <f ca="1">IF(ROW()&lt;=Results!$C$1+1,INDEX(Data!$A:$A,CEILING((COUNTA(Data!$A:$A)-1)*RAND()+1,1)),"")</f>
        <v/>
      </c>
      <c r="B982" s="1" t="str">
        <f>IF(ROW()&lt;=Results!$C$1+1,VLOOKUP($A982,Data!$A$2:$C$117,2,TRUE),"")</f>
        <v/>
      </c>
      <c r="C982" s="14" t="str">
        <f>IF(ROW()&lt;=Results!$C$1+1,IF(B982&lt;=0,"",LN(B982)),"")</f>
        <v/>
      </c>
      <c r="D982" s="1" t="str">
        <f>IF(ROW()&lt;=Results!$C$1+1,VLOOKUP($A982,Data!$A$2:$C$117,3,TRUE),"")</f>
        <v/>
      </c>
      <c r="E982" s="14" t="str">
        <f>IF(ROW()&lt;=Results!$C$1+1,IF(D982&lt;=0,"",LN(D982)),"")</f>
        <v/>
      </c>
      <c r="F982" s="53" t="str">
        <f>IF(ROW()&lt;=Results!$C$1+1,IF(ISERROR(C982-E982),"",C982-E982),"")</f>
        <v/>
      </c>
    </row>
    <row r="983" spans="1:6" x14ac:dyDescent="0.2">
      <c r="A983" s="1" t="str">
        <f ca="1">IF(ROW()&lt;=Results!$C$1+1,INDEX(Data!$A:$A,CEILING((COUNTA(Data!$A:$A)-1)*RAND()+1,1)),"")</f>
        <v/>
      </c>
      <c r="B983" s="1" t="str">
        <f>IF(ROW()&lt;=Results!$C$1+1,VLOOKUP($A983,Data!$A$2:$C$117,2,TRUE),"")</f>
        <v/>
      </c>
      <c r="C983" s="14" t="str">
        <f>IF(ROW()&lt;=Results!$C$1+1,IF(B983&lt;=0,"",LN(B983)),"")</f>
        <v/>
      </c>
      <c r="D983" s="1" t="str">
        <f>IF(ROW()&lt;=Results!$C$1+1,VLOOKUP($A983,Data!$A$2:$C$117,3,TRUE),"")</f>
        <v/>
      </c>
      <c r="E983" s="14" t="str">
        <f>IF(ROW()&lt;=Results!$C$1+1,IF(D983&lt;=0,"",LN(D983)),"")</f>
        <v/>
      </c>
      <c r="F983" s="53" t="str">
        <f>IF(ROW()&lt;=Results!$C$1+1,IF(ISERROR(C983-E983),"",C983-E983),"")</f>
        <v/>
      </c>
    </row>
    <row r="984" spans="1:6" x14ac:dyDescent="0.2">
      <c r="A984" s="1" t="str">
        <f ca="1">IF(ROW()&lt;=Results!$C$1+1,INDEX(Data!$A:$A,CEILING((COUNTA(Data!$A:$A)-1)*RAND()+1,1)),"")</f>
        <v/>
      </c>
      <c r="B984" s="1" t="str">
        <f>IF(ROW()&lt;=Results!$C$1+1,VLOOKUP($A984,Data!$A$2:$C$117,2,TRUE),"")</f>
        <v/>
      </c>
      <c r="C984" s="14" t="str">
        <f>IF(ROW()&lt;=Results!$C$1+1,IF(B984&lt;=0,"",LN(B984)),"")</f>
        <v/>
      </c>
      <c r="D984" s="1" t="str">
        <f>IF(ROW()&lt;=Results!$C$1+1,VLOOKUP($A984,Data!$A$2:$C$117,3,TRUE),"")</f>
        <v/>
      </c>
      <c r="E984" s="14" t="str">
        <f>IF(ROW()&lt;=Results!$C$1+1,IF(D984&lt;=0,"",LN(D984)),"")</f>
        <v/>
      </c>
      <c r="F984" s="53" t="str">
        <f>IF(ROW()&lt;=Results!$C$1+1,IF(ISERROR(C984-E984),"",C984-E984),"")</f>
        <v/>
      </c>
    </row>
    <row r="985" spans="1:6" x14ac:dyDescent="0.2">
      <c r="A985" s="1" t="str">
        <f ca="1">IF(ROW()&lt;=Results!$C$1+1,INDEX(Data!$A:$A,CEILING((COUNTA(Data!$A:$A)-1)*RAND()+1,1)),"")</f>
        <v/>
      </c>
      <c r="B985" s="1" t="str">
        <f>IF(ROW()&lt;=Results!$C$1+1,VLOOKUP($A985,Data!$A$2:$C$117,2,TRUE),"")</f>
        <v/>
      </c>
      <c r="C985" s="14" t="str">
        <f>IF(ROW()&lt;=Results!$C$1+1,IF(B985&lt;=0,"",LN(B985)),"")</f>
        <v/>
      </c>
      <c r="D985" s="1" t="str">
        <f>IF(ROW()&lt;=Results!$C$1+1,VLOOKUP($A985,Data!$A$2:$C$117,3,TRUE),"")</f>
        <v/>
      </c>
      <c r="E985" s="14" t="str">
        <f>IF(ROW()&lt;=Results!$C$1+1,IF(D985&lt;=0,"",LN(D985)),"")</f>
        <v/>
      </c>
      <c r="F985" s="53" t="str">
        <f>IF(ROW()&lt;=Results!$C$1+1,IF(ISERROR(C985-E985),"",C985-E985),"")</f>
        <v/>
      </c>
    </row>
    <row r="986" spans="1:6" x14ac:dyDescent="0.2">
      <c r="A986" s="1" t="str">
        <f ca="1">IF(ROW()&lt;=Results!$C$1+1,INDEX(Data!$A:$A,CEILING((COUNTA(Data!$A:$A)-1)*RAND()+1,1)),"")</f>
        <v/>
      </c>
      <c r="B986" s="1" t="str">
        <f>IF(ROW()&lt;=Results!$C$1+1,VLOOKUP($A986,Data!$A$2:$C$117,2,TRUE),"")</f>
        <v/>
      </c>
      <c r="C986" s="14" t="str">
        <f>IF(ROW()&lt;=Results!$C$1+1,IF(B986&lt;=0,"",LN(B986)),"")</f>
        <v/>
      </c>
      <c r="D986" s="1" t="str">
        <f>IF(ROW()&lt;=Results!$C$1+1,VLOOKUP($A986,Data!$A$2:$C$117,3,TRUE),"")</f>
        <v/>
      </c>
      <c r="E986" s="14" t="str">
        <f>IF(ROW()&lt;=Results!$C$1+1,IF(D986&lt;=0,"",LN(D986)),"")</f>
        <v/>
      </c>
      <c r="F986" s="53" t="str">
        <f>IF(ROW()&lt;=Results!$C$1+1,IF(ISERROR(C986-E986),"",C986-E986),"")</f>
        <v/>
      </c>
    </row>
    <row r="987" spans="1:6" x14ac:dyDescent="0.2">
      <c r="A987" s="1" t="str">
        <f ca="1">IF(ROW()&lt;=Results!$C$1+1,INDEX(Data!$A:$A,CEILING((COUNTA(Data!$A:$A)-1)*RAND()+1,1)),"")</f>
        <v/>
      </c>
      <c r="B987" s="1" t="str">
        <f>IF(ROW()&lt;=Results!$C$1+1,VLOOKUP($A987,Data!$A$2:$C$117,2,TRUE),"")</f>
        <v/>
      </c>
      <c r="C987" s="14" t="str">
        <f>IF(ROW()&lt;=Results!$C$1+1,IF(B987&lt;=0,"",LN(B987)),"")</f>
        <v/>
      </c>
      <c r="D987" s="1" t="str">
        <f>IF(ROW()&lt;=Results!$C$1+1,VLOOKUP($A987,Data!$A$2:$C$117,3,TRUE),"")</f>
        <v/>
      </c>
      <c r="E987" s="14" t="str">
        <f>IF(ROW()&lt;=Results!$C$1+1,IF(D987&lt;=0,"",LN(D987)),"")</f>
        <v/>
      </c>
      <c r="F987" s="53" t="str">
        <f>IF(ROW()&lt;=Results!$C$1+1,IF(ISERROR(C987-E987),"",C987-E987),"")</f>
        <v/>
      </c>
    </row>
    <row r="988" spans="1:6" x14ac:dyDescent="0.2">
      <c r="A988" s="1" t="str">
        <f ca="1">IF(ROW()&lt;=Results!$C$1+1,INDEX(Data!$A:$A,CEILING((COUNTA(Data!$A:$A)-1)*RAND()+1,1)),"")</f>
        <v/>
      </c>
      <c r="B988" s="1" t="str">
        <f>IF(ROW()&lt;=Results!$C$1+1,VLOOKUP($A988,Data!$A$2:$C$117,2,TRUE),"")</f>
        <v/>
      </c>
      <c r="C988" s="14" t="str">
        <f>IF(ROW()&lt;=Results!$C$1+1,IF(B988&lt;=0,"",LN(B988)),"")</f>
        <v/>
      </c>
      <c r="D988" s="1" t="str">
        <f>IF(ROW()&lt;=Results!$C$1+1,VLOOKUP($A988,Data!$A$2:$C$117,3,TRUE),"")</f>
        <v/>
      </c>
      <c r="E988" s="14" t="str">
        <f>IF(ROW()&lt;=Results!$C$1+1,IF(D988&lt;=0,"",LN(D988)),"")</f>
        <v/>
      </c>
      <c r="F988" s="53" t="str">
        <f>IF(ROW()&lt;=Results!$C$1+1,IF(ISERROR(C988-E988),"",C988-E988),"")</f>
        <v/>
      </c>
    </row>
    <row r="989" spans="1:6" x14ac:dyDescent="0.2">
      <c r="A989" s="1" t="str">
        <f ca="1">IF(ROW()&lt;=Results!$C$1+1,INDEX(Data!$A:$A,CEILING((COUNTA(Data!$A:$A)-1)*RAND()+1,1)),"")</f>
        <v/>
      </c>
      <c r="B989" s="1" t="str">
        <f>IF(ROW()&lt;=Results!$C$1+1,VLOOKUP($A989,Data!$A$2:$C$117,2,TRUE),"")</f>
        <v/>
      </c>
      <c r="C989" s="14" t="str">
        <f>IF(ROW()&lt;=Results!$C$1+1,IF(B989&lt;=0,"",LN(B989)),"")</f>
        <v/>
      </c>
      <c r="D989" s="1" t="str">
        <f>IF(ROW()&lt;=Results!$C$1+1,VLOOKUP($A989,Data!$A$2:$C$117,3,TRUE),"")</f>
        <v/>
      </c>
      <c r="E989" s="14" t="str">
        <f>IF(ROW()&lt;=Results!$C$1+1,IF(D989&lt;=0,"",LN(D989)),"")</f>
        <v/>
      </c>
      <c r="F989" s="53" t="str">
        <f>IF(ROW()&lt;=Results!$C$1+1,IF(ISERROR(C989-E989),"",C989-E989),"")</f>
        <v/>
      </c>
    </row>
    <row r="990" spans="1:6" x14ac:dyDescent="0.2">
      <c r="A990" s="1" t="str">
        <f ca="1">IF(ROW()&lt;=Results!$C$1+1,INDEX(Data!$A:$A,CEILING((COUNTA(Data!$A:$A)-1)*RAND()+1,1)),"")</f>
        <v/>
      </c>
      <c r="B990" s="1" t="str">
        <f>IF(ROW()&lt;=Results!$C$1+1,VLOOKUP($A990,Data!$A$2:$C$117,2,TRUE),"")</f>
        <v/>
      </c>
      <c r="C990" s="14" t="str">
        <f>IF(ROW()&lt;=Results!$C$1+1,IF(B990&lt;=0,"",LN(B990)),"")</f>
        <v/>
      </c>
      <c r="D990" s="1" t="str">
        <f>IF(ROW()&lt;=Results!$C$1+1,VLOOKUP($A990,Data!$A$2:$C$117,3,TRUE),"")</f>
        <v/>
      </c>
      <c r="E990" s="14" t="str">
        <f>IF(ROW()&lt;=Results!$C$1+1,IF(D990&lt;=0,"",LN(D990)),"")</f>
        <v/>
      </c>
      <c r="F990" s="53" t="str">
        <f>IF(ROW()&lt;=Results!$C$1+1,IF(ISERROR(C990-E990),"",C990-E990),"")</f>
        <v/>
      </c>
    </row>
    <row r="991" spans="1:6" x14ac:dyDescent="0.2">
      <c r="A991" s="1" t="str">
        <f ca="1">IF(ROW()&lt;=Results!$C$1+1,INDEX(Data!$A:$A,CEILING((COUNTA(Data!$A:$A)-1)*RAND()+1,1)),"")</f>
        <v/>
      </c>
      <c r="B991" s="1" t="str">
        <f>IF(ROW()&lt;=Results!$C$1+1,VLOOKUP($A991,Data!$A$2:$C$117,2,TRUE),"")</f>
        <v/>
      </c>
      <c r="C991" s="14" t="str">
        <f>IF(ROW()&lt;=Results!$C$1+1,IF(B991&lt;=0,"",LN(B991)),"")</f>
        <v/>
      </c>
      <c r="D991" s="1" t="str">
        <f>IF(ROW()&lt;=Results!$C$1+1,VLOOKUP($A991,Data!$A$2:$C$117,3,TRUE),"")</f>
        <v/>
      </c>
      <c r="E991" s="14" t="str">
        <f>IF(ROW()&lt;=Results!$C$1+1,IF(D991&lt;=0,"",LN(D991)),"")</f>
        <v/>
      </c>
      <c r="F991" s="53" t="str">
        <f>IF(ROW()&lt;=Results!$C$1+1,IF(ISERROR(C991-E991),"",C991-E991),"")</f>
        <v/>
      </c>
    </row>
    <row r="992" spans="1:6" x14ac:dyDescent="0.2">
      <c r="A992" s="1" t="str">
        <f ca="1">IF(ROW()&lt;=Results!$C$1+1,INDEX(Data!$A:$A,CEILING((COUNTA(Data!$A:$A)-1)*RAND()+1,1)),"")</f>
        <v/>
      </c>
      <c r="B992" s="1" t="str">
        <f>IF(ROW()&lt;=Results!$C$1+1,VLOOKUP($A992,Data!$A$2:$C$117,2,TRUE),"")</f>
        <v/>
      </c>
      <c r="C992" s="14" t="str">
        <f>IF(ROW()&lt;=Results!$C$1+1,IF(B992&lt;=0,"",LN(B992)),"")</f>
        <v/>
      </c>
      <c r="D992" s="1" t="str">
        <f>IF(ROW()&lt;=Results!$C$1+1,VLOOKUP($A992,Data!$A$2:$C$117,3,TRUE),"")</f>
        <v/>
      </c>
      <c r="E992" s="14" t="str">
        <f>IF(ROW()&lt;=Results!$C$1+1,IF(D992&lt;=0,"",LN(D992)),"")</f>
        <v/>
      </c>
      <c r="F992" s="53" t="str">
        <f>IF(ROW()&lt;=Results!$C$1+1,IF(ISERROR(C992-E992),"",C992-E992),"")</f>
        <v/>
      </c>
    </row>
    <row r="993" spans="1:6" x14ac:dyDescent="0.2">
      <c r="A993" s="1" t="str">
        <f ca="1">IF(ROW()&lt;=Results!$C$1+1,INDEX(Data!$A:$A,CEILING((COUNTA(Data!$A:$A)-1)*RAND()+1,1)),"")</f>
        <v/>
      </c>
      <c r="B993" s="1" t="str">
        <f>IF(ROW()&lt;=Results!$C$1+1,VLOOKUP($A993,Data!$A$2:$C$117,2,TRUE),"")</f>
        <v/>
      </c>
      <c r="C993" s="14" t="str">
        <f>IF(ROW()&lt;=Results!$C$1+1,IF(B993&lt;=0,"",LN(B993)),"")</f>
        <v/>
      </c>
      <c r="D993" s="1" t="str">
        <f>IF(ROW()&lt;=Results!$C$1+1,VLOOKUP($A993,Data!$A$2:$C$117,3,TRUE),"")</f>
        <v/>
      </c>
      <c r="E993" s="14" t="str">
        <f>IF(ROW()&lt;=Results!$C$1+1,IF(D993&lt;=0,"",LN(D993)),"")</f>
        <v/>
      </c>
      <c r="F993" s="53" t="str">
        <f>IF(ROW()&lt;=Results!$C$1+1,IF(ISERROR(C993-E993),"",C993-E993),"")</f>
        <v/>
      </c>
    </row>
    <row r="994" spans="1:6" x14ac:dyDescent="0.2">
      <c r="A994" s="1" t="str">
        <f ca="1">IF(ROW()&lt;=Results!$C$1+1,INDEX(Data!$A:$A,CEILING((COUNTA(Data!$A:$A)-1)*RAND()+1,1)),"")</f>
        <v/>
      </c>
      <c r="B994" s="1" t="str">
        <f>IF(ROW()&lt;=Results!$C$1+1,VLOOKUP($A994,Data!$A$2:$C$117,2,TRUE),"")</f>
        <v/>
      </c>
      <c r="C994" s="14" t="str">
        <f>IF(ROW()&lt;=Results!$C$1+1,IF(B994&lt;=0,"",LN(B994)),"")</f>
        <v/>
      </c>
      <c r="D994" s="1" t="str">
        <f>IF(ROW()&lt;=Results!$C$1+1,VLOOKUP($A994,Data!$A$2:$C$117,3,TRUE),"")</f>
        <v/>
      </c>
      <c r="E994" s="14" t="str">
        <f>IF(ROW()&lt;=Results!$C$1+1,IF(D994&lt;=0,"",LN(D994)),"")</f>
        <v/>
      </c>
      <c r="F994" s="53" t="str">
        <f>IF(ROW()&lt;=Results!$C$1+1,IF(ISERROR(C994-E994),"",C994-E994),"")</f>
        <v/>
      </c>
    </row>
    <row r="995" spans="1:6" x14ac:dyDescent="0.2">
      <c r="A995" s="1" t="str">
        <f ca="1">IF(ROW()&lt;=Results!$C$1+1,INDEX(Data!$A:$A,CEILING((COUNTA(Data!$A:$A)-1)*RAND()+1,1)),"")</f>
        <v/>
      </c>
      <c r="B995" s="1" t="str">
        <f>IF(ROW()&lt;=Results!$C$1+1,VLOOKUP($A995,Data!$A$2:$C$117,2,TRUE),"")</f>
        <v/>
      </c>
      <c r="C995" s="14" t="str">
        <f>IF(ROW()&lt;=Results!$C$1+1,IF(B995&lt;=0,"",LN(B995)),"")</f>
        <v/>
      </c>
      <c r="D995" s="1" t="str">
        <f>IF(ROW()&lt;=Results!$C$1+1,VLOOKUP($A995,Data!$A$2:$C$117,3,TRUE),"")</f>
        <v/>
      </c>
      <c r="E995" s="14" t="str">
        <f>IF(ROW()&lt;=Results!$C$1+1,IF(D995&lt;=0,"",LN(D995)),"")</f>
        <v/>
      </c>
      <c r="F995" s="53" t="str">
        <f>IF(ROW()&lt;=Results!$C$1+1,IF(ISERROR(C995-E995),"",C995-E995),"")</f>
        <v/>
      </c>
    </row>
    <row r="996" spans="1:6" x14ac:dyDescent="0.2">
      <c r="A996" s="1" t="str">
        <f ca="1">IF(ROW()&lt;=Results!$C$1+1,INDEX(Data!$A:$A,CEILING((COUNTA(Data!$A:$A)-1)*RAND()+1,1)),"")</f>
        <v/>
      </c>
      <c r="B996" s="1" t="str">
        <f>IF(ROW()&lt;=Results!$C$1+1,VLOOKUP($A996,Data!$A$2:$C$117,2,TRUE),"")</f>
        <v/>
      </c>
      <c r="C996" s="14" t="str">
        <f>IF(ROW()&lt;=Results!$C$1+1,IF(B996&lt;=0,"",LN(B996)),"")</f>
        <v/>
      </c>
      <c r="D996" s="1" t="str">
        <f>IF(ROW()&lt;=Results!$C$1+1,VLOOKUP($A996,Data!$A$2:$C$117,3,TRUE),"")</f>
        <v/>
      </c>
      <c r="E996" s="14" t="str">
        <f>IF(ROW()&lt;=Results!$C$1+1,IF(D996&lt;=0,"",LN(D996)),"")</f>
        <v/>
      </c>
      <c r="F996" s="53" t="str">
        <f>IF(ROW()&lt;=Results!$C$1+1,IF(ISERROR(C996-E996),"",C996-E996),"")</f>
        <v/>
      </c>
    </row>
    <row r="997" spans="1:6" x14ac:dyDescent="0.2">
      <c r="A997" s="1" t="str">
        <f ca="1">IF(ROW()&lt;=Results!$C$1+1,INDEX(Data!$A:$A,CEILING((COUNTA(Data!$A:$A)-1)*RAND()+1,1)),"")</f>
        <v/>
      </c>
      <c r="B997" s="1" t="str">
        <f>IF(ROW()&lt;=Results!$C$1+1,VLOOKUP($A997,Data!$A$2:$C$117,2,TRUE),"")</f>
        <v/>
      </c>
      <c r="C997" s="14" t="str">
        <f>IF(ROW()&lt;=Results!$C$1+1,IF(B997&lt;=0,"",LN(B997)),"")</f>
        <v/>
      </c>
      <c r="D997" s="1" t="str">
        <f>IF(ROW()&lt;=Results!$C$1+1,VLOOKUP($A997,Data!$A$2:$C$117,3,TRUE),"")</f>
        <v/>
      </c>
      <c r="E997" s="14" t="str">
        <f>IF(ROW()&lt;=Results!$C$1+1,IF(D997&lt;=0,"",LN(D997)),"")</f>
        <v/>
      </c>
      <c r="F997" s="53" t="str">
        <f>IF(ROW()&lt;=Results!$C$1+1,IF(ISERROR(C997-E997),"",C997-E997),"")</f>
        <v/>
      </c>
    </row>
    <row r="998" spans="1:6" x14ac:dyDescent="0.2">
      <c r="A998" s="1" t="str">
        <f ca="1">IF(ROW()&lt;=Results!$C$1+1,INDEX(Data!$A:$A,CEILING((COUNTA(Data!$A:$A)-1)*RAND()+1,1)),"")</f>
        <v/>
      </c>
      <c r="B998" s="1" t="str">
        <f>IF(ROW()&lt;=Results!$C$1+1,VLOOKUP($A998,Data!$A$2:$C$117,2,TRUE),"")</f>
        <v/>
      </c>
      <c r="C998" s="14" t="str">
        <f>IF(ROW()&lt;=Results!$C$1+1,IF(B998&lt;=0,"",LN(B998)),"")</f>
        <v/>
      </c>
      <c r="D998" s="1" t="str">
        <f>IF(ROW()&lt;=Results!$C$1+1,VLOOKUP($A998,Data!$A$2:$C$117,3,TRUE),"")</f>
        <v/>
      </c>
      <c r="E998" s="14" t="str">
        <f>IF(ROW()&lt;=Results!$C$1+1,IF(D998&lt;=0,"",LN(D998)),"")</f>
        <v/>
      </c>
      <c r="F998" s="53" t="str">
        <f>IF(ROW()&lt;=Results!$C$1+1,IF(ISERROR(C998-E998),"",C998-E998),"")</f>
        <v/>
      </c>
    </row>
    <row r="999" spans="1:6" x14ac:dyDescent="0.2">
      <c r="A999" s="1" t="str">
        <f ca="1">IF(ROW()&lt;=Results!$C$1+1,INDEX(Data!$A:$A,CEILING((COUNTA(Data!$A:$A)-1)*RAND()+1,1)),"")</f>
        <v/>
      </c>
      <c r="B999" s="1" t="str">
        <f>IF(ROW()&lt;=Results!$C$1+1,VLOOKUP($A999,Data!$A$2:$C$117,2,TRUE),"")</f>
        <v/>
      </c>
      <c r="C999" s="14" t="str">
        <f>IF(ROW()&lt;=Results!$C$1+1,IF(B999&lt;=0,"",LN(B999)),"")</f>
        <v/>
      </c>
      <c r="D999" s="1" t="str">
        <f>IF(ROW()&lt;=Results!$C$1+1,VLOOKUP($A999,Data!$A$2:$C$117,3,TRUE),"")</f>
        <v/>
      </c>
      <c r="E999" s="14" t="str">
        <f>IF(ROW()&lt;=Results!$C$1+1,IF(D999&lt;=0,"",LN(D999)),"")</f>
        <v/>
      </c>
      <c r="F999" s="53" t="str">
        <f>IF(ROW()&lt;=Results!$C$1+1,IF(ISERROR(C999-E999),"",C999-E999),"")</f>
        <v/>
      </c>
    </row>
    <row r="1000" spans="1:6" x14ac:dyDescent="0.2">
      <c r="A1000" s="1" t="str">
        <f ca="1">IF(ROW()&lt;=Results!$C$1+1,INDEX(Data!$A:$A,CEILING((COUNTA(Data!$A:$A)-1)*RAND()+1,1)),"")</f>
        <v/>
      </c>
      <c r="B1000" s="1" t="str">
        <f>IF(ROW()&lt;=Results!$C$1+1,VLOOKUP($A1000,Data!$A$2:$C$117,2,TRUE),"")</f>
        <v/>
      </c>
      <c r="C1000" s="14" t="str">
        <f>IF(ROW()&lt;=Results!$C$1+1,IF(B1000&lt;=0,"",LN(B1000)),"")</f>
        <v/>
      </c>
      <c r="D1000" s="1" t="str">
        <f>IF(ROW()&lt;=Results!$C$1+1,VLOOKUP($A1000,Data!$A$2:$C$117,3,TRUE),"")</f>
        <v/>
      </c>
      <c r="E1000" s="14" t="str">
        <f>IF(ROW()&lt;=Results!$C$1+1,IF(D1000&lt;=0,"",LN(D1000)),"")</f>
        <v/>
      </c>
      <c r="F1000" s="53" t="str">
        <f>IF(ROW()&lt;=Results!$C$1+1,IF(ISERROR(C1000-E1000),"",C1000-E1000),"")</f>
        <v/>
      </c>
    </row>
    <row r="1001" spans="1:6" x14ac:dyDescent="0.2">
      <c r="A1001" s="1" t="str">
        <f ca="1">IF(ROW()&lt;=Results!$C$1+1,INDEX(Data!$A:$A,CEILING((COUNTA(Data!$A:$A)-1)*RAND()+1,1)),"")</f>
        <v/>
      </c>
      <c r="B1001" s="1" t="str">
        <f>IF(ROW()&lt;=Results!$C$1+1,VLOOKUP($A1001,Data!$A$2:$C$117,2,TRUE),"")</f>
        <v/>
      </c>
      <c r="C1001" s="14" t="str">
        <f>IF(ROW()&lt;=Results!$C$1+1,IF(B1001&lt;=0,"",LN(B1001)),"")</f>
        <v/>
      </c>
      <c r="D1001" s="1" t="str">
        <f>IF(ROW()&lt;=Results!$C$1+1,VLOOKUP($A1001,Data!$A$2:$C$117,3,TRUE),"")</f>
        <v/>
      </c>
      <c r="E1001" s="14" t="str">
        <f>IF(ROW()&lt;=Results!$C$1+1,IF(D1001&lt;=0,"",LN(D1001)),"")</f>
        <v/>
      </c>
      <c r="F1001" s="53" t="str">
        <f>IF(ROW()&lt;=Results!$C$1+1,IF(ISERROR(C1001-E1001),"",C1001-E1001),"")</f>
        <v/>
      </c>
    </row>
    <row r="1002" spans="1:6" x14ac:dyDescent="0.2">
      <c r="A1002" s="1" t="str">
        <f ca="1">IF(ROW()&lt;=Results!$C$1+1,INDEX(Data!$A:$A,CEILING((COUNTA(Data!$A:$A)-1)*RAND()+1,1)),"")</f>
        <v/>
      </c>
      <c r="B1002" s="1" t="str">
        <f>IF(ROW()&lt;=Results!$C$1+1,VLOOKUP($A1002,Data!$A$2:$C$117,2,TRUE),"")</f>
        <v/>
      </c>
      <c r="C1002" s="14" t="str">
        <f>IF(ROW()&lt;=Results!$C$1+1,IF(B1002&lt;=0,"",LN(B1002)),"")</f>
        <v/>
      </c>
      <c r="D1002" s="1" t="str">
        <f>IF(ROW()&lt;=Results!$C$1+1,VLOOKUP($A1002,Data!$A$2:$C$117,3,TRUE),"")</f>
        <v/>
      </c>
      <c r="E1002" s="14" t="str">
        <f>IF(ROW()&lt;=Results!$C$1+1,IF(D1002&lt;=0,"",LN(D1002)),"")</f>
        <v/>
      </c>
      <c r="F1002" s="53" t="str">
        <f>IF(ROW()&lt;=Results!$C$1+1,IF(ISERROR(C1002-E1002),"",C1002-E1002),"")</f>
        <v/>
      </c>
    </row>
    <row r="1003" spans="1:6" x14ac:dyDescent="0.2">
      <c r="A1003" s="1" t="str">
        <f ca="1">IF(ROW()&lt;=Results!$C$1+1,INDEX(Data!$A:$A,CEILING((COUNTA(Data!$A:$A)-1)*RAND()+1,1)),"")</f>
        <v/>
      </c>
      <c r="B1003" s="1" t="str">
        <f>IF(ROW()&lt;=Results!$C$1+1,VLOOKUP($A1003,Data!$A$2:$C$117,2,TRUE),"")</f>
        <v/>
      </c>
      <c r="C1003" s="14" t="str">
        <f>IF(ROW()&lt;=Results!$C$1+1,IF(B1003&lt;=0,"",LN(B1003)),"")</f>
        <v/>
      </c>
      <c r="D1003" s="1" t="str">
        <f>IF(ROW()&lt;=Results!$C$1+1,VLOOKUP($A1003,Data!$A$2:$C$117,3,TRUE),"")</f>
        <v/>
      </c>
      <c r="E1003" s="14" t="str">
        <f>IF(ROW()&lt;=Results!$C$1+1,IF(D1003&lt;=0,"",LN(D1003)),"")</f>
        <v/>
      </c>
      <c r="F1003" s="53" t="str">
        <f>IF(ROW()&lt;=Results!$C$1+1,IF(ISERROR(C1003-E1003),"",C1003-E1003),"")</f>
        <v/>
      </c>
    </row>
    <row r="1004" spans="1:6" x14ac:dyDescent="0.2">
      <c r="A1004" s="1" t="str">
        <f ca="1">IF(ROW()&lt;=Results!$C$1+1,INDEX(Data!$A:$A,CEILING((COUNTA(Data!$A:$A)-1)*RAND()+1,1)),"")</f>
        <v/>
      </c>
      <c r="B1004" s="1" t="str">
        <f>IF(ROW()&lt;=Results!$C$1+1,VLOOKUP($A1004,Data!$A$2:$C$117,2,TRUE),"")</f>
        <v/>
      </c>
      <c r="C1004" s="14" t="str">
        <f>IF(ROW()&lt;=Results!$C$1+1,IF(B1004&lt;=0,"",LN(B1004)),"")</f>
        <v/>
      </c>
      <c r="D1004" s="1" t="str">
        <f>IF(ROW()&lt;=Results!$C$1+1,VLOOKUP($A1004,Data!$A$2:$C$117,3,TRUE),"")</f>
        <v/>
      </c>
      <c r="E1004" s="14" t="str">
        <f>IF(ROW()&lt;=Results!$C$1+1,IF(D1004&lt;=0,"",LN(D1004)),"")</f>
        <v/>
      </c>
      <c r="F1004" s="53" t="str">
        <f>IF(ROW()&lt;=Results!$C$1+1,IF(ISERROR(C1004-E1004),"",C1004-E1004),"")</f>
        <v/>
      </c>
    </row>
    <row r="1005" spans="1:6" x14ac:dyDescent="0.2">
      <c r="A1005" s="1" t="str">
        <f ca="1">IF(ROW()&lt;=Results!$C$1+1,INDEX(Data!$A:$A,CEILING((COUNTA(Data!$A:$A)-1)*RAND()+1,1)),"")</f>
        <v/>
      </c>
      <c r="B1005" s="1" t="str">
        <f>IF(ROW()&lt;=Results!$C$1+1,VLOOKUP($A1005,Data!$A$2:$C$117,2,TRUE),"")</f>
        <v/>
      </c>
      <c r="C1005" s="14" t="str">
        <f>IF(ROW()&lt;=Results!$C$1+1,IF(B1005&lt;=0,"",LN(B1005)),"")</f>
        <v/>
      </c>
      <c r="D1005" s="1" t="str">
        <f>IF(ROW()&lt;=Results!$C$1+1,VLOOKUP($A1005,Data!$A$2:$C$117,3,TRUE),"")</f>
        <v/>
      </c>
      <c r="E1005" s="14" t="str">
        <f>IF(ROW()&lt;=Results!$C$1+1,IF(D1005&lt;=0,"",LN(D1005)),"")</f>
        <v/>
      </c>
      <c r="F1005" s="53" t="str">
        <f>IF(ROW()&lt;=Results!$C$1+1,IF(ISERROR(C1005-E1005),"",C1005-E1005),"")</f>
        <v/>
      </c>
    </row>
    <row r="1006" spans="1:6" x14ac:dyDescent="0.2">
      <c r="A1006" s="1" t="str">
        <f ca="1">IF(ROW()&lt;=Results!$C$1+1,INDEX(Data!$A:$A,CEILING((COUNTA(Data!$A:$A)-1)*RAND()+1,1)),"")</f>
        <v/>
      </c>
      <c r="B1006" s="1" t="str">
        <f>IF(ROW()&lt;=Results!$C$1+1,VLOOKUP($A1006,Data!$A$2:$C$117,2,TRUE),"")</f>
        <v/>
      </c>
      <c r="C1006" s="14" t="str">
        <f>IF(ROW()&lt;=Results!$C$1+1,IF(B1006&lt;=0,"",LN(B1006)),"")</f>
        <v/>
      </c>
      <c r="D1006" s="1" t="str">
        <f>IF(ROW()&lt;=Results!$C$1+1,VLOOKUP($A1006,Data!$A$2:$C$117,3,TRUE),"")</f>
        <v/>
      </c>
      <c r="E1006" s="14" t="str">
        <f>IF(ROW()&lt;=Results!$C$1+1,IF(D1006&lt;=0,"",LN(D1006)),"")</f>
        <v/>
      </c>
      <c r="F1006" s="53" t="str">
        <f>IF(ROW()&lt;=Results!$C$1+1,IF(ISERROR(C1006-E1006),"",C1006-E1006),"")</f>
        <v/>
      </c>
    </row>
    <row r="1007" spans="1:6" x14ac:dyDescent="0.2">
      <c r="A1007" s="1" t="str">
        <f ca="1">IF(ROW()&lt;=Results!$C$1+1,INDEX(Data!$A:$A,CEILING((COUNTA(Data!$A:$A)-1)*RAND()+1,1)),"")</f>
        <v/>
      </c>
      <c r="B1007" s="1" t="str">
        <f>IF(ROW()&lt;=Results!$C$1+1,VLOOKUP($A1007,Data!$A$2:$C$117,2,TRUE),"")</f>
        <v/>
      </c>
      <c r="C1007" s="14" t="str">
        <f>IF(ROW()&lt;=Results!$C$1+1,IF(B1007&lt;=0,"",LN(B1007)),"")</f>
        <v/>
      </c>
      <c r="D1007" s="1" t="str">
        <f>IF(ROW()&lt;=Results!$C$1+1,VLOOKUP($A1007,Data!$A$2:$C$117,3,TRUE),"")</f>
        <v/>
      </c>
      <c r="E1007" s="14" t="str">
        <f>IF(ROW()&lt;=Results!$C$1+1,IF(D1007&lt;=0,"",LN(D1007)),"")</f>
        <v/>
      </c>
      <c r="F1007" s="53" t="str">
        <f>IF(ROW()&lt;=Results!$C$1+1,IF(ISERROR(C1007-E1007),"",C1007-E1007),"")</f>
        <v/>
      </c>
    </row>
    <row r="1008" spans="1:6" x14ac:dyDescent="0.2">
      <c r="A1008" s="1" t="str">
        <f ca="1">IF(ROW()&lt;=Results!$C$1+1,INDEX(Data!$A:$A,CEILING((COUNTA(Data!$A:$A)-1)*RAND()+1,1)),"")</f>
        <v/>
      </c>
      <c r="B1008" s="1" t="str">
        <f>IF(ROW()&lt;=Results!$C$1+1,VLOOKUP($A1008,Data!$A$2:$C$117,2,TRUE),"")</f>
        <v/>
      </c>
      <c r="C1008" s="14" t="str">
        <f>IF(ROW()&lt;=Results!$C$1+1,IF(B1008&lt;=0,"",LN(B1008)),"")</f>
        <v/>
      </c>
      <c r="D1008" s="1" t="str">
        <f>IF(ROW()&lt;=Results!$C$1+1,VLOOKUP($A1008,Data!$A$2:$C$117,3,TRUE),"")</f>
        <v/>
      </c>
      <c r="E1008" s="14" t="str">
        <f>IF(ROW()&lt;=Results!$C$1+1,IF(D1008&lt;=0,"",LN(D1008)),"")</f>
        <v/>
      </c>
      <c r="F1008" s="53" t="str">
        <f>IF(ROW()&lt;=Results!$C$1+1,IF(ISERROR(C1008-E1008),"",C1008-E1008),"")</f>
        <v/>
      </c>
    </row>
    <row r="1009" spans="1:6" x14ac:dyDescent="0.2">
      <c r="A1009" s="1" t="str">
        <f ca="1">IF(ROW()&lt;=Results!$C$1+1,INDEX(Data!$A:$A,CEILING((COUNTA(Data!$A:$A)-1)*RAND()+1,1)),"")</f>
        <v/>
      </c>
      <c r="B1009" s="1" t="str">
        <f>IF(ROW()&lt;=Results!$C$1+1,VLOOKUP($A1009,Data!$A$2:$C$117,2,TRUE),"")</f>
        <v/>
      </c>
      <c r="C1009" s="14" t="str">
        <f>IF(ROW()&lt;=Results!$C$1+1,IF(B1009&lt;=0,"",LN(B1009)),"")</f>
        <v/>
      </c>
      <c r="D1009" s="1" t="str">
        <f>IF(ROW()&lt;=Results!$C$1+1,VLOOKUP($A1009,Data!$A$2:$C$117,3,TRUE),"")</f>
        <v/>
      </c>
      <c r="E1009" s="14" t="str">
        <f>IF(ROW()&lt;=Results!$C$1+1,IF(D1009&lt;=0,"",LN(D1009)),"")</f>
        <v/>
      </c>
      <c r="F1009" s="53" t="str">
        <f>IF(ROW()&lt;=Results!$C$1+1,IF(ISERROR(C1009-E1009),"",C1009-E1009),"")</f>
        <v/>
      </c>
    </row>
    <row r="1010" spans="1:6" x14ac:dyDescent="0.2">
      <c r="A1010" s="1" t="str">
        <f ca="1">IF(ROW()&lt;=Results!$C$1+1,INDEX(Data!$A:$A,CEILING((COUNTA(Data!$A:$A)-1)*RAND()+1,1)),"")</f>
        <v/>
      </c>
      <c r="B1010" s="1" t="str">
        <f>IF(ROW()&lt;=Results!$C$1+1,VLOOKUP($A1010,Data!$A$2:$C$117,2,TRUE),"")</f>
        <v/>
      </c>
      <c r="C1010" s="14" t="str">
        <f>IF(ROW()&lt;=Results!$C$1+1,IF(B1010&lt;=0,"",LN(B1010)),"")</f>
        <v/>
      </c>
      <c r="D1010" s="1" t="str">
        <f>IF(ROW()&lt;=Results!$C$1+1,VLOOKUP($A1010,Data!$A$2:$C$117,3,TRUE),"")</f>
        <v/>
      </c>
      <c r="E1010" s="14" t="str">
        <f>IF(ROW()&lt;=Results!$C$1+1,IF(D1010&lt;=0,"",LN(D1010)),"")</f>
        <v/>
      </c>
      <c r="F1010" s="53" t="str">
        <f>IF(ROW()&lt;=Results!$C$1+1,IF(ISERROR(C1010-E1010),"",C1010-E1010),"")</f>
        <v/>
      </c>
    </row>
    <row r="1011" spans="1:6" x14ac:dyDescent="0.2">
      <c r="A1011" s="1" t="str">
        <f ca="1">IF(ROW()&lt;=Results!$C$1+1,INDEX(Data!$A:$A,CEILING((COUNTA(Data!$A:$A)-1)*RAND()+1,1)),"")</f>
        <v/>
      </c>
      <c r="B1011" s="1" t="str">
        <f>IF(ROW()&lt;=Results!$C$1+1,VLOOKUP($A1011,Data!$A$2:$C$117,2,TRUE),"")</f>
        <v/>
      </c>
      <c r="C1011" s="14" t="str">
        <f>IF(ROW()&lt;=Results!$C$1+1,IF(B1011&lt;=0,"",LN(B1011)),"")</f>
        <v/>
      </c>
      <c r="D1011" s="1" t="str">
        <f>IF(ROW()&lt;=Results!$C$1+1,VLOOKUP($A1011,Data!$A$2:$C$117,3,TRUE),"")</f>
        <v/>
      </c>
      <c r="E1011" s="14" t="str">
        <f>IF(ROW()&lt;=Results!$C$1+1,IF(D1011&lt;=0,"",LN(D1011)),"")</f>
        <v/>
      </c>
      <c r="F1011" s="53" t="str">
        <f>IF(ROW()&lt;=Results!$C$1+1,IF(ISERROR(C1011-E1011),"",C1011-E1011),"")</f>
        <v/>
      </c>
    </row>
    <row r="1012" spans="1:6" x14ac:dyDescent="0.2">
      <c r="A1012" s="1" t="str">
        <f ca="1">IF(ROW()&lt;=Results!$C$1+1,INDEX(Data!$A:$A,CEILING((COUNTA(Data!$A:$A)-1)*RAND()+1,1)),"")</f>
        <v/>
      </c>
      <c r="B1012" s="1" t="str">
        <f>IF(ROW()&lt;=Results!$C$1+1,VLOOKUP($A1012,Data!$A$2:$C$117,2,TRUE),"")</f>
        <v/>
      </c>
      <c r="C1012" s="14" t="str">
        <f>IF(ROW()&lt;=Results!$C$1+1,IF(B1012&lt;=0,"",LN(B1012)),"")</f>
        <v/>
      </c>
      <c r="D1012" s="1" t="str">
        <f>IF(ROW()&lt;=Results!$C$1+1,VLOOKUP($A1012,Data!$A$2:$C$117,3,TRUE),"")</f>
        <v/>
      </c>
      <c r="E1012" s="14" t="str">
        <f>IF(ROW()&lt;=Results!$C$1+1,IF(D1012&lt;=0,"",LN(D1012)),"")</f>
        <v/>
      </c>
      <c r="F1012" s="53" t="str">
        <f>IF(ROW()&lt;=Results!$C$1+1,IF(ISERROR(C1012-E1012),"",C1012-E1012),"")</f>
        <v/>
      </c>
    </row>
    <row r="1013" spans="1:6" x14ac:dyDescent="0.2">
      <c r="A1013" s="1" t="str">
        <f ca="1">IF(ROW()&lt;=Results!$C$1+1,INDEX(Data!$A:$A,CEILING((COUNTA(Data!$A:$A)-1)*RAND()+1,1)),"")</f>
        <v/>
      </c>
      <c r="B1013" s="1" t="str">
        <f>IF(ROW()&lt;=Results!$C$1+1,VLOOKUP($A1013,Data!$A$2:$C$117,2,TRUE),"")</f>
        <v/>
      </c>
      <c r="C1013" s="14" t="str">
        <f>IF(ROW()&lt;=Results!$C$1+1,IF(B1013&lt;=0,"",LN(B1013)),"")</f>
        <v/>
      </c>
      <c r="D1013" s="1" t="str">
        <f>IF(ROW()&lt;=Results!$C$1+1,VLOOKUP($A1013,Data!$A$2:$C$117,3,TRUE),"")</f>
        <v/>
      </c>
      <c r="E1013" s="14" t="str">
        <f>IF(ROW()&lt;=Results!$C$1+1,IF(D1013&lt;=0,"",LN(D1013)),"")</f>
        <v/>
      </c>
      <c r="F1013" s="53" t="str">
        <f>IF(ROW()&lt;=Results!$C$1+1,IF(ISERROR(C1013-E1013),"",C1013-E1013),"")</f>
        <v/>
      </c>
    </row>
    <row r="1014" spans="1:6" x14ac:dyDescent="0.2">
      <c r="A1014" s="1" t="str">
        <f ca="1">IF(ROW()&lt;=Results!$C$1+1,INDEX(Data!$A:$A,CEILING((COUNTA(Data!$A:$A)-1)*RAND()+1,1)),"")</f>
        <v/>
      </c>
      <c r="B1014" s="1" t="str">
        <f>IF(ROW()&lt;=Results!$C$1+1,VLOOKUP($A1014,Data!$A$2:$C$117,2,TRUE),"")</f>
        <v/>
      </c>
      <c r="C1014" s="14" t="str">
        <f>IF(ROW()&lt;=Results!$C$1+1,IF(B1014&lt;=0,"",LN(B1014)),"")</f>
        <v/>
      </c>
      <c r="D1014" s="1" t="str">
        <f>IF(ROW()&lt;=Results!$C$1+1,VLOOKUP($A1014,Data!$A$2:$C$117,3,TRUE),"")</f>
        <v/>
      </c>
      <c r="E1014" s="14" t="str">
        <f>IF(ROW()&lt;=Results!$C$1+1,IF(D1014&lt;=0,"",LN(D1014)),"")</f>
        <v/>
      </c>
      <c r="F1014" s="53" t="str">
        <f>IF(ROW()&lt;=Results!$C$1+1,IF(ISERROR(C1014-E1014),"",C1014-E1014),"")</f>
        <v/>
      </c>
    </row>
    <row r="1015" spans="1:6" x14ac:dyDescent="0.2">
      <c r="A1015" s="1" t="str">
        <f ca="1">IF(ROW()&lt;=Results!$C$1+1,INDEX(Data!$A:$A,CEILING((COUNTA(Data!$A:$A)-1)*RAND()+1,1)),"")</f>
        <v/>
      </c>
      <c r="B1015" s="1" t="str">
        <f>IF(ROW()&lt;=Results!$C$1+1,VLOOKUP($A1015,Data!$A$2:$C$117,2,TRUE),"")</f>
        <v/>
      </c>
      <c r="C1015" s="14" t="str">
        <f>IF(ROW()&lt;=Results!$C$1+1,IF(B1015&lt;=0,"",LN(B1015)),"")</f>
        <v/>
      </c>
      <c r="D1015" s="1" t="str">
        <f>IF(ROW()&lt;=Results!$C$1+1,VLOOKUP($A1015,Data!$A$2:$C$117,3,TRUE),"")</f>
        <v/>
      </c>
      <c r="E1015" s="14" t="str">
        <f>IF(ROW()&lt;=Results!$C$1+1,IF(D1015&lt;=0,"",LN(D1015)),"")</f>
        <v/>
      </c>
      <c r="F1015" s="53" t="str">
        <f>IF(ROW()&lt;=Results!$C$1+1,IF(ISERROR(C1015-E1015),"",C1015-E1015),"")</f>
        <v/>
      </c>
    </row>
    <row r="1016" spans="1:6" x14ac:dyDescent="0.2">
      <c r="A1016" s="1" t="str">
        <f ca="1">IF(ROW()&lt;=Results!$C$1+1,INDEX(Data!$A:$A,CEILING((COUNTA(Data!$A:$A)-1)*RAND()+1,1)),"")</f>
        <v/>
      </c>
      <c r="B1016" s="1" t="str">
        <f>IF(ROW()&lt;=Results!$C$1+1,VLOOKUP($A1016,Data!$A$2:$C$117,2,TRUE),"")</f>
        <v/>
      </c>
      <c r="C1016" s="14" t="str">
        <f>IF(ROW()&lt;=Results!$C$1+1,IF(B1016&lt;=0,"",LN(B1016)),"")</f>
        <v/>
      </c>
      <c r="D1016" s="1" t="str">
        <f>IF(ROW()&lt;=Results!$C$1+1,VLOOKUP($A1016,Data!$A$2:$C$117,3,TRUE),"")</f>
        <v/>
      </c>
      <c r="E1016" s="14" t="str">
        <f>IF(ROW()&lt;=Results!$C$1+1,IF(D1016&lt;=0,"",LN(D1016)),"")</f>
        <v/>
      </c>
      <c r="F1016" s="53" t="str">
        <f>IF(ROW()&lt;=Results!$C$1+1,IF(ISERROR(C1016-E1016),"",C1016-E1016),"")</f>
        <v/>
      </c>
    </row>
    <row r="1017" spans="1:6" x14ac:dyDescent="0.2">
      <c r="A1017" s="1" t="str">
        <f ca="1">IF(ROW()&lt;=Results!$C$1+1,INDEX(Data!$A:$A,CEILING((COUNTA(Data!$A:$A)-1)*RAND()+1,1)),"")</f>
        <v/>
      </c>
      <c r="B1017" s="1" t="str">
        <f>IF(ROW()&lt;=Results!$C$1+1,VLOOKUP($A1017,Data!$A$2:$C$117,2,TRUE),"")</f>
        <v/>
      </c>
      <c r="C1017" s="14" t="str">
        <f>IF(ROW()&lt;=Results!$C$1+1,IF(B1017&lt;=0,"",LN(B1017)),"")</f>
        <v/>
      </c>
      <c r="D1017" s="1" t="str">
        <f>IF(ROW()&lt;=Results!$C$1+1,VLOOKUP($A1017,Data!$A$2:$C$117,3,TRUE),"")</f>
        <v/>
      </c>
      <c r="E1017" s="14" t="str">
        <f>IF(ROW()&lt;=Results!$C$1+1,IF(D1017&lt;=0,"",LN(D1017)),"")</f>
        <v/>
      </c>
      <c r="F1017" s="53" t="str">
        <f>IF(ROW()&lt;=Results!$C$1+1,IF(ISERROR(C1017-E1017),"",C1017-E1017),"")</f>
        <v/>
      </c>
    </row>
    <row r="1018" spans="1:6" x14ac:dyDescent="0.2">
      <c r="A1018" s="1" t="str">
        <f ca="1">IF(ROW()&lt;=Results!$C$1+1,INDEX(Data!$A:$A,CEILING((COUNTA(Data!$A:$A)-1)*RAND()+1,1)),"")</f>
        <v/>
      </c>
      <c r="B1018" s="1" t="str">
        <f>IF(ROW()&lt;=Results!$C$1+1,VLOOKUP($A1018,Data!$A$2:$C$117,2,TRUE),"")</f>
        <v/>
      </c>
      <c r="C1018" s="14" t="str">
        <f>IF(ROW()&lt;=Results!$C$1+1,IF(B1018&lt;=0,"",LN(B1018)),"")</f>
        <v/>
      </c>
      <c r="D1018" s="1" t="str">
        <f>IF(ROW()&lt;=Results!$C$1+1,VLOOKUP($A1018,Data!$A$2:$C$117,3,TRUE),"")</f>
        <v/>
      </c>
      <c r="E1018" s="14" t="str">
        <f>IF(ROW()&lt;=Results!$C$1+1,IF(D1018&lt;=0,"",LN(D1018)),"")</f>
        <v/>
      </c>
      <c r="F1018" s="53" t="str">
        <f>IF(ROW()&lt;=Results!$C$1+1,IF(ISERROR(C1018-E1018),"",C1018-E1018),"")</f>
        <v/>
      </c>
    </row>
    <row r="1019" spans="1:6" x14ac:dyDescent="0.2">
      <c r="A1019" s="1" t="str">
        <f ca="1">IF(ROW()&lt;=Results!$C$1+1,INDEX(Data!$A:$A,CEILING((COUNTA(Data!$A:$A)-1)*RAND()+1,1)),"")</f>
        <v/>
      </c>
      <c r="B1019" s="1" t="str">
        <f>IF(ROW()&lt;=Results!$C$1+1,VLOOKUP($A1019,Data!$A$2:$C$117,2,TRUE),"")</f>
        <v/>
      </c>
      <c r="C1019" s="14" t="str">
        <f>IF(ROW()&lt;=Results!$C$1+1,IF(B1019&lt;=0,"",LN(B1019)),"")</f>
        <v/>
      </c>
      <c r="D1019" s="1" t="str">
        <f>IF(ROW()&lt;=Results!$C$1+1,VLOOKUP($A1019,Data!$A$2:$C$117,3,TRUE),"")</f>
        <v/>
      </c>
      <c r="E1019" s="14" t="str">
        <f>IF(ROW()&lt;=Results!$C$1+1,IF(D1019&lt;=0,"",LN(D1019)),"")</f>
        <v/>
      </c>
      <c r="F1019" s="53" t="str">
        <f>IF(ROW()&lt;=Results!$C$1+1,IF(ISERROR(C1019-E1019),"",C1019-E1019),"")</f>
        <v/>
      </c>
    </row>
    <row r="1020" spans="1:6" x14ac:dyDescent="0.2">
      <c r="A1020" s="1" t="str">
        <f ca="1">IF(ROW()&lt;=Results!$C$1+1,INDEX(Data!$A:$A,CEILING((COUNTA(Data!$A:$A)-1)*RAND()+1,1)),"")</f>
        <v/>
      </c>
      <c r="B1020" s="1" t="str">
        <f>IF(ROW()&lt;=Results!$C$1+1,VLOOKUP($A1020,Data!$A$2:$C$117,2,TRUE),"")</f>
        <v/>
      </c>
      <c r="C1020" s="14" t="str">
        <f>IF(ROW()&lt;=Results!$C$1+1,IF(B1020&lt;=0,"",LN(B1020)),"")</f>
        <v/>
      </c>
      <c r="D1020" s="1" t="str">
        <f>IF(ROW()&lt;=Results!$C$1+1,VLOOKUP($A1020,Data!$A$2:$C$117,3,TRUE),"")</f>
        <v/>
      </c>
      <c r="E1020" s="14" t="str">
        <f>IF(ROW()&lt;=Results!$C$1+1,IF(D1020&lt;=0,"",LN(D1020)),"")</f>
        <v/>
      </c>
      <c r="F1020" s="53" t="str">
        <f>IF(ROW()&lt;=Results!$C$1+1,IF(ISERROR(C1020-E1020),"",C1020-E1020),"")</f>
        <v/>
      </c>
    </row>
    <row r="1021" spans="1:6" x14ac:dyDescent="0.2">
      <c r="A1021" s="1" t="str">
        <f ca="1">IF(ROW()&lt;=Results!$C$1+1,INDEX(Data!$A:$A,CEILING((COUNTA(Data!$A:$A)-1)*RAND()+1,1)),"")</f>
        <v/>
      </c>
      <c r="B1021" s="1" t="str">
        <f>IF(ROW()&lt;=Results!$C$1+1,VLOOKUP($A1021,Data!$A$2:$C$117,2,TRUE),"")</f>
        <v/>
      </c>
      <c r="C1021" s="14" t="str">
        <f>IF(ROW()&lt;=Results!$C$1+1,IF(B1021&lt;=0,"",LN(B1021)),"")</f>
        <v/>
      </c>
      <c r="D1021" s="1" t="str">
        <f>IF(ROW()&lt;=Results!$C$1+1,VLOOKUP($A1021,Data!$A$2:$C$117,3,TRUE),"")</f>
        <v/>
      </c>
      <c r="E1021" s="14" t="str">
        <f>IF(ROW()&lt;=Results!$C$1+1,IF(D1021&lt;=0,"",LN(D1021)),"")</f>
        <v/>
      </c>
      <c r="F1021" s="53" t="str">
        <f>IF(ROW()&lt;=Results!$C$1+1,IF(ISERROR(C1021-E1021),"",C1021-E1021),"")</f>
        <v/>
      </c>
    </row>
    <row r="1022" spans="1:6" x14ac:dyDescent="0.2">
      <c r="A1022" s="1" t="str">
        <f ca="1">IF(ROW()&lt;=Results!$C$1+1,INDEX(Data!$A:$A,CEILING((COUNTA(Data!$A:$A)-1)*RAND()+1,1)),"")</f>
        <v/>
      </c>
      <c r="B1022" s="1" t="str">
        <f>IF(ROW()&lt;=Results!$C$1+1,VLOOKUP($A1022,Data!$A$2:$C$117,2,TRUE),"")</f>
        <v/>
      </c>
      <c r="C1022" s="14" t="str">
        <f>IF(ROW()&lt;=Results!$C$1+1,IF(B1022&lt;=0,"",LN(B1022)),"")</f>
        <v/>
      </c>
      <c r="D1022" s="1" t="str">
        <f>IF(ROW()&lt;=Results!$C$1+1,VLOOKUP($A1022,Data!$A$2:$C$117,3,TRUE),"")</f>
        <v/>
      </c>
      <c r="E1022" s="14" t="str">
        <f>IF(ROW()&lt;=Results!$C$1+1,IF(D1022&lt;=0,"",LN(D1022)),"")</f>
        <v/>
      </c>
      <c r="F1022" s="53" t="str">
        <f>IF(ROW()&lt;=Results!$C$1+1,IF(ISERROR(C1022-E1022),"",C1022-E1022),"")</f>
        <v/>
      </c>
    </row>
    <row r="1023" spans="1:6" x14ac:dyDescent="0.2">
      <c r="A1023" s="1" t="str">
        <f ca="1">IF(ROW()&lt;=Results!$C$1+1,INDEX(Data!$A:$A,CEILING((COUNTA(Data!$A:$A)-1)*RAND()+1,1)),"")</f>
        <v/>
      </c>
      <c r="B1023" s="1" t="str">
        <f>IF(ROW()&lt;=Results!$C$1+1,VLOOKUP($A1023,Data!$A$2:$C$117,2,TRUE),"")</f>
        <v/>
      </c>
      <c r="C1023" s="14" t="str">
        <f>IF(ROW()&lt;=Results!$C$1+1,IF(B1023&lt;=0,"",LN(B1023)),"")</f>
        <v/>
      </c>
      <c r="D1023" s="1" t="str">
        <f>IF(ROW()&lt;=Results!$C$1+1,VLOOKUP($A1023,Data!$A$2:$C$117,3,TRUE),"")</f>
        <v/>
      </c>
      <c r="E1023" s="14" t="str">
        <f>IF(ROW()&lt;=Results!$C$1+1,IF(D1023&lt;=0,"",LN(D1023)),"")</f>
        <v/>
      </c>
      <c r="F1023" s="53" t="str">
        <f>IF(ROW()&lt;=Results!$C$1+1,IF(ISERROR(C1023-E1023),"",C1023-E1023),"")</f>
        <v/>
      </c>
    </row>
    <row r="1024" spans="1:6" x14ac:dyDescent="0.2">
      <c r="A1024" s="1" t="str">
        <f ca="1">IF(ROW()&lt;=Results!$C$1+1,INDEX(Data!$A:$A,CEILING((COUNTA(Data!$A:$A)-1)*RAND()+1,1)),"")</f>
        <v/>
      </c>
      <c r="B1024" s="1" t="str">
        <f>IF(ROW()&lt;=Results!$C$1+1,VLOOKUP($A1024,Data!$A$2:$C$117,2,TRUE),"")</f>
        <v/>
      </c>
      <c r="C1024" s="14" t="str">
        <f>IF(ROW()&lt;=Results!$C$1+1,IF(B1024&lt;=0,"",LN(B1024)),"")</f>
        <v/>
      </c>
      <c r="D1024" s="1" t="str">
        <f>IF(ROW()&lt;=Results!$C$1+1,VLOOKUP($A1024,Data!$A$2:$C$117,3,TRUE),"")</f>
        <v/>
      </c>
      <c r="E1024" s="14" t="str">
        <f>IF(ROW()&lt;=Results!$C$1+1,IF(D1024&lt;=0,"",LN(D1024)),"")</f>
        <v/>
      </c>
      <c r="F1024" s="53" t="str">
        <f>IF(ROW()&lt;=Results!$C$1+1,IF(ISERROR(C1024-E1024),"",C1024-E1024),"")</f>
        <v/>
      </c>
    </row>
    <row r="1025" spans="1:6" x14ac:dyDescent="0.2">
      <c r="A1025" s="1" t="str">
        <f ca="1">IF(ROW()&lt;=Results!$C$1+1,INDEX(Data!$A:$A,CEILING((COUNTA(Data!$A:$A)-1)*RAND()+1,1)),"")</f>
        <v/>
      </c>
      <c r="B1025" s="1" t="str">
        <f>IF(ROW()&lt;=Results!$C$1+1,VLOOKUP($A1025,Data!$A$2:$C$117,2,TRUE),"")</f>
        <v/>
      </c>
      <c r="C1025" s="14" t="str">
        <f>IF(ROW()&lt;=Results!$C$1+1,IF(B1025&lt;=0,"",LN(B1025)),"")</f>
        <v/>
      </c>
      <c r="D1025" s="1" t="str">
        <f>IF(ROW()&lt;=Results!$C$1+1,VLOOKUP($A1025,Data!$A$2:$C$117,3,TRUE),"")</f>
        <v/>
      </c>
      <c r="E1025" s="14" t="str">
        <f>IF(ROW()&lt;=Results!$C$1+1,IF(D1025&lt;=0,"",LN(D1025)),"")</f>
        <v/>
      </c>
      <c r="F1025" s="53" t="str">
        <f>IF(ROW()&lt;=Results!$C$1+1,IF(ISERROR(C1025-E1025),"",C1025-E1025),"")</f>
        <v/>
      </c>
    </row>
    <row r="1026" spans="1:6" x14ac:dyDescent="0.2">
      <c r="A1026" s="1" t="str">
        <f ca="1">IF(ROW()&lt;=Results!$C$1+1,INDEX(Data!$A:$A,CEILING((COUNTA(Data!$A:$A)-1)*RAND()+1,1)),"")</f>
        <v/>
      </c>
      <c r="B1026" s="1" t="str">
        <f>IF(ROW()&lt;=Results!$C$1+1,VLOOKUP($A1026,Data!$A$2:$C$117,2,TRUE),"")</f>
        <v/>
      </c>
      <c r="C1026" s="14" t="str">
        <f>IF(ROW()&lt;=Results!$C$1+1,IF(B1026&lt;=0,"",LN(B1026)),"")</f>
        <v/>
      </c>
      <c r="D1026" s="1" t="str">
        <f>IF(ROW()&lt;=Results!$C$1+1,VLOOKUP($A1026,Data!$A$2:$C$117,3,TRUE),"")</f>
        <v/>
      </c>
      <c r="E1026" s="14" t="str">
        <f>IF(ROW()&lt;=Results!$C$1+1,IF(D1026&lt;=0,"",LN(D1026)),"")</f>
        <v/>
      </c>
      <c r="F1026" s="53" t="str">
        <f>IF(ROW()&lt;=Results!$C$1+1,IF(ISERROR(C1026-E1026),"",C1026-E1026),"")</f>
        <v/>
      </c>
    </row>
    <row r="1027" spans="1:6" x14ac:dyDescent="0.2">
      <c r="A1027" s="1" t="str">
        <f ca="1">IF(ROW()&lt;=Results!$C$1+1,INDEX(Data!$A:$A,CEILING((COUNTA(Data!$A:$A)-1)*RAND()+1,1)),"")</f>
        <v/>
      </c>
      <c r="B1027" s="1" t="str">
        <f>IF(ROW()&lt;=Results!$C$1+1,VLOOKUP($A1027,Data!$A$2:$C$117,2,TRUE),"")</f>
        <v/>
      </c>
      <c r="C1027" s="14" t="str">
        <f>IF(ROW()&lt;=Results!$C$1+1,IF(B1027&lt;=0,"",LN(B1027)),"")</f>
        <v/>
      </c>
      <c r="D1027" s="1" t="str">
        <f>IF(ROW()&lt;=Results!$C$1+1,VLOOKUP($A1027,Data!$A$2:$C$117,3,TRUE),"")</f>
        <v/>
      </c>
      <c r="E1027" s="14" t="str">
        <f>IF(ROW()&lt;=Results!$C$1+1,IF(D1027&lt;=0,"",LN(D1027)),"")</f>
        <v/>
      </c>
      <c r="F1027" s="53" t="str">
        <f>IF(ROW()&lt;=Results!$C$1+1,IF(ISERROR(C1027-E1027),"",C1027-E1027),"")</f>
        <v/>
      </c>
    </row>
    <row r="1028" spans="1:6" x14ac:dyDescent="0.2">
      <c r="A1028" s="1" t="str">
        <f ca="1">IF(ROW()&lt;=Results!$C$1+1,INDEX(Data!$A:$A,CEILING((COUNTA(Data!$A:$A)-1)*RAND()+1,1)),"")</f>
        <v/>
      </c>
      <c r="B1028" s="1" t="str">
        <f>IF(ROW()&lt;=Results!$C$1+1,VLOOKUP($A1028,Data!$A$2:$C$117,2,TRUE),"")</f>
        <v/>
      </c>
      <c r="C1028" s="14" t="str">
        <f>IF(ROW()&lt;=Results!$C$1+1,IF(B1028&lt;=0,"",LN(B1028)),"")</f>
        <v/>
      </c>
      <c r="D1028" s="1" t="str">
        <f>IF(ROW()&lt;=Results!$C$1+1,VLOOKUP($A1028,Data!$A$2:$C$117,3,TRUE),"")</f>
        <v/>
      </c>
      <c r="E1028" s="14" t="str">
        <f>IF(ROW()&lt;=Results!$C$1+1,IF(D1028&lt;=0,"",LN(D1028)),"")</f>
        <v/>
      </c>
      <c r="F1028" s="53" t="str">
        <f>IF(ROW()&lt;=Results!$C$1+1,IF(ISERROR(C1028-E1028),"",C1028-E1028),"")</f>
        <v/>
      </c>
    </row>
    <row r="1029" spans="1:6" x14ac:dyDescent="0.2">
      <c r="A1029" s="1" t="str">
        <f ca="1">IF(ROW()&lt;=Results!$C$1+1,INDEX(Data!$A:$A,CEILING((COUNTA(Data!$A:$A)-1)*RAND()+1,1)),"")</f>
        <v/>
      </c>
      <c r="B1029" s="1" t="str">
        <f>IF(ROW()&lt;=Results!$C$1+1,VLOOKUP($A1029,Data!$A$2:$C$117,2,TRUE),"")</f>
        <v/>
      </c>
      <c r="C1029" s="14" t="str">
        <f>IF(ROW()&lt;=Results!$C$1+1,IF(B1029&lt;=0,"",LN(B1029)),"")</f>
        <v/>
      </c>
      <c r="D1029" s="1" t="str">
        <f>IF(ROW()&lt;=Results!$C$1+1,VLOOKUP($A1029,Data!$A$2:$C$117,3,TRUE),"")</f>
        <v/>
      </c>
      <c r="E1029" s="14" t="str">
        <f>IF(ROW()&lt;=Results!$C$1+1,IF(D1029&lt;=0,"",LN(D1029)),"")</f>
        <v/>
      </c>
      <c r="F1029" s="53" t="str">
        <f>IF(ROW()&lt;=Results!$C$1+1,IF(ISERROR(C1029-E1029),"",C1029-E1029),"")</f>
        <v/>
      </c>
    </row>
    <row r="1030" spans="1:6" x14ac:dyDescent="0.2">
      <c r="A1030" s="1" t="str">
        <f ca="1">IF(ROW()&lt;=Results!$C$1+1,INDEX(Data!$A:$A,CEILING((COUNTA(Data!$A:$A)-1)*RAND()+1,1)),"")</f>
        <v/>
      </c>
      <c r="B1030" s="1" t="str">
        <f>IF(ROW()&lt;=Results!$C$1+1,VLOOKUP($A1030,Data!$A$2:$C$117,2,TRUE),"")</f>
        <v/>
      </c>
      <c r="C1030" s="14" t="str">
        <f>IF(ROW()&lt;=Results!$C$1+1,IF(B1030&lt;=0,"",LN(B1030)),"")</f>
        <v/>
      </c>
      <c r="D1030" s="1" t="str">
        <f>IF(ROW()&lt;=Results!$C$1+1,VLOOKUP($A1030,Data!$A$2:$C$117,3,TRUE),"")</f>
        <v/>
      </c>
      <c r="E1030" s="14" t="str">
        <f>IF(ROW()&lt;=Results!$C$1+1,IF(D1030&lt;=0,"",LN(D1030)),"")</f>
        <v/>
      </c>
      <c r="F1030" s="53" t="str">
        <f>IF(ROW()&lt;=Results!$C$1+1,IF(ISERROR(C1030-E1030),"",C1030-E1030),"")</f>
        <v/>
      </c>
    </row>
    <row r="1031" spans="1:6" x14ac:dyDescent="0.2">
      <c r="A1031" s="1" t="str">
        <f ca="1">IF(ROW()&lt;=Results!$C$1+1,INDEX(Data!$A:$A,CEILING((COUNTA(Data!$A:$A)-1)*RAND()+1,1)),"")</f>
        <v/>
      </c>
      <c r="B1031" s="1" t="str">
        <f>IF(ROW()&lt;=Results!$C$1+1,VLOOKUP($A1031,Data!$A$2:$C$117,2,TRUE),"")</f>
        <v/>
      </c>
      <c r="C1031" s="14" t="str">
        <f>IF(ROW()&lt;=Results!$C$1+1,IF(B1031&lt;=0,"",LN(B1031)),"")</f>
        <v/>
      </c>
      <c r="D1031" s="1" t="str">
        <f>IF(ROW()&lt;=Results!$C$1+1,VLOOKUP($A1031,Data!$A$2:$C$117,3,TRUE),"")</f>
        <v/>
      </c>
      <c r="E1031" s="14" t="str">
        <f>IF(ROW()&lt;=Results!$C$1+1,IF(D1031&lt;=0,"",LN(D1031)),"")</f>
        <v/>
      </c>
      <c r="F1031" s="53" t="str">
        <f>IF(ROW()&lt;=Results!$C$1+1,IF(ISERROR(C1031-E1031),"",C1031-E1031),"")</f>
        <v/>
      </c>
    </row>
    <row r="1032" spans="1:6" x14ac:dyDescent="0.2">
      <c r="A1032" s="1" t="str">
        <f ca="1">IF(ROW()&lt;=Results!$C$1+1,INDEX(Data!$A:$A,CEILING((COUNTA(Data!$A:$A)-1)*RAND()+1,1)),"")</f>
        <v/>
      </c>
      <c r="B1032" s="1" t="str">
        <f>IF(ROW()&lt;=Results!$C$1+1,VLOOKUP($A1032,Data!$A$2:$C$117,2,TRUE),"")</f>
        <v/>
      </c>
      <c r="C1032" s="14" t="str">
        <f>IF(ROW()&lt;=Results!$C$1+1,IF(B1032&lt;=0,"",LN(B1032)),"")</f>
        <v/>
      </c>
      <c r="D1032" s="1" t="str">
        <f>IF(ROW()&lt;=Results!$C$1+1,VLOOKUP($A1032,Data!$A$2:$C$117,3,TRUE),"")</f>
        <v/>
      </c>
      <c r="E1032" s="14" t="str">
        <f>IF(ROW()&lt;=Results!$C$1+1,IF(D1032&lt;=0,"",LN(D1032)),"")</f>
        <v/>
      </c>
      <c r="F1032" s="53" t="str">
        <f>IF(ROW()&lt;=Results!$C$1+1,IF(ISERROR(C1032-E1032),"",C1032-E1032),"")</f>
        <v/>
      </c>
    </row>
    <row r="1033" spans="1:6" x14ac:dyDescent="0.2">
      <c r="A1033" s="1" t="str">
        <f ca="1">IF(ROW()&lt;=Results!$C$1+1,INDEX(Data!$A:$A,CEILING((COUNTA(Data!$A:$A)-1)*RAND()+1,1)),"")</f>
        <v/>
      </c>
      <c r="B1033" s="1" t="str">
        <f>IF(ROW()&lt;=Results!$C$1+1,VLOOKUP($A1033,Data!$A$2:$C$117,2,TRUE),"")</f>
        <v/>
      </c>
      <c r="C1033" s="14" t="str">
        <f>IF(ROW()&lt;=Results!$C$1+1,IF(B1033&lt;=0,"",LN(B1033)),"")</f>
        <v/>
      </c>
      <c r="D1033" s="1" t="str">
        <f>IF(ROW()&lt;=Results!$C$1+1,VLOOKUP($A1033,Data!$A$2:$C$117,3,TRUE),"")</f>
        <v/>
      </c>
      <c r="E1033" s="14" t="str">
        <f>IF(ROW()&lt;=Results!$C$1+1,IF(D1033&lt;=0,"",LN(D1033)),"")</f>
        <v/>
      </c>
      <c r="F1033" s="53" t="str">
        <f>IF(ROW()&lt;=Results!$C$1+1,IF(ISERROR(C1033-E1033),"",C1033-E1033),"")</f>
        <v/>
      </c>
    </row>
    <row r="1034" spans="1:6" x14ac:dyDescent="0.2">
      <c r="A1034" s="1" t="str">
        <f ca="1">IF(ROW()&lt;=Results!$C$1+1,INDEX(Data!$A:$A,CEILING((COUNTA(Data!$A:$A)-1)*RAND()+1,1)),"")</f>
        <v/>
      </c>
      <c r="B1034" s="1" t="str">
        <f>IF(ROW()&lt;=Results!$C$1+1,VLOOKUP($A1034,Data!$A$2:$C$117,2,TRUE),"")</f>
        <v/>
      </c>
      <c r="C1034" s="14" t="str">
        <f>IF(ROW()&lt;=Results!$C$1+1,IF(B1034&lt;=0,"",LN(B1034)),"")</f>
        <v/>
      </c>
      <c r="D1034" s="1" t="str">
        <f>IF(ROW()&lt;=Results!$C$1+1,VLOOKUP($A1034,Data!$A$2:$C$117,3,TRUE),"")</f>
        <v/>
      </c>
      <c r="E1034" s="14" t="str">
        <f>IF(ROW()&lt;=Results!$C$1+1,IF(D1034&lt;=0,"",LN(D1034)),"")</f>
        <v/>
      </c>
      <c r="F1034" s="53" t="str">
        <f>IF(ROW()&lt;=Results!$C$1+1,IF(ISERROR(C1034-E1034),"",C1034-E1034),"")</f>
        <v/>
      </c>
    </row>
    <row r="1035" spans="1:6" x14ac:dyDescent="0.2">
      <c r="A1035" s="1" t="str">
        <f ca="1">IF(ROW()&lt;=Results!$C$1+1,INDEX(Data!$A:$A,CEILING((COUNTA(Data!$A:$A)-1)*RAND()+1,1)),"")</f>
        <v/>
      </c>
      <c r="B1035" s="1" t="str">
        <f>IF(ROW()&lt;=Results!$C$1+1,VLOOKUP($A1035,Data!$A$2:$C$117,2,TRUE),"")</f>
        <v/>
      </c>
      <c r="C1035" s="14" t="str">
        <f>IF(ROW()&lt;=Results!$C$1+1,IF(B1035&lt;=0,"",LN(B1035)),"")</f>
        <v/>
      </c>
      <c r="D1035" s="1" t="str">
        <f>IF(ROW()&lt;=Results!$C$1+1,VLOOKUP($A1035,Data!$A$2:$C$117,3,TRUE),"")</f>
        <v/>
      </c>
      <c r="E1035" s="14" t="str">
        <f>IF(ROW()&lt;=Results!$C$1+1,IF(D1035&lt;=0,"",LN(D1035)),"")</f>
        <v/>
      </c>
      <c r="F1035" s="53" t="str">
        <f>IF(ROW()&lt;=Results!$C$1+1,IF(ISERROR(C1035-E1035),"",C1035-E1035),"")</f>
        <v/>
      </c>
    </row>
    <row r="1036" spans="1:6" x14ac:dyDescent="0.2">
      <c r="A1036" s="1" t="str">
        <f ca="1">IF(ROW()&lt;=Results!$C$1+1,INDEX(Data!$A:$A,CEILING((COUNTA(Data!$A:$A)-1)*RAND()+1,1)),"")</f>
        <v/>
      </c>
      <c r="B1036" s="1" t="str">
        <f>IF(ROW()&lt;=Results!$C$1+1,VLOOKUP($A1036,Data!$A$2:$C$117,2,TRUE),"")</f>
        <v/>
      </c>
      <c r="C1036" s="14" t="str">
        <f>IF(ROW()&lt;=Results!$C$1+1,IF(B1036&lt;=0,"",LN(B1036)),"")</f>
        <v/>
      </c>
      <c r="D1036" s="1" t="str">
        <f>IF(ROW()&lt;=Results!$C$1+1,VLOOKUP($A1036,Data!$A$2:$C$117,3,TRUE),"")</f>
        <v/>
      </c>
      <c r="E1036" s="14" t="str">
        <f>IF(ROW()&lt;=Results!$C$1+1,IF(D1036&lt;=0,"",LN(D1036)),"")</f>
        <v/>
      </c>
      <c r="F1036" s="53" t="str">
        <f>IF(ROW()&lt;=Results!$C$1+1,IF(ISERROR(C1036-E1036),"",C1036-E1036),"")</f>
        <v/>
      </c>
    </row>
    <row r="1037" spans="1:6" x14ac:dyDescent="0.2">
      <c r="A1037" s="1" t="str">
        <f ca="1">IF(ROW()&lt;=Results!$C$1+1,INDEX(Data!$A:$A,CEILING((COUNTA(Data!$A:$A)-1)*RAND()+1,1)),"")</f>
        <v/>
      </c>
      <c r="B1037" s="1" t="str">
        <f>IF(ROW()&lt;=Results!$C$1+1,VLOOKUP($A1037,Data!$A$2:$C$117,2,TRUE),"")</f>
        <v/>
      </c>
      <c r="C1037" s="14" t="str">
        <f>IF(ROW()&lt;=Results!$C$1+1,IF(B1037&lt;=0,"",LN(B1037)),"")</f>
        <v/>
      </c>
      <c r="D1037" s="1" t="str">
        <f>IF(ROW()&lt;=Results!$C$1+1,VLOOKUP($A1037,Data!$A$2:$C$117,3,TRUE),"")</f>
        <v/>
      </c>
      <c r="E1037" s="14" t="str">
        <f>IF(ROW()&lt;=Results!$C$1+1,IF(D1037&lt;=0,"",LN(D1037)),"")</f>
        <v/>
      </c>
      <c r="F1037" s="53" t="str">
        <f>IF(ROW()&lt;=Results!$C$1+1,IF(ISERROR(C1037-E1037),"",C1037-E1037),"")</f>
        <v/>
      </c>
    </row>
    <row r="1038" spans="1:6" x14ac:dyDescent="0.2">
      <c r="A1038" s="1" t="str">
        <f ca="1">IF(ROW()&lt;=Results!$C$1+1,INDEX(Data!$A:$A,CEILING((COUNTA(Data!$A:$A)-1)*RAND()+1,1)),"")</f>
        <v/>
      </c>
      <c r="B1038" s="1" t="str">
        <f>IF(ROW()&lt;=Results!$C$1+1,VLOOKUP($A1038,Data!$A$2:$C$117,2,TRUE),"")</f>
        <v/>
      </c>
      <c r="C1038" s="14" t="str">
        <f>IF(ROW()&lt;=Results!$C$1+1,IF(B1038&lt;=0,"",LN(B1038)),"")</f>
        <v/>
      </c>
      <c r="D1038" s="1" t="str">
        <f>IF(ROW()&lt;=Results!$C$1+1,VLOOKUP($A1038,Data!$A$2:$C$117,3,TRUE),"")</f>
        <v/>
      </c>
      <c r="E1038" s="14" t="str">
        <f>IF(ROW()&lt;=Results!$C$1+1,IF(D1038&lt;=0,"",LN(D1038)),"")</f>
        <v/>
      </c>
      <c r="F1038" s="53" t="str">
        <f>IF(ROW()&lt;=Results!$C$1+1,IF(ISERROR(C1038-E1038),"",C1038-E1038),"")</f>
        <v/>
      </c>
    </row>
    <row r="1039" spans="1:6" x14ac:dyDescent="0.2">
      <c r="A1039" s="1" t="str">
        <f ca="1">IF(ROW()&lt;=Results!$C$1+1,INDEX(Data!$A:$A,CEILING((COUNTA(Data!$A:$A)-1)*RAND()+1,1)),"")</f>
        <v/>
      </c>
      <c r="B1039" s="1" t="str">
        <f>IF(ROW()&lt;=Results!$C$1+1,VLOOKUP($A1039,Data!$A$2:$C$117,2,TRUE),"")</f>
        <v/>
      </c>
      <c r="C1039" s="14" t="str">
        <f>IF(ROW()&lt;=Results!$C$1+1,IF(B1039&lt;=0,"",LN(B1039)),"")</f>
        <v/>
      </c>
      <c r="D1039" s="1" t="str">
        <f>IF(ROW()&lt;=Results!$C$1+1,VLOOKUP($A1039,Data!$A$2:$C$117,3,TRUE),"")</f>
        <v/>
      </c>
      <c r="E1039" s="14" t="str">
        <f>IF(ROW()&lt;=Results!$C$1+1,IF(D1039&lt;=0,"",LN(D1039)),"")</f>
        <v/>
      </c>
      <c r="F1039" s="53" t="str">
        <f>IF(ROW()&lt;=Results!$C$1+1,IF(ISERROR(C1039-E1039),"",C1039-E1039),"")</f>
        <v/>
      </c>
    </row>
    <row r="1040" spans="1:6" x14ac:dyDescent="0.2">
      <c r="A1040" s="1" t="str">
        <f ca="1">IF(ROW()&lt;=Results!$C$1+1,INDEX(Data!$A:$A,CEILING((COUNTA(Data!$A:$A)-1)*RAND()+1,1)),"")</f>
        <v/>
      </c>
      <c r="B1040" s="1" t="str">
        <f>IF(ROW()&lt;=Results!$C$1+1,VLOOKUP($A1040,Data!$A$2:$C$117,2,TRUE),"")</f>
        <v/>
      </c>
      <c r="C1040" s="14" t="str">
        <f>IF(ROW()&lt;=Results!$C$1+1,IF(B1040&lt;=0,"",LN(B1040)),"")</f>
        <v/>
      </c>
      <c r="D1040" s="1" t="str">
        <f>IF(ROW()&lt;=Results!$C$1+1,VLOOKUP($A1040,Data!$A$2:$C$117,3,TRUE),"")</f>
        <v/>
      </c>
      <c r="E1040" s="14" t="str">
        <f>IF(ROW()&lt;=Results!$C$1+1,IF(D1040&lt;=0,"",LN(D1040)),"")</f>
        <v/>
      </c>
      <c r="F1040" s="53" t="str">
        <f>IF(ROW()&lt;=Results!$C$1+1,IF(ISERROR(C1040-E1040),"",C1040-E1040),"")</f>
        <v/>
      </c>
    </row>
    <row r="1041" spans="1:6" x14ac:dyDescent="0.2">
      <c r="A1041" s="1" t="str">
        <f ca="1">IF(ROW()&lt;=Results!$C$1+1,INDEX(Data!$A:$A,CEILING((COUNTA(Data!$A:$A)-1)*RAND()+1,1)),"")</f>
        <v/>
      </c>
      <c r="B1041" s="1" t="str">
        <f>IF(ROW()&lt;=Results!$C$1+1,VLOOKUP($A1041,Data!$A$2:$C$117,2,TRUE),"")</f>
        <v/>
      </c>
      <c r="C1041" s="14" t="str">
        <f>IF(ROW()&lt;=Results!$C$1+1,IF(B1041&lt;=0,"",LN(B1041)),"")</f>
        <v/>
      </c>
      <c r="D1041" s="1" t="str">
        <f>IF(ROW()&lt;=Results!$C$1+1,VLOOKUP($A1041,Data!$A$2:$C$117,3,TRUE),"")</f>
        <v/>
      </c>
      <c r="E1041" s="14" t="str">
        <f>IF(ROW()&lt;=Results!$C$1+1,IF(D1041&lt;=0,"",LN(D1041)),"")</f>
        <v/>
      </c>
      <c r="F1041" s="53" t="str">
        <f>IF(ROW()&lt;=Results!$C$1+1,IF(ISERROR(C1041-E1041),"",C1041-E1041),"")</f>
        <v/>
      </c>
    </row>
    <row r="1042" spans="1:6" x14ac:dyDescent="0.2">
      <c r="A1042" s="1" t="str">
        <f ca="1">IF(ROW()&lt;=Results!$C$1+1,INDEX(Data!$A:$A,CEILING((COUNTA(Data!$A:$A)-1)*RAND()+1,1)),"")</f>
        <v/>
      </c>
      <c r="B1042" s="1" t="str">
        <f>IF(ROW()&lt;=Results!$C$1+1,VLOOKUP($A1042,Data!$A$2:$C$117,2,TRUE),"")</f>
        <v/>
      </c>
      <c r="C1042" s="14" t="str">
        <f>IF(ROW()&lt;=Results!$C$1+1,IF(B1042&lt;=0,"",LN(B1042)),"")</f>
        <v/>
      </c>
      <c r="D1042" s="1" t="str">
        <f>IF(ROW()&lt;=Results!$C$1+1,VLOOKUP($A1042,Data!$A$2:$C$117,3,TRUE),"")</f>
        <v/>
      </c>
      <c r="E1042" s="14" t="str">
        <f>IF(ROW()&lt;=Results!$C$1+1,IF(D1042&lt;=0,"",LN(D1042)),"")</f>
        <v/>
      </c>
      <c r="F1042" s="53" t="str">
        <f>IF(ROW()&lt;=Results!$C$1+1,IF(ISERROR(C1042-E1042),"",C1042-E1042),"")</f>
        <v/>
      </c>
    </row>
    <row r="1043" spans="1:6" x14ac:dyDescent="0.2">
      <c r="A1043" s="1" t="str">
        <f ca="1">IF(ROW()&lt;=Results!$C$1+1,INDEX(Data!$A:$A,CEILING((COUNTA(Data!$A:$A)-1)*RAND()+1,1)),"")</f>
        <v/>
      </c>
      <c r="B1043" s="1" t="str">
        <f>IF(ROW()&lt;=Results!$C$1+1,VLOOKUP($A1043,Data!$A$2:$C$117,2,TRUE),"")</f>
        <v/>
      </c>
      <c r="C1043" s="14" t="str">
        <f>IF(ROW()&lt;=Results!$C$1+1,IF(B1043&lt;=0,"",LN(B1043)),"")</f>
        <v/>
      </c>
      <c r="D1043" s="1" t="str">
        <f>IF(ROW()&lt;=Results!$C$1+1,VLOOKUP($A1043,Data!$A$2:$C$117,3,TRUE),"")</f>
        <v/>
      </c>
      <c r="E1043" s="14" t="str">
        <f>IF(ROW()&lt;=Results!$C$1+1,IF(D1043&lt;=0,"",LN(D1043)),"")</f>
        <v/>
      </c>
      <c r="F1043" s="53" t="str">
        <f>IF(ROW()&lt;=Results!$C$1+1,IF(ISERROR(C1043-E1043),"",C1043-E1043),"")</f>
        <v/>
      </c>
    </row>
    <row r="1044" spans="1:6" x14ac:dyDescent="0.2">
      <c r="A1044" s="1" t="str">
        <f ca="1">IF(ROW()&lt;=Results!$C$1+1,INDEX(Data!$A:$A,CEILING((COUNTA(Data!$A:$A)-1)*RAND()+1,1)),"")</f>
        <v/>
      </c>
      <c r="B1044" s="1" t="str">
        <f>IF(ROW()&lt;=Results!$C$1+1,VLOOKUP($A1044,Data!$A$2:$C$117,2,TRUE),"")</f>
        <v/>
      </c>
      <c r="C1044" s="14" t="str">
        <f>IF(ROW()&lt;=Results!$C$1+1,IF(B1044&lt;=0,"",LN(B1044)),"")</f>
        <v/>
      </c>
      <c r="D1044" s="1" t="str">
        <f>IF(ROW()&lt;=Results!$C$1+1,VLOOKUP($A1044,Data!$A$2:$C$117,3,TRUE),"")</f>
        <v/>
      </c>
      <c r="E1044" s="14" t="str">
        <f>IF(ROW()&lt;=Results!$C$1+1,IF(D1044&lt;=0,"",LN(D1044)),"")</f>
        <v/>
      </c>
      <c r="F1044" s="53" t="str">
        <f>IF(ROW()&lt;=Results!$C$1+1,IF(ISERROR(C1044-E1044),"",C1044-E1044),"")</f>
        <v/>
      </c>
    </row>
    <row r="1045" spans="1:6" x14ac:dyDescent="0.2">
      <c r="A1045" s="1" t="str">
        <f ca="1">IF(ROW()&lt;=Results!$C$1+1,INDEX(Data!$A:$A,CEILING((COUNTA(Data!$A:$A)-1)*RAND()+1,1)),"")</f>
        <v/>
      </c>
      <c r="B1045" s="1" t="str">
        <f>IF(ROW()&lt;=Results!$C$1+1,VLOOKUP($A1045,Data!$A$2:$C$117,2,TRUE),"")</f>
        <v/>
      </c>
      <c r="C1045" s="14" t="str">
        <f>IF(ROW()&lt;=Results!$C$1+1,IF(B1045&lt;=0,"",LN(B1045)),"")</f>
        <v/>
      </c>
      <c r="D1045" s="1" t="str">
        <f>IF(ROW()&lt;=Results!$C$1+1,VLOOKUP($A1045,Data!$A$2:$C$117,3,TRUE),"")</f>
        <v/>
      </c>
      <c r="E1045" s="14" t="str">
        <f>IF(ROW()&lt;=Results!$C$1+1,IF(D1045&lt;=0,"",LN(D1045)),"")</f>
        <v/>
      </c>
      <c r="F1045" s="53" t="str">
        <f>IF(ROW()&lt;=Results!$C$1+1,IF(ISERROR(C1045-E1045),"",C1045-E1045),"")</f>
        <v/>
      </c>
    </row>
    <row r="1046" spans="1:6" x14ac:dyDescent="0.2">
      <c r="A1046" s="1" t="str">
        <f ca="1">IF(ROW()&lt;=Results!$C$1+1,INDEX(Data!$A:$A,CEILING((COUNTA(Data!$A:$A)-1)*RAND()+1,1)),"")</f>
        <v/>
      </c>
      <c r="B1046" s="1" t="str">
        <f>IF(ROW()&lt;=Results!$C$1+1,VLOOKUP($A1046,Data!$A$2:$C$117,2,TRUE),"")</f>
        <v/>
      </c>
      <c r="C1046" s="14" t="str">
        <f>IF(ROW()&lt;=Results!$C$1+1,IF(B1046&lt;=0,"",LN(B1046)),"")</f>
        <v/>
      </c>
      <c r="D1046" s="1" t="str">
        <f>IF(ROW()&lt;=Results!$C$1+1,VLOOKUP($A1046,Data!$A$2:$C$117,3,TRUE),"")</f>
        <v/>
      </c>
      <c r="E1046" s="14" t="str">
        <f>IF(ROW()&lt;=Results!$C$1+1,IF(D1046&lt;=0,"",LN(D1046)),"")</f>
        <v/>
      </c>
      <c r="F1046" s="53" t="str">
        <f>IF(ROW()&lt;=Results!$C$1+1,IF(ISERROR(C1046-E1046),"",C1046-E1046),"")</f>
        <v/>
      </c>
    </row>
    <row r="1047" spans="1:6" x14ac:dyDescent="0.2">
      <c r="A1047" s="1" t="str">
        <f ca="1">IF(ROW()&lt;=Results!$C$1+1,INDEX(Data!$A:$A,CEILING((COUNTA(Data!$A:$A)-1)*RAND()+1,1)),"")</f>
        <v/>
      </c>
      <c r="B1047" s="1" t="str">
        <f>IF(ROW()&lt;=Results!$C$1+1,VLOOKUP($A1047,Data!$A$2:$C$117,2,TRUE),"")</f>
        <v/>
      </c>
      <c r="C1047" s="14" t="str">
        <f>IF(ROW()&lt;=Results!$C$1+1,IF(B1047&lt;=0,"",LN(B1047)),"")</f>
        <v/>
      </c>
      <c r="D1047" s="1" t="str">
        <f>IF(ROW()&lt;=Results!$C$1+1,VLOOKUP($A1047,Data!$A$2:$C$117,3,TRUE),"")</f>
        <v/>
      </c>
      <c r="E1047" s="14" t="str">
        <f>IF(ROW()&lt;=Results!$C$1+1,IF(D1047&lt;=0,"",LN(D1047)),"")</f>
        <v/>
      </c>
      <c r="F1047" s="53" t="str">
        <f>IF(ROW()&lt;=Results!$C$1+1,IF(ISERROR(C1047-E1047),"",C1047-E1047),"")</f>
        <v/>
      </c>
    </row>
    <row r="1048" spans="1:6" x14ac:dyDescent="0.2">
      <c r="A1048" s="1" t="str">
        <f ca="1">IF(ROW()&lt;=Results!$C$1+1,INDEX(Data!$A:$A,CEILING((COUNTA(Data!$A:$A)-1)*RAND()+1,1)),"")</f>
        <v/>
      </c>
      <c r="B1048" s="1" t="str">
        <f>IF(ROW()&lt;=Results!$C$1+1,VLOOKUP($A1048,Data!$A$2:$C$117,2,TRUE),"")</f>
        <v/>
      </c>
      <c r="C1048" s="14" t="str">
        <f>IF(ROW()&lt;=Results!$C$1+1,IF(B1048&lt;=0,"",LN(B1048)),"")</f>
        <v/>
      </c>
      <c r="D1048" s="1" t="str">
        <f>IF(ROW()&lt;=Results!$C$1+1,VLOOKUP($A1048,Data!$A$2:$C$117,3,TRUE),"")</f>
        <v/>
      </c>
      <c r="E1048" s="14" t="str">
        <f>IF(ROW()&lt;=Results!$C$1+1,IF(D1048&lt;=0,"",LN(D1048)),"")</f>
        <v/>
      </c>
      <c r="F1048" s="53" t="str">
        <f>IF(ROW()&lt;=Results!$C$1+1,IF(ISERROR(C1048-E1048),"",C1048-E1048),"")</f>
        <v/>
      </c>
    </row>
    <row r="1049" spans="1:6" x14ac:dyDescent="0.2">
      <c r="A1049" s="1" t="str">
        <f ca="1">IF(ROW()&lt;=Results!$C$1+1,INDEX(Data!$A:$A,CEILING((COUNTA(Data!$A:$A)-1)*RAND()+1,1)),"")</f>
        <v/>
      </c>
      <c r="B1049" s="1" t="str">
        <f>IF(ROW()&lt;=Results!$C$1+1,VLOOKUP($A1049,Data!$A$2:$C$117,2,TRUE),"")</f>
        <v/>
      </c>
      <c r="C1049" s="14" t="str">
        <f>IF(ROW()&lt;=Results!$C$1+1,IF(B1049&lt;=0,"",LN(B1049)),"")</f>
        <v/>
      </c>
      <c r="D1049" s="1" t="str">
        <f>IF(ROW()&lt;=Results!$C$1+1,VLOOKUP($A1049,Data!$A$2:$C$117,3,TRUE),"")</f>
        <v/>
      </c>
      <c r="E1049" s="14" t="str">
        <f>IF(ROW()&lt;=Results!$C$1+1,IF(D1049&lt;=0,"",LN(D1049)),"")</f>
        <v/>
      </c>
      <c r="F1049" s="53" t="str">
        <f>IF(ROW()&lt;=Results!$C$1+1,IF(ISERROR(C1049-E1049),"",C1049-E1049),"")</f>
        <v/>
      </c>
    </row>
    <row r="1050" spans="1:6" x14ac:dyDescent="0.2">
      <c r="A1050" s="1" t="str">
        <f ca="1">IF(ROW()&lt;=Results!$C$1+1,INDEX(Data!$A:$A,CEILING((COUNTA(Data!$A:$A)-1)*RAND()+1,1)),"")</f>
        <v/>
      </c>
      <c r="B1050" s="1" t="str">
        <f>IF(ROW()&lt;=Results!$C$1+1,VLOOKUP($A1050,Data!$A$2:$C$117,2,TRUE),"")</f>
        <v/>
      </c>
      <c r="C1050" s="14" t="str">
        <f>IF(ROW()&lt;=Results!$C$1+1,IF(B1050&lt;=0,"",LN(B1050)),"")</f>
        <v/>
      </c>
      <c r="D1050" s="1" t="str">
        <f>IF(ROW()&lt;=Results!$C$1+1,VLOOKUP($A1050,Data!$A$2:$C$117,3,TRUE),"")</f>
        <v/>
      </c>
      <c r="E1050" s="14" t="str">
        <f>IF(ROW()&lt;=Results!$C$1+1,IF(D1050&lt;=0,"",LN(D1050)),"")</f>
        <v/>
      </c>
      <c r="F1050" s="53" t="str">
        <f>IF(ROW()&lt;=Results!$C$1+1,IF(ISERROR(C1050-E1050),"",C1050-E1050),"")</f>
        <v/>
      </c>
    </row>
    <row r="1051" spans="1:6" x14ac:dyDescent="0.2">
      <c r="A1051" s="1" t="str">
        <f ca="1">IF(ROW()&lt;=Results!$C$1+1,INDEX(Data!$A:$A,CEILING((COUNTA(Data!$A:$A)-1)*RAND()+1,1)),"")</f>
        <v/>
      </c>
      <c r="B1051" s="1" t="str">
        <f>IF(ROW()&lt;=Results!$C$1+1,VLOOKUP($A1051,Data!$A$2:$C$117,2,TRUE),"")</f>
        <v/>
      </c>
      <c r="C1051" s="14" t="str">
        <f>IF(ROW()&lt;=Results!$C$1+1,IF(B1051&lt;=0,"",LN(B1051)),"")</f>
        <v/>
      </c>
      <c r="D1051" s="1" t="str">
        <f>IF(ROW()&lt;=Results!$C$1+1,VLOOKUP($A1051,Data!$A$2:$C$117,3,TRUE),"")</f>
        <v/>
      </c>
      <c r="E1051" s="14" t="str">
        <f>IF(ROW()&lt;=Results!$C$1+1,IF(D1051&lt;=0,"",LN(D1051)),"")</f>
        <v/>
      </c>
      <c r="F1051" s="53" t="str">
        <f>IF(ROW()&lt;=Results!$C$1+1,IF(ISERROR(C1051-E1051),"",C1051-E1051),"")</f>
        <v/>
      </c>
    </row>
    <row r="1052" spans="1:6" x14ac:dyDescent="0.2">
      <c r="A1052" s="1" t="str">
        <f ca="1">IF(ROW()&lt;=Results!$C$1+1,INDEX(Data!$A:$A,CEILING((COUNTA(Data!$A:$A)-1)*RAND()+1,1)),"")</f>
        <v/>
      </c>
      <c r="B1052" s="1" t="str">
        <f>IF(ROW()&lt;=Results!$C$1+1,VLOOKUP($A1052,Data!$A$2:$C$117,2,TRUE),"")</f>
        <v/>
      </c>
      <c r="C1052" s="14" t="str">
        <f>IF(ROW()&lt;=Results!$C$1+1,IF(B1052&lt;=0,"",LN(B1052)),"")</f>
        <v/>
      </c>
      <c r="D1052" s="1" t="str">
        <f>IF(ROW()&lt;=Results!$C$1+1,VLOOKUP($A1052,Data!$A$2:$C$117,3,TRUE),"")</f>
        <v/>
      </c>
      <c r="E1052" s="14" t="str">
        <f>IF(ROW()&lt;=Results!$C$1+1,IF(D1052&lt;=0,"",LN(D1052)),"")</f>
        <v/>
      </c>
      <c r="F1052" s="53" t="str">
        <f>IF(ROW()&lt;=Results!$C$1+1,IF(ISERROR(C1052-E1052),"",C1052-E1052),"")</f>
        <v/>
      </c>
    </row>
    <row r="1053" spans="1:6" x14ac:dyDescent="0.2">
      <c r="A1053" s="1" t="str">
        <f ca="1">IF(ROW()&lt;=Results!$C$1+1,INDEX(Data!$A:$A,CEILING((COUNTA(Data!$A:$A)-1)*RAND()+1,1)),"")</f>
        <v/>
      </c>
      <c r="B1053" s="1" t="str">
        <f>IF(ROW()&lt;=Results!$C$1+1,VLOOKUP($A1053,Data!$A$2:$C$117,2,TRUE),"")</f>
        <v/>
      </c>
      <c r="C1053" s="14" t="str">
        <f>IF(ROW()&lt;=Results!$C$1+1,IF(B1053&lt;=0,"",LN(B1053)),"")</f>
        <v/>
      </c>
      <c r="D1053" s="1" t="str">
        <f>IF(ROW()&lt;=Results!$C$1+1,VLOOKUP($A1053,Data!$A$2:$C$117,3,TRUE),"")</f>
        <v/>
      </c>
      <c r="E1053" s="14" t="str">
        <f>IF(ROW()&lt;=Results!$C$1+1,IF(D1053&lt;=0,"",LN(D1053)),"")</f>
        <v/>
      </c>
      <c r="F1053" s="53" t="str">
        <f>IF(ROW()&lt;=Results!$C$1+1,IF(ISERROR(C1053-E1053),"",C1053-E1053),"")</f>
        <v/>
      </c>
    </row>
    <row r="1054" spans="1:6" x14ac:dyDescent="0.2">
      <c r="A1054" s="1" t="str">
        <f ca="1">IF(ROW()&lt;=Results!$C$1+1,INDEX(Data!$A:$A,CEILING((COUNTA(Data!$A:$A)-1)*RAND()+1,1)),"")</f>
        <v/>
      </c>
      <c r="B1054" s="1" t="str">
        <f>IF(ROW()&lt;=Results!$C$1+1,VLOOKUP($A1054,Data!$A$2:$C$117,2,TRUE),"")</f>
        <v/>
      </c>
      <c r="C1054" s="14" t="str">
        <f>IF(ROW()&lt;=Results!$C$1+1,IF(B1054&lt;=0,"",LN(B1054)),"")</f>
        <v/>
      </c>
      <c r="D1054" s="1" t="str">
        <f>IF(ROW()&lt;=Results!$C$1+1,VLOOKUP($A1054,Data!$A$2:$C$117,3,TRUE),"")</f>
        <v/>
      </c>
      <c r="E1054" s="14" t="str">
        <f>IF(ROW()&lt;=Results!$C$1+1,IF(D1054&lt;=0,"",LN(D1054)),"")</f>
        <v/>
      </c>
      <c r="F1054" s="53" t="str">
        <f>IF(ROW()&lt;=Results!$C$1+1,IF(ISERROR(C1054-E1054),"",C1054-E1054),"")</f>
        <v/>
      </c>
    </row>
    <row r="1055" spans="1:6" x14ac:dyDescent="0.2">
      <c r="A1055" s="1" t="str">
        <f ca="1">IF(ROW()&lt;=Results!$C$1+1,INDEX(Data!$A:$A,CEILING((COUNTA(Data!$A:$A)-1)*RAND()+1,1)),"")</f>
        <v/>
      </c>
      <c r="B1055" s="1" t="str">
        <f>IF(ROW()&lt;=Results!$C$1+1,VLOOKUP($A1055,Data!$A$2:$C$117,2,TRUE),"")</f>
        <v/>
      </c>
      <c r="C1055" s="14" t="str">
        <f>IF(ROW()&lt;=Results!$C$1+1,IF(B1055&lt;=0,"",LN(B1055)),"")</f>
        <v/>
      </c>
      <c r="D1055" s="1" t="str">
        <f>IF(ROW()&lt;=Results!$C$1+1,VLOOKUP($A1055,Data!$A$2:$C$117,3,TRUE),"")</f>
        <v/>
      </c>
      <c r="E1055" s="14" t="str">
        <f>IF(ROW()&lt;=Results!$C$1+1,IF(D1055&lt;=0,"",LN(D1055)),"")</f>
        <v/>
      </c>
      <c r="F1055" s="53" t="str">
        <f>IF(ROW()&lt;=Results!$C$1+1,IF(ISERROR(C1055-E1055),"",C1055-E1055),"")</f>
        <v/>
      </c>
    </row>
    <row r="1056" spans="1:6" x14ac:dyDescent="0.2">
      <c r="A1056" s="1" t="str">
        <f ca="1">IF(ROW()&lt;=Results!$C$1+1,INDEX(Data!$A:$A,CEILING((COUNTA(Data!$A:$A)-1)*RAND()+1,1)),"")</f>
        <v/>
      </c>
      <c r="B1056" s="1" t="str">
        <f>IF(ROW()&lt;=Results!$C$1+1,VLOOKUP($A1056,Data!$A$2:$C$117,2,TRUE),"")</f>
        <v/>
      </c>
      <c r="C1056" s="14" t="str">
        <f>IF(ROW()&lt;=Results!$C$1+1,IF(B1056&lt;=0,"",LN(B1056)),"")</f>
        <v/>
      </c>
      <c r="D1056" s="1" t="str">
        <f>IF(ROW()&lt;=Results!$C$1+1,VLOOKUP($A1056,Data!$A$2:$C$117,3,TRUE),"")</f>
        <v/>
      </c>
      <c r="E1056" s="14" t="str">
        <f>IF(ROW()&lt;=Results!$C$1+1,IF(D1056&lt;=0,"",LN(D1056)),"")</f>
        <v/>
      </c>
      <c r="F1056" s="53" t="str">
        <f>IF(ROW()&lt;=Results!$C$1+1,IF(ISERROR(C1056-E1056),"",C1056-E1056),"")</f>
        <v/>
      </c>
    </row>
    <row r="1057" spans="1:6" x14ac:dyDescent="0.2">
      <c r="A1057" s="1" t="str">
        <f ca="1">IF(ROW()&lt;=Results!$C$1+1,INDEX(Data!$A:$A,CEILING((COUNTA(Data!$A:$A)-1)*RAND()+1,1)),"")</f>
        <v/>
      </c>
      <c r="B1057" s="1" t="str">
        <f>IF(ROW()&lt;=Results!$C$1+1,VLOOKUP($A1057,Data!$A$2:$C$117,2,TRUE),"")</f>
        <v/>
      </c>
      <c r="C1057" s="14" t="str">
        <f>IF(ROW()&lt;=Results!$C$1+1,IF(B1057&lt;=0,"",LN(B1057)),"")</f>
        <v/>
      </c>
      <c r="D1057" s="1" t="str">
        <f>IF(ROW()&lt;=Results!$C$1+1,VLOOKUP($A1057,Data!$A$2:$C$117,3,TRUE),"")</f>
        <v/>
      </c>
      <c r="E1057" s="14" t="str">
        <f>IF(ROW()&lt;=Results!$C$1+1,IF(D1057&lt;=0,"",LN(D1057)),"")</f>
        <v/>
      </c>
      <c r="F1057" s="53" t="str">
        <f>IF(ROW()&lt;=Results!$C$1+1,IF(ISERROR(C1057-E1057),"",C1057-E1057),"")</f>
        <v/>
      </c>
    </row>
    <row r="1058" spans="1:6" x14ac:dyDescent="0.2">
      <c r="A1058" s="1" t="str">
        <f ca="1">IF(ROW()&lt;=Results!$C$1+1,INDEX(Data!$A:$A,CEILING((COUNTA(Data!$A:$A)-1)*RAND()+1,1)),"")</f>
        <v/>
      </c>
      <c r="B1058" s="1" t="str">
        <f>IF(ROW()&lt;=Results!$C$1+1,VLOOKUP($A1058,Data!$A$2:$C$117,2,TRUE),"")</f>
        <v/>
      </c>
      <c r="C1058" s="14" t="str">
        <f>IF(ROW()&lt;=Results!$C$1+1,IF(B1058&lt;=0,"",LN(B1058)),"")</f>
        <v/>
      </c>
      <c r="D1058" s="1" t="str">
        <f>IF(ROW()&lt;=Results!$C$1+1,VLOOKUP($A1058,Data!$A$2:$C$117,3,TRUE),"")</f>
        <v/>
      </c>
      <c r="E1058" s="14" t="str">
        <f>IF(ROW()&lt;=Results!$C$1+1,IF(D1058&lt;=0,"",LN(D1058)),"")</f>
        <v/>
      </c>
      <c r="F1058" s="53" t="str">
        <f>IF(ROW()&lt;=Results!$C$1+1,IF(ISERROR(C1058-E1058),"",C1058-E1058),"")</f>
        <v/>
      </c>
    </row>
    <row r="1059" spans="1:6" x14ac:dyDescent="0.2">
      <c r="A1059" s="1" t="str">
        <f ca="1">IF(ROW()&lt;=Results!$C$1+1,INDEX(Data!$A:$A,CEILING((COUNTA(Data!$A:$A)-1)*RAND()+1,1)),"")</f>
        <v/>
      </c>
      <c r="B1059" s="1" t="str">
        <f>IF(ROW()&lt;=Results!$C$1+1,VLOOKUP($A1059,Data!$A$2:$C$117,2,TRUE),"")</f>
        <v/>
      </c>
      <c r="C1059" s="14" t="str">
        <f>IF(ROW()&lt;=Results!$C$1+1,IF(B1059&lt;=0,"",LN(B1059)),"")</f>
        <v/>
      </c>
      <c r="D1059" s="1" t="str">
        <f>IF(ROW()&lt;=Results!$C$1+1,VLOOKUP($A1059,Data!$A$2:$C$117,3,TRUE),"")</f>
        <v/>
      </c>
      <c r="E1059" s="14" t="str">
        <f>IF(ROW()&lt;=Results!$C$1+1,IF(D1059&lt;=0,"",LN(D1059)),"")</f>
        <v/>
      </c>
      <c r="F1059" s="53" t="str">
        <f>IF(ROW()&lt;=Results!$C$1+1,IF(ISERROR(C1059-E1059),"",C1059-E1059),"")</f>
        <v/>
      </c>
    </row>
    <row r="1060" spans="1:6" x14ac:dyDescent="0.2">
      <c r="A1060" s="1" t="str">
        <f ca="1">IF(ROW()&lt;=Results!$C$1+1,INDEX(Data!$A:$A,CEILING((COUNTA(Data!$A:$A)-1)*RAND()+1,1)),"")</f>
        <v/>
      </c>
      <c r="B1060" s="1" t="str">
        <f>IF(ROW()&lt;=Results!$C$1+1,VLOOKUP($A1060,Data!$A$2:$C$117,2,TRUE),"")</f>
        <v/>
      </c>
      <c r="C1060" s="14" t="str">
        <f>IF(ROW()&lt;=Results!$C$1+1,IF(B1060&lt;=0,"",LN(B1060)),"")</f>
        <v/>
      </c>
      <c r="D1060" s="1" t="str">
        <f>IF(ROW()&lt;=Results!$C$1+1,VLOOKUP($A1060,Data!$A$2:$C$117,3,TRUE),"")</f>
        <v/>
      </c>
      <c r="E1060" s="14" t="str">
        <f>IF(ROW()&lt;=Results!$C$1+1,IF(D1060&lt;=0,"",LN(D1060)),"")</f>
        <v/>
      </c>
      <c r="F1060" s="53" t="str">
        <f>IF(ROW()&lt;=Results!$C$1+1,IF(ISERROR(C1060-E1060),"",C1060-E1060),"")</f>
        <v/>
      </c>
    </row>
    <row r="1061" spans="1:6" x14ac:dyDescent="0.2">
      <c r="A1061" s="1" t="str">
        <f ca="1">IF(ROW()&lt;=Results!$C$1+1,INDEX(Data!$A:$A,CEILING((COUNTA(Data!$A:$A)-1)*RAND()+1,1)),"")</f>
        <v/>
      </c>
      <c r="B1061" s="1" t="str">
        <f>IF(ROW()&lt;=Results!$C$1+1,VLOOKUP($A1061,Data!$A$2:$C$117,2,TRUE),"")</f>
        <v/>
      </c>
      <c r="C1061" s="14" t="str">
        <f>IF(ROW()&lt;=Results!$C$1+1,IF(B1061&lt;=0,"",LN(B1061)),"")</f>
        <v/>
      </c>
      <c r="D1061" s="1" t="str">
        <f>IF(ROW()&lt;=Results!$C$1+1,VLOOKUP($A1061,Data!$A$2:$C$117,3,TRUE),"")</f>
        <v/>
      </c>
      <c r="E1061" s="14" t="str">
        <f>IF(ROW()&lt;=Results!$C$1+1,IF(D1061&lt;=0,"",LN(D1061)),"")</f>
        <v/>
      </c>
      <c r="F1061" s="53" t="str">
        <f>IF(ROW()&lt;=Results!$C$1+1,IF(ISERROR(C1061-E1061),"",C1061-E1061),"")</f>
        <v/>
      </c>
    </row>
    <row r="1062" spans="1:6" x14ac:dyDescent="0.2">
      <c r="A1062" s="1" t="str">
        <f ca="1">IF(ROW()&lt;=Results!$C$1+1,INDEX(Data!$A:$A,CEILING((COUNTA(Data!$A:$A)-1)*RAND()+1,1)),"")</f>
        <v/>
      </c>
      <c r="B1062" s="1" t="str">
        <f>IF(ROW()&lt;=Results!$C$1+1,VLOOKUP($A1062,Data!$A$2:$C$117,2,TRUE),"")</f>
        <v/>
      </c>
      <c r="C1062" s="14" t="str">
        <f>IF(ROW()&lt;=Results!$C$1+1,IF(B1062&lt;=0,"",LN(B1062)),"")</f>
        <v/>
      </c>
      <c r="D1062" s="1" t="str">
        <f>IF(ROW()&lt;=Results!$C$1+1,VLOOKUP($A1062,Data!$A$2:$C$117,3,TRUE),"")</f>
        <v/>
      </c>
      <c r="E1062" s="14" t="str">
        <f>IF(ROW()&lt;=Results!$C$1+1,IF(D1062&lt;=0,"",LN(D1062)),"")</f>
        <v/>
      </c>
      <c r="F1062" s="53" t="str">
        <f>IF(ROW()&lt;=Results!$C$1+1,IF(ISERROR(C1062-E1062),"",C1062-E1062),"")</f>
        <v/>
      </c>
    </row>
    <row r="1063" spans="1:6" x14ac:dyDescent="0.2">
      <c r="A1063" s="1" t="str">
        <f ca="1">IF(ROW()&lt;=Results!$C$1+1,INDEX(Data!$A:$A,CEILING((COUNTA(Data!$A:$A)-1)*RAND()+1,1)),"")</f>
        <v/>
      </c>
      <c r="B1063" s="1" t="str">
        <f>IF(ROW()&lt;=Results!$C$1+1,VLOOKUP($A1063,Data!$A$2:$C$117,2,TRUE),"")</f>
        <v/>
      </c>
      <c r="C1063" s="14" t="str">
        <f>IF(ROW()&lt;=Results!$C$1+1,IF(B1063&lt;=0,"",LN(B1063)),"")</f>
        <v/>
      </c>
      <c r="D1063" s="1" t="str">
        <f>IF(ROW()&lt;=Results!$C$1+1,VLOOKUP($A1063,Data!$A$2:$C$117,3,TRUE),"")</f>
        <v/>
      </c>
      <c r="E1063" s="14" t="str">
        <f>IF(ROW()&lt;=Results!$C$1+1,IF(D1063&lt;=0,"",LN(D1063)),"")</f>
        <v/>
      </c>
      <c r="F1063" s="53" t="str">
        <f>IF(ROW()&lt;=Results!$C$1+1,IF(ISERROR(C1063-E1063),"",C1063-E1063),"")</f>
        <v/>
      </c>
    </row>
    <row r="1064" spans="1:6" x14ac:dyDescent="0.2">
      <c r="A1064" s="1" t="str">
        <f ca="1">IF(ROW()&lt;=Results!$C$1+1,INDEX(Data!$A:$A,CEILING((COUNTA(Data!$A:$A)-1)*RAND()+1,1)),"")</f>
        <v/>
      </c>
      <c r="B1064" s="1" t="str">
        <f>IF(ROW()&lt;=Results!$C$1+1,VLOOKUP($A1064,Data!$A$2:$C$117,2,TRUE),"")</f>
        <v/>
      </c>
      <c r="C1064" s="14" t="str">
        <f>IF(ROW()&lt;=Results!$C$1+1,IF(B1064&lt;=0,"",LN(B1064)),"")</f>
        <v/>
      </c>
      <c r="D1064" s="1" t="str">
        <f>IF(ROW()&lt;=Results!$C$1+1,VLOOKUP($A1064,Data!$A$2:$C$117,3,TRUE),"")</f>
        <v/>
      </c>
      <c r="E1064" s="14" t="str">
        <f>IF(ROW()&lt;=Results!$C$1+1,IF(D1064&lt;=0,"",LN(D1064)),"")</f>
        <v/>
      </c>
      <c r="F1064" s="53" t="str">
        <f>IF(ROW()&lt;=Results!$C$1+1,IF(ISERROR(C1064-E1064),"",C1064-E1064),"")</f>
        <v/>
      </c>
    </row>
    <row r="1065" spans="1:6" x14ac:dyDescent="0.2">
      <c r="A1065" s="1" t="str">
        <f ca="1">IF(ROW()&lt;=Results!$C$1+1,INDEX(Data!$A:$A,CEILING((COUNTA(Data!$A:$A)-1)*RAND()+1,1)),"")</f>
        <v/>
      </c>
      <c r="B1065" s="1" t="str">
        <f>IF(ROW()&lt;=Results!$C$1+1,VLOOKUP($A1065,Data!$A$2:$C$117,2,TRUE),"")</f>
        <v/>
      </c>
      <c r="C1065" s="14" t="str">
        <f>IF(ROW()&lt;=Results!$C$1+1,IF(B1065&lt;=0,"",LN(B1065)),"")</f>
        <v/>
      </c>
      <c r="D1065" s="1" t="str">
        <f>IF(ROW()&lt;=Results!$C$1+1,VLOOKUP($A1065,Data!$A$2:$C$117,3,TRUE),"")</f>
        <v/>
      </c>
      <c r="E1065" s="14" t="str">
        <f>IF(ROW()&lt;=Results!$C$1+1,IF(D1065&lt;=0,"",LN(D1065)),"")</f>
        <v/>
      </c>
      <c r="F1065" s="53" t="str">
        <f>IF(ROW()&lt;=Results!$C$1+1,IF(ISERROR(C1065-E1065),"",C1065-E1065),"")</f>
        <v/>
      </c>
    </row>
    <row r="1066" spans="1:6" x14ac:dyDescent="0.2">
      <c r="A1066" s="1" t="str">
        <f ca="1">IF(ROW()&lt;=Results!$C$1+1,INDEX(Data!$A:$A,CEILING((COUNTA(Data!$A:$A)-1)*RAND()+1,1)),"")</f>
        <v/>
      </c>
      <c r="B1066" s="1" t="str">
        <f>IF(ROW()&lt;=Results!$C$1+1,VLOOKUP($A1066,Data!$A$2:$C$117,2,TRUE),"")</f>
        <v/>
      </c>
      <c r="C1066" s="14" t="str">
        <f>IF(ROW()&lt;=Results!$C$1+1,IF(B1066&lt;=0,"",LN(B1066)),"")</f>
        <v/>
      </c>
      <c r="D1066" s="1" t="str">
        <f>IF(ROW()&lt;=Results!$C$1+1,VLOOKUP($A1066,Data!$A$2:$C$117,3,TRUE),"")</f>
        <v/>
      </c>
      <c r="E1066" s="14" t="str">
        <f>IF(ROW()&lt;=Results!$C$1+1,IF(D1066&lt;=0,"",LN(D1066)),"")</f>
        <v/>
      </c>
      <c r="F1066" s="53" t="str">
        <f>IF(ROW()&lt;=Results!$C$1+1,IF(ISERROR(C1066-E1066),"",C1066-E1066),"")</f>
        <v/>
      </c>
    </row>
    <row r="1067" spans="1:6" x14ac:dyDescent="0.2">
      <c r="A1067" s="1" t="str">
        <f ca="1">IF(ROW()&lt;=Results!$C$1+1,INDEX(Data!$A:$A,CEILING((COUNTA(Data!$A:$A)-1)*RAND()+1,1)),"")</f>
        <v/>
      </c>
      <c r="B1067" s="1" t="str">
        <f>IF(ROW()&lt;=Results!$C$1+1,VLOOKUP($A1067,Data!$A$2:$C$117,2,TRUE),"")</f>
        <v/>
      </c>
      <c r="C1067" s="14" t="str">
        <f>IF(ROW()&lt;=Results!$C$1+1,IF(B1067&lt;=0,"",LN(B1067)),"")</f>
        <v/>
      </c>
      <c r="D1067" s="1" t="str">
        <f>IF(ROW()&lt;=Results!$C$1+1,VLOOKUP($A1067,Data!$A$2:$C$117,3,TRUE),"")</f>
        <v/>
      </c>
      <c r="E1067" s="14" t="str">
        <f>IF(ROW()&lt;=Results!$C$1+1,IF(D1067&lt;=0,"",LN(D1067)),"")</f>
        <v/>
      </c>
      <c r="F1067" s="53" t="str">
        <f>IF(ROW()&lt;=Results!$C$1+1,IF(ISERROR(C1067-E1067),"",C1067-E1067),"")</f>
        <v/>
      </c>
    </row>
    <row r="1068" spans="1:6" x14ac:dyDescent="0.2">
      <c r="A1068" s="1" t="str">
        <f ca="1">IF(ROW()&lt;=Results!$C$1+1,INDEX(Data!$A:$A,CEILING((COUNTA(Data!$A:$A)-1)*RAND()+1,1)),"")</f>
        <v/>
      </c>
      <c r="B1068" s="1" t="str">
        <f>IF(ROW()&lt;=Results!$C$1+1,VLOOKUP($A1068,Data!$A$2:$C$117,2,TRUE),"")</f>
        <v/>
      </c>
      <c r="C1068" s="14" t="str">
        <f>IF(ROW()&lt;=Results!$C$1+1,IF(B1068&lt;=0,"",LN(B1068)),"")</f>
        <v/>
      </c>
      <c r="D1068" s="1" t="str">
        <f>IF(ROW()&lt;=Results!$C$1+1,VLOOKUP($A1068,Data!$A$2:$C$117,3,TRUE),"")</f>
        <v/>
      </c>
      <c r="E1068" s="14" t="str">
        <f>IF(ROW()&lt;=Results!$C$1+1,IF(D1068&lt;=0,"",LN(D1068)),"")</f>
        <v/>
      </c>
      <c r="F1068" s="53" t="str">
        <f>IF(ROW()&lt;=Results!$C$1+1,IF(ISERROR(C1068-E1068),"",C1068-E1068),"")</f>
        <v/>
      </c>
    </row>
    <row r="1069" spans="1:6" x14ac:dyDescent="0.2">
      <c r="A1069" s="1" t="str">
        <f ca="1">IF(ROW()&lt;=Results!$C$1+1,INDEX(Data!$A:$A,CEILING((COUNTA(Data!$A:$A)-1)*RAND()+1,1)),"")</f>
        <v/>
      </c>
      <c r="B1069" s="1" t="str">
        <f>IF(ROW()&lt;=Results!$C$1+1,VLOOKUP($A1069,Data!$A$2:$C$117,2,TRUE),"")</f>
        <v/>
      </c>
      <c r="C1069" s="14" t="str">
        <f>IF(ROW()&lt;=Results!$C$1+1,IF(B1069&lt;=0,"",LN(B1069)),"")</f>
        <v/>
      </c>
      <c r="D1069" s="1" t="str">
        <f>IF(ROW()&lt;=Results!$C$1+1,VLOOKUP($A1069,Data!$A$2:$C$117,3,TRUE),"")</f>
        <v/>
      </c>
      <c r="E1069" s="14" t="str">
        <f>IF(ROW()&lt;=Results!$C$1+1,IF(D1069&lt;=0,"",LN(D1069)),"")</f>
        <v/>
      </c>
      <c r="F1069" s="53" t="str">
        <f>IF(ROW()&lt;=Results!$C$1+1,IF(ISERROR(C1069-E1069),"",C1069-E1069),"")</f>
        <v/>
      </c>
    </row>
    <row r="1070" spans="1:6" x14ac:dyDescent="0.2">
      <c r="A1070" s="1" t="str">
        <f ca="1">IF(ROW()&lt;=Results!$C$1+1,INDEX(Data!$A:$A,CEILING((COUNTA(Data!$A:$A)-1)*RAND()+1,1)),"")</f>
        <v/>
      </c>
      <c r="B1070" s="1" t="str">
        <f>IF(ROW()&lt;=Results!$C$1+1,VLOOKUP($A1070,Data!$A$2:$C$117,2,TRUE),"")</f>
        <v/>
      </c>
      <c r="C1070" s="14" t="str">
        <f>IF(ROW()&lt;=Results!$C$1+1,IF(B1070&lt;=0,"",LN(B1070)),"")</f>
        <v/>
      </c>
      <c r="D1070" s="1" t="str">
        <f>IF(ROW()&lt;=Results!$C$1+1,VLOOKUP($A1070,Data!$A$2:$C$117,3,TRUE),"")</f>
        <v/>
      </c>
      <c r="E1070" s="14" t="str">
        <f>IF(ROW()&lt;=Results!$C$1+1,IF(D1070&lt;=0,"",LN(D1070)),"")</f>
        <v/>
      </c>
      <c r="F1070" s="53" t="str">
        <f>IF(ROW()&lt;=Results!$C$1+1,IF(ISERROR(C1070-E1070),"",C1070-E1070),"")</f>
        <v/>
      </c>
    </row>
    <row r="1071" spans="1:6" x14ac:dyDescent="0.2">
      <c r="A1071" s="1" t="str">
        <f ca="1">IF(ROW()&lt;=Results!$C$1+1,INDEX(Data!$A:$A,CEILING((COUNTA(Data!$A:$A)-1)*RAND()+1,1)),"")</f>
        <v/>
      </c>
      <c r="B1071" s="1" t="str">
        <f>IF(ROW()&lt;=Results!$C$1+1,VLOOKUP($A1071,Data!$A$2:$C$117,2,TRUE),"")</f>
        <v/>
      </c>
      <c r="C1071" s="14" t="str">
        <f>IF(ROW()&lt;=Results!$C$1+1,IF(B1071&lt;=0,"",LN(B1071)),"")</f>
        <v/>
      </c>
      <c r="D1071" s="1" t="str">
        <f>IF(ROW()&lt;=Results!$C$1+1,VLOOKUP($A1071,Data!$A$2:$C$117,3,TRUE),"")</f>
        <v/>
      </c>
      <c r="E1071" s="14" t="str">
        <f>IF(ROW()&lt;=Results!$C$1+1,IF(D1071&lt;=0,"",LN(D1071)),"")</f>
        <v/>
      </c>
      <c r="F1071" s="53" t="str">
        <f>IF(ROW()&lt;=Results!$C$1+1,IF(ISERROR(C1071-E1071),"",C1071-E1071),"")</f>
        <v/>
      </c>
    </row>
    <row r="1072" spans="1:6" x14ac:dyDescent="0.2">
      <c r="A1072" s="1" t="str">
        <f ca="1">IF(ROW()&lt;=Results!$C$1+1,INDEX(Data!$A:$A,CEILING((COUNTA(Data!$A:$A)-1)*RAND()+1,1)),"")</f>
        <v/>
      </c>
      <c r="B1072" s="1" t="str">
        <f>IF(ROW()&lt;=Results!$C$1+1,VLOOKUP($A1072,Data!$A$2:$C$117,2,TRUE),"")</f>
        <v/>
      </c>
      <c r="C1072" s="14" t="str">
        <f>IF(ROW()&lt;=Results!$C$1+1,IF(B1072&lt;=0,"",LN(B1072)),"")</f>
        <v/>
      </c>
      <c r="D1072" s="1" t="str">
        <f>IF(ROW()&lt;=Results!$C$1+1,VLOOKUP($A1072,Data!$A$2:$C$117,3,TRUE),"")</f>
        <v/>
      </c>
      <c r="E1072" s="14" t="str">
        <f>IF(ROW()&lt;=Results!$C$1+1,IF(D1072&lt;=0,"",LN(D1072)),"")</f>
        <v/>
      </c>
      <c r="F1072" s="53" t="str">
        <f>IF(ROW()&lt;=Results!$C$1+1,IF(ISERROR(C1072-E1072),"",C1072-E1072),"")</f>
        <v/>
      </c>
    </row>
    <row r="1073" spans="1:1" x14ac:dyDescent="0.2">
      <c r="A1073" s="1" t="str">
        <f ca="1">IF(ROW()&lt;=Results!$C$1+1,INDEX(Data!$A:$A,CEILING((COUNTA(Data!$A:$A)-1)*RAND()+1,1)),"")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S24"/>
  <sheetViews>
    <sheetView zoomScale="85" workbookViewId="0">
      <selection activeCell="C1" sqref="C1"/>
    </sheetView>
  </sheetViews>
  <sheetFormatPr defaultColWidth="9.140625" defaultRowHeight="12.75" x14ac:dyDescent="0.2"/>
  <cols>
    <col min="1" max="1" width="3.42578125" style="1" customWidth="1"/>
    <col min="2" max="2" width="19.85546875" style="1" customWidth="1"/>
    <col min="3" max="3" width="11.7109375" style="1" customWidth="1"/>
    <col min="4" max="4" width="10.140625" style="1" customWidth="1"/>
    <col min="5" max="5" width="10.5703125" style="1" customWidth="1"/>
    <col min="6" max="6" width="9" style="1" customWidth="1"/>
    <col min="7" max="7" width="9.140625" style="1"/>
    <col min="8" max="8" width="9.85546875" style="1" customWidth="1"/>
    <col min="9" max="12" width="8" style="1" customWidth="1"/>
    <col min="13" max="16384" width="9.140625" style="1"/>
  </cols>
  <sheetData>
    <row r="1" spans="2:19" ht="13.5" thickBot="1" x14ac:dyDescent="0.25">
      <c r="B1" s="1" t="s">
        <v>16</v>
      </c>
      <c r="C1" s="11">
        <v>50</v>
      </c>
      <c r="S1" s="2"/>
    </row>
    <row r="2" spans="2:19" ht="13.5" thickBot="1" x14ac:dyDescent="0.25">
      <c r="B2" s="1" t="s">
        <v>18</v>
      </c>
      <c r="C2" s="11">
        <v>1000</v>
      </c>
      <c r="S2" s="2"/>
    </row>
    <row r="3" spans="2:19" x14ac:dyDescent="0.2">
      <c r="B3" s="4" t="s">
        <v>34</v>
      </c>
      <c r="C3" s="12"/>
      <c r="S3" s="2"/>
    </row>
    <row r="4" spans="2:19" x14ac:dyDescent="0.2">
      <c r="B4" s="55">
        <v>6.9000000000000006E-2</v>
      </c>
      <c r="C4" s="7">
        <f ca="1">EXP(SUM(Simulation!C2:C1072)/S$8)</f>
        <v>19.91251860011187</v>
      </c>
      <c r="D4" s="7">
        <f ca="1">EXP(SUM(Simulation!E2:E1072)/S$8)</f>
        <v>20.168086231119979</v>
      </c>
      <c r="E4" s="6">
        <f ca="1">S10</f>
        <v>98.732811690314179</v>
      </c>
      <c r="F4" s="7">
        <f ca="1">S11</f>
        <v>98.129929981203006</v>
      </c>
      <c r="G4" s="7">
        <f ca="1">S12</f>
        <v>99.339397329054478</v>
      </c>
      <c r="H4" s="5" t="str">
        <f ca="1">IF(OR(MIN(F4:G4)&lt;80,MAX(F4:G4)&gt;125),"FAIL","PASS")</f>
        <v>PASS</v>
      </c>
      <c r="I4" s="8">
        <f ca="1">AVERAGE(Simulation!B:B)</f>
        <v>19.913599999999995</v>
      </c>
      <c r="J4" s="8">
        <f ca="1">STDEV(Simulation!B:B)</f>
        <v>0.20939914039938082</v>
      </c>
      <c r="K4" s="8">
        <f ca="1">MIN(Simulation!B:B)</f>
        <v>19.670000000000002</v>
      </c>
      <c r="L4" s="8">
        <f ca="1">MAX(Simulation!B:B)</f>
        <v>20.09</v>
      </c>
      <c r="M4" s="8">
        <f ca="1">AVERAGE(Simulation!D:D)</f>
        <v>20.170399999999987</v>
      </c>
      <c r="N4" s="8">
        <f ca="1">STDEV(Simulation!D:D)</f>
        <v>0.30911301678004044</v>
      </c>
      <c r="O4" s="8">
        <f ca="1">MIN(Simulation!D:D)</f>
        <v>19.91</v>
      </c>
      <c r="P4" s="8">
        <f ca="1">MAX(Simulation!D:D)</f>
        <v>20.53</v>
      </c>
      <c r="S4" s="2"/>
    </row>
    <row r="5" spans="2:19" x14ac:dyDescent="0.2">
      <c r="C5" s="12"/>
      <c r="S5" s="2"/>
    </row>
    <row r="6" spans="2:19" x14ac:dyDescent="0.2">
      <c r="B6" s="16"/>
      <c r="C6" s="17" t="s">
        <v>9</v>
      </c>
      <c r="D6" s="18"/>
      <c r="E6" s="54" t="s">
        <v>31</v>
      </c>
      <c r="F6" s="19"/>
      <c r="G6" s="20"/>
      <c r="H6" s="21"/>
      <c r="I6" s="22" t="str">
        <f>Data!B1</f>
        <v>Cmax_A</v>
      </c>
      <c r="J6" s="23"/>
      <c r="K6" s="23"/>
      <c r="L6" s="23"/>
      <c r="M6" s="22" t="str">
        <f>Data!C1</f>
        <v>Cmax_B</v>
      </c>
      <c r="N6" s="23"/>
      <c r="O6" s="23"/>
      <c r="P6" s="24"/>
      <c r="R6" s="1" t="s">
        <v>4</v>
      </c>
      <c r="S6" s="1">
        <f ca="1">AVERAGE(Simulation!F2:F1072)</f>
        <v>-1.2752856189119184E-2</v>
      </c>
    </row>
    <row r="7" spans="2:19" ht="24.75" customHeight="1" x14ac:dyDescent="0.2">
      <c r="B7" s="25" t="s">
        <v>17</v>
      </c>
      <c r="C7" s="26" t="s">
        <v>7</v>
      </c>
      <c r="D7" s="22" t="s">
        <v>8</v>
      </c>
      <c r="E7" s="27" t="s">
        <v>32</v>
      </c>
      <c r="F7" s="28" t="s">
        <v>5</v>
      </c>
      <c r="G7" s="29" t="s">
        <v>6</v>
      </c>
      <c r="H7" s="29" t="s">
        <v>11</v>
      </c>
      <c r="I7" s="30" t="s">
        <v>12</v>
      </c>
      <c r="J7" s="30" t="s">
        <v>13</v>
      </c>
      <c r="K7" s="30" t="s">
        <v>14</v>
      </c>
      <c r="L7" s="30" t="s">
        <v>15</v>
      </c>
      <c r="M7" s="30" t="s">
        <v>12</v>
      </c>
      <c r="N7" s="30" t="s">
        <v>13</v>
      </c>
      <c r="O7" s="30" t="s">
        <v>14</v>
      </c>
      <c r="P7" s="30" t="s">
        <v>15</v>
      </c>
      <c r="R7" s="1" t="s">
        <v>1</v>
      </c>
      <c r="S7" s="1">
        <f ca="1">STDEV(Simulation!F$2:F$1072)</f>
        <v>2.5822234174519659E-2</v>
      </c>
    </row>
    <row r="8" spans="2:19" x14ac:dyDescent="0.2">
      <c r="B8" s="1">
        <v>1</v>
      </c>
      <c r="C8" s="1">
        <v>19.904106324320903</v>
      </c>
      <c r="D8" s="1">
        <v>20.180459157751248</v>
      </c>
      <c r="E8" s="1">
        <v>98.630591944067845</v>
      </c>
      <c r="F8" s="1">
        <v>98.024893666966378</v>
      </c>
      <c r="G8" s="1">
        <v>99.240032846018508</v>
      </c>
      <c r="H8" s="1" t="s">
        <v>23</v>
      </c>
      <c r="I8" s="1">
        <v>19.905199999999997</v>
      </c>
      <c r="J8" s="1">
        <v>0.21059914529741</v>
      </c>
      <c r="K8" s="1">
        <v>19.670000000000002</v>
      </c>
      <c r="L8" s="1">
        <v>20.09</v>
      </c>
      <c r="M8" s="1">
        <v>20.18279999999999</v>
      </c>
      <c r="N8" s="1">
        <v>0.3108844525818929</v>
      </c>
      <c r="O8" s="1">
        <v>19.91</v>
      </c>
      <c r="P8" s="1">
        <v>20.53</v>
      </c>
      <c r="R8" s="1" t="s">
        <v>3</v>
      </c>
      <c r="S8" s="1">
        <f ca="1">COUNT(Simulation!F$2:F$1072)</f>
        <v>50</v>
      </c>
    </row>
    <row r="9" spans="2:19" x14ac:dyDescent="0.2">
      <c r="B9" s="1">
        <v>2</v>
      </c>
      <c r="C9" s="1">
        <v>19.895697602394005</v>
      </c>
      <c r="D9" s="1">
        <v>20.192839675053794</v>
      </c>
      <c r="E9" s="1">
        <v>98.528478027650181</v>
      </c>
      <c r="F9" s="1">
        <v>97.920963727918917</v>
      </c>
      <c r="G9" s="1">
        <v>99.139761424521538</v>
      </c>
      <c r="H9" s="1" t="s">
        <v>23</v>
      </c>
      <c r="I9" s="1">
        <v>19.896799999999995</v>
      </c>
      <c r="J9" s="1">
        <v>0.21145212224047225</v>
      </c>
      <c r="K9" s="1">
        <v>19.670000000000002</v>
      </c>
      <c r="L9" s="1">
        <v>20.09</v>
      </c>
      <c r="M9" s="1">
        <v>20.195199999999986</v>
      </c>
      <c r="N9" s="1">
        <v>0.31214360902165128</v>
      </c>
      <c r="O9" s="1">
        <v>19.91</v>
      </c>
      <c r="P9" s="1">
        <v>20.53</v>
      </c>
      <c r="R9" s="1" t="s">
        <v>0</v>
      </c>
      <c r="S9" s="1">
        <f ca="1">S7/SQRT(S8)</f>
        <v>3.6518153780379721E-3</v>
      </c>
    </row>
    <row r="10" spans="2:19" x14ac:dyDescent="0.2">
      <c r="B10" s="1">
        <v>3</v>
      </c>
      <c r="C10" s="1">
        <v>19.862098223308937</v>
      </c>
      <c r="D10" s="1">
        <v>20.242437744156039</v>
      </c>
      <c r="E10" s="1">
        <v>98.121078470615998</v>
      </c>
      <c r="F10" s="1">
        <v>97.516076145712304</v>
      </c>
      <c r="G10" s="1">
        <v>98.729834308043706</v>
      </c>
      <c r="H10" s="1" t="s">
        <v>23</v>
      </c>
      <c r="I10" s="1">
        <v>19.863199999999996</v>
      </c>
      <c r="J10" s="1">
        <v>0.21145212224047222</v>
      </c>
      <c r="K10" s="1">
        <v>19.670000000000002</v>
      </c>
      <c r="L10" s="1">
        <v>20.09</v>
      </c>
      <c r="M10" s="1">
        <v>20.244799999999987</v>
      </c>
      <c r="N10" s="1">
        <v>0.31214360902165128</v>
      </c>
      <c r="O10" s="1">
        <v>19.91</v>
      </c>
      <c r="P10" s="1">
        <v>20.53</v>
      </c>
      <c r="R10" s="1" t="s">
        <v>2</v>
      </c>
      <c r="S10" s="1">
        <f ca="1">100*EXP(SUM(Simulation!C$2:C$1072)/S$8)/EXP(SUM(Simulation!E$2:E$1072)/S$8)</f>
        <v>98.732811690314179</v>
      </c>
    </row>
    <row r="11" spans="2:19" x14ac:dyDescent="0.2">
      <c r="B11" s="1">
        <v>4</v>
      </c>
      <c r="C11" s="1">
        <v>19.895697602393987</v>
      </c>
      <c r="D11" s="1">
        <v>20.192839675053818</v>
      </c>
      <c r="E11" s="1">
        <v>98.528478027649967</v>
      </c>
      <c r="F11" s="1">
        <v>97.920963727918917</v>
      </c>
      <c r="G11" s="1">
        <v>99.139761424521538</v>
      </c>
      <c r="H11" s="1" t="s">
        <v>23</v>
      </c>
      <c r="I11" s="1">
        <v>19.896799999999999</v>
      </c>
      <c r="J11" s="1">
        <v>0.21145212224047216</v>
      </c>
      <c r="K11" s="1">
        <v>19.670000000000002</v>
      </c>
      <c r="L11" s="1">
        <v>20.09</v>
      </c>
      <c r="M11" s="1">
        <v>20.195199999999986</v>
      </c>
      <c r="N11" s="1">
        <v>0.31214360902165128</v>
      </c>
      <c r="O11" s="1">
        <v>19.91</v>
      </c>
      <c r="P11" s="1">
        <v>20.53</v>
      </c>
      <c r="R11" s="1" t="s">
        <v>5</v>
      </c>
      <c r="S11" s="1">
        <f ca="1">100*EXP(S$6-TINV(0.1,S$8-2)*S$9)</f>
        <v>98.129929981203006</v>
      </c>
    </row>
    <row r="12" spans="2:19" x14ac:dyDescent="0.2">
      <c r="B12" s="1">
        <v>5</v>
      </c>
      <c r="C12" s="1">
        <v>19.870492744787018</v>
      </c>
      <c r="D12" s="1">
        <v>20.230026817571662</v>
      </c>
      <c r="E12" s="1">
        <v>98.222770162260218</v>
      </c>
      <c r="F12" s="1">
        <v>97.615684233432731</v>
      </c>
      <c r="G12" s="1">
        <v>98.83363164547599</v>
      </c>
      <c r="H12" s="1" t="s">
        <v>23</v>
      </c>
      <c r="I12" s="1">
        <v>19.871599999999997</v>
      </c>
      <c r="J12" s="1">
        <v>0.21196226079186734</v>
      </c>
      <c r="K12" s="1">
        <v>19.670000000000002</v>
      </c>
      <c r="L12" s="1">
        <v>20.09</v>
      </c>
      <c r="M12" s="1">
        <v>20.232399999999984</v>
      </c>
      <c r="N12" s="1">
        <v>0.31289667069275856</v>
      </c>
      <c r="O12" s="1">
        <v>19.91</v>
      </c>
      <c r="P12" s="1">
        <v>20.53</v>
      </c>
      <c r="R12" s="1" t="s">
        <v>6</v>
      </c>
      <c r="S12" s="1">
        <f ca="1">100*EXP(S$6+TINV(0.1,S$8-2)*S$9)</f>
        <v>99.339397329054478</v>
      </c>
    </row>
    <row r="13" spans="2:19" x14ac:dyDescent="0.2">
      <c r="B13" s="1">
        <v>6</v>
      </c>
      <c r="C13" s="1">
        <v>19.91251860011187</v>
      </c>
      <c r="D13" s="1">
        <v>20.168086231119968</v>
      </c>
      <c r="E13" s="1">
        <v>98.732811690314236</v>
      </c>
      <c r="F13" s="1">
        <v>98.129929981203006</v>
      </c>
      <c r="G13" s="1">
        <v>99.339397329054478</v>
      </c>
      <c r="H13" s="1" t="s">
        <v>23</v>
      </c>
      <c r="I13" s="1">
        <v>19.913599999999995</v>
      </c>
      <c r="J13" s="1">
        <v>0.20939914039938082</v>
      </c>
      <c r="K13" s="1">
        <v>19.670000000000002</v>
      </c>
      <c r="L13" s="1">
        <v>20.09</v>
      </c>
      <c r="M13" s="1">
        <v>20.170399999999987</v>
      </c>
      <c r="N13" s="1">
        <v>0.30911301678004033</v>
      </c>
      <c r="O13" s="1">
        <v>19.91</v>
      </c>
      <c r="P13" s="1">
        <v>20.53</v>
      </c>
    </row>
    <row r="14" spans="2:19" x14ac:dyDescent="0.2">
      <c r="B14" s="1">
        <v>7</v>
      </c>
      <c r="C14" s="1">
        <v>19.88729243282976</v>
      </c>
      <c r="D14" s="1">
        <v>20.205227787684475</v>
      </c>
      <c r="E14" s="1">
        <v>98.426469831493307</v>
      </c>
      <c r="F14" s="1">
        <v>97.818124895180077</v>
      </c>
      <c r="G14" s="1">
        <v>99.038598152142683</v>
      </c>
      <c r="H14" s="1" t="s">
        <v>23</v>
      </c>
      <c r="I14" s="1">
        <v>19.888399999999997</v>
      </c>
      <c r="J14" s="1">
        <v>0.21196226079186739</v>
      </c>
      <c r="K14" s="1">
        <v>19.670000000000002</v>
      </c>
      <c r="L14" s="1">
        <v>20.09</v>
      </c>
      <c r="M14" s="1">
        <v>20.207599999999989</v>
      </c>
      <c r="N14" s="1">
        <v>0.31289667069275851</v>
      </c>
      <c r="O14" s="1">
        <v>19.91</v>
      </c>
      <c r="P14" s="1">
        <v>20.53</v>
      </c>
    </row>
    <row r="15" spans="2:19" x14ac:dyDescent="0.2">
      <c r="B15" s="1">
        <v>8</v>
      </c>
      <c r="C15" s="1">
        <v>19.853707248194386</v>
      </c>
      <c r="D15" s="1">
        <v>20.254856284724372</v>
      </c>
      <c r="E15" s="1">
        <v>98.019492062096134</v>
      </c>
      <c r="F15" s="1">
        <v>97.417546597771604</v>
      </c>
      <c r="G15" s="1">
        <v>98.625156962545518</v>
      </c>
      <c r="H15" s="1" t="s">
        <v>23</v>
      </c>
      <c r="I15" s="1">
        <v>19.854799999999997</v>
      </c>
      <c r="J15" s="1">
        <v>0.21059914529741003</v>
      </c>
      <c r="K15" s="1">
        <v>19.670000000000002</v>
      </c>
      <c r="L15" s="1">
        <v>20.09</v>
      </c>
      <c r="M15" s="1">
        <v>20.257199999999983</v>
      </c>
      <c r="N15" s="1">
        <v>0.31088445258189279</v>
      </c>
      <c r="O15" s="1">
        <v>19.91</v>
      </c>
      <c r="P15" s="1">
        <v>20.53</v>
      </c>
    </row>
    <row r="16" spans="2:19" x14ac:dyDescent="0.2">
      <c r="B16" s="1">
        <v>9</v>
      </c>
      <c r="C16" s="1">
        <v>19.895697602394005</v>
      </c>
      <c r="D16" s="1">
        <v>20.192839675053794</v>
      </c>
      <c r="E16" s="1">
        <v>98.528478027650181</v>
      </c>
      <c r="F16" s="1">
        <v>97.920963727918917</v>
      </c>
      <c r="G16" s="1">
        <v>99.139761424521538</v>
      </c>
      <c r="H16" s="1" t="s">
        <v>23</v>
      </c>
      <c r="I16" s="1">
        <v>19.896799999999995</v>
      </c>
      <c r="J16" s="1">
        <v>0.21145212224047225</v>
      </c>
      <c r="K16" s="1">
        <v>19.670000000000002</v>
      </c>
      <c r="L16" s="1">
        <v>20.09</v>
      </c>
      <c r="M16" s="1">
        <v>20.195199999999989</v>
      </c>
      <c r="N16" s="1">
        <v>0.31214360902165139</v>
      </c>
      <c r="O16" s="1">
        <v>19.91</v>
      </c>
      <c r="P16" s="1">
        <v>20.53</v>
      </c>
    </row>
    <row r="17" spans="2:19" x14ac:dyDescent="0.2">
      <c r="B17" s="1">
        <v>10</v>
      </c>
      <c r="C17" s="1">
        <v>19.87889081412747</v>
      </c>
      <c r="D17" s="1">
        <v>20.217623500302924</v>
      </c>
      <c r="E17" s="1">
        <v>98.324567246143545</v>
      </c>
      <c r="F17" s="1">
        <v>97.716366891901131</v>
      </c>
      <c r="G17" s="1">
        <v>98.936553124578637</v>
      </c>
      <c r="H17" s="1" t="s">
        <v>23</v>
      </c>
      <c r="I17" s="1">
        <v>19.88</v>
      </c>
      <c r="J17" s="1">
        <v>0.21213203435596331</v>
      </c>
      <c r="K17" s="1">
        <v>19.670000000000002</v>
      </c>
      <c r="L17" s="1">
        <v>20.09</v>
      </c>
      <c r="M17" s="1">
        <v>20.219999999999985</v>
      </c>
      <c r="N17" s="1">
        <v>0.31314728881118581</v>
      </c>
      <c r="O17" s="1">
        <v>19.91</v>
      </c>
      <c r="P17" s="1">
        <v>20.53</v>
      </c>
    </row>
    <row r="20" spans="2:19" x14ac:dyDescent="0.2">
      <c r="S20" s="3"/>
    </row>
    <row r="24" spans="2:19" x14ac:dyDescent="0.2">
      <c r="S24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2" sqref="B2"/>
    </sheetView>
  </sheetViews>
  <sheetFormatPr defaultColWidth="9.140625" defaultRowHeight="12.75" x14ac:dyDescent="0.2"/>
  <cols>
    <col min="1" max="1" width="5.42578125" style="1" customWidth="1"/>
    <col min="2" max="2" width="9.140625" style="1"/>
    <col min="3" max="3" width="10.7109375" style="1" customWidth="1"/>
    <col min="4" max="4" width="9.140625" style="1"/>
    <col min="5" max="5" width="12" style="1" customWidth="1"/>
    <col min="6" max="6" width="10.85546875" style="1" customWidth="1"/>
    <col min="7" max="16384" width="9.140625" style="1"/>
  </cols>
  <sheetData>
    <row r="1" spans="2:7" ht="13.5" thickBot="1" x14ac:dyDescent="0.25"/>
    <row r="2" spans="2:7" ht="13.15" customHeight="1" x14ac:dyDescent="0.2">
      <c r="B2" s="31" t="str">
        <f>"N = "&amp;Results!C1&amp;", "&amp;Results!C2&amp;" trials."</f>
        <v>N = 50, 1000 trials.</v>
      </c>
      <c r="C2" s="32"/>
      <c r="D2" s="32"/>
      <c r="E2" s="32"/>
      <c r="F2" s="33"/>
    </row>
    <row r="3" spans="2:7" ht="25.5" x14ac:dyDescent="0.2">
      <c r="B3" s="34" t="s">
        <v>30</v>
      </c>
      <c r="C3" s="9" t="s">
        <v>19</v>
      </c>
      <c r="D3" s="9" t="s">
        <v>20</v>
      </c>
      <c r="E3" s="9" t="s">
        <v>21</v>
      </c>
      <c r="F3" s="35" t="s">
        <v>22</v>
      </c>
    </row>
    <row r="4" spans="2:7" x14ac:dyDescent="0.2">
      <c r="B4" s="36" t="s">
        <v>24</v>
      </c>
      <c r="C4" s="1">
        <f>COUNTIF(Results!$H$8:$H$10003,"FAIL")</f>
        <v>0</v>
      </c>
      <c r="D4" s="51">
        <f>C4/SUM(C4:C5)</f>
        <v>0</v>
      </c>
      <c r="E4" s="1">
        <f>C4</f>
        <v>0</v>
      </c>
      <c r="F4" s="37">
        <f>D4</f>
        <v>0</v>
      </c>
    </row>
    <row r="5" spans="2:7" ht="13.5" thickBot="1" x14ac:dyDescent="0.25">
      <c r="B5" s="38" t="s">
        <v>23</v>
      </c>
      <c r="C5" s="39">
        <f>COUNTIF(Results!$H$8:$H$10003,"PASS")</f>
        <v>10</v>
      </c>
      <c r="D5" s="50">
        <f>C5/SUM(C4:C5)</f>
        <v>1</v>
      </c>
      <c r="E5" s="39">
        <f>C4+C5</f>
        <v>10</v>
      </c>
      <c r="F5" s="40">
        <f>D4+D5</f>
        <v>1</v>
      </c>
    </row>
    <row r="6" spans="2:7" ht="13.5" thickBot="1" x14ac:dyDescent="0.25"/>
    <row r="7" spans="2:7" x14ac:dyDescent="0.2">
      <c r="B7" s="41" t="s">
        <v>26</v>
      </c>
      <c r="C7" s="42" t="s">
        <v>25</v>
      </c>
      <c r="D7" s="42" t="s">
        <v>12</v>
      </c>
      <c r="E7" s="42" t="s">
        <v>13</v>
      </c>
      <c r="F7" s="42" t="s">
        <v>27</v>
      </c>
      <c r="G7" s="43" t="s">
        <v>28</v>
      </c>
    </row>
    <row r="8" spans="2:7" x14ac:dyDescent="0.2">
      <c r="B8" s="36" t="s">
        <v>33</v>
      </c>
      <c r="C8" s="44">
        <f>COUNTA(Results!B:B)-5</f>
        <v>10</v>
      </c>
      <c r="D8" s="45">
        <f>AVERAGE(Results!$E$8:$E$10003)</f>
        <v>98.406321548994157</v>
      </c>
      <c r="E8" s="45">
        <f>STDEV(Results!$E$8:$E$10003)</f>
        <v>0.22935686286978468</v>
      </c>
      <c r="F8" s="45">
        <f>MIN(Results!$E$8:$E$10003)</f>
        <v>98.019492062096134</v>
      </c>
      <c r="G8" s="46">
        <f>MAX(Results!$E$8:$E$10003)</f>
        <v>98.732811690314236</v>
      </c>
    </row>
    <row r="9" spans="2:7" x14ac:dyDescent="0.2">
      <c r="B9" s="36" t="s">
        <v>5</v>
      </c>
      <c r="C9" s="44">
        <f>COUNTA(Results!B:B)-5</f>
        <v>10</v>
      </c>
      <c r="D9" s="45">
        <f>AVERAGE(Results!$F$8:$F$10003)</f>
        <v>97.800151359592377</v>
      </c>
      <c r="E9" s="45">
        <f>STDEV(Results!$F$8:$F$10003)</f>
        <v>0.22888766423912071</v>
      </c>
      <c r="F9" s="45">
        <f>MIN(Results!$F$8:$F$10003)</f>
        <v>97.417546597771604</v>
      </c>
      <c r="G9" s="46">
        <f>MAX(Results!$F$8:$F$10003)</f>
        <v>98.129929981203006</v>
      </c>
    </row>
    <row r="10" spans="2:7" ht="13.5" thickBot="1" x14ac:dyDescent="0.25">
      <c r="B10" s="38" t="s">
        <v>6</v>
      </c>
      <c r="C10" s="47">
        <f>COUNTA(Results!B:B)-5</f>
        <v>10</v>
      </c>
      <c r="D10" s="48">
        <f>AVERAGE(Results!$G$8:$G$10003)</f>
        <v>99.016248864142398</v>
      </c>
      <c r="E10" s="48">
        <f>STDEV(Results!$G$8:$G$10003)</f>
        <v>0.2298444841881998</v>
      </c>
      <c r="F10" s="48">
        <f>MIN(Results!$G$8:$G$10003)</f>
        <v>98.625156962545518</v>
      </c>
      <c r="G10" s="49">
        <f>MAX(Results!$G$8:$G$10003)</f>
        <v>99.339397329054478</v>
      </c>
    </row>
    <row r="13" spans="2:7" x14ac:dyDescent="0.2">
      <c r="B13" s="9"/>
      <c r="C13" s="9"/>
      <c r="D13" s="9"/>
      <c r="E13" s="9"/>
      <c r="F13" s="9"/>
    </row>
    <row r="14" spans="2:7" x14ac:dyDescent="0.2">
      <c r="D14" s="10"/>
      <c r="F14" s="10"/>
    </row>
    <row r="15" spans="2:7" x14ac:dyDescent="0.2">
      <c r="D15" s="10"/>
      <c r="F15" s="10"/>
    </row>
    <row r="18" spans="2:6" x14ac:dyDescent="0.2">
      <c r="B18" s="9"/>
      <c r="C18" s="9"/>
      <c r="D18" s="9"/>
      <c r="E18" s="9"/>
      <c r="F18" s="9"/>
    </row>
    <row r="19" spans="2:6" x14ac:dyDescent="0.2">
      <c r="D19" s="10"/>
      <c r="F19" s="10"/>
    </row>
    <row r="20" spans="2:6" x14ac:dyDescent="0.2">
      <c r="D20" s="10"/>
      <c r="F20" s="10"/>
    </row>
    <row r="23" spans="2:6" x14ac:dyDescent="0.2">
      <c r="B23" s="9"/>
      <c r="C23" s="9"/>
      <c r="D23" s="9"/>
      <c r="E23" s="9"/>
      <c r="F23" s="9"/>
    </row>
    <row r="24" spans="2:6" ht="81" customHeight="1" x14ac:dyDescent="0.2">
      <c r="D24" s="10"/>
      <c r="F24" s="10"/>
    </row>
    <row r="25" spans="2:6" x14ac:dyDescent="0.2">
      <c r="D25" s="10"/>
      <c r="F25" s="10"/>
    </row>
    <row r="28" spans="2:6" x14ac:dyDescent="0.2">
      <c r="B28" s="9"/>
      <c r="C28" s="9"/>
      <c r="D28" s="9"/>
      <c r="E28" s="9"/>
      <c r="F28" s="9"/>
    </row>
    <row r="29" spans="2:6" x14ac:dyDescent="0.2">
      <c r="D29" s="10"/>
      <c r="F29" s="10"/>
    </row>
    <row r="30" spans="2:6" x14ac:dyDescent="0.2">
      <c r="D30" s="10"/>
      <c r="F30" s="10"/>
    </row>
    <row r="33" spans="2:6" x14ac:dyDescent="0.2">
      <c r="B33" s="9"/>
      <c r="C33" s="9"/>
      <c r="D33" s="9"/>
      <c r="E33" s="9"/>
      <c r="F33" s="9"/>
    </row>
    <row r="34" spans="2:6" x14ac:dyDescent="0.2">
      <c r="D34" s="10"/>
      <c r="F34" s="10"/>
    </row>
    <row r="35" spans="2:6" x14ac:dyDescent="0.2">
      <c r="D35" s="10"/>
      <c r="F35" s="10"/>
    </row>
    <row r="38" spans="2:6" x14ac:dyDescent="0.2">
      <c r="B38" s="9"/>
      <c r="C38" s="9"/>
      <c r="D38" s="9"/>
      <c r="E38" s="9"/>
      <c r="F38" s="9"/>
    </row>
    <row r="39" spans="2:6" x14ac:dyDescent="0.2">
      <c r="D39" s="10"/>
      <c r="F39" s="10"/>
    </row>
    <row r="40" spans="2:6" x14ac:dyDescent="0.2">
      <c r="D40" s="10"/>
      <c r="F40" s="10"/>
    </row>
    <row r="43" spans="2:6" x14ac:dyDescent="0.2">
      <c r="B43" s="9"/>
      <c r="C43" s="9"/>
      <c r="D43" s="9"/>
      <c r="E43" s="9"/>
      <c r="F43" s="9"/>
    </row>
    <row r="44" spans="2:6" x14ac:dyDescent="0.2">
      <c r="D44" s="10"/>
      <c r="F44" s="10"/>
    </row>
    <row r="45" spans="2:6" x14ac:dyDescent="0.2">
      <c r="D45" s="10"/>
      <c r="F45" s="10"/>
    </row>
    <row r="48" spans="2:6" x14ac:dyDescent="0.2">
      <c r="B48" s="9"/>
      <c r="C48" s="9"/>
      <c r="D48" s="9"/>
      <c r="E48" s="9"/>
      <c r="F48" s="9"/>
    </row>
    <row r="49" spans="2:6" x14ac:dyDescent="0.2">
      <c r="D49" s="10"/>
      <c r="F49" s="10"/>
    </row>
    <row r="50" spans="2:6" x14ac:dyDescent="0.2">
      <c r="D50" s="10"/>
      <c r="F50" s="10"/>
    </row>
    <row r="53" spans="2:6" x14ac:dyDescent="0.2">
      <c r="B53" s="9"/>
      <c r="C53" s="9"/>
      <c r="D53" s="9"/>
      <c r="E53" s="9"/>
      <c r="F53" s="9"/>
    </row>
    <row r="54" spans="2:6" x14ac:dyDescent="0.2">
      <c r="D54" s="10"/>
      <c r="F54" s="10"/>
    </row>
    <row r="55" spans="2:6" x14ac:dyDescent="0.2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2021-03-14T00:20:31Z</dcterms:modified>
</cp:coreProperties>
</file>