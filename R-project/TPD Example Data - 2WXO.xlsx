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dubi\Downloads\"/>
    </mc:Choice>
  </mc:AlternateContent>
  <xr:revisionPtr revIDLastSave="0" documentId="8_{DAFE6CBF-FC10-4A25-B8DA-FF10B6AB3C42}" xr6:coauthVersionLast="47" xr6:coauthVersionMax="47" xr10:uidLastSave="{00000000-0000-0000-0000-000000000000}"/>
  <bookViews>
    <workbookView xWindow="-120" yWindow="-120" windowWidth="29040" windowHeight="15720" xr2:uid="{BECE5331-7722-4C85-AE02-ADF65C6B8C94}"/>
  </bookViews>
  <sheets>
    <sheet name="Result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" i="1" l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  <c r="A1" i="1"/>
</calcChain>
</file>

<file path=xl/sharedStrings.xml><?xml version="1.0" encoding="utf-8"?>
<sst xmlns="http://schemas.openxmlformats.org/spreadsheetml/2006/main" count="349" uniqueCount="7">
  <si>
    <t>AB</t>
  </si>
  <si>
    <t>A</t>
  </si>
  <si>
    <t>NA</t>
  </si>
  <si>
    <t>BA</t>
  </si>
  <si>
    <t>Time span for lambda estimation inadequate. Check individual regressions.</t>
  </si>
  <si>
    <t>B</t>
  </si>
  <si>
    <t>Adjusted coefficient of variation did not meet the minimum requirement of 0.8.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</si>
</sst>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1"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toronto-my.sharepoint.com/personal/d_dubins_utoronto_ca/Documents/Lectures/PHC331%202026/Section%206.1%20-%20Stats%20Analysis/TPD%20Example/NCA_v1%20-%20Solved%20for%20TPD.xlsm" TargetMode="External"/><Relationship Id="rId1" Type="http://schemas.openxmlformats.org/officeDocument/2006/relationships/externalLinkPath" Target="https://utoronto-my.sharepoint.com/personal/d_dubins_utoronto_ca/Documents/Lectures/PHC331%202026/Section%206.1%20-%20Stats%20Analysis/TPD%20Example/NCA_v1%20-%20Solved%20for%20TP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Randomization"/>
      <sheetName val="Time Check"/>
      <sheetName val="Data"/>
      <sheetName val="Deviations"/>
      <sheetName val="Analysis"/>
      <sheetName val="Results"/>
      <sheetName val="Subject Graphs"/>
    </sheetNames>
    <sheetDataSet>
      <sheetData sheetId="0"/>
      <sheetData sheetId="1"/>
      <sheetData sheetId="2"/>
      <sheetData sheetId="3"/>
      <sheetData sheetId="4"/>
      <sheetData sheetId="5">
        <row r="18">
          <cell r="G18" t="str">
            <v>Subject</v>
          </cell>
        </row>
        <row r="19">
          <cell r="G19" t="str">
            <v>Sequence</v>
          </cell>
        </row>
        <row r="20">
          <cell r="G20" t="str">
            <v>Period</v>
          </cell>
        </row>
        <row r="21">
          <cell r="G21" t="str">
            <v>Treatment</v>
          </cell>
        </row>
        <row r="22">
          <cell r="G22" t="str">
            <v>AUCt</v>
          </cell>
        </row>
        <row r="23">
          <cell r="G23" t="str">
            <v>AUCinf</v>
          </cell>
        </row>
        <row r="24">
          <cell r="G24" t="str">
            <v>Cmax</v>
          </cell>
        </row>
        <row r="25">
          <cell r="G25" t="str">
            <v>Tmax</v>
          </cell>
        </row>
        <row r="26">
          <cell r="G26" t="str">
            <v>Lambda</v>
          </cell>
        </row>
        <row r="27">
          <cell r="G27" t="str">
            <v>T1/2</v>
          </cell>
        </row>
        <row r="28">
          <cell r="G28" t="str">
            <v>AUCRatio</v>
          </cell>
        </row>
        <row r="29">
          <cell r="G29" t="str">
            <v>r2_adj</v>
          </cell>
        </row>
        <row r="30">
          <cell r="G30" t="str">
            <v>Clast</v>
          </cell>
        </row>
        <row r="31">
          <cell r="G31" t="str">
            <v>TLIN</v>
          </cell>
        </row>
        <row r="32">
          <cell r="G32" t="str">
            <v>LQCT</v>
          </cell>
        </row>
        <row r="33">
          <cell r="G33" t="str">
            <v>Pre-dose/Cmax</v>
          </cell>
        </row>
        <row r="34">
          <cell r="G34" t="str">
            <v>AUCX/AUCinf</v>
          </cell>
        </row>
        <row r="35">
          <cell r="G35" t="str">
            <v>Tlag</v>
          </cell>
        </row>
        <row r="36">
          <cell r="G36" t="str">
            <v>MRT</v>
          </cell>
        </row>
        <row r="37">
          <cell r="G37" t="str">
            <v>Vd/F (L)</v>
          </cell>
        </row>
        <row r="38">
          <cell r="G38" t="str">
            <v>Cl/F (L/h)</v>
          </cell>
        </row>
        <row r="39">
          <cell r="G39" t="str">
            <v>ERR_r2</v>
          </cell>
        </row>
        <row r="40">
          <cell r="G40" t="str">
            <v>ERR_slope</v>
          </cell>
        </row>
        <row r="41">
          <cell r="G41" t="str">
            <v>ERR_Cmax</v>
          </cell>
        </row>
        <row r="42">
          <cell r="G42" t="str">
            <v>ERR_Clast</v>
          </cell>
        </row>
        <row r="43">
          <cell r="G43" t="str">
            <v>ERR_Tspan</v>
          </cell>
        </row>
        <row r="44">
          <cell r="G44" t="str">
            <v>ERR_80%AUC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30647-34CC-4822-AFD0-227450E04C33}">
  <sheetPr codeName="Sheet5"/>
  <dimension ref="A1:AB55"/>
  <sheetViews>
    <sheetView tabSelected="1" zoomScaleNormal="100" zoomScalePageLayoutView="62" workbookViewId="0">
      <pane ySplit="1" topLeftCell="A2" activePane="bottomLeft" state="frozen"/>
      <selection pane="bottomLeft" activeCell="L13" sqref="L13"/>
    </sheetView>
  </sheetViews>
  <sheetFormatPr defaultColWidth="8.7109375" defaultRowHeight="12.75" x14ac:dyDescent="0.2"/>
  <cols>
    <col min="1" max="3" width="9.140625" style="3" customWidth="1"/>
    <col min="4" max="4" width="11.42578125" style="3" customWidth="1"/>
    <col min="5" max="7" width="12.140625" customWidth="1"/>
    <col min="8" max="14" width="9.140625" customWidth="1"/>
  </cols>
  <sheetData>
    <row r="1" spans="1:28" s="2" customFormat="1" x14ac:dyDescent="0.2">
      <c r="A1" s="1" t="str">
        <f>[1]Analysis!G18</f>
        <v>Subject</v>
      </c>
      <c r="B1" s="1" t="str">
        <f>[1]Analysis!G19</f>
        <v>Sequence</v>
      </c>
      <c r="C1" s="1" t="str">
        <f>[1]Analysis!G20</f>
        <v>Period</v>
      </c>
      <c r="D1" s="1" t="str">
        <f>[1]Analysis!G21</f>
        <v>Treatment</v>
      </c>
      <c r="E1" s="1" t="str">
        <f>[1]Analysis!G22</f>
        <v>AUCt</v>
      </c>
      <c r="F1" s="1" t="str">
        <f>[1]Analysis!G23</f>
        <v>AUCinf</v>
      </c>
      <c r="G1" s="1" t="str">
        <f>[1]Analysis!G24</f>
        <v>Cmax</v>
      </c>
      <c r="H1" s="1" t="str">
        <f>[1]Analysis!G25</f>
        <v>Tmax</v>
      </c>
      <c r="I1" s="1" t="str">
        <f>[1]Analysis!G26</f>
        <v>Lambda</v>
      </c>
      <c r="J1" s="1" t="str">
        <f>[1]Analysis!G27</f>
        <v>T1/2</v>
      </c>
      <c r="K1" s="1" t="str">
        <f>[1]Analysis!G28</f>
        <v>AUCRatio</v>
      </c>
      <c r="L1" s="1" t="str">
        <f>[1]Analysis!G29</f>
        <v>r2_adj</v>
      </c>
      <c r="M1" s="1" t="str">
        <f>[1]Analysis!G30</f>
        <v>Clast</v>
      </c>
      <c r="N1" s="1" t="str">
        <f>[1]Analysis!G31</f>
        <v>TLIN</v>
      </c>
      <c r="O1" s="1" t="str">
        <f>[1]Analysis!G32</f>
        <v>LQCT</v>
      </c>
      <c r="P1" s="1" t="str">
        <f>[1]Analysis!G33</f>
        <v>Pre-dose/Cmax</v>
      </c>
      <c r="Q1" s="1" t="str">
        <f>[1]Analysis!G34</f>
        <v>AUCX/AUCinf</v>
      </c>
      <c r="R1" s="1" t="str">
        <f>[1]Analysis!G35</f>
        <v>Tlag</v>
      </c>
      <c r="S1" s="1" t="str">
        <f>[1]Analysis!G36</f>
        <v>MRT</v>
      </c>
      <c r="T1" s="1" t="str">
        <f>[1]Analysis!G37</f>
        <v>Vd/F (L)</v>
      </c>
      <c r="U1" s="1" t="str">
        <f>[1]Analysis!G38</f>
        <v>Cl/F (L/h)</v>
      </c>
      <c r="V1" s="1" t="str">
        <f>[1]Analysis!G39</f>
        <v>ERR_r2</v>
      </c>
      <c r="W1" s="1" t="str">
        <f>[1]Analysis!G40</f>
        <v>ERR_slope</v>
      </c>
      <c r="X1" s="1" t="str">
        <f>[1]Analysis!G41</f>
        <v>ERR_Cmax</v>
      </c>
      <c r="Y1" s="1" t="str">
        <f>[1]Analysis!G42</f>
        <v>ERR_Clast</v>
      </c>
      <c r="Z1" s="1" t="str">
        <f>[1]Analysis!G43</f>
        <v>ERR_Tspan</v>
      </c>
      <c r="AA1" s="1" t="str">
        <f>[1]Analysis!G44</f>
        <v>ERR_80%AUC</v>
      </c>
      <c r="AB1" s="1"/>
    </row>
    <row r="2" spans="1:28" x14ac:dyDescent="0.2">
      <c r="A2" s="3">
        <v>1</v>
      </c>
      <c r="B2" s="3" t="s">
        <v>0</v>
      </c>
      <c r="C2" s="3">
        <v>1</v>
      </c>
      <c r="D2" s="3" t="s">
        <v>1</v>
      </c>
      <c r="E2">
        <v>364.74594999999999</v>
      </c>
      <c r="F2">
        <v>414.68049614211378</v>
      </c>
      <c r="G2">
        <v>122.2</v>
      </c>
      <c r="H2">
        <v>1.5</v>
      </c>
      <c r="I2">
        <v>0.30019297576748638</v>
      </c>
      <c r="J2">
        <v>2.3090053282819665</v>
      </c>
      <c r="K2">
        <v>0.87958308479258474</v>
      </c>
      <c r="L2">
        <v>0.95109739385384551</v>
      </c>
      <c r="M2">
        <v>14.99</v>
      </c>
      <c r="N2">
        <v>2</v>
      </c>
      <c r="O2">
        <v>8</v>
      </c>
      <c r="P2" t="s">
        <v>2</v>
      </c>
      <c r="Q2" t="s">
        <v>2</v>
      </c>
      <c r="R2">
        <v>0.66</v>
      </c>
      <c r="S2">
        <v>3.9763381278602012</v>
      </c>
      <c r="T2">
        <v>401.65748901739579</v>
      </c>
      <c r="U2">
        <v>120.57475686742853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</row>
    <row r="3" spans="1:28" x14ac:dyDescent="0.2">
      <c r="A3" s="3">
        <v>2</v>
      </c>
      <c r="B3" s="3" t="s">
        <v>3</v>
      </c>
      <c r="C3" s="3">
        <v>2</v>
      </c>
      <c r="D3" s="3" t="s">
        <v>1</v>
      </c>
      <c r="E3">
        <v>404.94560000000001</v>
      </c>
      <c r="F3">
        <v>437.90531514738711</v>
      </c>
      <c r="G3">
        <v>102</v>
      </c>
      <c r="H3">
        <v>1.5</v>
      </c>
      <c r="I3">
        <v>0.25000216061191405</v>
      </c>
      <c r="J3">
        <v>2.7725647604939652</v>
      </c>
      <c r="K3">
        <v>0.92473323796882034</v>
      </c>
      <c r="L3">
        <v>0.92184731464774827</v>
      </c>
      <c r="M3">
        <v>8.24</v>
      </c>
      <c r="N3">
        <v>2</v>
      </c>
      <c r="O3">
        <v>12</v>
      </c>
      <c r="P3" t="s">
        <v>2</v>
      </c>
      <c r="Q3" t="s">
        <v>2</v>
      </c>
      <c r="R3">
        <v>0.66</v>
      </c>
      <c r="S3">
        <v>4.6247984641975695</v>
      </c>
      <c r="T3">
        <v>456.7157890241478</v>
      </c>
      <c r="U3">
        <v>114.17993404161206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</row>
    <row r="4" spans="1:28" x14ac:dyDescent="0.2">
      <c r="A4" s="3">
        <v>3</v>
      </c>
      <c r="B4" s="3" t="s">
        <v>3</v>
      </c>
      <c r="C4" s="3">
        <v>2</v>
      </c>
      <c r="D4" s="3" t="s">
        <v>1</v>
      </c>
      <c r="E4">
        <v>702.83140000000003</v>
      </c>
      <c r="F4">
        <v>759.93027294357648</v>
      </c>
      <c r="G4">
        <v>201.5</v>
      </c>
      <c r="H4">
        <v>0.66</v>
      </c>
      <c r="I4">
        <v>0.25552168103943929</v>
      </c>
      <c r="J4">
        <v>2.7126746260445875</v>
      </c>
      <c r="K4">
        <v>0.92486301049383779</v>
      </c>
      <c r="L4">
        <v>0.91975054961290237</v>
      </c>
      <c r="M4">
        <v>14.59</v>
      </c>
      <c r="N4">
        <v>1</v>
      </c>
      <c r="O4">
        <v>12</v>
      </c>
      <c r="P4" t="s">
        <v>2</v>
      </c>
      <c r="Q4" t="s">
        <v>2</v>
      </c>
      <c r="R4">
        <v>0.33</v>
      </c>
      <c r="S4">
        <v>4.3322355248844406</v>
      </c>
      <c r="T4">
        <v>257.49482353037047</v>
      </c>
      <c r="U4">
        <v>65.795510167434031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</row>
    <row r="5" spans="1:28" x14ac:dyDescent="0.2">
      <c r="A5" s="3">
        <v>4</v>
      </c>
      <c r="B5" s="3" t="s">
        <v>0</v>
      </c>
      <c r="C5" s="3">
        <v>1</v>
      </c>
      <c r="D5" s="3" t="s">
        <v>1</v>
      </c>
      <c r="E5">
        <v>233.25030000000001</v>
      </c>
      <c r="F5">
        <v>259.90838323346713</v>
      </c>
      <c r="G5">
        <v>59.47</v>
      </c>
      <c r="H5">
        <v>3</v>
      </c>
      <c r="I5">
        <v>0.32860577121323198</v>
      </c>
      <c r="J5">
        <v>2.1093579032431622</v>
      </c>
      <c r="K5">
        <v>0.89743276880176259</v>
      </c>
      <c r="L5">
        <v>0.99740127400746248</v>
      </c>
      <c r="M5">
        <v>8.76</v>
      </c>
      <c r="N5">
        <v>4</v>
      </c>
      <c r="O5">
        <v>8</v>
      </c>
      <c r="P5" t="s">
        <v>2</v>
      </c>
      <c r="Q5" t="s">
        <v>2</v>
      </c>
      <c r="R5">
        <v>0.66</v>
      </c>
      <c r="S5">
        <v>4.1600529154158208</v>
      </c>
      <c r="T5">
        <v>585.42940181642427</v>
      </c>
      <c r="U5">
        <v>192.37548007478713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</row>
    <row r="6" spans="1:28" x14ac:dyDescent="0.2">
      <c r="A6" s="3">
        <v>5</v>
      </c>
      <c r="B6" s="3" t="s">
        <v>3</v>
      </c>
      <c r="C6" s="3">
        <v>2</v>
      </c>
      <c r="D6" s="3" t="s">
        <v>1</v>
      </c>
      <c r="E6">
        <v>247.41104999999999</v>
      </c>
      <c r="F6">
        <v>261.74128312116238</v>
      </c>
      <c r="G6">
        <v>66.400000000000006</v>
      </c>
      <c r="H6">
        <v>1</v>
      </c>
      <c r="I6">
        <v>0.42916259268091683</v>
      </c>
      <c r="J6">
        <v>1.6151155584878794</v>
      </c>
      <c r="K6">
        <v>0.94525039019340029</v>
      </c>
      <c r="L6">
        <v>0.97237887264204503</v>
      </c>
      <c r="M6">
        <v>6.1500000000000012</v>
      </c>
      <c r="N6">
        <v>4</v>
      </c>
      <c r="O6">
        <v>8</v>
      </c>
      <c r="P6" t="s">
        <v>2</v>
      </c>
      <c r="Q6" t="s">
        <v>2</v>
      </c>
      <c r="R6">
        <v>0.66</v>
      </c>
      <c r="S6">
        <v>3.4253938420034409</v>
      </c>
      <c r="T6">
        <v>445.11877891544515</v>
      </c>
      <c r="U6">
        <v>191.02832921031626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</row>
    <row r="7" spans="1:28" x14ac:dyDescent="0.2">
      <c r="A7" s="3">
        <v>6</v>
      </c>
      <c r="B7" s="3" t="s">
        <v>0</v>
      </c>
      <c r="C7" s="3">
        <v>1</v>
      </c>
      <c r="D7" s="3" t="s">
        <v>1</v>
      </c>
      <c r="E7">
        <v>178.19154999999998</v>
      </c>
      <c r="F7">
        <v>210.11204449705869</v>
      </c>
      <c r="G7">
        <v>54.19</v>
      </c>
      <c r="H7">
        <v>1.5</v>
      </c>
      <c r="I7">
        <v>0.26158742624646381</v>
      </c>
      <c r="J7">
        <v>2.6497725464329935</v>
      </c>
      <c r="K7">
        <v>0.84807870213501468</v>
      </c>
      <c r="L7">
        <v>0.94509935809556378</v>
      </c>
      <c r="M7">
        <v>8.35</v>
      </c>
      <c r="N7">
        <v>2</v>
      </c>
      <c r="O7">
        <v>8</v>
      </c>
      <c r="P7" t="s">
        <v>2</v>
      </c>
      <c r="Q7" t="s">
        <v>2</v>
      </c>
      <c r="R7">
        <v>0.66</v>
      </c>
      <c r="S7">
        <v>4.3797861623950558</v>
      </c>
      <c r="T7">
        <v>909.7083704490143</v>
      </c>
      <c r="U7">
        <v>237.96827126062226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</row>
    <row r="8" spans="1:28" x14ac:dyDescent="0.2">
      <c r="A8" s="3">
        <v>7</v>
      </c>
      <c r="B8" s="3" t="s">
        <v>3</v>
      </c>
      <c r="C8" s="3">
        <v>2</v>
      </c>
      <c r="D8" s="3" t="s">
        <v>1</v>
      </c>
      <c r="E8">
        <v>246.3878</v>
      </c>
      <c r="F8">
        <v>265.0736023447343</v>
      </c>
      <c r="G8">
        <v>100.9</v>
      </c>
      <c r="H8">
        <v>1</v>
      </c>
      <c r="I8">
        <v>0.36551815512084335</v>
      </c>
      <c r="J8">
        <v>1.896341319436746</v>
      </c>
      <c r="K8">
        <v>0.92950711734609848</v>
      </c>
      <c r="L8">
        <v>0.9493360545819427</v>
      </c>
      <c r="M8">
        <v>6.83</v>
      </c>
      <c r="N8">
        <v>1.5</v>
      </c>
      <c r="O8">
        <v>8</v>
      </c>
      <c r="P8" t="s">
        <v>2</v>
      </c>
      <c r="Q8" t="s">
        <v>2</v>
      </c>
      <c r="R8">
        <v>0.33</v>
      </c>
      <c r="S8">
        <v>3.0096699732505199</v>
      </c>
      <c r="T8">
        <v>516.05331371816533</v>
      </c>
      <c r="U8">
        <v>188.62685517426158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</row>
    <row r="9" spans="1:28" x14ac:dyDescent="0.2">
      <c r="A9" s="3">
        <v>8</v>
      </c>
      <c r="B9" s="3" t="s">
        <v>0</v>
      </c>
      <c r="C9" s="3">
        <v>1</v>
      </c>
      <c r="D9" s="3" t="s">
        <v>1</v>
      </c>
      <c r="E9">
        <v>407.99185</v>
      </c>
      <c r="F9">
        <v>452.10804598483168</v>
      </c>
      <c r="G9">
        <v>89.51</v>
      </c>
      <c r="H9">
        <v>1.5</v>
      </c>
      <c r="I9">
        <v>0.17113896226673517</v>
      </c>
      <c r="J9">
        <v>4.0502009091279536</v>
      </c>
      <c r="K9">
        <v>0.90242112172825217</v>
      </c>
      <c r="L9">
        <v>0.97552774476853399</v>
      </c>
      <c r="M9">
        <v>7.5500000000000007</v>
      </c>
      <c r="N9">
        <v>6</v>
      </c>
      <c r="O9">
        <v>12</v>
      </c>
      <c r="P9" t="s">
        <v>2</v>
      </c>
      <c r="Q9" t="s">
        <v>2</v>
      </c>
      <c r="R9">
        <v>0.66</v>
      </c>
      <c r="S9">
        <v>5.1132835745658198</v>
      </c>
      <c r="T9">
        <v>646.21773689899237</v>
      </c>
      <c r="U9">
        <v>110.59303289125164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</row>
    <row r="10" spans="1:28" x14ac:dyDescent="0.2">
      <c r="A10" s="3">
        <v>9</v>
      </c>
      <c r="B10" s="3" t="s">
        <v>3</v>
      </c>
      <c r="C10" s="3">
        <v>2</v>
      </c>
      <c r="D10" s="3" t="s">
        <v>1</v>
      </c>
      <c r="E10">
        <v>315.47609999999997</v>
      </c>
      <c r="F10">
        <v>383.04215095975047</v>
      </c>
      <c r="G10">
        <v>154.80000000000001</v>
      </c>
      <c r="H10">
        <v>1.5</v>
      </c>
      <c r="I10">
        <v>0.29334258430771537</v>
      </c>
      <c r="J10">
        <v>2.3629272312977112</v>
      </c>
      <c r="K10">
        <v>0.82360674721970684</v>
      </c>
      <c r="L10">
        <v>0.91025395523297936</v>
      </c>
      <c r="M10">
        <v>19.82</v>
      </c>
      <c r="N10">
        <v>2</v>
      </c>
      <c r="O10">
        <v>6</v>
      </c>
      <c r="P10" t="s">
        <v>2</v>
      </c>
      <c r="Q10" t="s">
        <v>2</v>
      </c>
      <c r="R10">
        <v>0.66</v>
      </c>
      <c r="S10">
        <v>3.6150646144764602</v>
      </c>
      <c r="T10">
        <v>444.98802416824719</v>
      </c>
      <c r="U10">
        <v>130.53393699549773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</row>
    <row r="11" spans="1:28" x14ac:dyDescent="0.2">
      <c r="A11" s="3">
        <v>10</v>
      </c>
      <c r="B11" s="3" t="s">
        <v>0</v>
      </c>
      <c r="C11" s="3">
        <v>1</v>
      </c>
      <c r="D11" s="3" t="s">
        <v>1</v>
      </c>
      <c r="E11">
        <v>140.12540000000001</v>
      </c>
      <c r="F11" t="s">
        <v>2</v>
      </c>
      <c r="G11">
        <v>56.88</v>
      </c>
      <c r="H11">
        <v>1</v>
      </c>
      <c r="I11" t="s">
        <v>2</v>
      </c>
      <c r="J11" t="s">
        <v>2</v>
      </c>
      <c r="K11" t="s">
        <v>2</v>
      </c>
      <c r="L11" t="s">
        <v>2</v>
      </c>
      <c r="M11">
        <v>25.199999999999996</v>
      </c>
      <c r="N11" t="s">
        <v>2</v>
      </c>
      <c r="O11" t="s">
        <v>2</v>
      </c>
      <c r="P11" t="s">
        <v>2</v>
      </c>
      <c r="Q11" t="s">
        <v>2</v>
      </c>
      <c r="R11">
        <v>0.33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4</v>
      </c>
      <c r="AA11" t="s">
        <v>2</v>
      </c>
    </row>
    <row r="12" spans="1:28" x14ac:dyDescent="0.2">
      <c r="A12" s="3">
        <v>11</v>
      </c>
      <c r="B12" s="3" t="s">
        <v>0</v>
      </c>
      <c r="C12" s="3">
        <v>1</v>
      </c>
      <c r="D12" s="3" t="s">
        <v>1</v>
      </c>
      <c r="E12">
        <v>165.36499999999998</v>
      </c>
      <c r="F12">
        <v>200.24842747345301</v>
      </c>
      <c r="G12">
        <v>23.15</v>
      </c>
      <c r="H12">
        <v>4</v>
      </c>
      <c r="I12">
        <v>0.14849458253326972</v>
      </c>
      <c r="J12">
        <v>4.6678280697859664</v>
      </c>
      <c r="K12">
        <v>0.82579924390129089</v>
      </c>
      <c r="L12">
        <v>0.84286208832068987</v>
      </c>
      <c r="M12">
        <v>5.18</v>
      </c>
      <c r="N12">
        <v>6</v>
      </c>
      <c r="O12">
        <v>16</v>
      </c>
      <c r="P12" t="s">
        <v>2</v>
      </c>
      <c r="Q12" t="s">
        <v>2</v>
      </c>
      <c r="R12">
        <v>3</v>
      </c>
      <c r="S12">
        <v>10.142295101453309</v>
      </c>
      <c r="T12">
        <v>1681.4744797172696</v>
      </c>
      <c r="U12">
        <v>249.68985090596286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</row>
    <row r="13" spans="1:28" x14ac:dyDescent="0.2">
      <c r="A13" s="3">
        <v>12</v>
      </c>
      <c r="B13" s="3" t="s">
        <v>3</v>
      </c>
      <c r="C13" s="3">
        <v>2</v>
      </c>
      <c r="D13" s="3" t="s">
        <v>1</v>
      </c>
      <c r="E13">
        <v>87.988199999999978</v>
      </c>
      <c r="F13">
        <v>112.26656381669248</v>
      </c>
      <c r="G13">
        <v>37.76</v>
      </c>
      <c r="H13">
        <v>0.66</v>
      </c>
      <c r="I13">
        <v>0.26278541866208677</v>
      </c>
      <c r="J13">
        <v>2.6376927003368347</v>
      </c>
      <c r="K13">
        <v>0.78374359211408728</v>
      </c>
      <c r="L13">
        <v>0.96866632993242918</v>
      </c>
      <c r="M13">
        <v>6.379999999999999</v>
      </c>
      <c r="N13">
        <v>1.5</v>
      </c>
      <c r="O13">
        <v>6</v>
      </c>
      <c r="P13" t="s">
        <v>2</v>
      </c>
      <c r="Q13" t="s">
        <v>2</v>
      </c>
      <c r="R13">
        <v>0.66</v>
      </c>
      <c r="S13">
        <v>4.0598113409870731</v>
      </c>
      <c r="T13">
        <v>1694.7994348425768</v>
      </c>
      <c r="U13">
        <v>445.36857903337466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</row>
    <row r="14" spans="1:28" x14ac:dyDescent="0.2">
      <c r="A14" s="3">
        <v>13</v>
      </c>
      <c r="B14" s="3" t="s">
        <v>3</v>
      </c>
      <c r="C14" s="3">
        <v>2</v>
      </c>
      <c r="D14" s="3" t="s">
        <v>1</v>
      </c>
      <c r="E14">
        <v>182.77324999999999</v>
      </c>
      <c r="F14">
        <v>214.61030507191902</v>
      </c>
      <c r="G14">
        <v>43.3</v>
      </c>
      <c r="H14">
        <v>1</v>
      </c>
      <c r="I14">
        <v>0.24122834171223112</v>
      </c>
      <c r="J14">
        <v>2.8734068958896315</v>
      </c>
      <c r="K14">
        <v>0.8516517878242148</v>
      </c>
      <c r="L14">
        <v>0.94959415505453815</v>
      </c>
      <c r="M14">
        <v>7.6800000000000015</v>
      </c>
      <c r="N14">
        <v>1.5</v>
      </c>
      <c r="O14">
        <v>8</v>
      </c>
      <c r="P14" t="s">
        <v>2</v>
      </c>
      <c r="Q14" t="s">
        <v>2</v>
      </c>
      <c r="R14">
        <v>0.66</v>
      </c>
      <c r="S14">
        <v>4.6491662706577026</v>
      </c>
      <c r="T14">
        <v>965.8086730194342</v>
      </c>
      <c r="U14">
        <v>232.98042460376857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</row>
    <row r="15" spans="1:28" x14ac:dyDescent="0.2">
      <c r="A15" s="3">
        <v>14</v>
      </c>
      <c r="B15" s="3" t="s">
        <v>0</v>
      </c>
      <c r="C15" s="3">
        <v>1</v>
      </c>
      <c r="D15" s="3" t="s">
        <v>1</v>
      </c>
      <c r="E15">
        <v>122.47815</v>
      </c>
      <c r="F15">
        <v>149.09762828757025</v>
      </c>
      <c r="G15">
        <v>68.25</v>
      </c>
      <c r="H15">
        <v>0.66</v>
      </c>
      <c r="I15">
        <v>0.47859690796227378</v>
      </c>
      <c r="J15">
        <v>1.4482901352437985</v>
      </c>
      <c r="K15">
        <v>0.82146276508015104</v>
      </c>
      <c r="L15">
        <v>0.92505020325253995</v>
      </c>
      <c r="M15">
        <v>12.74</v>
      </c>
      <c r="N15">
        <v>1</v>
      </c>
      <c r="O15">
        <v>4</v>
      </c>
      <c r="P15" t="s">
        <v>2</v>
      </c>
      <c r="Q15" t="s">
        <v>2</v>
      </c>
      <c r="R15">
        <v>0.66</v>
      </c>
      <c r="S15">
        <v>2.5338076917276204</v>
      </c>
      <c r="T15">
        <v>700.69558445780581</v>
      </c>
      <c r="U15">
        <v>335.35074014432416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</row>
    <row r="16" spans="1:28" x14ac:dyDescent="0.2">
      <c r="A16" s="3">
        <v>15</v>
      </c>
      <c r="B16" s="3" t="s">
        <v>3</v>
      </c>
      <c r="C16" s="3">
        <v>2</v>
      </c>
      <c r="D16" s="3" t="s">
        <v>1</v>
      </c>
      <c r="E16">
        <v>67.981500000000011</v>
      </c>
      <c r="F16" t="s">
        <v>2</v>
      </c>
      <c r="G16">
        <v>27.54</v>
      </c>
      <c r="H16">
        <v>1.5</v>
      </c>
      <c r="I16" t="s">
        <v>2</v>
      </c>
      <c r="J16" t="s">
        <v>2</v>
      </c>
      <c r="K16" t="s">
        <v>2</v>
      </c>
      <c r="L16" t="s">
        <v>2</v>
      </c>
      <c r="M16">
        <v>9.7299999999999986</v>
      </c>
      <c r="N16" t="s">
        <v>2</v>
      </c>
      <c r="O16" t="s">
        <v>2</v>
      </c>
      <c r="P16" t="s">
        <v>2</v>
      </c>
      <c r="Q16" t="s">
        <v>2</v>
      </c>
      <c r="R16">
        <v>0.66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4</v>
      </c>
      <c r="AA16" t="s">
        <v>2</v>
      </c>
    </row>
    <row r="17" spans="1:27" x14ac:dyDescent="0.2">
      <c r="A17" s="3">
        <v>16</v>
      </c>
      <c r="B17" s="3" t="s">
        <v>0</v>
      </c>
      <c r="C17" s="3">
        <v>1</v>
      </c>
      <c r="D17" s="3" t="s">
        <v>1</v>
      </c>
      <c r="E17">
        <v>274.57909999999998</v>
      </c>
      <c r="F17">
        <v>296.15002217158252</v>
      </c>
      <c r="G17">
        <v>60.43</v>
      </c>
      <c r="H17">
        <v>2</v>
      </c>
      <c r="I17">
        <v>0.25450928598836214</v>
      </c>
      <c r="J17">
        <v>2.7234651885811374</v>
      </c>
      <c r="K17">
        <v>0.92716217944739898</v>
      </c>
      <c r="L17">
        <v>0.90973369205617793</v>
      </c>
      <c r="M17">
        <v>5.49</v>
      </c>
      <c r="N17">
        <v>3</v>
      </c>
      <c r="O17">
        <v>12</v>
      </c>
      <c r="P17" t="s">
        <v>2</v>
      </c>
      <c r="Q17" t="s">
        <v>2</v>
      </c>
      <c r="R17">
        <v>0.66</v>
      </c>
      <c r="S17">
        <v>4.8323654308441029</v>
      </c>
      <c r="T17">
        <v>663.36812889436226</v>
      </c>
      <c r="U17">
        <v>168.83334883233996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</row>
    <row r="18" spans="1:27" x14ac:dyDescent="0.2">
      <c r="A18" s="3">
        <v>1</v>
      </c>
      <c r="B18" s="3" t="s">
        <v>0</v>
      </c>
      <c r="C18" s="3">
        <v>2</v>
      </c>
      <c r="D18" s="3" t="s">
        <v>5</v>
      </c>
      <c r="E18">
        <v>374.93599999999998</v>
      </c>
      <c r="F18">
        <v>422.29896637683999</v>
      </c>
      <c r="G18">
        <v>126.2</v>
      </c>
      <c r="H18">
        <v>1.5</v>
      </c>
      <c r="I18">
        <v>0.26603063456264647</v>
      </c>
      <c r="J18">
        <v>2.6055163973858764</v>
      </c>
      <c r="K18">
        <v>0.88784493889910365</v>
      </c>
      <c r="L18">
        <v>0.9342336243857281</v>
      </c>
      <c r="M18">
        <v>12.599999999999996</v>
      </c>
      <c r="N18">
        <v>3</v>
      </c>
      <c r="O18">
        <v>8</v>
      </c>
      <c r="P18" t="s">
        <v>2</v>
      </c>
      <c r="Q18" t="s">
        <v>2</v>
      </c>
      <c r="R18">
        <v>0.66</v>
      </c>
      <c r="S18">
        <v>3.601848578273346</v>
      </c>
      <c r="T18">
        <v>445.05976627339851</v>
      </c>
      <c r="U18">
        <v>118.39953204001533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</row>
    <row r="19" spans="1:27" x14ac:dyDescent="0.2">
      <c r="A19" s="3">
        <v>2</v>
      </c>
      <c r="B19" s="3" t="s">
        <v>3</v>
      </c>
      <c r="C19" s="3">
        <v>1</v>
      </c>
      <c r="D19" s="3" t="s">
        <v>5</v>
      </c>
      <c r="E19">
        <v>595.03874999999994</v>
      </c>
      <c r="F19">
        <v>612.10209809490163</v>
      </c>
      <c r="G19">
        <v>206.9</v>
      </c>
      <c r="H19">
        <v>1.5</v>
      </c>
      <c r="I19">
        <v>0.31588173493398175</v>
      </c>
      <c r="J19">
        <v>2.1943249764181862</v>
      </c>
      <c r="K19">
        <v>0.97212336283765499</v>
      </c>
      <c r="L19">
        <v>0.95065416789628543</v>
      </c>
      <c r="M19">
        <v>5.39</v>
      </c>
      <c r="N19">
        <v>6</v>
      </c>
      <c r="O19">
        <v>12</v>
      </c>
      <c r="P19" t="s">
        <v>2</v>
      </c>
      <c r="Q19" t="s">
        <v>2</v>
      </c>
      <c r="R19">
        <v>0.66</v>
      </c>
      <c r="S19">
        <v>3.5861135464607621</v>
      </c>
      <c r="T19">
        <v>258.59589204401692</v>
      </c>
      <c r="U19">
        <v>81.685719025664724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</row>
    <row r="20" spans="1:27" x14ac:dyDescent="0.2">
      <c r="A20" s="3">
        <v>3</v>
      </c>
      <c r="B20" s="3" t="s">
        <v>3</v>
      </c>
      <c r="C20" s="3">
        <v>1</v>
      </c>
      <c r="D20" s="3" t="s">
        <v>5</v>
      </c>
      <c r="E20">
        <v>471.1644</v>
      </c>
      <c r="F20">
        <v>499.69663330204662</v>
      </c>
      <c r="G20">
        <v>122.8</v>
      </c>
      <c r="H20">
        <v>1.5</v>
      </c>
      <c r="I20">
        <v>0.22045242422536965</v>
      </c>
      <c r="J20">
        <v>3.1442030315408886</v>
      </c>
      <c r="K20">
        <v>0.94290088945866479</v>
      </c>
      <c r="L20">
        <v>0.9968510967349169</v>
      </c>
      <c r="M20">
        <v>6.29</v>
      </c>
      <c r="N20">
        <v>6</v>
      </c>
      <c r="O20">
        <v>12</v>
      </c>
      <c r="P20" t="s">
        <v>2</v>
      </c>
      <c r="Q20" t="s">
        <v>2</v>
      </c>
      <c r="R20">
        <v>1</v>
      </c>
      <c r="S20">
        <v>4.3970118307214534</v>
      </c>
      <c r="T20">
        <v>453.88800112349151</v>
      </c>
      <c r="U20">
        <v>100.060710174481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</row>
    <row r="21" spans="1:27" x14ac:dyDescent="0.2">
      <c r="A21" s="3">
        <v>4</v>
      </c>
      <c r="B21" s="3" t="s">
        <v>0</v>
      </c>
      <c r="C21" s="3">
        <v>2</v>
      </c>
      <c r="D21" s="3" t="s">
        <v>5</v>
      </c>
      <c r="E21">
        <v>190.39375000000001</v>
      </c>
      <c r="F21" t="s">
        <v>2</v>
      </c>
      <c r="G21">
        <v>37.26</v>
      </c>
      <c r="H21">
        <v>1</v>
      </c>
      <c r="I21" t="s">
        <v>2</v>
      </c>
      <c r="J21" t="s">
        <v>2</v>
      </c>
      <c r="K21" t="s">
        <v>2</v>
      </c>
      <c r="L21">
        <v>0.68895561426650542</v>
      </c>
      <c r="M21">
        <v>6.72</v>
      </c>
      <c r="N21" t="s">
        <v>2</v>
      </c>
      <c r="O21" t="s">
        <v>2</v>
      </c>
      <c r="P21" t="s">
        <v>2</v>
      </c>
      <c r="Q21" t="s">
        <v>2</v>
      </c>
      <c r="R21">
        <v>0.66</v>
      </c>
      <c r="S21" t="s">
        <v>2</v>
      </c>
      <c r="T21" t="s">
        <v>2</v>
      </c>
      <c r="U21" t="s">
        <v>2</v>
      </c>
      <c r="V21" t="s">
        <v>6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</row>
    <row r="22" spans="1:27" x14ac:dyDescent="0.2">
      <c r="A22" s="3">
        <v>5</v>
      </c>
      <c r="B22" s="3" t="s">
        <v>3</v>
      </c>
      <c r="C22" s="3">
        <v>1</v>
      </c>
      <c r="D22" s="3" t="s">
        <v>5</v>
      </c>
      <c r="E22">
        <v>257.45585</v>
      </c>
      <c r="F22">
        <v>284.65476332137484</v>
      </c>
      <c r="G22">
        <v>84.67</v>
      </c>
      <c r="H22">
        <v>2</v>
      </c>
      <c r="I22">
        <v>0.31140950007527241</v>
      </c>
      <c r="J22">
        <v>2.2258382624563513</v>
      </c>
      <c r="K22">
        <v>0.90444947063588288</v>
      </c>
      <c r="L22">
        <v>0.95268941147309771</v>
      </c>
      <c r="M22">
        <v>8.4699999999999989</v>
      </c>
      <c r="N22">
        <v>3</v>
      </c>
      <c r="O22">
        <v>8</v>
      </c>
      <c r="P22" t="s">
        <v>2</v>
      </c>
      <c r="Q22" t="s">
        <v>2</v>
      </c>
      <c r="R22">
        <v>0.66</v>
      </c>
      <c r="S22">
        <v>3.7689844985956777</v>
      </c>
      <c r="T22">
        <v>564.05271171261552</v>
      </c>
      <c r="U22">
        <v>175.65137297052735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</row>
    <row r="23" spans="1:27" x14ac:dyDescent="0.2">
      <c r="A23" s="3">
        <v>6</v>
      </c>
      <c r="B23" s="3" t="s">
        <v>0</v>
      </c>
      <c r="C23" s="3">
        <v>2</v>
      </c>
      <c r="D23" s="3" t="s">
        <v>5</v>
      </c>
      <c r="E23">
        <v>175.37495000000001</v>
      </c>
      <c r="F23">
        <v>189.70212193441284</v>
      </c>
      <c r="G23">
        <v>55.27</v>
      </c>
      <c r="H23">
        <v>1.5</v>
      </c>
      <c r="I23">
        <v>0.54372209921547643</v>
      </c>
      <c r="J23">
        <v>1.2748188487465761</v>
      </c>
      <c r="K23">
        <v>0.92447542606104183</v>
      </c>
      <c r="L23">
        <v>0.98034597016313429</v>
      </c>
      <c r="M23">
        <v>7.79</v>
      </c>
      <c r="N23">
        <v>3</v>
      </c>
      <c r="O23">
        <v>6</v>
      </c>
      <c r="P23" t="s">
        <v>2</v>
      </c>
      <c r="Q23" t="s">
        <v>2</v>
      </c>
      <c r="R23">
        <v>0.66</v>
      </c>
      <c r="S23">
        <v>3.0228754364045414</v>
      </c>
      <c r="T23">
        <v>484.75336289446852</v>
      </c>
      <c r="U23">
        <v>263.57111607474206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</row>
    <row r="24" spans="1:27" x14ac:dyDescent="0.2">
      <c r="A24" s="3">
        <v>7</v>
      </c>
      <c r="B24" s="3" t="s">
        <v>3</v>
      </c>
      <c r="C24" s="3">
        <v>1</v>
      </c>
      <c r="D24" s="3" t="s">
        <v>5</v>
      </c>
      <c r="E24">
        <v>381.82399999999996</v>
      </c>
      <c r="F24">
        <v>395.21788522059745</v>
      </c>
      <c r="G24">
        <v>218.7</v>
      </c>
      <c r="H24">
        <v>1</v>
      </c>
      <c r="I24">
        <v>0.40466227018766587</v>
      </c>
      <c r="J24">
        <v>1.7129029109595315</v>
      </c>
      <c r="K24">
        <v>0.96611012375332794</v>
      </c>
      <c r="L24">
        <v>0.96596016361758974</v>
      </c>
      <c r="M24">
        <v>5.42</v>
      </c>
      <c r="N24">
        <v>2</v>
      </c>
      <c r="O24">
        <v>8</v>
      </c>
      <c r="P24" t="s">
        <v>2</v>
      </c>
      <c r="Q24" t="s">
        <v>2</v>
      </c>
      <c r="R24">
        <v>0.66</v>
      </c>
      <c r="S24">
        <v>2.6667159911704279</v>
      </c>
      <c r="T24">
        <v>312.63723474789685</v>
      </c>
      <c r="U24">
        <v>126.51249315827816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</row>
    <row r="25" spans="1:27" x14ac:dyDescent="0.2">
      <c r="A25" s="3">
        <v>8</v>
      </c>
      <c r="B25" s="3" t="s">
        <v>0</v>
      </c>
      <c r="C25" s="3">
        <v>2</v>
      </c>
      <c r="D25" s="3" t="s">
        <v>5</v>
      </c>
      <c r="E25">
        <v>360.82750000000004</v>
      </c>
      <c r="F25">
        <v>406.46666690514115</v>
      </c>
      <c r="G25">
        <v>181.9</v>
      </c>
      <c r="H25">
        <v>0.66</v>
      </c>
      <c r="I25">
        <v>0.40535358672193528</v>
      </c>
      <c r="J25">
        <v>1.709981614238018</v>
      </c>
      <c r="K25">
        <v>0.88771731947261467</v>
      </c>
      <c r="L25">
        <v>0.96580115978669001</v>
      </c>
      <c r="M25">
        <v>18.499999999999996</v>
      </c>
      <c r="N25">
        <v>1</v>
      </c>
      <c r="O25">
        <v>6</v>
      </c>
      <c r="P25" t="s">
        <v>2</v>
      </c>
      <c r="Q25" t="s">
        <v>2</v>
      </c>
      <c r="R25">
        <v>0.66</v>
      </c>
      <c r="S25">
        <v>2.8861717084431655</v>
      </c>
      <c r="T25">
        <v>303.4667041280685</v>
      </c>
      <c r="U25">
        <v>123.01131696899689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</row>
    <row r="26" spans="1:27" x14ac:dyDescent="0.2">
      <c r="A26" s="3">
        <v>9</v>
      </c>
      <c r="B26" s="3" t="s">
        <v>3</v>
      </c>
      <c r="C26" s="3">
        <v>1</v>
      </c>
      <c r="D26" s="3" t="s">
        <v>5</v>
      </c>
      <c r="E26">
        <v>218.47035000000002</v>
      </c>
      <c r="F26">
        <v>241.75069357310346</v>
      </c>
      <c r="G26">
        <v>59.68</v>
      </c>
      <c r="H26">
        <v>1.5</v>
      </c>
      <c r="I26">
        <v>0.29853511303113095</v>
      </c>
      <c r="J26">
        <v>2.3218279870738843</v>
      </c>
      <c r="K26">
        <v>0.90370102675191022</v>
      </c>
      <c r="L26">
        <v>0.98609453660900948</v>
      </c>
      <c r="M26">
        <v>6.9500000000000011</v>
      </c>
      <c r="N26">
        <v>4</v>
      </c>
      <c r="O26">
        <v>8</v>
      </c>
      <c r="P26" t="s">
        <v>2</v>
      </c>
      <c r="Q26" t="s">
        <v>2</v>
      </c>
      <c r="R26">
        <v>0.66</v>
      </c>
      <c r="S26">
        <v>3.6810974315761786</v>
      </c>
      <c r="T26">
        <v>692.79836869129349</v>
      </c>
      <c r="U26">
        <v>206.82463930503846</v>
      </c>
      <c r="V26" t="s">
        <v>2</v>
      </c>
      <c r="W26" t="s">
        <v>2</v>
      </c>
      <c r="X26" t="s">
        <v>2</v>
      </c>
      <c r="Y26" t="s">
        <v>2</v>
      </c>
      <c r="Z26" t="s">
        <v>2</v>
      </c>
      <c r="AA26" t="s">
        <v>2</v>
      </c>
    </row>
    <row r="27" spans="1:27" x14ac:dyDescent="0.2">
      <c r="A27" s="3">
        <v>10</v>
      </c>
      <c r="B27" s="3" t="s">
        <v>0</v>
      </c>
      <c r="C27" s="3">
        <v>2</v>
      </c>
      <c r="D27" s="3" t="s">
        <v>5</v>
      </c>
      <c r="E27">
        <v>91.806550000000001</v>
      </c>
      <c r="F27">
        <v>103.12269899714344</v>
      </c>
      <c r="G27">
        <v>25.56</v>
      </c>
      <c r="H27">
        <v>2</v>
      </c>
      <c r="I27">
        <v>0.48514737667256352</v>
      </c>
      <c r="J27">
        <v>1.4287352954765442</v>
      </c>
      <c r="K27">
        <v>0.89026519760254819</v>
      </c>
      <c r="L27">
        <v>0.84670758689124703</v>
      </c>
      <c r="M27">
        <v>5.49</v>
      </c>
      <c r="N27">
        <v>3</v>
      </c>
      <c r="O27">
        <v>6</v>
      </c>
      <c r="P27" t="s">
        <v>2</v>
      </c>
      <c r="Q27" t="s">
        <v>2</v>
      </c>
      <c r="R27">
        <v>0.66</v>
      </c>
      <c r="S27">
        <v>3.222626971361676</v>
      </c>
      <c r="T27">
        <v>999.40621491304034</v>
      </c>
      <c r="U27">
        <v>484.85930339531774</v>
      </c>
      <c r="V27" t="s">
        <v>2</v>
      </c>
      <c r="W27" t="s">
        <v>2</v>
      </c>
      <c r="X27" t="s">
        <v>2</v>
      </c>
      <c r="Y27" t="s">
        <v>2</v>
      </c>
      <c r="Z27" t="s">
        <v>2</v>
      </c>
      <c r="AA27" t="s">
        <v>2</v>
      </c>
    </row>
    <row r="28" spans="1:27" x14ac:dyDescent="0.2">
      <c r="A28" s="3">
        <v>11</v>
      </c>
      <c r="B28" s="3" t="s">
        <v>0</v>
      </c>
      <c r="C28" s="3">
        <v>2</v>
      </c>
      <c r="D28" s="3" t="s">
        <v>5</v>
      </c>
      <c r="E28">
        <v>269.01575000000003</v>
      </c>
      <c r="F28">
        <v>322.88125500557783</v>
      </c>
      <c r="G28">
        <v>57.05</v>
      </c>
      <c r="H28">
        <v>1.5</v>
      </c>
      <c r="I28">
        <v>0.14109215163234831</v>
      </c>
      <c r="J28">
        <v>4.9127267005334039</v>
      </c>
      <c r="K28">
        <v>0.8331723995415985</v>
      </c>
      <c r="L28">
        <v>0.93798051816740302</v>
      </c>
      <c r="M28">
        <v>7.5999999999999979</v>
      </c>
      <c r="N28">
        <v>4</v>
      </c>
      <c r="O28">
        <v>12</v>
      </c>
      <c r="P28" t="s">
        <v>2</v>
      </c>
      <c r="Q28" t="s">
        <v>2</v>
      </c>
      <c r="R28">
        <v>0.66</v>
      </c>
      <c r="S28">
        <v>6.8541282677321247</v>
      </c>
      <c r="T28">
        <v>1097.5500030157996</v>
      </c>
      <c r="U28">
        <v>154.85569144958956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</row>
    <row r="29" spans="1:27" x14ac:dyDescent="0.2">
      <c r="A29" s="3">
        <v>12</v>
      </c>
      <c r="B29" s="3" t="s">
        <v>3</v>
      </c>
      <c r="C29" s="3">
        <v>1</v>
      </c>
      <c r="D29" s="3" t="s">
        <v>5</v>
      </c>
      <c r="E29">
        <v>105.56249999999999</v>
      </c>
      <c r="F29">
        <v>125.96483434995577</v>
      </c>
      <c r="G29">
        <v>47.2</v>
      </c>
      <c r="H29">
        <v>0.66</v>
      </c>
      <c r="I29">
        <v>0.35633177435971958</v>
      </c>
      <c r="J29">
        <v>1.9452297842521562</v>
      </c>
      <c r="K29">
        <v>0.83803150732311549</v>
      </c>
      <c r="L29">
        <v>0.869414615653061</v>
      </c>
      <c r="M29">
        <v>7.2699999999999987</v>
      </c>
      <c r="N29">
        <v>1</v>
      </c>
      <c r="O29">
        <v>6</v>
      </c>
      <c r="P29" t="s">
        <v>2</v>
      </c>
      <c r="Q29" t="s">
        <v>2</v>
      </c>
      <c r="R29">
        <v>0.66</v>
      </c>
      <c r="S29">
        <v>3.3315210227581429</v>
      </c>
      <c r="T29">
        <v>1113.95111882314</v>
      </c>
      <c r="U29">
        <v>396.93617872024424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</row>
    <row r="30" spans="1:27" x14ac:dyDescent="0.2">
      <c r="A30" s="3">
        <v>13</v>
      </c>
      <c r="B30" s="3" t="s">
        <v>3</v>
      </c>
      <c r="C30" s="3">
        <v>1</v>
      </c>
      <c r="D30" s="3" t="s">
        <v>5</v>
      </c>
      <c r="E30">
        <v>290.14199999999994</v>
      </c>
      <c r="F30">
        <v>310.4973321910615</v>
      </c>
      <c r="G30">
        <v>70.88</v>
      </c>
      <c r="H30">
        <v>1.5</v>
      </c>
      <c r="I30">
        <v>0.40284284840120588</v>
      </c>
      <c r="J30">
        <v>1.7206391606823679</v>
      </c>
      <c r="K30">
        <v>0.93444281132007889</v>
      </c>
      <c r="L30">
        <v>0.93879710619076617</v>
      </c>
      <c r="M30">
        <v>8.1999999999999993</v>
      </c>
      <c r="N30">
        <v>3</v>
      </c>
      <c r="O30">
        <v>8</v>
      </c>
      <c r="P30" t="s">
        <v>2</v>
      </c>
      <c r="Q30" t="s">
        <v>2</v>
      </c>
      <c r="R30">
        <v>1</v>
      </c>
      <c r="S30">
        <v>3.9418659804145713</v>
      </c>
      <c r="T30">
        <v>399.7389553653727</v>
      </c>
      <c r="U30">
        <v>161.03197939630923</v>
      </c>
      <c r="V30" t="s">
        <v>2</v>
      </c>
      <c r="W30" t="s">
        <v>2</v>
      </c>
      <c r="X30" t="s">
        <v>2</v>
      </c>
      <c r="Y30" t="s">
        <v>2</v>
      </c>
      <c r="Z30" t="s">
        <v>2</v>
      </c>
      <c r="AA30" t="s">
        <v>2</v>
      </c>
    </row>
    <row r="31" spans="1:27" x14ac:dyDescent="0.2">
      <c r="A31" s="3">
        <v>14</v>
      </c>
      <c r="B31" s="3" t="s">
        <v>0</v>
      </c>
      <c r="C31" s="3">
        <v>2</v>
      </c>
      <c r="D31" s="3" t="s">
        <v>5</v>
      </c>
      <c r="E31">
        <v>230.48884999999999</v>
      </c>
      <c r="F31">
        <v>262.70339249252811</v>
      </c>
      <c r="G31">
        <v>97.46</v>
      </c>
      <c r="H31">
        <v>1.5</v>
      </c>
      <c r="I31">
        <v>0.38926518987219955</v>
      </c>
      <c r="J31">
        <v>1.7806554467084865</v>
      </c>
      <c r="K31">
        <v>0.87737294830159307</v>
      </c>
      <c r="L31">
        <v>0.99887853880376198</v>
      </c>
      <c r="M31">
        <v>12.54</v>
      </c>
      <c r="N31">
        <v>3</v>
      </c>
      <c r="O31">
        <v>6</v>
      </c>
      <c r="P31" t="s">
        <v>2</v>
      </c>
      <c r="Q31" t="s">
        <v>2</v>
      </c>
      <c r="R31">
        <v>0.66</v>
      </c>
      <c r="S31">
        <v>3.1583723244321296</v>
      </c>
      <c r="T31">
        <v>488.9435873142221</v>
      </c>
      <c r="U31">
        <v>190.32871835266502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</row>
    <row r="32" spans="1:27" x14ac:dyDescent="0.2">
      <c r="A32" s="3">
        <v>15</v>
      </c>
      <c r="B32" s="3" t="s">
        <v>3</v>
      </c>
      <c r="C32" s="3">
        <v>1</v>
      </c>
      <c r="D32" s="3" t="s">
        <v>5</v>
      </c>
      <c r="E32">
        <v>143.5487</v>
      </c>
      <c r="F32">
        <v>157.37800901717526</v>
      </c>
      <c r="G32">
        <v>88.38</v>
      </c>
      <c r="H32">
        <v>1.5</v>
      </c>
      <c r="I32">
        <v>0.46133902945377675</v>
      </c>
      <c r="J32">
        <v>1.5024681119666556</v>
      </c>
      <c r="K32">
        <v>0.91212680155544468</v>
      </c>
      <c r="L32">
        <v>0.97695255626791733</v>
      </c>
      <c r="M32">
        <v>6.379999999999999</v>
      </c>
      <c r="N32">
        <v>2</v>
      </c>
      <c r="O32">
        <v>6</v>
      </c>
      <c r="P32" t="s">
        <v>2</v>
      </c>
      <c r="Q32" t="s">
        <v>2</v>
      </c>
      <c r="R32">
        <v>1</v>
      </c>
      <c r="S32">
        <v>2.9531667911420683</v>
      </c>
      <c r="T32">
        <v>688.66142981626467</v>
      </c>
      <c r="U32">
        <v>317.70639565368572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</row>
    <row r="33" spans="1:27" x14ac:dyDescent="0.2">
      <c r="A33" s="3">
        <v>16</v>
      </c>
      <c r="B33" s="3" t="s">
        <v>0</v>
      </c>
      <c r="C33" s="3">
        <v>2</v>
      </c>
      <c r="D33" s="3" t="s">
        <v>5</v>
      </c>
      <c r="E33">
        <v>344.4828</v>
      </c>
      <c r="F33">
        <v>370.91570810760356</v>
      </c>
      <c r="G33">
        <v>98.82</v>
      </c>
      <c r="H33">
        <v>2</v>
      </c>
      <c r="I33">
        <v>0.26330814497092436</v>
      </c>
      <c r="J33">
        <v>2.6324562828714835</v>
      </c>
      <c r="K33">
        <v>0.92873607795565427</v>
      </c>
      <c r="L33">
        <v>0.89166739302494691</v>
      </c>
      <c r="M33">
        <v>6.96</v>
      </c>
      <c r="N33">
        <v>3</v>
      </c>
      <c r="O33">
        <v>12</v>
      </c>
      <c r="P33" t="s">
        <v>2</v>
      </c>
      <c r="Q33" t="s">
        <v>2</v>
      </c>
      <c r="R33">
        <v>1</v>
      </c>
      <c r="S33">
        <v>4.8421727426892422</v>
      </c>
      <c r="T33">
        <v>511.95346296225392</v>
      </c>
      <c r="U33">
        <v>134.80151664403192</v>
      </c>
      <c r="V33" t="s">
        <v>2</v>
      </c>
      <c r="W33" t="s">
        <v>2</v>
      </c>
      <c r="X33" t="s">
        <v>2</v>
      </c>
      <c r="Y33" t="s">
        <v>2</v>
      </c>
      <c r="Z33" t="s">
        <v>2</v>
      </c>
      <c r="AA33" t="s">
        <v>2</v>
      </c>
    </row>
    <row r="55" spans="7:10" x14ac:dyDescent="0.2">
      <c r="G55" s="4"/>
      <c r="H55" s="4"/>
      <c r="I55" s="4"/>
      <c r="J55" s="4"/>
    </row>
  </sheetData>
  <conditionalFormatting sqref="O1 O7:O65536 P1:IV1048576 A1:N1048576">
    <cfRule type="cellIs" dxfId="0" priority="1" stopIfTrue="1" operator="equal">
      <formula>FALSE</formula>
    </cfRule>
  </conditionalFormatting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Dubins</dc:creator>
  <cp:lastModifiedBy>David Dubins</cp:lastModifiedBy>
  <dcterms:created xsi:type="dcterms:W3CDTF">2026-02-02T17:44:27Z</dcterms:created>
  <dcterms:modified xsi:type="dcterms:W3CDTF">2026-02-02T17:45:08Z</dcterms:modified>
</cp:coreProperties>
</file>