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toronto-my.sharepoint.com/personal/d_dubins_utoronto_ca/Documents/Lectures/PHC331 2026/Section 4 - Compartmental PK Analysis/Outgoing/"/>
    </mc:Choice>
  </mc:AlternateContent>
  <xr:revisionPtr revIDLastSave="206" documentId="11_77433265717345D842E5B06D7B68D55FF73956CF" xr6:coauthVersionLast="47" xr6:coauthVersionMax="47" xr10:uidLastSave="{7CD20EE7-C29B-409D-AA34-B25E8CA07F1E}"/>
  <bookViews>
    <workbookView xWindow="-120" yWindow="-120" windowWidth="24240" windowHeight="13140" xr2:uid="{00000000-000D-0000-FFFF-FFFF00000000}"/>
  </bookViews>
  <sheets>
    <sheet name="Sigmoid F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D27" i="1"/>
  <c r="D28" i="1"/>
  <c r="D29" i="1"/>
  <c r="D30" i="1"/>
  <c r="D31" i="1"/>
  <c r="D32" i="1"/>
  <c r="D33" i="1"/>
  <c r="D34" i="1"/>
  <c r="D35" i="1"/>
  <c r="D36" i="1"/>
  <c r="D37" i="1"/>
  <c r="D25" i="1"/>
  <c r="C29" i="1"/>
  <c r="C33" i="1"/>
  <c r="C37" i="1"/>
  <c r="H29" i="1"/>
  <c r="H28" i="1"/>
  <c r="C26" i="1" s="1"/>
  <c r="A26" i="1"/>
  <c r="A27" i="1" s="1"/>
  <c r="G21" i="1"/>
  <c r="G20" i="1"/>
  <c r="C4" i="1"/>
  <c r="C3" i="1"/>
  <c r="A4" i="1"/>
  <c r="A5" i="1"/>
  <c r="A6" i="1" s="1"/>
  <c r="C6" i="1" s="1"/>
  <c r="C36" i="1" l="1"/>
  <c r="C28" i="1"/>
  <c r="C35" i="1"/>
  <c r="C31" i="1"/>
  <c r="C27" i="1"/>
  <c r="C32" i="1"/>
  <c r="C5" i="1"/>
  <c r="C25" i="1"/>
  <c r="C34" i="1"/>
  <c r="C30" i="1"/>
  <c r="A28" i="1"/>
  <c r="A7" i="1"/>
  <c r="C7" i="1" s="1"/>
  <c r="A29" i="1" l="1"/>
  <c r="A8" i="1"/>
  <c r="C8" i="1" s="1"/>
  <c r="A30" i="1" l="1"/>
  <c r="A9" i="1"/>
  <c r="C9" i="1" s="1"/>
  <c r="A31" i="1" l="1"/>
  <c r="A10" i="1"/>
  <c r="C10" i="1" s="1"/>
  <c r="A32" i="1" l="1"/>
  <c r="A11" i="1"/>
  <c r="C11" i="1" s="1"/>
  <c r="A33" i="1" l="1"/>
  <c r="A12" i="1"/>
  <c r="C12" i="1" s="1"/>
  <c r="A34" i="1" l="1"/>
  <c r="A13" i="1"/>
  <c r="C13" i="1" s="1"/>
  <c r="A35" i="1" l="1"/>
  <c r="A14" i="1"/>
  <c r="C14" i="1" s="1"/>
  <c r="A36" i="1" l="1"/>
  <c r="A15" i="1"/>
  <c r="C15" i="1" s="1"/>
  <c r="A37" i="1" l="1"/>
</calcChain>
</file>

<file path=xl/sharedStrings.xml><?xml version="1.0" encoding="utf-8"?>
<sst xmlns="http://schemas.openxmlformats.org/spreadsheetml/2006/main" count="21" uniqueCount="18">
  <si>
    <t>FIT</t>
  </si>
  <si>
    <t>A</t>
  </si>
  <si>
    <t>B</t>
  </si>
  <si>
    <t>C</t>
  </si>
  <si>
    <t>D</t>
  </si>
  <si>
    <t>Equation of Sigmoid Line:</t>
  </si>
  <si>
    <t>X</t>
  </si>
  <si>
    <t>Y</t>
  </si>
  <si>
    <t>Xmid:</t>
  </si>
  <si>
    <t>Parameter Guesses:</t>
  </si>
  <si>
    <t>Midpoint of Transition is where exp(-BX+C)=1 --&gt; midpoint = C/B</t>
  </si>
  <si>
    <t>Ymid:</t>
  </si>
  <si>
    <t>Normalized Data:</t>
  </si>
  <si>
    <t>Ynorm</t>
  </si>
  <si>
    <t>Ymin:</t>
  </si>
  <si>
    <t>Ymax:</t>
  </si>
  <si>
    <t>Raw Data:</t>
  </si>
  <si>
    <t>(simple min/max normalization)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</si>
</sst>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'Sigmoid Fit'!$B$2</c:f>
              <c:strCache>
                <c:ptCount val="1"/>
                <c:pt idx="0">
                  <c:v>Y</c:v>
                </c:pt>
              </c:strCache>
            </c:strRef>
          </c:tx>
          <c:spPr>
            <a:ln w="28575">
              <a:noFill/>
            </a:ln>
          </c:spPr>
          <c:xVal>
            <c:numRef>
              <c:f>'Sigmoid Fit'!$A$3:$A$15</c:f>
              <c:numCache>
                <c:formatCode>General</c:formatCode>
                <c:ptCount val="13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</c:numCache>
            </c:numRef>
          </c:xVal>
          <c:yVal>
            <c:numRef>
              <c:f>'Sigmoid Fit'!$B$3:$B$15</c:f>
              <c:numCache>
                <c:formatCode>General</c:formatCode>
                <c:ptCount val="13"/>
                <c:pt idx="0">
                  <c:v>3.1</c:v>
                </c:pt>
                <c:pt idx="1">
                  <c:v>2.9</c:v>
                </c:pt>
                <c:pt idx="2">
                  <c:v>3.3</c:v>
                </c:pt>
                <c:pt idx="3">
                  <c:v>3.7</c:v>
                </c:pt>
                <c:pt idx="4">
                  <c:v>5.6</c:v>
                </c:pt>
                <c:pt idx="5">
                  <c:v>7.7</c:v>
                </c:pt>
                <c:pt idx="6">
                  <c:v>9.4</c:v>
                </c:pt>
                <c:pt idx="7">
                  <c:v>10.6</c:v>
                </c:pt>
                <c:pt idx="8">
                  <c:v>11.2</c:v>
                </c:pt>
                <c:pt idx="9">
                  <c:v>12.4</c:v>
                </c:pt>
                <c:pt idx="10">
                  <c:v>12.2</c:v>
                </c:pt>
                <c:pt idx="11">
                  <c:v>12.5</c:v>
                </c:pt>
                <c:pt idx="12">
                  <c:v>12.8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61-4C6D-A312-9BC25CA00D09}"/>
            </c:ext>
          </c:extLst>
        </c:ser>
        <c:ser>
          <c:idx val="1"/>
          <c:order val="1"/>
          <c:tx>
            <c:v>FIT</c:v>
          </c:tx>
          <c:spPr>
            <a:ln w="158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'Sigmoid Fit'!$A$3:$A$15</c:f>
              <c:numCache>
                <c:formatCode>General</c:formatCode>
                <c:ptCount val="13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</c:numCache>
            </c:numRef>
          </c:xVal>
          <c:yVal>
            <c:numRef>
              <c:f>'Sigmoid Fit'!$C$3:$C$15</c:f>
              <c:numCache>
                <c:formatCode>General</c:formatCode>
                <c:ptCount val="13"/>
                <c:pt idx="0">
                  <c:v>3.0386663083010133</c:v>
                </c:pt>
                <c:pt idx="1">
                  <c:v>3.1043759549906351</c:v>
                </c:pt>
                <c:pt idx="2">
                  <c:v>3.278466192137885</c:v>
                </c:pt>
                <c:pt idx="3">
                  <c:v>3.7206527102018137</c:v>
                </c:pt>
                <c:pt idx="4">
                  <c:v>4.7330424761603851</c:v>
                </c:pt>
                <c:pt idx="5">
                  <c:v>6.5866363535823815</c:v>
                </c:pt>
                <c:pt idx="6">
                  <c:v>8.9133636464176185</c:v>
                </c:pt>
                <c:pt idx="7">
                  <c:v>10.766957523839615</c:v>
                </c:pt>
                <c:pt idx="8">
                  <c:v>11.779347289798187</c:v>
                </c:pt>
                <c:pt idx="9">
                  <c:v>12.221533807862114</c:v>
                </c:pt>
                <c:pt idx="10">
                  <c:v>12.395624045009365</c:v>
                </c:pt>
                <c:pt idx="11">
                  <c:v>12.461333691698988</c:v>
                </c:pt>
                <c:pt idx="12">
                  <c:v>12.485738768560999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61-4C6D-A312-9BC25CA00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14560"/>
        <c:axId val="68916352"/>
      </c:scatterChart>
      <c:valAx>
        <c:axId val="68914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916352"/>
        <c:crosses val="autoZero"/>
        <c:crossBetween val="midCat"/>
      </c:valAx>
      <c:valAx>
        <c:axId val="689163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689145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'Sigmoid Fit'!$C$24</c:f>
              <c:strCache>
                <c:ptCount val="1"/>
                <c:pt idx="0">
                  <c:v>Ynorm</c:v>
                </c:pt>
              </c:strCache>
            </c:strRef>
          </c:tx>
          <c:spPr>
            <a:ln w="28575">
              <a:noFill/>
            </a:ln>
          </c:spPr>
          <c:xVal>
            <c:numRef>
              <c:f>'Sigmoid Fit'!$A$25:$A$37</c:f>
              <c:numCache>
                <c:formatCode>General</c:formatCode>
                <c:ptCount val="13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</c:numCache>
            </c:numRef>
          </c:xVal>
          <c:yVal>
            <c:numRef>
              <c:f>'Sigmoid Fit'!$C$25:$C$37</c:f>
              <c:numCache>
                <c:formatCode>General</c:formatCode>
                <c:ptCount val="13"/>
                <c:pt idx="0">
                  <c:v>2.0202020202020218E-2</c:v>
                </c:pt>
                <c:pt idx="1">
                  <c:v>0</c:v>
                </c:pt>
                <c:pt idx="2">
                  <c:v>4.0404040404040394E-2</c:v>
                </c:pt>
                <c:pt idx="3">
                  <c:v>8.0808080808080829E-2</c:v>
                </c:pt>
                <c:pt idx="4">
                  <c:v>0.27272727272727271</c:v>
                </c:pt>
                <c:pt idx="5">
                  <c:v>0.48484848484848492</c:v>
                </c:pt>
                <c:pt idx="6">
                  <c:v>0.65656565656565657</c:v>
                </c:pt>
                <c:pt idx="7">
                  <c:v>0.77777777777777768</c:v>
                </c:pt>
                <c:pt idx="8">
                  <c:v>0.83838383838383823</c:v>
                </c:pt>
                <c:pt idx="9">
                  <c:v>0.95959595959595956</c:v>
                </c:pt>
                <c:pt idx="10">
                  <c:v>0.93939393939393923</c:v>
                </c:pt>
                <c:pt idx="11">
                  <c:v>0.96969696969696961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0E-4BD1-A48A-00019B4C5C64}"/>
            </c:ext>
          </c:extLst>
        </c:ser>
        <c:ser>
          <c:idx val="1"/>
          <c:order val="1"/>
          <c:tx>
            <c:v>FIT</c:v>
          </c:tx>
          <c:spPr>
            <a:ln w="158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'Sigmoid Fit'!$A$25:$A$37</c:f>
              <c:numCache>
                <c:formatCode>General</c:formatCode>
                <c:ptCount val="13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</c:numCache>
            </c:numRef>
          </c:xVal>
          <c:yVal>
            <c:numRef>
              <c:f>'Sigmoid Fit'!$D$25:$D$37</c:f>
              <c:numCache>
                <c:formatCode>General</c:formatCode>
                <c:ptCount val="13"/>
                <c:pt idx="0">
                  <c:v>4.0701377158961277E-3</c:v>
                </c:pt>
                <c:pt idx="1">
                  <c:v>1.098694263059318E-2</c:v>
                </c:pt>
                <c:pt idx="2">
                  <c:v>2.9312230751356319E-2</c:v>
                </c:pt>
                <c:pt idx="3">
                  <c:v>7.5858180021243546E-2</c:v>
                </c:pt>
                <c:pt idx="4">
                  <c:v>0.18242552380635635</c:v>
                </c:pt>
                <c:pt idx="5">
                  <c:v>0.37754066879814541</c:v>
                </c:pt>
                <c:pt idx="6">
                  <c:v>0.62245933120185459</c:v>
                </c:pt>
                <c:pt idx="7">
                  <c:v>0.81757447619364365</c:v>
                </c:pt>
                <c:pt idx="8">
                  <c:v>0.92414181997875655</c:v>
                </c:pt>
                <c:pt idx="9">
                  <c:v>0.97068776924864364</c:v>
                </c:pt>
                <c:pt idx="10">
                  <c:v>0.98901305736940681</c:v>
                </c:pt>
                <c:pt idx="11">
                  <c:v>0.99592986228410396</c:v>
                </c:pt>
                <c:pt idx="12">
                  <c:v>0.99849881774326299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0E-4BD1-A48A-00019B4C5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14560"/>
        <c:axId val="68916352"/>
      </c:scatterChart>
      <c:valAx>
        <c:axId val="68914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916352"/>
        <c:crosses val="autoZero"/>
        <c:crossBetween val="midCat"/>
      </c:valAx>
      <c:valAx>
        <c:axId val="689163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689145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373380</xdr:colOff>
      <xdr:row>1</xdr:row>
      <xdr:rowOff>160020</xdr:rowOff>
    </xdr:from>
    <xdr:to>
      <xdr:col>11</xdr:col>
      <xdr:colOff>152400</xdr:colOff>
      <xdr:row>11</xdr:row>
      <xdr:rowOff>60966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114300</xdr:colOff>
      <xdr:row>0</xdr:row>
      <xdr:rowOff>190500</xdr:rowOff>
    </xdr:from>
    <xdr:ext cx="2152650" cy="52969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C344FF2-7BB9-466E-B12C-12F5FC9A6353}"/>
                </a:ext>
              </a:extLst>
            </xdr:cNvPr>
            <xdr:cNvSpPr txBox="1"/>
          </xdr:nvSpPr>
          <xdr:spPr>
            <a:xfrm>
              <a:off x="7296150" y="190500"/>
              <a:ext cx="2152650" cy="5296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800" b="0" i="1">
                        <a:latin typeface="Cambria Math" panose="02040503050406030204" pitchFamily="18" charset="0"/>
                      </a:rPr>
                      <m:t>𝑌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𝐴</m:t>
                        </m:r>
                      </m:num>
                      <m:den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1+</m:t>
                        </m:r>
                        <m:sSup>
                          <m:sSup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sup>
                        </m:sSup>
                      </m:den>
                    </m:f>
                    <m:r>
                      <a:rPr lang="en-US" sz="18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𝐷</m:t>
                    </m:r>
                  </m:oMath>
                </m:oMathPara>
              </a14:m>
              <a:endParaRPr lang="en-CA" sz="18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C344FF2-7BB9-466E-B12C-12F5FC9A6353}"/>
                </a:ext>
              </a:extLst>
            </xdr:cNvPr>
            <xdr:cNvSpPr txBox="1"/>
          </xdr:nvSpPr>
          <xdr:spPr>
            <a:xfrm>
              <a:off x="7296150" y="190500"/>
              <a:ext cx="2152650" cy="5296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latin typeface="Cambria Math" panose="02040503050406030204" pitchFamily="18" charset="0"/>
                </a:rPr>
                <a:t>𝑌=𝐴/(1+𝑒^(−𝐵(𝑋−𝐶)) )+𝐷</a:t>
              </a:r>
              <a:endParaRPr lang="en-CA" sz="1800"/>
            </a:p>
          </xdr:txBody>
        </xdr:sp>
      </mc:Fallback>
    </mc:AlternateContent>
    <xdr:clientData/>
  </xdr:oneCellAnchor>
  <xdr:oneCellAnchor>
    <xdr:from>
      <xdr:col>11</xdr:col>
      <xdr:colOff>581025</xdr:colOff>
      <xdr:row>4</xdr:row>
      <xdr:rowOff>9525</xdr:rowOff>
    </xdr:from>
    <xdr:ext cx="2438400" cy="52969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D7B5212-46B1-4554-8522-E88281D409BB}"/>
                </a:ext>
              </a:extLst>
            </xdr:cNvPr>
            <xdr:cNvSpPr txBox="1"/>
          </xdr:nvSpPr>
          <xdr:spPr>
            <a:xfrm>
              <a:off x="7153275" y="809625"/>
              <a:ext cx="2438400" cy="5296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800" b="0" i="1">
                        <a:latin typeface="Cambria Math" panose="02040503050406030204" pitchFamily="18" charset="0"/>
                      </a:rPr>
                      <m:t>𝑌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𝐷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𝐴</m:t>
                        </m:r>
                      </m:num>
                      <m:den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1+</m:t>
                        </m:r>
                        <m:sSup>
                          <m:sSup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CA" sz="18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D7B5212-46B1-4554-8522-E88281D409BB}"/>
                </a:ext>
              </a:extLst>
            </xdr:cNvPr>
            <xdr:cNvSpPr txBox="1"/>
          </xdr:nvSpPr>
          <xdr:spPr>
            <a:xfrm>
              <a:off x="7153275" y="809625"/>
              <a:ext cx="2438400" cy="5296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latin typeface="Cambria Math" panose="02040503050406030204" pitchFamily="18" charset="0"/>
                </a:rPr>
                <a:t>𝑌−𝐷=𝐴/(1+𝑒^(−𝐵(𝑋−𝐶)) )</a:t>
              </a:r>
              <a:endParaRPr lang="en-CA" sz="1800"/>
            </a:p>
          </xdr:txBody>
        </xdr:sp>
      </mc:Fallback>
    </mc:AlternateContent>
    <xdr:clientData/>
  </xdr:oneCellAnchor>
  <xdr:oneCellAnchor>
    <xdr:from>
      <xdr:col>11</xdr:col>
      <xdr:colOff>219074</xdr:colOff>
      <xdr:row>6</xdr:row>
      <xdr:rowOff>180975</xdr:rowOff>
    </xdr:from>
    <xdr:ext cx="2828925" cy="4610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AEE1DE4-5BB4-4A6C-8547-6116E43845F6}"/>
                </a:ext>
              </a:extLst>
            </xdr:cNvPr>
            <xdr:cNvSpPr txBox="1"/>
          </xdr:nvSpPr>
          <xdr:spPr>
            <a:xfrm>
              <a:off x="6791324" y="1371600"/>
              <a:ext cx="2828925" cy="4610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1+</m:t>
                    </m:r>
                    <m:sSup>
                      <m:sSupPr>
                        <m:ctrlP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𝑒</m:t>
                        </m:r>
                      </m:e>
                      <m:sup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𝐵</m:t>
                        </m:r>
                        <m:d>
                          <m:dPr>
                            <m:ctrlP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𝑋</m:t>
                            </m:r>
                            <m: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</m:d>
                      </m:sup>
                    </m:sSup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num>
                      <m:den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𝑌</m:t>
                        </m:r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</m:t>
                        </m:r>
                      </m:den>
                    </m:f>
                  </m:oMath>
                </m:oMathPara>
              </a14:m>
              <a:endParaRPr lang="en-CA" sz="18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AEE1DE4-5BB4-4A6C-8547-6116E43845F6}"/>
                </a:ext>
              </a:extLst>
            </xdr:cNvPr>
            <xdr:cNvSpPr txBox="1"/>
          </xdr:nvSpPr>
          <xdr:spPr>
            <a:xfrm>
              <a:off x="6791324" y="1371600"/>
              <a:ext cx="2828925" cy="4610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1+𝑒^(−𝐵(𝑋−𝐶) )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=𝐴/(𝑌−𝐷)</a:t>
              </a:r>
              <a:endParaRPr lang="en-CA" sz="1800"/>
            </a:p>
          </xdr:txBody>
        </xdr:sp>
      </mc:Fallback>
    </mc:AlternateContent>
    <xdr:clientData/>
  </xdr:oneCellAnchor>
  <xdr:oneCellAnchor>
    <xdr:from>
      <xdr:col>11</xdr:col>
      <xdr:colOff>438151</xdr:colOff>
      <xdr:row>9</xdr:row>
      <xdr:rowOff>142875</xdr:rowOff>
    </xdr:from>
    <xdr:ext cx="2457450" cy="4610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3B0EDD5-EB11-4369-B79E-7D770756D7C3}"/>
                </a:ext>
              </a:extLst>
            </xdr:cNvPr>
            <xdr:cNvSpPr txBox="1"/>
          </xdr:nvSpPr>
          <xdr:spPr>
            <a:xfrm>
              <a:off x="7010401" y="1905000"/>
              <a:ext cx="2457450" cy="4610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𝑒</m:t>
                        </m:r>
                      </m:e>
                      <m:sup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𝐵</m:t>
                        </m:r>
                        <m:d>
                          <m:dPr>
                            <m:ctrlP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𝑋</m:t>
                            </m:r>
                            <m: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</m:d>
                      </m:sup>
                    </m:sSup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num>
                      <m:den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𝑌</m:t>
                        </m:r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</m:t>
                        </m:r>
                      </m:den>
                    </m:f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−1</m:t>
                    </m:r>
                  </m:oMath>
                </m:oMathPara>
              </a14:m>
              <a:endParaRPr lang="en-CA" sz="18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3B0EDD5-EB11-4369-B79E-7D770756D7C3}"/>
                </a:ext>
              </a:extLst>
            </xdr:cNvPr>
            <xdr:cNvSpPr txBox="1"/>
          </xdr:nvSpPr>
          <xdr:spPr>
            <a:xfrm>
              <a:off x="7010401" y="1905000"/>
              <a:ext cx="2457450" cy="4610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𝑒^(−𝐵(𝑋−𝐶) )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=𝐴/(𝑌−𝐷)−1</a:t>
              </a:r>
              <a:endParaRPr lang="en-CA" sz="1800"/>
            </a:p>
          </xdr:txBody>
        </xdr:sp>
      </mc:Fallback>
    </mc:AlternateContent>
    <xdr:clientData/>
  </xdr:oneCellAnchor>
  <xdr:oneCellAnchor>
    <xdr:from>
      <xdr:col>12</xdr:col>
      <xdr:colOff>0</xdr:colOff>
      <xdr:row>12</xdr:row>
      <xdr:rowOff>95250</xdr:rowOff>
    </xdr:from>
    <xdr:ext cx="2752726" cy="553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06236F3-AF5F-45BD-A444-444379CD75AE}"/>
                </a:ext>
              </a:extLst>
            </xdr:cNvPr>
            <xdr:cNvSpPr txBox="1"/>
          </xdr:nvSpPr>
          <xdr:spPr>
            <a:xfrm>
              <a:off x="7181850" y="2428875"/>
              <a:ext cx="2752726" cy="553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</m:t>
                    </m:r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𝑋</m:t>
                    </m:r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)=</m:t>
                    </m:r>
                    <m:func>
                      <m:funcPr>
                        <m:ctrlP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6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ln</m:t>
                        </m:r>
                      </m:fName>
                      <m:e>
                        <m:d>
                          <m:dPr>
                            <m:ctrlP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6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6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𝐴</m:t>
                                </m:r>
                              </m:num>
                              <m:den>
                                <m:r>
                                  <a:rPr lang="en-US" sz="16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𝑌</m:t>
                                </m:r>
                                <m:r>
                                  <a:rPr lang="en-US" sz="16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>
                                  <a:rPr lang="en-US" sz="16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den>
                            </m:f>
                            <m: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</m:t>
                            </m:r>
                          </m:e>
                        </m:d>
                      </m:e>
                    </m:func>
                  </m:oMath>
                </m:oMathPara>
              </a14:m>
              <a:endParaRPr lang="en-CA" sz="18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06236F3-AF5F-45BD-A444-444379CD75AE}"/>
                </a:ext>
              </a:extLst>
            </xdr:cNvPr>
            <xdr:cNvSpPr txBox="1"/>
          </xdr:nvSpPr>
          <xdr:spPr>
            <a:xfrm>
              <a:off x="7181850" y="2428875"/>
              <a:ext cx="2752726" cy="553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−𝐵(𝑋−𝐶)=ln⁡(𝐴/(𝑌−𝐷)−1)</a:t>
              </a:r>
              <a:endParaRPr lang="en-CA" sz="1800"/>
            </a:p>
          </xdr:txBody>
        </xdr:sp>
      </mc:Fallback>
    </mc:AlternateContent>
    <xdr:clientData/>
  </xdr:oneCellAnchor>
  <xdr:oneCellAnchor>
    <xdr:from>
      <xdr:col>11</xdr:col>
      <xdr:colOff>542925</xdr:colOff>
      <xdr:row>15</xdr:row>
      <xdr:rowOff>114300</xdr:rowOff>
    </xdr:from>
    <xdr:ext cx="2752726" cy="553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F0119E7-456A-4BAB-A92F-06B06E60A497}"/>
                </a:ext>
              </a:extLst>
            </xdr:cNvPr>
            <xdr:cNvSpPr txBox="1"/>
          </xdr:nvSpPr>
          <xdr:spPr>
            <a:xfrm>
              <a:off x="7115175" y="3019425"/>
              <a:ext cx="2752726" cy="553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𝑋</m:t>
                    </m:r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unc>
                      <m:funcPr>
                        <m:ctrlP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f>
                          <m:fPr>
                            <m:ctrlP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𝐵</m:t>
                            </m:r>
                          </m:den>
                        </m:f>
                        <m:r>
                          <m:rPr>
                            <m:sty m:val="p"/>
                          </m:rPr>
                          <a:rPr lang="en-US" sz="16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ln</m:t>
                        </m:r>
                      </m:fName>
                      <m:e>
                        <m:d>
                          <m:dPr>
                            <m:ctrlP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6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6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𝐴</m:t>
                                </m:r>
                              </m:num>
                              <m:den>
                                <m:r>
                                  <a:rPr lang="en-US" sz="16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𝑌</m:t>
                                </m:r>
                                <m:r>
                                  <a:rPr lang="en-US" sz="16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>
                                  <a:rPr lang="en-US" sz="16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den>
                            </m:f>
                            <m: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</m:t>
                            </m:r>
                          </m:e>
                        </m:d>
                      </m:e>
                    </m:func>
                  </m:oMath>
                </m:oMathPara>
              </a14:m>
              <a:endParaRPr lang="en-CA" sz="18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F0119E7-456A-4BAB-A92F-06B06E60A497}"/>
                </a:ext>
              </a:extLst>
            </xdr:cNvPr>
            <xdr:cNvSpPr txBox="1"/>
          </xdr:nvSpPr>
          <xdr:spPr>
            <a:xfrm>
              <a:off x="7115175" y="3019425"/>
              <a:ext cx="2752726" cy="553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𝑋−𝐶=〖1/𝐵 ln〗⁡(𝐴/(𝑌−𝐷)−1)</a:t>
              </a:r>
              <a:endParaRPr lang="en-CA" sz="1800"/>
            </a:p>
          </xdr:txBody>
        </xdr:sp>
      </mc:Fallback>
    </mc:AlternateContent>
    <xdr:clientData/>
  </xdr:oneCellAnchor>
  <xdr:oneCellAnchor>
    <xdr:from>
      <xdr:col>12</xdr:col>
      <xdr:colOff>38100</xdr:colOff>
      <xdr:row>18</xdr:row>
      <xdr:rowOff>180975</xdr:rowOff>
    </xdr:from>
    <xdr:ext cx="2533650" cy="553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FF82142F-7E78-423E-AF09-CD9348E30C5E}"/>
                </a:ext>
              </a:extLst>
            </xdr:cNvPr>
            <xdr:cNvSpPr txBox="1"/>
          </xdr:nvSpPr>
          <xdr:spPr>
            <a:xfrm>
              <a:off x="7219950" y="3657600"/>
              <a:ext cx="2533650" cy="553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𝑋</m:t>
                    </m:r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unc>
                      <m:funcPr>
                        <m:ctrlP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f>
                          <m:fPr>
                            <m:ctrlP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𝐵</m:t>
                            </m:r>
                          </m:den>
                        </m:f>
                        <m:r>
                          <m:rPr>
                            <m:sty m:val="p"/>
                          </m:rPr>
                          <a:rPr lang="en-US" sz="16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ln</m:t>
                        </m:r>
                      </m:fName>
                      <m:e>
                        <m:d>
                          <m:dPr>
                            <m:ctrlP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6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6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𝐴</m:t>
                                </m:r>
                              </m:num>
                              <m:den>
                                <m:r>
                                  <a:rPr lang="en-US" sz="16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𝑌</m:t>
                                </m:r>
                                <m:r>
                                  <a:rPr lang="en-US" sz="16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>
                                  <a:rPr lang="en-US" sz="16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den>
                            </m:f>
                            <m: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</m:t>
                            </m:r>
                          </m:e>
                        </m:d>
                      </m:e>
                    </m:func>
                  </m:oMath>
                </m:oMathPara>
              </a14:m>
              <a:endParaRPr lang="en-CA" sz="18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FF82142F-7E78-423E-AF09-CD9348E30C5E}"/>
                </a:ext>
              </a:extLst>
            </xdr:cNvPr>
            <xdr:cNvSpPr txBox="1"/>
          </xdr:nvSpPr>
          <xdr:spPr>
            <a:xfrm>
              <a:off x="7219950" y="3657600"/>
              <a:ext cx="2533650" cy="553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𝑋=〖𝐶+1/𝐵 ln〗⁡(𝐴/(𝑌−𝐷)−1)</a:t>
              </a:r>
              <a:endParaRPr lang="en-CA" sz="1800"/>
            </a:p>
          </xdr:txBody>
        </xdr:sp>
      </mc:Fallback>
    </mc:AlternateContent>
    <xdr:clientData/>
  </xdr:oneCellAnchor>
  <xdr:oneCellAnchor>
    <xdr:from>
      <xdr:col>5</xdr:col>
      <xdr:colOff>57150</xdr:colOff>
      <xdr:row>13</xdr:row>
      <xdr:rowOff>171450</xdr:rowOff>
    </xdr:from>
    <xdr:ext cx="2152650" cy="52969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4EFF44EB-1AC0-4216-AFA4-B3FF7E7DDC75}"/>
                </a:ext>
              </a:extLst>
            </xdr:cNvPr>
            <xdr:cNvSpPr txBox="1"/>
          </xdr:nvSpPr>
          <xdr:spPr>
            <a:xfrm>
              <a:off x="2971800" y="2695575"/>
              <a:ext cx="2152650" cy="5296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800" b="0" i="1">
                        <a:latin typeface="Cambria Math" panose="02040503050406030204" pitchFamily="18" charset="0"/>
                      </a:rPr>
                      <m:t>𝑌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𝐴</m:t>
                        </m:r>
                      </m:num>
                      <m:den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1+</m:t>
                        </m:r>
                        <m:sSup>
                          <m:sSup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sup>
                        </m:sSup>
                      </m:den>
                    </m:f>
                    <m:r>
                      <a:rPr lang="en-US" sz="18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𝐷</m:t>
                    </m:r>
                  </m:oMath>
                </m:oMathPara>
              </a14:m>
              <a:endParaRPr lang="en-CA" sz="18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4EFF44EB-1AC0-4216-AFA4-B3FF7E7DDC75}"/>
                </a:ext>
              </a:extLst>
            </xdr:cNvPr>
            <xdr:cNvSpPr txBox="1"/>
          </xdr:nvSpPr>
          <xdr:spPr>
            <a:xfrm>
              <a:off x="2971800" y="2695575"/>
              <a:ext cx="2152650" cy="5296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latin typeface="Cambria Math" panose="02040503050406030204" pitchFamily="18" charset="0"/>
                </a:rPr>
                <a:t>𝑌=𝐴/(1+𝑒^(−𝐵(𝑋−𝐶)) )+𝐷</a:t>
              </a:r>
              <a:endParaRPr lang="en-CA" sz="1800"/>
            </a:p>
          </xdr:txBody>
        </xdr:sp>
      </mc:Fallback>
    </mc:AlternateContent>
    <xdr:clientData/>
  </xdr:oneCellAnchor>
  <xdr:oneCellAnchor>
    <xdr:from>
      <xdr:col>5</xdr:col>
      <xdr:colOff>333375</xdr:colOff>
      <xdr:row>29</xdr:row>
      <xdr:rowOff>123825</xdr:rowOff>
    </xdr:from>
    <xdr:ext cx="2152650" cy="52969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41AA384-A6F0-491D-AD71-4FE34BB39D73}"/>
                </a:ext>
              </a:extLst>
            </xdr:cNvPr>
            <xdr:cNvSpPr txBox="1"/>
          </xdr:nvSpPr>
          <xdr:spPr>
            <a:xfrm>
              <a:off x="3248025" y="5695950"/>
              <a:ext cx="2152650" cy="5296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𝑛𝑜𝑟𝑚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1+</m:t>
                        </m:r>
                        <m:sSup>
                          <m:sSup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CA" sz="18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41AA384-A6F0-491D-AD71-4FE34BB39D73}"/>
                </a:ext>
              </a:extLst>
            </xdr:cNvPr>
            <xdr:cNvSpPr txBox="1"/>
          </xdr:nvSpPr>
          <xdr:spPr>
            <a:xfrm>
              <a:off x="3248025" y="5695950"/>
              <a:ext cx="2152650" cy="5296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latin typeface="Cambria Math" panose="02040503050406030204" pitchFamily="18" charset="0"/>
                </a:rPr>
                <a:t>𝑌_𝑛𝑜𝑟𝑚=1/(1+𝑒^(−𝐵(𝑋−𝐶)) )</a:t>
              </a:r>
              <a:endParaRPr lang="en-CA" sz="1800"/>
            </a:p>
          </xdr:txBody>
        </xdr:sp>
      </mc:Fallback>
    </mc:AlternateContent>
    <xdr:clientData/>
  </xdr:oneCellAnchor>
  <xdr:oneCellAnchor>
    <xdr:from>
      <xdr:col>5</xdr:col>
      <xdr:colOff>276225</xdr:colOff>
      <xdr:row>23</xdr:row>
      <xdr:rowOff>0</xdr:rowOff>
    </xdr:from>
    <xdr:ext cx="2152650" cy="5638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5DD2741-D5A4-4E31-BD17-150547940CD5}"/>
                </a:ext>
              </a:extLst>
            </xdr:cNvPr>
            <xdr:cNvSpPr txBox="1"/>
          </xdr:nvSpPr>
          <xdr:spPr>
            <a:xfrm>
              <a:off x="3190875" y="4429125"/>
              <a:ext cx="2152650" cy="563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𝑛𝑜𝑟𝑚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𝑚𝑖𝑛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𝑚𝑖𝑛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8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5DD2741-D5A4-4E31-BD17-150547940CD5}"/>
                </a:ext>
              </a:extLst>
            </xdr:cNvPr>
            <xdr:cNvSpPr txBox="1"/>
          </xdr:nvSpPr>
          <xdr:spPr>
            <a:xfrm>
              <a:off x="3190875" y="4429125"/>
              <a:ext cx="2152650" cy="563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latin typeface="Cambria Math" panose="02040503050406030204" pitchFamily="18" charset="0"/>
                </a:rPr>
                <a:t>𝑌_𝑛𝑜𝑟𝑚=〖𝑌−𝑌〗_𝑚𝑖𝑛/(𝑌_𝑚𝑎𝑥−𝑌_𝑚𝑖𝑛 )</a:t>
              </a:r>
              <a:endParaRPr lang="en-CA" sz="1800"/>
            </a:p>
          </xdr:txBody>
        </xdr:sp>
      </mc:Fallback>
    </mc:AlternateContent>
    <xdr:clientData/>
  </xdr:oneCellAnchor>
  <xdr:twoCellAnchor>
    <xdr:from>
      <xdr:col>9</xdr:col>
      <xdr:colOff>495300</xdr:colOff>
      <xdr:row>26</xdr:row>
      <xdr:rowOff>66675</xdr:rowOff>
    </xdr:from>
    <xdr:to>
      <xdr:col>14</xdr:col>
      <xdr:colOff>274320</xdr:colOff>
      <xdr:row>36</xdr:row>
      <xdr:rowOff>5721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01BD9C2-50F0-413E-A4BA-90AEA38D2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A2" sqref="A2"/>
    </sheetView>
  </sheetViews>
  <sheetFormatPr defaultRowHeight="15" x14ac:dyDescent="0.25"/>
  <cols>
    <col min="1" max="1" width="10.85546875" customWidth="1"/>
    <col min="5" max="5" width="5.42578125" customWidth="1"/>
  </cols>
  <sheetData>
    <row r="1" spans="1:6" ht="15.75" thickBot="1" x14ac:dyDescent="0.3">
      <c r="A1" t="s">
        <v>16</v>
      </c>
      <c r="E1" s="2" t="s">
        <v>9</v>
      </c>
    </row>
    <row r="2" spans="1:6" ht="15.75" thickBot="1" x14ac:dyDescent="0.3">
      <c r="A2" s="1" t="s">
        <v>6</v>
      </c>
      <c r="B2" s="1" t="s">
        <v>7</v>
      </c>
      <c r="C2" s="1" t="s">
        <v>0</v>
      </c>
      <c r="E2" t="s">
        <v>1</v>
      </c>
      <c r="F2" s="3">
        <v>9.5</v>
      </c>
    </row>
    <row r="3" spans="1:6" ht="15.75" thickBot="1" x14ac:dyDescent="0.3">
      <c r="A3">
        <v>10</v>
      </c>
      <c r="B3">
        <v>3.1</v>
      </c>
      <c r="C3">
        <f>($F$2/(1+EXP(-$F$3*(A3-$F$4))))+$F$5</f>
        <v>3.0386663083010133</v>
      </c>
      <c r="E3" t="s">
        <v>2</v>
      </c>
      <c r="F3" s="4">
        <v>0.5</v>
      </c>
    </row>
    <row r="4" spans="1:6" ht="15.75" thickBot="1" x14ac:dyDescent="0.3">
      <c r="A4">
        <f>A3+2</f>
        <v>12</v>
      </c>
      <c r="B4">
        <v>2.9</v>
      </c>
      <c r="C4">
        <f t="shared" ref="C4:C15" si="0">($F$2/(1+EXP(-$F$3*(A4-$F$4))))+$F$5</f>
        <v>3.1043759549906351</v>
      </c>
      <c r="E4" t="s">
        <v>3</v>
      </c>
      <c r="F4" s="4">
        <v>21</v>
      </c>
    </row>
    <row r="5" spans="1:6" ht="15.75" thickBot="1" x14ac:dyDescent="0.3">
      <c r="A5">
        <f t="shared" ref="A5:A15" si="1">A4+2</f>
        <v>14</v>
      </c>
      <c r="B5">
        <v>3.3</v>
      </c>
      <c r="C5">
        <f t="shared" si="0"/>
        <v>3.278466192137885</v>
      </c>
      <c r="E5" t="s">
        <v>4</v>
      </c>
      <c r="F5" s="5">
        <v>3</v>
      </c>
    </row>
    <row r="6" spans="1:6" x14ac:dyDescent="0.25">
      <c r="A6">
        <f t="shared" si="1"/>
        <v>16</v>
      </c>
      <c r="B6">
        <v>3.7</v>
      </c>
      <c r="C6">
        <f t="shared" si="0"/>
        <v>3.7206527102018137</v>
      </c>
    </row>
    <row r="7" spans="1:6" x14ac:dyDescent="0.25">
      <c r="A7">
        <f t="shared" si="1"/>
        <v>18</v>
      </c>
      <c r="B7">
        <v>5.6</v>
      </c>
      <c r="C7">
        <f t="shared" si="0"/>
        <v>4.7330424761603851</v>
      </c>
    </row>
    <row r="8" spans="1:6" x14ac:dyDescent="0.25">
      <c r="A8">
        <f t="shared" si="1"/>
        <v>20</v>
      </c>
      <c r="B8">
        <v>7.7</v>
      </c>
      <c r="C8">
        <f t="shared" si="0"/>
        <v>6.5866363535823815</v>
      </c>
    </row>
    <row r="9" spans="1:6" x14ac:dyDescent="0.25">
      <c r="A9">
        <f t="shared" si="1"/>
        <v>22</v>
      </c>
      <c r="B9">
        <v>9.4</v>
      </c>
      <c r="C9">
        <f t="shared" si="0"/>
        <v>8.9133636464176185</v>
      </c>
    </row>
    <row r="10" spans="1:6" x14ac:dyDescent="0.25">
      <c r="A10">
        <f t="shared" si="1"/>
        <v>24</v>
      </c>
      <c r="B10">
        <v>10.6</v>
      </c>
      <c r="C10">
        <f t="shared" si="0"/>
        <v>10.766957523839615</v>
      </c>
    </row>
    <row r="11" spans="1:6" x14ac:dyDescent="0.25">
      <c r="A11">
        <f t="shared" si="1"/>
        <v>26</v>
      </c>
      <c r="B11">
        <v>11.2</v>
      </c>
      <c r="C11">
        <f t="shared" si="0"/>
        <v>11.779347289798187</v>
      </c>
    </row>
    <row r="12" spans="1:6" x14ac:dyDescent="0.25">
      <c r="A12">
        <f t="shared" si="1"/>
        <v>28</v>
      </c>
      <c r="B12">
        <v>12.4</v>
      </c>
      <c r="C12">
        <f t="shared" si="0"/>
        <v>12.221533807862114</v>
      </c>
    </row>
    <row r="13" spans="1:6" x14ac:dyDescent="0.25">
      <c r="A13">
        <f t="shared" si="1"/>
        <v>30</v>
      </c>
      <c r="B13">
        <v>12.2</v>
      </c>
      <c r="C13">
        <f t="shared" si="0"/>
        <v>12.395624045009365</v>
      </c>
      <c r="F13" s="2" t="s">
        <v>5</v>
      </c>
    </row>
    <row r="14" spans="1:6" x14ac:dyDescent="0.25">
      <c r="A14">
        <f t="shared" si="1"/>
        <v>32</v>
      </c>
      <c r="B14">
        <v>12.5</v>
      </c>
      <c r="C14">
        <f t="shared" si="0"/>
        <v>12.461333691698988</v>
      </c>
    </row>
    <row r="15" spans="1:6" x14ac:dyDescent="0.25">
      <c r="A15">
        <f t="shared" si="1"/>
        <v>34</v>
      </c>
      <c r="B15">
        <v>12.8</v>
      </c>
      <c r="C15">
        <f t="shared" si="0"/>
        <v>12.485738768560999</v>
      </c>
    </row>
    <row r="16" spans="1:6" x14ac:dyDescent="0.25">
      <c r="F16" s="2"/>
    </row>
    <row r="19" spans="1:10" x14ac:dyDescent="0.25">
      <c r="F19" s="2" t="s">
        <v>10</v>
      </c>
    </row>
    <row r="20" spans="1:10" x14ac:dyDescent="0.25">
      <c r="F20" t="s">
        <v>8</v>
      </c>
      <c r="G20" s="6">
        <f>F4</f>
        <v>21</v>
      </c>
    </row>
    <row r="21" spans="1:10" x14ac:dyDescent="0.25">
      <c r="F21" t="s">
        <v>11</v>
      </c>
      <c r="G21" s="6">
        <f>($F$2/(1+EXP(-$F$3*(G20-$F$4))))+$F$5</f>
        <v>7.75</v>
      </c>
    </row>
    <row r="23" spans="1:10" x14ac:dyDescent="0.25">
      <c r="A23" t="s">
        <v>12</v>
      </c>
    </row>
    <row r="24" spans="1:10" x14ac:dyDescent="0.25">
      <c r="A24" s="1" t="s">
        <v>6</v>
      </c>
      <c r="B24" s="1" t="s">
        <v>7</v>
      </c>
      <c r="C24" t="s">
        <v>13</v>
      </c>
      <c r="D24" s="1" t="s">
        <v>0</v>
      </c>
    </row>
    <row r="25" spans="1:10" x14ac:dyDescent="0.25">
      <c r="A25">
        <v>10</v>
      </c>
      <c r="B25">
        <v>3.1</v>
      </c>
      <c r="C25">
        <f>(B25-$H$28)/($H$29-$H$28)</f>
        <v>2.0202020202020218E-2</v>
      </c>
      <c r="D25">
        <f>(1/(1+EXP(-$F$3*(A25-$F$4))))</f>
        <v>4.0701377158961277E-3</v>
      </c>
      <c r="J25" s="2" t="s">
        <v>17</v>
      </c>
    </row>
    <row r="26" spans="1:10" x14ac:dyDescent="0.25">
      <c r="A26">
        <f>A25+2</f>
        <v>12</v>
      </c>
      <c r="B26">
        <v>2.9</v>
      </c>
      <c r="C26">
        <f>(B26-$H$28)/($H$29-$H$28)</f>
        <v>0</v>
      </c>
      <c r="D26">
        <f t="shared" ref="D26:D37" si="2">(1/(1+EXP(-$F$3*(A26-$F$4))))</f>
        <v>1.098694263059318E-2</v>
      </c>
    </row>
    <row r="27" spans="1:10" x14ac:dyDescent="0.25">
      <c r="A27">
        <f t="shared" ref="A27:A37" si="3">A26+2</f>
        <v>14</v>
      </c>
      <c r="B27">
        <v>3.3</v>
      </c>
      <c r="C27">
        <f>(B27-$H$28)/($H$29-$H$28)</f>
        <v>4.0404040404040394E-2</v>
      </c>
      <c r="D27">
        <f t="shared" si="2"/>
        <v>2.9312230751356319E-2</v>
      </c>
    </row>
    <row r="28" spans="1:10" x14ac:dyDescent="0.25">
      <c r="A28">
        <f t="shared" si="3"/>
        <v>16</v>
      </c>
      <c r="B28">
        <v>3.7</v>
      </c>
      <c r="C28">
        <f>(B28-$H$28)/($H$29-$H$28)</f>
        <v>8.0808080808080829E-2</v>
      </c>
      <c r="D28">
        <f t="shared" si="2"/>
        <v>7.5858180021243546E-2</v>
      </c>
      <c r="G28" t="s">
        <v>14</v>
      </c>
      <c r="H28" s="6">
        <f>MIN(B3:B15)</f>
        <v>2.9</v>
      </c>
    </row>
    <row r="29" spans="1:10" x14ac:dyDescent="0.25">
      <c r="A29">
        <f t="shared" si="3"/>
        <v>18</v>
      </c>
      <c r="B29">
        <v>5.6</v>
      </c>
      <c r="C29">
        <f>(B29-$H$28)/($H$29-$H$28)</f>
        <v>0.27272727272727271</v>
      </c>
      <c r="D29">
        <f t="shared" si="2"/>
        <v>0.18242552380635635</v>
      </c>
      <c r="G29" t="s">
        <v>15</v>
      </c>
      <c r="H29" s="6">
        <f>MAX(B3:B15)</f>
        <v>12.8</v>
      </c>
    </row>
    <row r="30" spans="1:10" x14ac:dyDescent="0.25">
      <c r="A30">
        <f t="shared" si="3"/>
        <v>20</v>
      </c>
      <c r="B30">
        <v>7.7</v>
      </c>
      <c r="C30">
        <f>(B30-$H$28)/($H$29-$H$28)</f>
        <v>0.48484848484848492</v>
      </c>
      <c r="D30">
        <f t="shared" si="2"/>
        <v>0.37754066879814541</v>
      </c>
    </row>
    <row r="31" spans="1:10" x14ac:dyDescent="0.25">
      <c r="A31">
        <f t="shared" si="3"/>
        <v>22</v>
      </c>
      <c r="B31">
        <v>9.4</v>
      </c>
      <c r="C31">
        <f>(B31-$H$28)/($H$29-$H$28)</f>
        <v>0.65656565656565657</v>
      </c>
      <c r="D31">
        <f t="shared" si="2"/>
        <v>0.62245933120185459</v>
      </c>
    </row>
    <row r="32" spans="1:10" x14ac:dyDescent="0.25">
      <c r="A32">
        <f t="shared" si="3"/>
        <v>24</v>
      </c>
      <c r="B32">
        <v>10.6</v>
      </c>
      <c r="C32">
        <f>(B32-$H$28)/($H$29-$H$28)</f>
        <v>0.77777777777777768</v>
      </c>
      <c r="D32">
        <f t="shared" si="2"/>
        <v>0.81757447619364365</v>
      </c>
    </row>
    <row r="33" spans="1:4" x14ac:dyDescent="0.25">
      <c r="A33">
        <f t="shared" si="3"/>
        <v>26</v>
      </c>
      <c r="B33">
        <v>11.2</v>
      </c>
      <c r="C33">
        <f>(B33-$H$28)/($H$29-$H$28)</f>
        <v>0.83838383838383823</v>
      </c>
      <c r="D33">
        <f t="shared" si="2"/>
        <v>0.92414181997875655</v>
      </c>
    </row>
    <row r="34" spans="1:4" x14ac:dyDescent="0.25">
      <c r="A34">
        <f t="shared" si="3"/>
        <v>28</v>
      </c>
      <c r="B34">
        <v>12.4</v>
      </c>
      <c r="C34">
        <f>(B34-$H$28)/($H$29-$H$28)</f>
        <v>0.95959595959595956</v>
      </c>
      <c r="D34">
        <f t="shared" si="2"/>
        <v>0.97068776924864364</v>
      </c>
    </row>
    <row r="35" spans="1:4" x14ac:dyDescent="0.25">
      <c r="A35">
        <f t="shared" si="3"/>
        <v>30</v>
      </c>
      <c r="B35">
        <v>12.2</v>
      </c>
      <c r="C35">
        <f>(B35-$H$28)/($H$29-$H$28)</f>
        <v>0.93939393939393923</v>
      </c>
      <c r="D35">
        <f t="shared" si="2"/>
        <v>0.98901305736940681</v>
      </c>
    </row>
    <row r="36" spans="1:4" x14ac:dyDescent="0.25">
      <c r="A36">
        <f t="shared" si="3"/>
        <v>32</v>
      </c>
      <c r="B36">
        <v>12.5</v>
      </c>
      <c r="C36">
        <f>(B36-$H$28)/($H$29-$H$28)</f>
        <v>0.96969696969696961</v>
      </c>
      <c r="D36">
        <f t="shared" si="2"/>
        <v>0.99592986228410396</v>
      </c>
    </row>
    <row r="37" spans="1:4" x14ac:dyDescent="0.25">
      <c r="A37">
        <f t="shared" si="3"/>
        <v>34</v>
      </c>
      <c r="B37">
        <v>12.8</v>
      </c>
      <c r="C37">
        <f>(B37-$H$28)/($H$29-$H$28)</f>
        <v>1</v>
      </c>
      <c r="D37">
        <f t="shared" si="2"/>
        <v>0.99849881774326299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Sigmoid 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Dubins</dc:creator>
  <cp:lastModifiedBy>David Dubins</cp:lastModifiedBy>
  <dcterms:created xsi:type="dcterms:W3CDTF">2012-02-16T22:03:29Z</dcterms:created>
  <dcterms:modified xsi:type="dcterms:W3CDTF">2026-02-07T04:14:55Z</dcterms:modified>
</cp:coreProperties>
</file>