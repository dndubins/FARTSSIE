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2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toronto-my.sharepoint.com/personal/d_dubins_utoronto_ca/Documents/Lectures/PHC331 2023/Section 4 - Compartmental PK Analysis/Outgoing/"/>
    </mc:Choice>
  </mc:AlternateContent>
  <xr:revisionPtr revIDLastSave="91" documentId="11_77433265717345D842E5B06D7B68D55FF73956CF" xr6:coauthVersionLast="47" xr6:coauthVersionMax="47" xr10:uidLastSave="{BB686870-1BB4-4BB7-8337-885FA20B7EFA}"/>
  <bookViews>
    <workbookView xWindow="525" yWindow="615" windowWidth="24675" windowHeight="15135" xr2:uid="{00000000-000D-0000-FFFF-FFFF00000000}"/>
  </bookViews>
  <sheets>
    <sheet name="Sigmoid F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C2" i="1"/>
  <c r="A3" i="1"/>
  <c r="C3" i="1"/>
  <c r="A4" i="1"/>
  <c r="A5" i="1" s="1"/>
  <c r="A6" i="1" l="1"/>
  <c r="C5" i="1"/>
  <c r="C4" i="1"/>
  <c r="A7" i="1" l="1"/>
  <c r="C6" i="1"/>
  <c r="A8" i="1" l="1"/>
  <c r="C7" i="1"/>
  <c r="A9" i="1" l="1"/>
  <c r="C8" i="1"/>
  <c r="A10" i="1" l="1"/>
  <c r="C9" i="1"/>
  <c r="A11" i="1" l="1"/>
  <c r="C10" i="1"/>
  <c r="A12" i="1" l="1"/>
  <c r="C11" i="1"/>
  <c r="A13" i="1" l="1"/>
  <c r="C12" i="1"/>
  <c r="A14" i="1" l="1"/>
  <c r="C14" i="1" s="1"/>
  <c r="C13" i="1"/>
</calcChain>
</file>

<file path=xl/sharedStrings.xml><?xml version="1.0" encoding="utf-8"?>
<sst xmlns="http://schemas.openxmlformats.org/spreadsheetml/2006/main" count="15" uniqueCount="15">
  <si>
    <t>FIT</t>
  </si>
  <si>
    <t>A</t>
  </si>
  <si>
    <t>B</t>
  </si>
  <si>
    <t>C</t>
  </si>
  <si>
    <t>D</t>
  </si>
  <si>
    <t>Equation of Sigmoid Line:</t>
  </si>
  <si>
    <t>X</t>
  </si>
  <si>
    <t>Y</t>
  </si>
  <si>
    <t>Y = (A/(1+exp(-B*X+C)))+D</t>
  </si>
  <si>
    <t>X = [ln((A/(Y-D))-1) - C] / -B</t>
  </si>
  <si>
    <t>Xmid:</t>
  </si>
  <si>
    <t>Equation Re-arranged to solve for X:</t>
  </si>
  <si>
    <t>Parameter Guesses:</t>
  </si>
  <si>
    <t>Midpoint of Transition is where exp(-BX+C)=1 --&gt; midpoint = C/B</t>
  </si>
  <si>
    <t>Ymid: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</si>
</sst>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'Sigmoid Fit'!$B$1</c:f>
              <c:strCache>
                <c:ptCount val="1"/>
                <c:pt idx="0">
                  <c:v>Y</c:v>
                </c:pt>
              </c:strCache>
            </c:strRef>
          </c:tx>
          <c:spPr>
            <a:ln w="28575">
              <a:noFill/>
            </a:ln>
          </c:spPr>
          <c:xVal>
            <c:numRef>
              <c:f>'Sigmoid Fit'!$A$2:$A$14</c:f>
              <c:numCache>
                <c:formatCode>General</c:formatCode>
                <c:ptCount val="13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</c:numCache>
            </c:numRef>
          </c:xVal>
          <c:yVal>
            <c:numRef>
              <c:f>'Sigmoid Fit'!$B$2:$B$14</c:f>
              <c:numCache>
                <c:formatCode>General</c:formatCode>
                <c:ptCount val="13"/>
                <c:pt idx="0">
                  <c:v>3.1</c:v>
                </c:pt>
                <c:pt idx="1">
                  <c:v>2.9</c:v>
                </c:pt>
                <c:pt idx="2">
                  <c:v>3.3</c:v>
                </c:pt>
                <c:pt idx="3">
                  <c:v>3.7</c:v>
                </c:pt>
                <c:pt idx="4">
                  <c:v>5.6</c:v>
                </c:pt>
                <c:pt idx="5">
                  <c:v>7.7</c:v>
                </c:pt>
                <c:pt idx="6">
                  <c:v>9.4</c:v>
                </c:pt>
                <c:pt idx="7">
                  <c:v>10.6</c:v>
                </c:pt>
                <c:pt idx="8">
                  <c:v>11.2</c:v>
                </c:pt>
                <c:pt idx="9">
                  <c:v>12.4</c:v>
                </c:pt>
                <c:pt idx="10">
                  <c:v>12.2</c:v>
                </c:pt>
                <c:pt idx="11">
                  <c:v>12.5</c:v>
                </c:pt>
                <c:pt idx="12">
                  <c:v>12.8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61-4C6D-A312-9BC25CA00D09}"/>
            </c:ext>
          </c:extLst>
        </c:ser>
        <c:ser>
          <c:idx val="1"/>
          <c:order val="1"/>
          <c:tx>
            <c:v>FIT</c:v>
          </c:tx>
          <c:spPr>
            <a:ln w="158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'Sigmoid Fit'!$A$2:$A$14</c:f>
              <c:numCache>
                <c:formatCode>General</c:formatCode>
                <c:ptCount val="13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</c:numCache>
            </c:numRef>
          </c:xVal>
          <c:yVal>
            <c:numRef>
              <c:f>'Sigmoid Fit'!$C$2:$C$14</c:f>
              <c:numCache>
                <c:formatCode>General</c:formatCode>
                <c:ptCount val="13"/>
                <c:pt idx="0">
                  <c:v>3.0635820837807062</c:v>
                </c:pt>
                <c:pt idx="1">
                  <c:v>3.1708689946398696</c:v>
                </c:pt>
                <c:pt idx="2">
                  <c:v>3.4505457951868843</c:v>
                </c:pt>
                <c:pt idx="3">
                  <c:v>4.1324277592101168</c:v>
                </c:pt>
                <c:pt idx="4">
                  <c:v>5.5549435030149539</c:v>
                </c:pt>
                <c:pt idx="5">
                  <c:v>7.75</c:v>
                </c:pt>
                <c:pt idx="6">
                  <c:v>9.9450564969850461</c:v>
                </c:pt>
                <c:pt idx="7">
                  <c:v>11.367572240789883</c:v>
                </c:pt>
                <c:pt idx="8">
                  <c:v>12.049454204813117</c:v>
                </c:pt>
                <c:pt idx="9">
                  <c:v>12.32913100536013</c:v>
                </c:pt>
                <c:pt idx="10">
                  <c:v>12.436417916219295</c:v>
                </c:pt>
                <c:pt idx="11">
                  <c:v>12.47651008001197</c:v>
                </c:pt>
                <c:pt idx="12">
                  <c:v>12.491345013653195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61-4C6D-A312-9BC25CA00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914560"/>
        <c:axId val="68916352"/>
      </c:scatterChart>
      <c:valAx>
        <c:axId val="689145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68916352"/>
        <c:crosses val="autoZero"/>
        <c:crossBetween val="midCat"/>
      </c:valAx>
      <c:valAx>
        <c:axId val="689163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6891456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373380</xdr:colOff>
      <xdr:row>1</xdr:row>
      <xdr:rowOff>160020</xdr:rowOff>
    </xdr:from>
    <xdr:to>
      <xdr:col>11</xdr:col>
      <xdr:colOff>152400</xdr:colOff>
      <xdr:row>11</xdr:row>
      <xdr:rowOff>60966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285750</xdr:colOff>
      <xdr:row>12</xdr:row>
      <xdr:rowOff>142875</xdr:rowOff>
    </xdr:from>
    <xdr:ext cx="1269194" cy="320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3B8AD53-69FC-B58B-2FB3-45EE45CE4CD4}"/>
                </a:ext>
              </a:extLst>
            </xdr:cNvPr>
            <xdr:cNvSpPr txBox="1"/>
          </xdr:nvSpPr>
          <xdr:spPr>
            <a:xfrm>
              <a:off x="5029200" y="2476500"/>
              <a:ext cx="1269194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𝑒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𝐵𝑋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𝐷</m:t>
                    </m:r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3B8AD53-69FC-B58B-2FB3-45EE45CE4CD4}"/>
                </a:ext>
              </a:extLst>
            </xdr:cNvPr>
            <xdr:cNvSpPr txBox="1"/>
          </xdr:nvSpPr>
          <xdr:spPr>
            <a:xfrm>
              <a:off x="5029200" y="2476500"/>
              <a:ext cx="1269194" cy="320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𝑌=𝐴/(1+𝑒^(−𝐵𝑋+𝐶) )+𝐷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8</xdr:col>
      <xdr:colOff>266700</xdr:colOff>
      <xdr:row>15</xdr:row>
      <xdr:rowOff>171450</xdr:rowOff>
    </xdr:from>
    <xdr:ext cx="1452129" cy="4315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FCB9472-1020-485D-AFAA-CB63D409B2AE}"/>
                </a:ext>
              </a:extLst>
            </xdr:cNvPr>
            <xdr:cNvSpPr txBox="1"/>
          </xdr:nvSpPr>
          <xdr:spPr>
            <a:xfrm>
              <a:off x="5010150" y="3076575"/>
              <a:ext cx="1452129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𝑋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func>
                          <m:func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en-US" sz="11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𝐴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𝑌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−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𝐷</m:t>
                                    </m:r>
                                  </m:den>
                                </m:f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−1</m:t>
                                </m:r>
                              </m:e>
                            </m:d>
                          </m:e>
                        </m:func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𝐵</m:t>
                        </m:r>
                      </m:den>
                    </m:f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FCB9472-1020-485D-AFAA-CB63D409B2AE}"/>
                </a:ext>
              </a:extLst>
            </xdr:cNvPr>
            <xdr:cNvSpPr txBox="1"/>
          </xdr:nvSpPr>
          <xdr:spPr>
            <a:xfrm>
              <a:off x="5010150" y="3076575"/>
              <a:ext cx="1452129" cy="4315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𝑋=(ln⁡(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𝐴/(𝑌−𝐷)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−1)</a:t>
              </a:r>
              <a:r>
                <a:rPr lang="en-US" sz="1100" b="0" i="0">
                  <a:latin typeface="Cambria Math" panose="02040503050406030204" pitchFamily="18" charset="0"/>
                </a:rPr>
                <a:t>−𝐶)/(−𝐵)</a:t>
              </a:r>
              <a:endParaRPr lang="en-CA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workbookViewId="0"/>
  </sheetViews>
  <sheetFormatPr defaultRowHeight="15" x14ac:dyDescent="0.25"/>
  <cols>
    <col min="1" max="1" width="10.85546875" customWidth="1"/>
    <col min="5" max="5" width="5.42578125" customWidth="1"/>
  </cols>
  <sheetData>
    <row r="1" spans="1:6" ht="15.75" thickBot="1" x14ac:dyDescent="0.3">
      <c r="A1" s="1" t="s">
        <v>6</v>
      </c>
      <c r="B1" s="1" t="s">
        <v>7</v>
      </c>
      <c r="C1" s="1" t="s">
        <v>0</v>
      </c>
      <c r="E1" s="2" t="s">
        <v>12</v>
      </c>
    </row>
    <row r="2" spans="1:6" ht="15.75" thickBot="1" x14ac:dyDescent="0.3">
      <c r="A2">
        <v>10</v>
      </c>
      <c r="B2">
        <v>3.1</v>
      </c>
      <c r="C2">
        <f>($F$2/(1+EXP(-$F$3*A2+$F$4)))+$F$5</f>
        <v>3.0635820837807062</v>
      </c>
      <c r="E2" t="s">
        <v>1</v>
      </c>
      <c r="F2" s="3">
        <v>9.5</v>
      </c>
    </row>
    <row r="3" spans="1:6" ht="15.75" thickBot="1" x14ac:dyDescent="0.3">
      <c r="A3">
        <f>A2+2</f>
        <v>12</v>
      </c>
      <c r="B3">
        <v>2.9</v>
      </c>
      <c r="C3">
        <f t="shared" ref="C3:C14" si="0">($F$2/(1+EXP(-$F$3*A3+$F$4)))+$F$5</f>
        <v>3.1708689946398696</v>
      </c>
      <c r="E3" t="s">
        <v>2</v>
      </c>
      <c r="F3" s="4">
        <v>0.5</v>
      </c>
    </row>
    <row r="4" spans="1:6" ht="15.75" thickBot="1" x14ac:dyDescent="0.3">
      <c r="A4">
        <f t="shared" ref="A4:A14" si="1">A3+2</f>
        <v>14</v>
      </c>
      <c r="B4">
        <v>3.3</v>
      </c>
      <c r="C4">
        <f t="shared" si="0"/>
        <v>3.4505457951868843</v>
      </c>
      <c r="E4" t="s">
        <v>3</v>
      </c>
      <c r="F4" s="4">
        <v>10</v>
      </c>
    </row>
    <row r="5" spans="1:6" ht="15.75" thickBot="1" x14ac:dyDescent="0.3">
      <c r="A5">
        <f t="shared" si="1"/>
        <v>16</v>
      </c>
      <c r="B5">
        <v>3.7</v>
      </c>
      <c r="C5">
        <f t="shared" si="0"/>
        <v>4.1324277592101168</v>
      </c>
      <c r="E5" t="s">
        <v>4</v>
      </c>
      <c r="F5" s="5">
        <v>3</v>
      </c>
    </row>
    <row r="6" spans="1:6" x14ac:dyDescent="0.25">
      <c r="A6">
        <f t="shared" si="1"/>
        <v>18</v>
      </c>
      <c r="B6">
        <v>5.6</v>
      </c>
      <c r="C6">
        <f t="shared" si="0"/>
        <v>5.5549435030149539</v>
      </c>
    </row>
    <row r="7" spans="1:6" x14ac:dyDescent="0.25">
      <c r="A7">
        <f t="shared" si="1"/>
        <v>20</v>
      </c>
      <c r="B7">
        <v>7.7</v>
      </c>
      <c r="C7">
        <f t="shared" si="0"/>
        <v>7.75</v>
      </c>
    </row>
    <row r="8" spans="1:6" x14ac:dyDescent="0.25">
      <c r="A8">
        <f t="shared" si="1"/>
        <v>22</v>
      </c>
      <c r="B8">
        <v>9.4</v>
      </c>
      <c r="C8">
        <f t="shared" si="0"/>
        <v>9.9450564969850461</v>
      </c>
    </row>
    <row r="9" spans="1:6" x14ac:dyDescent="0.25">
      <c r="A9">
        <f t="shared" si="1"/>
        <v>24</v>
      </c>
      <c r="B9">
        <v>10.6</v>
      </c>
      <c r="C9">
        <f t="shared" si="0"/>
        <v>11.367572240789883</v>
      </c>
    </row>
    <row r="10" spans="1:6" x14ac:dyDescent="0.25">
      <c r="A10">
        <f t="shared" si="1"/>
        <v>26</v>
      </c>
      <c r="B10">
        <v>11.2</v>
      </c>
      <c r="C10">
        <f t="shared" si="0"/>
        <v>12.049454204813117</v>
      </c>
    </row>
    <row r="11" spans="1:6" x14ac:dyDescent="0.25">
      <c r="A11">
        <f t="shared" si="1"/>
        <v>28</v>
      </c>
      <c r="B11">
        <v>12.4</v>
      </c>
      <c r="C11">
        <f t="shared" si="0"/>
        <v>12.32913100536013</v>
      </c>
    </row>
    <row r="12" spans="1:6" x14ac:dyDescent="0.25">
      <c r="A12">
        <f t="shared" si="1"/>
        <v>30</v>
      </c>
      <c r="B12">
        <v>12.2</v>
      </c>
      <c r="C12">
        <f t="shared" si="0"/>
        <v>12.436417916219295</v>
      </c>
    </row>
    <row r="13" spans="1:6" x14ac:dyDescent="0.25">
      <c r="A13">
        <f t="shared" si="1"/>
        <v>32</v>
      </c>
      <c r="B13">
        <v>12.5</v>
      </c>
      <c r="C13">
        <f t="shared" si="0"/>
        <v>12.47651008001197</v>
      </c>
      <c r="F13" s="2" t="s">
        <v>5</v>
      </c>
    </row>
    <row r="14" spans="1:6" x14ac:dyDescent="0.25">
      <c r="A14">
        <f t="shared" si="1"/>
        <v>34</v>
      </c>
      <c r="B14">
        <v>12.8</v>
      </c>
      <c r="C14">
        <f t="shared" si="0"/>
        <v>12.491345013653195</v>
      </c>
      <c r="F14" t="s">
        <v>8</v>
      </c>
    </row>
    <row r="16" spans="1:6" x14ac:dyDescent="0.25">
      <c r="F16" s="2" t="s">
        <v>11</v>
      </c>
    </row>
    <row r="17" spans="6:7" x14ac:dyDescent="0.25">
      <c r="F17" t="s">
        <v>9</v>
      </c>
    </row>
    <row r="19" spans="6:7" x14ac:dyDescent="0.25">
      <c r="F19" s="2" t="s">
        <v>13</v>
      </c>
    </row>
    <row r="20" spans="6:7" x14ac:dyDescent="0.25">
      <c r="F20" t="s">
        <v>10</v>
      </c>
      <c r="G20" s="6">
        <f>F4/F3</f>
        <v>20</v>
      </c>
    </row>
    <row r="21" spans="6:7" x14ac:dyDescent="0.25">
      <c r="F21" t="s">
        <v>14</v>
      </c>
      <c r="G21" s="6">
        <f>($F$2/(1+EXP(-$F$3*G20+$F$4)))+$F$5</f>
        <v>7.75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Sigmoid 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Dubins</dc:creator>
  <cp:lastModifiedBy>David Dubins</cp:lastModifiedBy>
  <dcterms:created xsi:type="dcterms:W3CDTF">2012-02-16T22:03:29Z</dcterms:created>
  <dcterms:modified xsi:type="dcterms:W3CDTF">2023-04-10T22:38:20Z</dcterms:modified>
</cp:coreProperties>
</file>