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331 2024/Programs/R Programs/"/>
    </mc:Choice>
  </mc:AlternateContent>
  <xr:revisionPtr revIDLastSave="101" documentId="8_{4C7EE4C1-62F0-43C0-9017-895E4B161092}" xr6:coauthVersionLast="47" xr6:coauthVersionMax="47" xr10:uidLastSave="{B008C667-B72F-4E1D-9D97-BA29628B054F}"/>
  <bookViews>
    <workbookView xWindow="-120" yWindow="-120" windowWidth="25440" windowHeight="15270" xr2:uid="{5D2C45B9-291A-43AB-BB90-820E2D7CECF9}"/>
  </bookViews>
  <sheets>
    <sheet name="3COMPFI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7" i="2"/>
  <c r="L5" i="2"/>
  <c r="L4" i="2"/>
  <c r="F15" i="2"/>
  <c r="F16" i="2"/>
  <c r="F17" i="2"/>
  <c r="F18" i="2"/>
  <c r="F19" i="2"/>
  <c r="F20" i="2"/>
  <c r="F21" i="2"/>
  <c r="F22" i="2"/>
  <c r="F23" i="2"/>
  <c r="F24" i="2"/>
  <c r="F14" i="2"/>
  <c r="C24" i="2"/>
  <c r="C23" i="2"/>
  <c r="C22" i="2"/>
  <c r="B21" i="2"/>
  <c r="C21" i="2" s="1"/>
  <c r="E21" i="2" s="1"/>
  <c r="G21" i="2" s="1"/>
  <c r="C20" i="2"/>
  <c r="C19" i="2"/>
  <c r="C18" i="2"/>
  <c r="C17" i="2"/>
  <c r="C16" i="2"/>
  <c r="C15" i="2"/>
  <c r="C14" i="2"/>
  <c r="A14" i="2"/>
  <c r="A15" i="2" s="1"/>
  <c r="A16" i="2" s="1"/>
  <c r="A17" i="2" s="1"/>
  <c r="A18" i="2" s="1"/>
  <c r="A19" i="2" s="1"/>
  <c r="A20" i="2" s="1"/>
  <c r="E6" i="2"/>
  <c r="A21" i="2" l="1"/>
  <c r="A22" i="2" s="1"/>
  <c r="A23" i="2" s="1"/>
  <c r="A24" i="2" s="1"/>
  <c r="L9" i="2"/>
  <c r="E16" i="2"/>
  <c r="G16" i="2" s="1"/>
  <c r="E17" i="2"/>
  <c r="G17" i="2" s="1"/>
  <c r="E22" i="2"/>
  <c r="G22" i="2" s="1"/>
  <c r="E23" i="2"/>
  <c r="G23" i="2" s="1"/>
  <c r="E18" i="2"/>
  <c r="G18" i="2" s="1"/>
  <c r="E24" i="2"/>
  <c r="G24" i="2" s="1"/>
  <c r="I9" i="2"/>
  <c r="M7" i="2" s="1"/>
  <c r="N7" i="2" s="1"/>
  <c r="E19" i="2"/>
  <c r="G19" i="2" s="1"/>
  <c r="E14" i="2"/>
  <c r="G14" i="2" s="1"/>
  <c r="E20" i="2"/>
  <c r="G20" i="2" s="1"/>
  <c r="E15" i="2"/>
  <c r="G15" i="2" s="1"/>
  <c r="I10" i="2" l="1"/>
  <c r="I11" i="2" l="1"/>
  <c r="M9" i="2" s="1"/>
  <c r="N9" i="2" s="1"/>
  <c r="M8" i="2"/>
  <c r="N8" i="2" s="1"/>
</calcChain>
</file>

<file path=xl/sharedStrings.xml><?xml version="1.0" encoding="utf-8"?>
<sst xmlns="http://schemas.openxmlformats.org/spreadsheetml/2006/main" count="41" uniqueCount="35">
  <si>
    <t>Time (min)</t>
  </si>
  <si>
    <t>1/h</t>
  </si>
  <si>
    <t>Vd</t>
  </si>
  <si>
    <t>Dose</t>
  </si>
  <si>
    <t>C0</t>
  </si>
  <si>
    <t>L</t>
  </si>
  <si>
    <t>µg/mL</t>
  </si>
  <si>
    <t>µg</t>
  </si>
  <si>
    <t>Clock</t>
  </si>
  <si>
    <t>Dosing Time:</t>
  </si>
  <si>
    <t>am</t>
  </si>
  <si>
    <r>
      <rPr>
        <sz val="12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</rPr>
      <t>1</t>
    </r>
  </si>
  <si>
    <t>l2</t>
  </si>
  <si>
    <t>l3</t>
  </si>
  <si>
    <t>k21</t>
  </si>
  <si>
    <t>k31</t>
  </si>
  <si>
    <t>k10</t>
  </si>
  <si>
    <t>Time</t>
  </si>
  <si>
    <t>Concentration</t>
  </si>
  <si>
    <t>ln(FIT)</t>
  </si>
  <si>
    <t>ln(Concentration)</t>
  </si>
  <si>
    <t>FIT</t>
  </si>
  <si>
    <t>k12</t>
  </si>
  <si>
    <t>y</t>
  </si>
  <si>
    <t>x</t>
  </si>
  <si>
    <t>(L1L2+L1L3+L2L3)</t>
  </si>
  <si>
    <t>(L1+L2+L3)</t>
  </si>
  <si>
    <t>k13</t>
  </si>
  <si>
    <t>LS</t>
  </si>
  <si>
    <t>RS</t>
  </si>
  <si>
    <t>CHECK1</t>
  </si>
  <si>
    <t>CHECK2</t>
  </si>
  <si>
    <t>CHECK3</t>
  </si>
  <si>
    <t>Experimental Data</t>
  </si>
  <si>
    <t>3-Compartment Model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</si>
</sst>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Symbol"/>
      <family val="1"/>
      <charset val="2"/>
    </font>
    <font>
      <sz val="11"/>
      <color theme="1"/>
      <name val="Calibri"/>
      <family val="1"/>
      <charset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20" fontId="0" fillId="2" borderId="0" xfId="0" applyNumberFormat="1" applyFill="1"/>
    <xf numFmtId="20" fontId="1" fillId="2" borderId="1" xfId="0" applyNumberFormat="1" applyFont="1" applyFill="1" applyBorder="1"/>
    <xf numFmtId="0" fontId="8" fillId="2" borderId="0" xfId="0" applyFont="1" applyFill="1"/>
    <xf numFmtId="0" fontId="7" fillId="2" borderId="0" xfId="0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9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Fit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'3COMPFIT'!$C$14:$C$33</c:f>
              <c:numCache>
                <c:formatCode>General</c:formatCode>
                <c:ptCount val="20"/>
                <c:pt idx="0">
                  <c:v>1.6666666666666666E-2</c:v>
                </c:pt>
                <c:pt idx="1">
                  <c:v>8.3333333333333329E-2</c:v>
                </c:pt>
                <c:pt idx="2">
                  <c:v>0.33333333333333331</c:v>
                </c:pt>
                <c:pt idx="3">
                  <c:v>0.66666666666666663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24</c:v>
                </c:pt>
                <c:pt idx="9">
                  <c:v>48</c:v>
                </c:pt>
                <c:pt idx="10">
                  <c:v>72</c:v>
                </c:pt>
              </c:numCache>
            </c:numRef>
          </c:xVal>
          <c:yVal>
            <c:numRef>
              <c:f>'3COMPFIT'!$E$14:$E$33</c:f>
              <c:numCache>
                <c:formatCode>General</c:formatCode>
                <c:ptCount val="20"/>
                <c:pt idx="0">
                  <c:v>8.7510919727944643</c:v>
                </c:pt>
                <c:pt idx="1">
                  <c:v>8.0554329715829276</c:v>
                </c:pt>
                <c:pt idx="2">
                  <c:v>6.8828696203196147</c:v>
                </c:pt>
                <c:pt idx="3">
                  <c:v>6.4589307623744352</c:v>
                </c:pt>
                <c:pt idx="4">
                  <c:v>6.2677704576565949</c:v>
                </c:pt>
                <c:pt idx="5">
                  <c:v>5.1811102582033</c:v>
                </c:pt>
                <c:pt idx="6">
                  <c:v>4.3394639250808451</c:v>
                </c:pt>
                <c:pt idx="7">
                  <c:v>3.6919601790724808</c:v>
                </c:pt>
                <c:pt idx="8">
                  <c:v>3.17596912153537</c:v>
                </c:pt>
                <c:pt idx="9">
                  <c:v>2.4698450231406119</c:v>
                </c:pt>
                <c:pt idx="10">
                  <c:v>1.9424703827426202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F2-4E6B-8A64-A36C79646B9E}"/>
            </c:ext>
          </c:extLst>
        </c:ser>
        <c:ser>
          <c:idx val="1"/>
          <c:order val="1"/>
          <c:tx>
            <c:v>Concentration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'3COMPFIT'!$C$14:$C$24</c:f>
              <c:numCache>
                <c:formatCode>General</c:formatCode>
                <c:ptCount val="11"/>
                <c:pt idx="0">
                  <c:v>1.6666666666666666E-2</c:v>
                </c:pt>
                <c:pt idx="1">
                  <c:v>8.3333333333333329E-2</c:v>
                </c:pt>
                <c:pt idx="2">
                  <c:v>0.33333333333333331</c:v>
                </c:pt>
                <c:pt idx="3">
                  <c:v>0.66666666666666663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24</c:v>
                </c:pt>
                <c:pt idx="9">
                  <c:v>48</c:v>
                </c:pt>
                <c:pt idx="10">
                  <c:v>72</c:v>
                </c:pt>
              </c:numCache>
            </c:numRef>
          </c:xVal>
          <c:yVal>
            <c:numRef>
              <c:f>'3COMPFIT'!$D$14:$D$24</c:f>
              <c:numCache>
                <c:formatCode>General</c:formatCode>
                <c:ptCount val="11"/>
                <c:pt idx="0">
                  <c:v>9</c:v>
                </c:pt>
                <c:pt idx="1">
                  <c:v>8</c:v>
                </c:pt>
                <c:pt idx="2">
                  <c:v>7.8</c:v>
                </c:pt>
                <c:pt idx="3">
                  <c:v>7.1</c:v>
                </c:pt>
                <c:pt idx="4">
                  <c:v>6.5</c:v>
                </c:pt>
                <c:pt idx="5">
                  <c:v>5.5</c:v>
                </c:pt>
                <c:pt idx="6">
                  <c:v>4.7</c:v>
                </c:pt>
                <c:pt idx="7">
                  <c:v>3.8</c:v>
                </c:pt>
                <c:pt idx="8">
                  <c:v>2.9</c:v>
                </c:pt>
                <c:pt idx="9">
                  <c:v>2.2000000000000002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F2-4E6B-8A64-A36C7964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015311"/>
        <c:axId val="514554031"/>
      </c:scatterChart>
      <c:valAx>
        <c:axId val="52001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54031"/>
        <c:crosses val="autoZero"/>
        <c:crossBetween val="midCat"/>
      </c:valAx>
      <c:valAx>
        <c:axId val="51455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Concentration</a:t>
                </a:r>
                <a:r>
                  <a:rPr lang="en-CA" baseline="0"/>
                  <a:t> (µg/mL)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1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ln(Concentration)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'3COMPFIT'!$C$14:$C$24</c:f>
              <c:numCache>
                <c:formatCode>General</c:formatCode>
                <c:ptCount val="11"/>
                <c:pt idx="0">
                  <c:v>1.6666666666666666E-2</c:v>
                </c:pt>
                <c:pt idx="1">
                  <c:v>8.3333333333333329E-2</c:v>
                </c:pt>
                <c:pt idx="2">
                  <c:v>0.33333333333333331</c:v>
                </c:pt>
                <c:pt idx="3">
                  <c:v>0.66666666666666663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24</c:v>
                </c:pt>
                <c:pt idx="9">
                  <c:v>48</c:v>
                </c:pt>
                <c:pt idx="10">
                  <c:v>72</c:v>
                </c:pt>
              </c:numCache>
            </c:numRef>
          </c:xVal>
          <c:yVal>
            <c:numRef>
              <c:f>'3COMPFIT'!$F$14:$F$24</c:f>
              <c:numCache>
                <c:formatCode>General</c:formatCode>
                <c:ptCount val="11"/>
                <c:pt idx="0">
                  <c:v>2.1972245773362196</c:v>
                </c:pt>
                <c:pt idx="1">
                  <c:v>2.0794415416798357</c:v>
                </c:pt>
                <c:pt idx="2">
                  <c:v>2.0541237336955462</c:v>
                </c:pt>
                <c:pt idx="3">
                  <c:v>1.9600947840472698</c:v>
                </c:pt>
                <c:pt idx="4">
                  <c:v>1.8718021769015913</c:v>
                </c:pt>
                <c:pt idx="5">
                  <c:v>1.7047480922384253</c:v>
                </c:pt>
                <c:pt idx="6">
                  <c:v>1.547562508716013</c:v>
                </c:pt>
                <c:pt idx="7">
                  <c:v>1.33500106673234</c:v>
                </c:pt>
                <c:pt idx="8">
                  <c:v>1.0647107369924282</c:v>
                </c:pt>
                <c:pt idx="9">
                  <c:v>0.78845736036427028</c:v>
                </c:pt>
                <c:pt idx="10">
                  <c:v>0.69314718055994529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6-4580-AF8F-E7FDA97D91C5}"/>
            </c:ext>
          </c:extLst>
        </c:ser>
        <c:ser>
          <c:idx val="0"/>
          <c:order val="1"/>
          <c:tx>
            <c:v>FIT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'3COMPFIT'!$C$14:$C$24</c:f>
              <c:numCache>
                <c:formatCode>General</c:formatCode>
                <c:ptCount val="11"/>
                <c:pt idx="0">
                  <c:v>1.6666666666666666E-2</c:v>
                </c:pt>
                <c:pt idx="1">
                  <c:v>8.3333333333333329E-2</c:v>
                </c:pt>
                <c:pt idx="2">
                  <c:v>0.33333333333333331</c:v>
                </c:pt>
                <c:pt idx="3">
                  <c:v>0.66666666666666663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24</c:v>
                </c:pt>
                <c:pt idx="9">
                  <c:v>48</c:v>
                </c:pt>
                <c:pt idx="10">
                  <c:v>72</c:v>
                </c:pt>
              </c:numCache>
            </c:numRef>
          </c:xVal>
          <c:yVal>
            <c:numRef>
              <c:f>'3COMPFIT'!$G$14:$G$24</c:f>
              <c:numCache>
                <c:formatCode>General</c:formatCode>
                <c:ptCount val="11"/>
                <c:pt idx="0">
                  <c:v>2.1691784894738348</c:v>
                </c:pt>
                <c:pt idx="1">
                  <c:v>2.086346767087885</c:v>
                </c:pt>
                <c:pt idx="2">
                  <c:v>1.9290356609615933</c:v>
                </c:pt>
                <c:pt idx="3">
                  <c:v>1.8654637874348123</c:v>
                </c:pt>
                <c:pt idx="4">
                  <c:v>1.8354207025176132</c:v>
                </c:pt>
                <c:pt idx="5">
                  <c:v>1.6450193688652897</c:v>
                </c:pt>
                <c:pt idx="6">
                  <c:v>1.467750820916518</c:v>
                </c:pt>
                <c:pt idx="7">
                  <c:v>1.3061575308490918</c:v>
                </c:pt>
                <c:pt idx="8">
                  <c:v>1.1556128208991405</c:v>
                </c:pt>
                <c:pt idx="9">
                  <c:v>0.9041554050036511</c:v>
                </c:pt>
                <c:pt idx="10">
                  <c:v>0.663960556164083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6-4580-AF8F-E7FDA97D9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78511"/>
        <c:axId val="109614303"/>
      </c:scatterChart>
      <c:valAx>
        <c:axId val="11317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4303"/>
        <c:crosses val="autoZero"/>
        <c:crossBetween val="midCat"/>
      </c:valAx>
      <c:valAx>
        <c:axId val="1096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441523</xdr:colOff>
      <xdr:row>12</xdr:row>
      <xdr:rowOff>26297</xdr:rowOff>
    </xdr:from>
    <xdr:to>
      <xdr:col>15</xdr:col>
      <xdr:colOff>133410</xdr:colOff>
      <xdr:row>26</xdr:row>
      <xdr:rowOff>102497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EE4B6-959B-4A08-A87F-EFCD259BA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171450</xdr:colOff>
      <xdr:row>1</xdr:row>
      <xdr:rowOff>295275</xdr:rowOff>
    </xdr:from>
    <xdr:to>
      <xdr:col>20</xdr:col>
      <xdr:colOff>398695</xdr:colOff>
      <xdr:row>18</xdr:row>
      <xdr:rowOff>15846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C2660-20A9-4EAE-A95A-515B1F03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0" y="485775"/>
          <a:ext cx="3884846" cy="3203762"/>
        </a:xfrm>
        <a:prstGeom prst="rect">
          <a:avLst/>
        </a:prstGeom>
      </xdr:spPr>
    </xdr:pic>
    <xdr:clientData/>
  </xdr:twoCellAnchor>
  <xdr:twoCellAnchor editAs="oneCell">
    <xdr:from>
      <xdr:col>16</xdr:col>
      <xdr:colOff>280308</xdr:colOff>
      <xdr:row>20</xdr:row>
      <xdr:rowOff>43292</xdr:rowOff>
    </xdr:from>
    <xdr:to>
      <xdr:col>28</xdr:col>
      <xdr:colOff>410222</xdr:colOff>
      <xdr:row>25</xdr:row>
      <xdr:rowOff>171288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5037A9-9F45-4568-836E-668E662B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65129" y="4111828"/>
          <a:ext cx="7477771" cy="1094104"/>
        </a:xfrm>
        <a:prstGeom prst="rect">
          <a:avLst/>
        </a:prstGeom>
      </xdr:spPr>
    </xdr:pic>
    <xdr:clientData/>
  </xdr:twoCellAnchor>
  <xdr:twoCellAnchor>
    <xdr:from>
      <xdr:col>7</xdr:col>
      <xdr:colOff>447526</xdr:colOff>
      <xdr:row>26</xdr:row>
      <xdr:rowOff>189108</xdr:rowOff>
    </xdr:from>
    <xdr:to>
      <xdr:col>15</xdr:col>
      <xdr:colOff>139413</xdr:colOff>
      <xdr:row>41</xdr:row>
      <xdr:rowOff>74808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BAEB1B-49A5-4CC7-9346-035E130E9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28</xdr:row>
      <xdr:rowOff>190499</xdr:rowOff>
    </xdr:from>
    <xdr:to>
      <xdr:col>28</xdr:col>
      <xdr:colOff>597130</xdr:colOff>
      <xdr:row>53</xdr:row>
      <xdr:rowOff>54428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004939-0B12-B63E-57D4-4E1C6C90A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09464" y="5810249"/>
          <a:ext cx="7332665" cy="4626429"/>
        </a:xfrm>
        <a:prstGeom prst="rect">
          <a:avLst/>
        </a:prstGeom>
      </xdr:spPr>
    </xdr:pic>
    <xdr:clientData/>
  </xdr:twoCellAnchor>
  <xdr:twoCellAnchor editAs="oneCell">
    <xdr:from>
      <xdr:col>17</xdr:col>
      <xdr:colOff>40822</xdr:colOff>
      <xdr:row>53</xdr:row>
      <xdr:rowOff>163286</xdr:rowOff>
    </xdr:from>
    <xdr:to>
      <xdr:col>27</xdr:col>
      <xdr:colOff>149754</xdr:colOff>
      <xdr:row>66</xdr:row>
      <xdr:rowOff>176893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97FEDD-5D38-280B-74F7-BE28283F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50286" y="10545536"/>
          <a:ext cx="6232146" cy="249010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4C3A-5C49-4097-B4A7-531649ED6FCD}">
  <dimension ref="A2:N24"/>
  <sheetViews>
    <sheetView tabSelected="1" zoomScale="115" zoomScaleNormal="115" workbookViewId="0">
      <selection activeCell="I4" sqref="I4"/>
    </sheetView>
  </sheetViews>
  <sheetFormatPr defaultRowHeight="15"/>
  <cols>
    <col min="1" max="2" width="11.5703125" style="1" customWidth="1"/>
    <col min="3" max="16384" width="9.140625" style="1"/>
  </cols>
  <sheetData>
    <row r="2" spans="1:14" ht="26.25">
      <c r="B2" s="16" t="s">
        <v>34</v>
      </c>
      <c r="D2" s="4"/>
    </row>
    <row r="3" spans="1:14" ht="15.75" thickBot="1"/>
    <row r="4" spans="1:14" ht="16.5" thickBot="1">
      <c r="C4" s="1" t="s">
        <v>2</v>
      </c>
      <c r="E4" s="2">
        <v>44.59</v>
      </c>
      <c r="F4" s="1" t="s">
        <v>5</v>
      </c>
      <c r="H4" s="8" t="s">
        <v>11</v>
      </c>
      <c r="I4" s="2">
        <v>6</v>
      </c>
      <c r="K4" s="3" t="s">
        <v>24</v>
      </c>
      <c r="L4" s="5">
        <f>I4*I5+I4*I6+I5*I6</f>
        <v>1.1418000000000001</v>
      </c>
      <c r="M4" s="1" t="s">
        <v>25</v>
      </c>
    </row>
    <row r="5" spans="1:14" ht="16.5" thickBot="1">
      <c r="C5" s="1" t="s">
        <v>3</v>
      </c>
      <c r="E5" s="2">
        <v>400</v>
      </c>
      <c r="F5" s="1" t="s">
        <v>7</v>
      </c>
      <c r="H5" s="9" t="s">
        <v>12</v>
      </c>
      <c r="I5" s="2">
        <v>0.18</v>
      </c>
      <c r="J5" s="1" t="s">
        <v>1</v>
      </c>
      <c r="K5" s="3" t="s">
        <v>23</v>
      </c>
      <c r="L5" s="5">
        <f>I4+I5+I6</f>
        <v>6.1899999999999995</v>
      </c>
      <c r="M5" s="1" t="s">
        <v>26</v>
      </c>
    </row>
    <row r="6" spans="1:14" ht="16.5" thickBot="1">
      <c r="C6" s="1" t="s">
        <v>4</v>
      </c>
      <c r="E6" s="5">
        <f>E5/E4</f>
        <v>8.9706212155191736</v>
      </c>
      <c r="F6" s="1" t="s">
        <v>6</v>
      </c>
      <c r="H6" s="9" t="s">
        <v>13</v>
      </c>
      <c r="I6" s="2">
        <v>0.01</v>
      </c>
      <c r="J6" s="1" t="s">
        <v>1</v>
      </c>
      <c r="L6" s="17" t="s">
        <v>28</v>
      </c>
      <c r="M6" s="17" t="s">
        <v>29</v>
      </c>
    </row>
    <row r="7" spans="1:14" ht="15.75" thickBot="1">
      <c r="C7" s="1" t="s">
        <v>9</v>
      </c>
      <c r="E7" s="7">
        <v>0.29166666666666669</v>
      </c>
      <c r="F7" s="1" t="s">
        <v>10</v>
      </c>
      <c r="H7" s="1" t="s">
        <v>14</v>
      </c>
      <c r="I7" s="2">
        <v>4.54</v>
      </c>
      <c r="J7" s="1" t="s">
        <v>1</v>
      </c>
      <c r="K7" s="3" t="s">
        <v>30</v>
      </c>
      <c r="L7" s="1">
        <f>I4*I5*I6</f>
        <v>1.0800000000000001E-2</v>
      </c>
      <c r="M7" s="1">
        <f>I9*I7*I8</f>
        <v>1.0799999999999999E-2</v>
      </c>
      <c r="N7" s="18" t="str">
        <f>IF(M7=L7,"good","problem")</f>
        <v>good</v>
      </c>
    </row>
    <row r="8" spans="1:14" ht="15.75" thickBot="1">
      <c r="H8" s="1" t="s">
        <v>15</v>
      </c>
      <c r="I8" s="2">
        <v>0.11</v>
      </c>
      <c r="J8" s="1" t="s">
        <v>1</v>
      </c>
      <c r="K8" s="3" t="s">
        <v>31</v>
      </c>
      <c r="L8" s="1">
        <f>I4+I5+I6</f>
        <v>6.1899999999999995</v>
      </c>
      <c r="M8" s="1">
        <f>I10+I11+I9+I7+I8</f>
        <v>6.19</v>
      </c>
      <c r="N8" s="18" t="str">
        <f>IF(M8=L8,"good","problem")</f>
        <v>good</v>
      </c>
    </row>
    <row r="9" spans="1:14">
      <c r="E9" s="5"/>
      <c r="H9" s="1" t="s">
        <v>16</v>
      </c>
      <c r="I9" s="5">
        <f>I4*I5*I6/(I7*I8)</f>
        <v>2.1625951141369643E-2</v>
      </c>
      <c r="J9" s="1" t="s">
        <v>1</v>
      </c>
      <c r="K9" s="3" t="s">
        <v>32</v>
      </c>
      <c r="L9" s="1">
        <f>L4</f>
        <v>1.1418000000000001</v>
      </c>
      <c r="M9" s="1">
        <f>I11*I7+I9*I7+I8*I7+I10*I8+I9*I8</f>
        <v>1.1417999999999979</v>
      </c>
      <c r="N9" s="18" t="str">
        <f>IF(M9=L9,"good","problem")</f>
        <v>good</v>
      </c>
    </row>
    <row r="10" spans="1:14">
      <c r="E10" s="5"/>
      <c r="H10" s="1" t="s">
        <v>22</v>
      </c>
      <c r="I10" s="5">
        <f>(L4+I7^2-L5*I7-I9*I8)/(I8-I7)</f>
        <v>1.4337649784707791</v>
      </c>
      <c r="J10" s="1" t="s">
        <v>1</v>
      </c>
    </row>
    <row r="11" spans="1:14">
      <c r="H11" s="1" t="s">
        <v>27</v>
      </c>
      <c r="I11" s="5">
        <f>L5-I10-I9-I7-I8</f>
        <v>8.4609070387850913E-2</v>
      </c>
      <c r="J11" s="1" t="s">
        <v>1</v>
      </c>
    </row>
    <row r="12" spans="1:14" ht="15.75" thickBot="1">
      <c r="C12" s="3" t="s">
        <v>33</v>
      </c>
      <c r="E12" s="5"/>
    </row>
    <row r="13" spans="1:14">
      <c r="A13" s="3" t="s">
        <v>8</v>
      </c>
      <c r="B13" s="3" t="s">
        <v>0</v>
      </c>
      <c r="C13" s="10" t="s">
        <v>17</v>
      </c>
      <c r="D13" s="11" t="s">
        <v>18</v>
      </c>
      <c r="E13" s="3" t="s">
        <v>21</v>
      </c>
      <c r="F13" s="3" t="s">
        <v>20</v>
      </c>
      <c r="G13" s="3" t="s">
        <v>19</v>
      </c>
    </row>
    <row r="14" spans="1:14">
      <c r="A14" s="6">
        <f>E7+TIME(0,(B14),0)</f>
        <v>0.29236111111111113</v>
      </c>
      <c r="B14" s="1">
        <v>1</v>
      </c>
      <c r="C14" s="12">
        <f>B14/60</f>
        <v>1.6666666666666666E-2</v>
      </c>
      <c r="D14" s="13">
        <v>9</v>
      </c>
      <c r="E14" s="1">
        <f>($E$5/$E$4)*((($I$7-$I$4)*($I$8-$I$4)/(($I$5-$I$4)*($I$6-$I$4)))*EXP(-$I$4*C14)+(($I$7-$I$5)*($I$8-$I$5)/(($I$4-$I$5)*($I$6-$I$5)))*EXP(-$I$5*C14)+(($I$7-$I$6)*($I$8-$I$6)/(($I$4-$I$6)*($I$5-$I$6)))*EXP(-$I$6*C14))</f>
        <v>8.7510919727944643</v>
      </c>
      <c r="F14" s="1">
        <f>LN(D14)</f>
        <v>2.1972245773362196</v>
      </c>
      <c r="G14" s="1">
        <f>IF(ISERR(LN(E14)),"",LN(E14))</f>
        <v>2.1691784894738348</v>
      </c>
    </row>
    <row r="15" spans="1:14">
      <c r="A15" s="6">
        <f>A14+TIME(0,(B15-B14),0)</f>
        <v>0.2951388888888889</v>
      </c>
      <c r="B15" s="1">
        <v>5</v>
      </c>
      <c r="C15" s="12">
        <f t="shared" ref="C15:C24" si="0">B15/60</f>
        <v>8.3333333333333329E-2</v>
      </c>
      <c r="D15" s="13">
        <v>8</v>
      </c>
      <c r="E15" s="1">
        <f>($E$5/$E$4)*((($I$7-$I$4)*($I$8-$I$4)/(($I$5-$I$4)*($I$6-$I$4)))*EXP(-$I$4*C15)+(($I$7-$I$5)*($I$8-$I$5)/(($I$4-$I$5)*($I$6-$I$5)))*EXP(-$I$5*C15)+(($I$7-$I$6)*($I$8-$I$6)/(($I$4-$I$6)*($I$5-$I$6)))*EXP(-$I$6*C15))</f>
        <v>8.0554329715829276</v>
      </c>
      <c r="F15" s="1">
        <f t="shared" ref="F15:F24" si="1">LN(D15)</f>
        <v>2.0794415416798357</v>
      </c>
      <c r="G15" s="1">
        <f>IF(ISERR(LN(E15)),"",LN(E15))</f>
        <v>2.086346767087885</v>
      </c>
    </row>
    <row r="16" spans="1:14">
      <c r="A16" s="6">
        <f t="shared" ref="A16:A24" si="2">A15+TIME(0,(B16-B15),0)</f>
        <v>0.30555555555555558</v>
      </c>
      <c r="B16" s="1">
        <v>20</v>
      </c>
      <c r="C16" s="12">
        <f t="shared" si="0"/>
        <v>0.33333333333333331</v>
      </c>
      <c r="D16" s="13">
        <v>7.8</v>
      </c>
      <c r="E16" s="1">
        <f>($E$5/$E$4)*((($I$7-$I$4)*($I$8-$I$4)/(($I$5-$I$4)*($I$6-$I$4)))*EXP(-$I$4*C16)+(($I$7-$I$5)*($I$8-$I$5)/(($I$4-$I$5)*($I$6-$I$5)))*EXP(-$I$5*C16)+(($I$7-$I$6)*($I$8-$I$6)/(($I$4-$I$6)*($I$5-$I$6)))*EXP(-$I$6*C16))</f>
        <v>6.8828696203196147</v>
      </c>
      <c r="F16" s="1">
        <f t="shared" si="1"/>
        <v>2.0541237336955462</v>
      </c>
      <c r="G16" s="1">
        <f>IF(ISERR(LN(E16)),"",LN(E16))</f>
        <v>1.9290356609615933</v>
      </c>
    </row>
    <row r="17" spans="1:7">
      <c r="A17" s="6">
        <f t="shared" si="2"/>
        <v>0.31944444444444448</v>
      </c>
      <c r="B17" s="1">
        <v>40</v>
      </c>
      <c r="C17" s="12">
        <f t="shared" si="0"/>
        <v>0.66666666666666663</v>
      </c>
      <c r="D17" s="13">
        <v>7.1</v>
      </c>
      <c r="E17" s="1">
        <f>($E$5/$E$4)*((($I$7-$I$4)*($I$8-$I$4)/(($I$5-$I$4)*($I$6-$I$4)))*EXP(-$I$4*C17)+(($I$7-$I$5)*($I$8-$I$5)/(($I$4-$I$5)*($I$6-$I$5)))*EXP(-$I$5*C17)+(($I$7-$I$6)*($I$8-$I$6)/(($I$4-$I$6)*($I$5-$I$6)))*EXP(-$I$6*C17))</f>
        <v>6.4589307623744352</v>
      </c>
      <c r="F17" s="1">
        <f t="shared" si="1"/>
        <v>1.9600947840472698</v>
      </c>
      <c r="G17" s="1">
        <f>IF(ISERR(LN(E17)),"",LN(E17))</f>
        <v>1.8654637874348123</v>
      </c>
    </row>
    <row r="18" spans="1:7">
      <c r="A18" s="6">
        <f t="shared" si="2"/>
        <v>0.33333333333333337</v>
      </c>
      <c r="B18" s="1">
        <v>60</v>
      </c>
      <c r="C18" s="12">
        <f t="shared" si="0"/>
        <v>1</v>
      </c>
      <c r="D18" s="13">
        <v>6.5</v>
      </c>
      <c r="E18" s="1">
        <f>($E$5/$E$4)*((($I$7-$I$4)*($I$8-$I$4)/(($I$5-$I$4)*($I$6-$I$4)))*EXP(-$I$4*C18)+(($I$7-$I$5)*($I$8-$I$5)/(($I$4-$I$5)*($I$6-$I$5)))*EXP(-$I$5*C18)+(($I$7-$I$6)*($I$8-$I$6)/(($I$4-$I$6)*($I$5-$I$6)))*EXP(-$I$6*C18))</f>
        <v>6.2677704576565949</v>
      </c>
      <c r="F18" s="1">
        <f t="shared" si="1"/>
        <v>1.8718021769015913</v>
      </c>
      <c r="G18" s="1">
        <f>IF(ISERR(LN(E18)),"",LN(E18))</f>
        <v>1.8354207025176132</v>
      </c>
    </row>
    <row r="19" spans="1:7">
      <c r="A19" s="6">
        <f t="shared" si="2"/>
        <v>0.45833333333333337</v>
      </c>
      <c r="B19" s="1">
        <v>240</v>
      </c>
      <c r="C19" s="12">
        <f t="shared" si="0"/>
        <v>4</v>
      </c>
      <c r="D19" s="13">
        <v>5.5</v>
      </c>
      <c r="E19" s="1">
        <f>($E$5/$E$4)*((($I$7-$I$4)*($I$8-$I$4)/(($I$5-$I$4)*($I$6-$I$4)))*EXP(-$I$4*C19)+(($I$7-$I$5)*($I$8-$I$5)/(($I$4-$I$5)*($I$6-$I$5)))*EXP(-$I$5*C19)+(($I$7-$I$6)*($I$8-$I$6)/(($I$4-$I$6)*($I$5-$I$6)))*EXP(-$I$6*C19))</f>
        <v>5.1811102582033</v>
      </c>
      <c r="F19" s="1">
        <f t="shared" si="1"/>
        <v>1.7047480922384253</v>
      </c>
      <c r="G19" s="1">
        <f>IF(ISERR(LN(E19)),"",LN(E19))</f>
        <v>1.6450193688652897</v>
      </c>
    </row>
    <row r="20" spans="1:7">
      <c r="A20" s="6">
        <f t="shared" si="2"/>
        <v>0.625</v>
      </c>
      <c r="B20" s="1">
        <v>480</v>
      </c>
      <c r="C20" s="12">
        <f t="shared" si="0"/>
        <v>8</v>
      </c>
      <c r="D20" s="13">
        <v>4.7</v>
      </c>
      <c r="E20" s="1">
        <f>($E$5/$E$4)*((($I$7-$I$4)*($I$8-$I$4)/(($I$5-$I$4)*($I$6-$I$4)))*EXP(-$I$4*C20)+(($I$7-$I$5)*($I$8-$I$5)/(($I$4-$I$5)*($I$6-$I$5)))*EXP(-$I$5*C20)+(($I$7-$I$6)*($I$8-$I$6)/(($I$4-$I$6)*($I$5-$I$6)))*EXP(-$I$6*C20))</f>
        <v>4.3394639250808451</v>
      </c>
      <c r="F20" s="1">
        <f t="shared" si="1"/>
        <v>1.547562508716013</v>
      </c>
      <c r="G20" s="1">
        <f>IF(ISERR(LN(E20)),"",LN(E20))</f>
        <v>1.467750820916518</v>
      </c>
    </row>
    <row r="21" spans="1:7">
      <c r="A21" s="6">
        <f t="shared" si="2"/>
        <v>0.875</v>
      </c>
      <c r="B21" s="1">
        <f>780+60</f>
        <v>840</v>
      </c>
      <c r="C21" s="12">
        <f t="shared" si="0"/>
        <v>14</v>
      </c>
      <c r="D21" s="13">
        <v>3.8</v>
      </c>
      <c r="E21" s="1">
        <f>($E$5/$E$4)*((($I$7-$I$4)*($I$8-$I$4)/(($I$5-$I$4)*($I$6-$I$4)))*EXP(-$I$4*C21)+(($I$7-$I$5)*($I$8-$I$5)/(($I$4-$I$5)*($I$6-$I$5)))*EXP(-$I$5*C21)+(($I$7-$I$6)*($I$8-$I$6)/(($I$4-$I$6)*($I$5-$I$6)))*EXP(-$I$6*C21))</f>
        <v>3.6919601790724808</v>
      </c>
      <c r="F21" s="1">
        <f t="shared" si="1"/>
        <v>1.33500106673234</v>
      </c>
      <c r="G21" s="1">
        <f>IF(ISERR(LN(E21)),"",LN(E21))</f>
        <v>1.3061575308490918</v>
      </c>
    </row>
    <row r="22" spans="1:7">
      <c r="A22" s="6">
        <f t="shared" si="2"/>
        <v>1.2916666666666667</v>
      </c>
      <c r="B22" s="1">
        <v>1440</v>
      </c>
      <c r="C22" s="12">
        <f t="shared" si="0"/>
        <v>24</v>
      </c>
      <c r="D22" s="13">
        <v>2.9</v>
      </c>
      <c r="E22" s="1">
        <f>($E$5/$E$4)*((($I$7-$I$4)*($I$8-$I$4)/(($I$5-$I$4)*($I$6-$I$4)))*EXP(-$I$4*C22)+(($I$7-$I$5)*($I$8-$I$5)/(($I$4-$I$5)*($I$6-$I$5)))*EXP(-$I$5*C22)+(($I$7-$I$6)*($I$8-$I$6)/(($I$4-$I$6)*($I$5-$I$6)))*EXP(-$I$6*C22))</f>
        <v>3.17596912153537</v>
      </c>
      <c r="F22" s="1">
        <f t="shared" si="1"/>
        <v>1.0647107369924282</v>
      </c>
      <c r="G22" s="1">
        <f>IF(ISERR(LN(E22)),"",LN(E22))</f>
        <v>1.1556128208991405</v>
      </c>
    </row>
    <row r="23" spans="1:7">
      <c r="A23" s="6">
        <f t="shared" si="2"/>
        <v>1.2916666666666667</v>
      </c>
      <c r="B23" s="1">
        <v>2880</v>
      </c>
      <c r="C23" s="12">
        <f t="shared" si="0"/>
        <v>48</v>
      </c>
      <c r="D23" s="13">
        <v>2.2000000000000002</v>
      </c>
      <c r="E23" s="1">
        <f>($E$5/$E$4)*((($I$7-$I$4)*($I$8-$I$4)/(($I$5-$I$4)*($I$6-$I$4)))*EXP(-$I$4*C23)+(($I$7-$I$5)*($I$8-$I$5)/(($I$4-$I$5)*($I$6-$I$5)))*EXP(-$I$5*C23)+(($I$7-$I$6)*($I$8-$I$6)/(($I$4-$I$6)*($I$5-$I$6)))*EXP(-$I$6*C23))</f>
        <v>2.4698450231406119</v>
      </c>
      <c r="F23" s="1">
        <f t="shared" si="1"/>
        <v>0.78845736036427028</v>
      </c>
      <c r="G23" s="1">
        <f>IF(ISERR(LN(E23)),"",LN(E23))</f>
        <v>0.9041554050036511</v>
      </c>
    </row>
    <row r="24" spans="1:7" ht="15.75" thickBot="1">
      <c r="A24" s="6">
        <f t="shared" si="2"/>
        <v>1.2916666666666667</v>
      </c>
      <c r="B24" s="1">
        <v>4320</v>
      </c>
      <c r="C24" s="14">
        <f t="shared" si="0"/>
        <v>72</v>
      </c>
      <c r="D24" s="15">
        <v>2</v>
      </c>
      <c r="E24" s="1">
        <f>($E$5/$E$4)*((($I$7-$I$4)*($I$8-$I$4)/(($I$5-$I$4)*($I$6-$I$4)))*EXP(-$I$4*C24)+(($I$7-$I$5)*($I$8-$I$5)/(($I$4-$I$5)*($I$6-$I$5)))*EXP(-$I$5*C24)+(($I$7-$I$6)*($I$8-$I$6)/(($I$4-$I$6)*($I$5-$I$6)))*EXP(-$I$6*C24))</f>
        <v>1.9424703827426202</v>
      </c>
      <c r="F24" s="1">
        <f t="shared" si="1"/>
        <v>0.69314718055994529</v>
      </c>
      <c r="G24" s="1">
        <f>IF(ISERR(LN(E24)),"",LN(E24))</f>
        <v>0.663960556164083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3COMPFIT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2023-10-24T14:36:09Z</dcterms:created>
  <dcterms:modified xsi:type="dcterms:W3CDTF">2023-10-25T23:54:09Z</dcterms:modified>
</cp:coreProperties>
</file>