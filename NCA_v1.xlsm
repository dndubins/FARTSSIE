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ndub\Downloads\"/>
    </mc:Choice>
  </mc:AlternateContent>
  <xr:revisionPtr revIDLastSave="0" documentId="13_ncr:1_{949792F6-4B72-42DC-BCE4-E3FB69F9916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21" r:id="rId1"/>
    <sheet name="Randomization" sheetId="4" r:id="rId2"/>
    <sheet name="Time Check" sheetId="14" state="hidden" r:id="rId3"/>
    <sheet name="Data" sheetId="1" r:id="rId4"/>
    <sheet name="Deviations" sheetId="17" r:id="rId5"/>
    <sheet name="Analysis" sheetId="2" r:id="rId6"/>
    <sheet name="Results" sheetId="7" r:id="rId7"/>
    <sheet name="Subject Graphs" sheetId="2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4" i="20" l="1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8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3" i="2"/>
  <c r="A1001" i="17" l="1"/>
  <c r="A1002" i="17"/>
  <c r="A1003" i="17"/>
  <c r="A1004" i="17"/>
  <c r="A1005" i="17"/>
  <c r="A1006" i="17"/>
  <c r="A1007" i="17"/>
  <c r="A1008" i="17"/>
  <c r="A1009" i="17"/>
  <c r="A1010" i="17"/>
  <c r="A1011" i="17"/>
  <c r="A1012" i="17"/>
  <c r="A1013" i="17"/>
  <c r="A1014" i="17"/>
  <c r="A1015" i="17"/>
  <c r="A1016" i="17"/>
  <c r="A1017" i="17"/>
  <c r="A1018" i="17"/>
  <c r="A1019" i="17"/>
  <c r="A1020" i="17"/>
  <c r="A1021" i="17"/>
  <c r="A1022" i="17"/>
  <c r="A1023" i="17"/>
  <c r="A1024" i="17"/>
  <c r="A1025" i="17"/>
  <c r="A1026" i="17"/>
  <c r="A1027" i="17"/>
  <c r="A1028" i="17"/>
  <c r="A1029" i="17"/>
  <c r="A1030" i="17"/>
  <c r="A1031" i="17"/>
  <c r="A1032" i="17"/>
  <c r="A1033" i="17"/>
  <c r="A1034" i="17"/>
  <c r="A1035" i="17"/>
  <c r="A1036" i="17"/>
  <c r="A1037" i="17"/>
  <c r="A1038" i="17"/>
  <c r="A1039" i="17"/>
  <c r="A1040" i="17"/>
  <c r="A1041" i="17"/>
  <c r="A1042" i="17"/>
  <c r="A1043" i="17"/>
  <c r="A1044" i="17"/>
  <c r="A1045" i="17"/>
  <c r="A1046" i="17"/>
  <c r="A1047" i="17"/>
  <c r="A1048" i="17"/>
  <c r="A1049" i="17"/>
  <c r="A1050" i="17"/>
  <c r="A1051" i="17"/>
  <c r="A1052" i="17"/>
  <c r="A1053" i="17"/>
  <c r="A1054" i="17"/>
  <c r="A1055" i="17"/>
  <c r="A1056" i="17"/>
  <c r="A1057" i="17"/>
  <c r="A1058" i="17"/>
  <c r="A1059" i="17"/>
  <c r="A1060" i="17"/>
  <c r="A1061" i="17"/>
  <c r="A1062" i="17"/>
  <c r="A1063" i="17"/>
  <c r="A1064" i="17"/>
  <c r="A1065" i="17"/>
  <c r="A1066" i="17"/>
  <c r="A1067" i="17"/>
  <c r="A1068" i="17"/>
  <c r="A1069" i="17"/>
  <c r="A1070" i="17"/>
  <c r="A1071" i="17"/>
  <c r="A1072" i="17"/>
  <c r="A1073" i="17"/>
  <c r="A1074" i="17"/>
  <c r="A1075" i="17"/>
  <c r="A1076" i="17"/>
  <c r="A1077" i="17"/>
  <c r="A1078" i="17"/>
  <c r="A1079" i="17"/>
  <c r="A1080" i="17"/>
  <c r="A1081" i="17"/>
  <c r="A1082" i="17"/>
  <c r="A1083" i="17"/>
  <c r="A1084" i="17"/>
  <c r="A1085" i="17"/>
  <c r="A1086" i="17"/>
  <c r="A1087" i="17"/>
  <c r="A1088" i="17"/>
  <c r="A1089" i="17"/>
  <c r="A1090" i="17"/>
  <c r="A1091" i="17"/>
  <c r="A1092" i="17"/>
  <c r="A1093" i="17"/>
  <c r="A1094" i="17"/>
  <c r="A1095" i="17"/>
  <c r="A1096" i="17"/>
  <c r="A1097" i="17"/>
  <c r="A1098" i="17"/>
  <c r="A1099" i="17"/>
  <c r="A1100" i="17"/>
  <c r="A1101" i="17"/>
  <c r="A1102" i="17"/>
  <c r="A1103" i="17"/>
  <c r="A1104" i="17"/>
  <c r="A1105" i="17"/>
  <c r="A1106" i="17"/>
  <c r="A1107" i="17"/>
  <c r="A1108" i="17"/>
  <c r="A1109" i="17"/>
  <c r="A1110" i="17"/>
  <c r="A1111" i="17"/>
  <c r="A1112" i="17"/>
  <c r="A1113" i="17"/>
  <c r="A1114" i="17"/>
  <c r="A1115" i="17"/>
  <c r="A1116" i="17"/>
  <c r="A1117" i="17"/>
  <c r="A1118" i="17"/>
  <c r="A1119" i="17"/>
  <c r="A1120" i="17"/>
  <c r="A1121" i="17"/>
  <c r="A1122" i="17"/>
  <c r="A1123" i="17"/>
  <c r="A1124" i="17"/>
  <c r="A1125" i="17"/>
  <c r="A1126" i="17"/>
  <c r="A1127" i="17"/>
  <c r="A1128" i="17"/>
  <c r="A1129" i="17"/>
  <c r="A1130" i="17"/>
  <c r="A1131" i="17"/>
  <c r="A1132" i="17"/>
  <c r="A1133" i="17"/>
  <c r="A1134" i="17"/>
  <c r="A1135" i="17"/>
  <c r="A1136" i="17"/>
  <c r="A1137" i="17"/>
  <c r="A1138" i="17"/>
  <c r="A1139" i="17"/>
  <c r="A1140" i="17"/>
  <c r="A1141" i="17"/>
  <c r="A1142" i="17"/>
  <c r="A1143" i="17"/>
  <c r="A1144" i="17"/>
  <c r="A1145" i="17"/>
  <c r="A1146" i="17"/>
  <c r="A1147" i="17"/>
  <c r="A1148" i="17"/>
  <c r="A1149" i="17"/>
  <c r="A1150" i="17"/>
  <c r="A1151" i="17"/>
  <c r="A1152" i="17"/>
  <c r="A1153" i="17"/>
  <c r="A1154" i="17"/>
  <c r="A1155" i="17"/>
  <c r="A1156" i="17"/>
  <c r="A1157" i="17"/>
  <c r="A1158" i="17"/>
  <c r="A1159" i="17"/>
  <c r="A1160" i="17"/>
  <c r="A1161" i="17"/>
  <c r="A1162" i="17"/>
  <c r="A1163" i="17"/>
  <c r="A1164" i="17"/>
  <c r="A1165" i="17"/>
  <c r="A1166" i="17"/>
  <c r="A1167" i="17"/>
  <c r="A1168" i="17"/>
  <c r="A1169" i="17"/>
  <c r="A1170" i="17"/>
  <c r="A1171" i="17"/>
  <c r="A1172" i="17"/>
  <c r="A1173" i="17"/>
  <c r="A1174" i="17"/>
  <c r="A1175" i="17"/>
  <c r="A1176" i="17"/>
  <c r="A1177" i="17"/>
  <c r="A1178" i="17"/>
  <c r="A1179" i="17"/>
  <c r="A1180" i="17"/>
  <c r="A1181" i="17"/>
  <c r="A1182" i="17"/>
  <c r="A1183" i="17"/>
  <c r="A1184" i="17"/>
  <c r="A1185" i="17"/>
  <c r="A1186" i="17"/>
  <c r="A1187" i="17"/>
  <c r="A1188" i="17"/>
  <c r="A1189" i="17"/>
  <c r="A1190" i="17"/>
  <c r="A1191" i="17"/>
  <c r="A1192" i="17"/>
  <c r="A1193" i="17"/>
  <c r="A1194" i="17"/>
  <c r="A1195" i="17"/>
  <c r="A1196" i="17"/>
  <c r="A1197" i="17"/>
  <c r="A1198" i="17"/>
  <c r="A1199" i="17"/>
  <c r="A1200" i="17"/>
  <c r="A1201" i="17"/>
  <c r="A1202" i="17"/>
  <c r="A1203" i="17"/>
  <c r="A1204" i="17"/>
  <c r="A1205" i="17"/>
  <c r="A1206" i="17"/>
  <c r="A1207" i="17"/>
  <c r="A1208" i="17"/>
  <c r="A1209" i="17"/>
  <c r="A1210" i="17"/>
  <c r="A1211" i="17"/>
  <c r="A1212" i="17"/>
  <c r="A1213" i="17"/>
  <c r="A1214" i="17"/>
  <c r="A1215" i="17"/>
  <c r="A1216" i="17"/>
  <c r="A1217" i="17"/>
  <c r="A1218" i="17"/>
  <c r="A1219" i="17"/>
  <c r="A1220" i="17"/>
  <c r="A1221" i="17"/>
  <c r="A1222" i="17"/>
  <c r="A1223" i="17"/>
  <c r="A1224" i="17"/>
  <c r="A1225" i="17"/>
  <c r="A1226" i="17"/>
  <c r="A1227" i="17"/>
  <c r="A1228" i="17"/>
  <c r="A1229" i="17"/>
  <c r="A1230" i="17"/>
  <c r="A1231" i="17"/>
  <c r="A1232" i="17"/>
  <c r="A1233" i="17"/>
  <c r="A1234" i="17"/>
  <c r="A1235" i="17"/>
  <c r="A1236" i="17"/>
  <c r="A1237" i="17"/>
  <c r="A1238" i="17"/>
  <c r="A1239" i="17"/>
  <c r="A1240" i="17"/>
  <c r="A1241" i="17"/>
  <c r="A1242" i="17"/>
  <c r="A1243" i="17"/>
  <c r="A1244" i="17"/>
  <c r="A1245" i="17"/>
  <c r="A1246" i="17"/>
  <c r="A1247" i="17"/>
  <c r="A1248" i="17"/>
  <c r="A1249" i="17"/>
  <c r="A1250" i="17"/>
  <c r="A1251" i="17"/>
  <c r="A1252" i="17"/>
  <c r="A1253" i="17"/>
  <c r="A1254" i="17"/>
  <c r="A1255" i="17"/>
  <c r="A1256" i="17"/>
  <c r="A1257" i="17"/>
  <c r="A1258" i="17"/>
  <c r="A1259" i="17"/>
  <c r="A1260" i="17"/>
  <c r="A1261" i="17"/>
  <c r="A1262" i="17"/>
  <c r="A1263" i="17"/>
  <c r="A1264" i="17"/>
  <c r="A1265" i="17"/>
  <c r="A1266" i="17"/>
  <c r="A1267" i="17"/>
  <c r="A1268" i="17"/>
  <c r="A1269" i="17"/>
  <c r="A1270" i="17"/>
  <c r="A1271" i="17"/>
  <c r="A1272" i="17"/>
  <c r="A1273" i="17"/>
  <c r="A1274" i="17"/>
  <c r="A1275" i="17"/>
  <c r="A1276" i="17"/>
  <c r="A1277" i="17"/>
  <c r="A1278" i="17"/>
  <c r="A1279" i="17"/>
  <c r="A1280" i="17"/>
  <c r="A1281" i="17"/>
  <c r="A1282" i="17"/>
  <c r="A1283" i="17"/>
  <c r="A1284" i="17"/>
  <c r="A1285" i="17"/>
  <c r="A1286" i="17"/>
  <c r="A1287" i="17"/>
  <c r="A1288" i="17"/>
  <c r="A1289" i="17"/>
  <c r="A1290" i="17"/>
  <c r="A1291" i="17"/>
  <c r="A1292" i="17"/>
  <c r="A1293" i="17"/>
  <c r="A1294" i="17"/>
  <c r="A1295" i="17"/>
  <c r="A1296" i="17"/>
  <c r="A1297" i="17"/>
  <c r="A1298" i="17"/>
  <c r="A1299" i="17"/>
  <c r="A1300" i="17"/>
  <c r="A1301" i="17"/>
  <c r="A1302" i="17"/>
  <c r="A1303" i="17"/>
  <c r="A1304" i="17"/>
  <c r="A1305" i="17"/>
  <c r="A1306" i="17"/>
  <c r="A1307" i="17"/>
  <c r="A1308" i="17"/>
  <c r="A1309" i="17"/>
  <c r="A1310" i="17"/>
  <c r="A1311" i="17"/>
  <c r="A1312" i="17"/>
  <c r="A1313" i="17"/>
  <c r="A1314" i="17"/>
  <c r="A1315" i="17"/>
  <c r="A1316" i="17"/>
  <c r="A1317" i="17"/>
  <c r="A1318" i="17"/>
  <c r="A1319" i="17"/>
  <c r="A1320" i="17"/>
  <c r="A1321" i="17"/>
  <c r="A1322" i="17"/>
  <c r="A1323" i="17"/>
  <c r="A1324" i="17"/>
  <c r="A1325" i="17"/>
  <c r="A1326" i="17"/>
  <c r="A1327" i="17"/>
  <c r="A1328" i="17"/>
  <c r="A1329" i="17"/>
  <c r="A1330" i="17"/>
  <c r="A1331" i="17"/>
  <c r="A1332" i="17"/>
  <c r="A1333" i="17"/>
  <c r="A1334" i="17"/>
  <c r="A1335" i="17"/>
  <c r="A1336" i="17"/>
  <c r="A1337" i="17"/>
  <c r="A1338" i="17"/>
  <c r="A1339" i="17"/>
  <c r="A1340" i="17"/>
  <c r="A1341" i="17"/>
  <c r="A1342" i="17"/>
  <c r="A1343" i="17"/>
  <c r="A1344" i="17"/>
  <c r="A1345" i="17"/>
  <c r="A1346" i="17"/>
  <c r="A1347" i="17"/>
  <c r="A1348" i="17"/>
  <c r="A1349" i="17"/>
  <c r="A1350" i="17"/>
  <c r="A1351" i="17"/>
  <c r="A1352" i="17"/>
  <c r="A1353" i="17"/>
  <c r="A1354" i="17"/>
  <c r="A1355" i="17"/>
  <c r="A1356" i="17"/>
  <c r="A1357" i="17"/>
  <c r="A1358" i="17"/>
  <c r="A1359" i="17"/>
  <c r="A1360" i="17"/>
  <c r="A1361" i="17"/>
  <c r="A1362" i="17"/>
  <c r="A1363" i="17"/>
  <c r="A1364" i="17"/>
  <c r="A1365" i="17"/>
  <c r="A1366" i="17"/>
  <c r="A1367" i="17"/>
  <c r="A1368" i="17"/>
  <c r="A1369" i="17"/>
  <c r="A1370" i="17"/>
  <c r="A1371" i="17"/>
  <c r="A1372" i="17"/>
  <c r="A1373" i="17"/>
  <c r="A1374" i="17"/>
  <c r="A1375" i="17"/>
  <c r="A1376" i="17"/>
  <c r="A1377" i="17"/>
  <c r="A1378" i="17"/>
  <c r="A1379" i="17"/>
  <c r="A1380" i="17"/>
  <c r="A1381" i="17"/>
  <c r="A1382" i="17"/>
  <c r="A1383" i="17"/>
  <c r="A1384" i="17"/>
  <c r="A1385" i="17"/>
  <c r="A1386" i="17"/>
  <c r="A1387" i="17"/>
  <c r="A1388" i="17"/>
  <c r="A1389" i="17"/>
  <c r="A1390" i="17"/>
  <c r="A1391" i="17"/>
  <c r="A1392" i="17"/>
  <c r="A1393" i="17"/>
  <c r="A1394" i="17"/>
  <c r="A1395" i="17"/>
  <c r="A1396" i="17"/>
  <c r="A1397" i="17"/>
  <c r="A1398" i="17"/>
  <c r="A1399" i="17"/>
  <c r="A1400" i="17"/>
  <c r="A1401" i="17"/>
  <c r="A1402" i="17"/>
  <c r="A1403" i="17"/>
  <c r="A1404" i="17"/>
  <c r="A1405" i="17"/>
  <c r="A1406" i="17"/>
  <c r="A1407" i="17"/>
  <c r="A1408" i="17"/>
  <c r="A1409" i="17"/>
  <c r="A1410" i="17"/>
  <c r="A1411" i="17"/>
  <c r="A1412" i="17"/>
  <c r="A1413" i="17"/>
  <c r="A1414" i="17"/>
  <c r="A1415" i="17"/>
  <c r="A1416" i="17"/>
  <c r="A1417" i="17"/>
  <c r="A1418" i="17"/>
  <c r="A1419" i="17"/>
  <c r="A1420" i="17"/>
  <c r="A1421" i="17"/>
  <c r="A1422" i="17"/>
  <c r="A1423" i="17"/>
  <c r="A1424" i="17"/>
  <c r="A1425" i="17"/>
  <c r="A1426" i="17"/>
  <c r="A1427" i="17"/>
  <c r="A1428" i="17"/>
  <c r="A1429" i="17"/>
  <c r="A1430" i="17"/>
  <c r="A1431" i="17"/>
  <c r="A1432" i="17"/>
  <c r="A1433" i="17"/>
  <c r="A1434" i="17"/>
  <c r="A1435" i="17"/>
  <c r="A1436" i="17"/>
  <c r="A1437" i="17"/>
  <c r="A1438" i="17"/>
  <c r="A1439" i="17"/>
  <c r="A1440" i="17"/>
  <c r="A1441" i="17"/>
  <c r="A1442" i="17"/>
  <c r="A1443" i="17"/>
  <c r="A1444" i="17"/>
  <c r="A1445" i="17"/>
  <c r="A1446" i="17"/>
  <c r="A1447" i="17"/>
  <c r="A1448" i="17"/>
  <c r="A1449" i="17"/>
  <c r="A1450" i="17"/>
  <c r="A1451" i="17"/>
  <c r="A1452" i="17"/>
  <c r="A1453" i="17"/>
  <c r="A1454" i="17"/>
  <c r="A1455" i="17"/>
  <c r="A1456" i="17"/>
  <c r="A1457" i="17"/>
  <c r="A1458" i="17"/>
  <c r="A1459" i="17"/>
  <c r="A1460" i="17"/>
  <c r="A1461" i="17"/>
  <c r="A1462" i="17"/>
  <c r="A1463" i="17"/>
  <c r="A1464" i="17"/>
  <c r="A1465" i="17"/>
  <c r="A1466" i="17"/>
  <c r="A1467" i="17"/>
  <c r="A1468" i="17"/>
  <c r="A1469" i="17"/>
  <c r="A1470" i="17"/>
  <c r="A1471" i="17"/>
  <c r="A1472" i="17"/>
  <c r="A1473" i="17"/>
  <c r="A1474" i="17"/>
  <c r="A1475" i="17"/>
  <c r="A1476" i="17"/>
  <c r="A1477" i="17"/>
  <c r="A1478" i="17"/>
  <c r="A1479" i="17"/>
  <c r="A1480" i="17"/>
  <c r="A1481" i="17"/>
  <c r="A1482" i="17"/>
  <c r="A1483" i="17"/>
  <c r="A1484" i="17"/>
  <c r="A1485" i="17"/>
  <c r="A1486" i="17"/>
  <c r="A1487" i="17"/>
  <c r="A1488" i="17"/>
  <c r="A1489" i="17"/>
  <c r="A1490" i="17"/>
  <c r="A1491" i="17"/>
  <c r="A1492" i="17"/>
  <c r="A1493" i="17"/>
  <c r="A1494" i="17"/>
  <c r="A1495" i="17"/>
  <c r="A1496" i="17"/>
  <c r="A1497" i="17"/>
  <c r="A1498" i="17"/>
  <c r="A1499" i="17"/>
  <c r="A1500" i="17"/>
  <c r="A1501" i="17"/>
  <c r="A1502" i="17"/>
  <c r="A1503" i="17"/>
  <c r="A1504" i="17"/>
  <c r="A1505" i="17"/>
  <c r="A1506" i="17"/>
  <c r="A1507" i="17"/>
  <c r="A1508" i="17"/>
  <c r="A1509" i="17"/>
  <c r="A1510" i="17"/>
  <c r="A1511" i="17"/>
  <c r="A1512" i="17"/>
  <c r="A1513" i="17"/>
  <c r="A1514" i="17"/>
  <c r="A1515" i="17"/>
  <c r="A1516" i="17"/>
  <c r="A1517" i="17"/>
  <c r="A1518" i="17"/>
  <c r="A1519" i="17"/>
  <c r="A1520" i="17"/>
  <c r="A1521" i="17"/>
  <c r="A1522" i="17"/>
  <c r="A1523" i="17"/>
  <c r="A1524" i="17"/>
  <c r="A1525" i="17"/>
  <c r="A1526" i="17"/>
  <c r="A1527" i="17"/>
  <c r="A1528" i="17"/>
  <c r="A1529" i="17"/>
  <c r="A1530" i="17"/>
  <c r="A1531" i="17"/>
  <c r="A1532" i="17"/>
  <c r="A1533" i="17"/>
  <c r="A1534" i="17"/>
  <c r="A1535" i="17"/>
  <c r="A1536" i="17"/>
  <c r="A1537" i="17"/>
  <c r="A1538" i="17"/>
  <c r="A1539" i="17"/>
  <c r="A1540" i="17"/>
  <c r="A1541" i="17"/>
  <c r="A1542" i="17"/>
  <c r="A1543" i="17"/>
  <c r="A1544" i="17"/>
  <c r="A1545" i="17"/>
  <c r="A1546" i="17"/>
  <c r="A1547" i="17"/>
  <c r="A1548" i="17"/>
  <c r="A1549" i="17"/>
  <c r="A1550" i="17"/>
  <c r="A1551" i="17"/>
  <c r="A1552" i="17"/>
  <c r="A1553" i="17"/>
  <c r="A1554" i="17"/>
  <c r="A1555" i="17"/>
  <c r="A1556" i="17"/>
  <c r="A1557" i="17"/>
  <c r="A1558" i="17"/>
  <c r="A1559" i="17"/>
  <c r="A1560" i="17"/>
  <c r="A1561" i="17"/>
  <c r="A1562" i="17"/>
  <c r="A1563" i="17"/>
  <c r="A1564" i="17"/>
  <c r="A1565" i="17"/>
  <c r="A1566" i="17"/>
  <c r="A1567" i="17"/>
  <c r="A1568" i="17"/>
  <c r="A1569" i="17"/>
  <c r="A1570" i="17"/>
  <c r="A1571" i="17"/>
  <c r="A1572" i="17"/>
  <c r="A1573" i="17"/>
  <c r="A1574" i="17"/>
  <c r="A1575" i="17"/>
  <c r="A1576" i="17"/>
  <c r="A1577" i="17"/>
  <c r="A1578" i="17"/>
  <c r="A1579" i="17"/>
  <c r="A1580" i="17"/>
  <c r="A1581" i="17"/>
  <c r="A1582" i="17"/>
  <c r="A1583" i="17"/>
  <c r="A1584" i="17"/>
  <c r="A1585" i="17"/>
  <c r="A1586" i="17"/>
  <c r="A1587" i="17"/>
  <c r="A1588" i="17"/>
  <c r="A1589" i="17"/>
  <c r="A1590" i="17"/>
  <c r="A1591" i="17"/>
  <c r="A1592" i="17"/>
  <c r="A1593" i="17"/>
  <c r="A1594" i="17"/>
  <c r="A1595" i="17"/>
  <c r="A1596" i="17"/>
  <c r="A1597" i="17"/>
  <c r="A1598" i="17"/>
  <c r="A1599" i="17"/>
  <c r="A1600" i="17"/>
  <c r="A1601" i="17"/>
  <c r="A1602" i="17"/>
  <c r="A1603" i="17"/>
  <c r="A1604" i="17"/>
  <c r="A1605" i="17"/>
  <c r="A1606" i="17"/>
  <c r="A1607" i="17"/>
  <c r="A1608" i="17"/>
  <c r="A1609" i="17"/>
  <c r="A1610" i="17"/>
  <c r="A1611" i="17"/>
  <c r="A1612" i="17"/>
  <c r="A1613" i="17"/>
  <c r="A1614" i="17"/>
  <c r="A1615" i="17"/>
  <c r="A1616" i="17"/>
  <c r="A1617" i="17"/>
  <c r="A1618" i="17"/>
  <c r="A1619" i="17"/>
  <c r="A1620" i="17"/>
  <c r="A1621" i="17"/>
  <c r="A1622" i="17"/>
  <c r="A1623" i="17"/>
  <c r="A1624" i="17"/>
  <c r="A1625" i="17"/>
  <c r="A1626" i="17"/>
  <c r="A1627" i="17"/>
  <c r="A1628" i="17"/>
  <c r="A1629" i="17"/>
  <c r="A1630" i="17"/>
  <c r="A1631" i="17"/>
  <c r="A1632" i="17"/>
  <c r="A1633" i="17"/>
  <c r="A1634" i="17"/>
  <c r="A1635" i="17"/>
  <c r="A1636" i="17"/>
  <c r="A1637" i="17"/>
  <c r="A1638" i="17"/>
  <c r="A1639" i="17"/>
  <c r="A1640" i="17"/>
  <c r="A1641" i="17"/>
  <c r="A1642" i="17"/>
  <c r="A1643" i="17"/>
  <c r="A1644" i="17"/>
  <c r="A1645" i="17"/>
  <c r="A1646" i="17"/>
  <c r="A1647" i="17"/>
  <c r="A1648" i="17"/>
  <c r="A1649" i="17"/>
  <c r="A1650" i="17"/>
  <c r="A1651" i="17"/>
  <c r="A1652" i="17"/>
  <c r="A1653" i="17"/>
  <c r="A1654" i="17"/>
  <c r="A1655" i="17"/>
  <c r="A1656" i="17"/>
  <c r="A1657" i="17"/>
  <c r="A1658" i="17"/>
  <c r="A1659" i="17"/>
  <c r="A1660" i="17"/>
  <c r="A1661" i="17"/>
  <c r="A1662" i="17"/>
  <c r="A1663" i="17"/>
  <c r="A1664" i="17"/>
  <c r="A1665" i="17"/>
  <c r="A1666" i="17"/>
  <c r="A1667" i="17"/>
  <c r="A1668" i="17"/>
  <c r="A1669" i="17"/>
  <c r="A1670" i="17"/>
  <c r="A1671" i="17"/>
  <c r="A1672" i="17"/>
  <c r="A1673" i="17"/>
  <c r="A1674" i="17"/>
  <c r="A1675" i="17"/>
  <c r="A1676" i="17"/>
  <c r="A1677" i="17"/>
  <c r="A1678" i="17"/>
  <c r="A1679" i="17"/>
  <c r="A1680" i="17"/>
  <c r="A1681" i="17"/>
  <c r="A1682" i="17"/>
  <c r="A1683" i="17"/>
  <c r="A1684" i="17"/>
  <c r="A1685" i="17"/>
  <c r="A1686" i="17"/>
  <c r="A1687" i="17"/>
  <c r="A1688" i="17"/>
  <c r="A1689" i="17"/>
  <c r="A1690" i="17"/>
  <c r="A1691" i="17"/>
  <c r="A1692" i="17"/>
  <c r="A1693" i="17"/>
  <c r="A1694" i="17"/>
  <c r="A1695" i="17"/>
  <c r="A1696" i="17"/>
  <c r="A1697" i="17"/>
  <c r="A1698" i="17"/>
  <c r="A1699" i="17"/>
  <c r="A1700" i="17"/>
  <c r="A1701" i="17"/>
  <c r="A1702" i="17"/>
  <c r="A1703" i="17"/>
  <c r="A1704" i="17"/>
  <c r="A1705" i="17"/>
  <c r="A1706" i="17"/>
  <c r="A1707" i="17"/>
  <c r="A1708" i="17"/>
  <c r="A1709" i="17"/>
  <c r="A1710" i="17"/>
  <c r="A1711" i="17"/>
  <c r="A1712" i="17"/>
  <c r="A1713" i="17"/>
  <c r="A1714" i="17"/>
  <c r="A1715" i="17"/>
  <c r="A1716" i="17"/>
  <c r="A1717" i="17"/>
  <c r="A1718" i="17"/>
  <c r="A1719" i="17"/>
  <c r="A1720" i="17"/>
  <c r="A1721" i="17"/>
  <c r="A1722" i="17"/>
  <c r="A1723" i="17"/>
  <c r="A1724" i="17"/>
  <c r="A1725" i="17"/>
  <c r="A1726" i="17"/>
  <c r="A1727" i="17"/>
  <c r="A1728" i="17"/>
  <c r="A1729" i="17"/>
  <c r="A1730" i="17"/>
  <c r="A1731" i="17"/>
  <c r="A1732" i="17"/>
  <c r="A1733" i="17"/>
  <c r="A1734" i="17"/>
  <c r="A1735" i="17"/>
  <c r="A1736" i="17"/>
  <c r="A1737" i="17"/>
  <c r="A1738" i="17"/>
  <c r="A1739" i="17"/>
  <c r="A1740" i="17"/>
  <c r="A1741" i="17"/>
  <c r="A1742" i="17"/>
  <c r="A1743" i="17"/>
  <c r="A1744" i="17"/>
  <c r="A1745" i="17"/>
  <c r="A1746" i="17"/>
  <c r="A1747" i="17"/>
  <c r="A1748" i="17"/>
  <c r="A1749" i="17"/>
  <c r="A1750" i="17"/>
  <c r="A1751" i="17"/>
  <c r="A1752" i="17"/>
  <c r="A1753" i="17"/>
  <c r="A1754" i="17"/>
  <c r="A1755" i="17"/>
  <c r="A1756" i="17"/>
  <c r="A1757" i="17"/>
  <c r="A1758" i="17"/>
  <c r="A1759" i="17"/>
  <c r="A1760" i="17"/>
  <c r="A1761" i="17"/>
  <c r="A1762" i="17"/>
  <c r="A1763" i="17"/>
  <c r="A1764" i="17"/>
  <c r="A1765" i="17"/>
  <c r="A1766" i="17"/>
  <c r="A1767" i="17"/>
  <c r="A1768" i="17"/>
  <c r="A1769" i="17"/>
  <c r="A1770" i="17"/>
  <c r="A1771" i="17"/>
  <c r="A1772" i="17"/>
  <c r="A1773" i="17"/>
  <c r="A1774" i="17"/>
  <c r="A1775" i="17"/>
  <c r="A1776" i="17"/>
  <c r="A1777" i="17"/>
  <c r="A1778" i="17"/>
  <c r="A1779" i="17"/>
  <c r="A1780" i="17"/>
  <c r="A1781" i="17"/>
  <c r="A1782" i="17"/>
  <c r="A1783" i="17"/>
  <c r="A1784" i="17"/>
  <c r="A1785" i="17"/>
  <c r="A1786" i="17"/>
  <c r="A1787" i="17"/>
  <c r="A1788" i="17"/>
  <c r="A1789" i="17"/>
  <c r="A1790" i="17"/>
  <c r="A1791" i="17"/>
  <c r="A1792" i="17"/>
  <c r="A1793" i="17"/>
  <c r="A1794" i="17"/>
  <c r="A1795" i="17"/>
  <c r="A1796" i="17"/>
  <c r="A1797" i="17"/>
  <c r="A1798" i="17"/>
  <c r="A1799" i="17"/>
  <c r="A1800" i="17"/>
  <c r="A1801" i="17"/>
  <c r="A1802" i="17"/>
  <c r="A1803" i="17"/>
  <c r="A1804" i="17"/>
  <c r="A1805" i="17"/>
  <c r="A1806" i="17"/>
  <c r="A1807" i="17"/>
  <c r="A1808" i="17"/>
  <c r="A1809" i="17"/>
  <c r="A1810" i="17"/>
  <c r="A1811" i="17"/>
  <c r="A1812" i="17"/>
  <c r="A1813" i="17"/>
  <c r="A1814" i="17"/>
  <c r="A1815" i="17"/>
  <c r="A1816" i="17"/>
  <c r="A1817" i="17"/>
  <c r="A1818" i="17"/>
  <c r="A1819" i="17"/>
  <c r="A1820" i="17"/>
  <c r="A1821" i="17"/>
  <c r="A1822" i="17"/>
  <c r="A1823" i="17"/>
  <c r="A1824" i="17"/>
  <c r="A1825" i="17"/>
  <c r="A1826" i="17"/>
  <c r="A1827" i="17"/>
  <c r="A1828" i="17"/>
  <c r="A1829" i="17"/>
  <c r="A1830" i="17"/>
  <c r="A1831" i="17"/>
  <c r="A1832" i="17"/>
  <c r="A1833" i="17"/>
  <c r="A1834" i="17"/>
  <c r="A1835" i="17"/>
  <c r="A1836" i="17"/>
  <c r="A1837" i="17"/>
  <c r="A1838" i="17"/>
  <c r="A1839" i="17"/>
  <c r="A1840" i="17"/>
  <c r="A1841" i="17"/>
  <c r="A1842" i="17"/>
  <c r="A1843" i="17"/>
  <c r="A1844" i="17"/>
  <c r="A1845" i="17"/>
  <c r="A1846" i="17"/>
  <c r="A1847" i="17"/>
  <c r="A1848" i="17"/>
  <c r="A1849" i="17"/>
  <c r="A1850" i="17"/>
  <c r="A1851" i="17"/>
  <c r="A1852" i="17"/>
  <c r="A1853" i="17"/>
  <c r="A1854" i="17"/>
  <c r="A1855" i="17"/>
  <c r="A1856" i="17"/>
  <c r="A1857" i="17"/>
  <c r="A1858" i="17"/>
  <c r="A1859" i="17"/>
  <c r="A1860" i="17"/>
  <c r="A1861" i="17"/>
  <c r="A1862" i="17"/>
  <c r="A1863" i="17"/>
  <c r="A1864" i="17"/>
  <c r="A1865" i="17"/>
  <c r="A1866" i="17"/>
  <c r="A1867" i="17"/>
  <c r="A1868" i="17"/>
  <c r="A1869" i="17"/>
  <c r="A1870" i="17"/>
  <c r="A1871" i="17"/>
  <c r="A1872" i="17"/>
  <c r="A1873" i="17"/>
  <c r="A1874" i="17"/>
  <c r="A1875" i="17"/>
  <c r="A1876" i="17"/>
  <c r="A1877" i="17"/>
  <c r="A1878" i="17"/>
  <c r="A1879" i="17"/>
  <c r="A1880" i="17"/>
  <c r="A1881" i="17"/>
  <c r="A1882" i="17"/>
  <c r="A1883" i="17"/>
  <c r="A1884" i="17"/>
  <c r="A1885" i="17"/>
  <c r="A1886" i="17"/>
  <c r="A1887" i="17"/>
  <c r="A1888" i="17"/>
  <c r="A1889" i="17"/>
  <c r="A1890" i="17"/>
  <c r="A1891" i="17"/>
  <c r="A1892" i="17"/>
  <c r="A1893" i="17"/>
  <c r="A1894" i="17"/>
  <c r="A1895" i="17"/>
  <c r="A1896" i="17"/>
  <c r="A1897" i="17"/>
  <c r="A1898" i="17"/>
  <c r="A1899" i="17"/>
  <c r="A1900" i="17"/>
  <c r="A1901" i="17"/>
  <c r="A1902" i="17"/>
  <c r="A1903" i="17"/>
  <c r="A1904" i="17"/>
  <c r="A1905" i="17"/>
  <c r="A1906" i="17"/>
  <c r="A1907" i="17"/>
  <c r="A1908" i="17"/>
  <c r="A1909" i="17"/>
  <c r="A1910" i="17"/>
  <c r="A1911" i="17"/>
  <c r="A1912" i="17"/>
  <c r="A1913" i="17"/>
  <c r="A1914" i="17"/>
  <c r="A1915" i="17"/>
  <c r="A1916" i="17"/>
  <c r="A1917" i="17"/>
  <c r="A1918" i="17"/>
  <c r="A1919" i="17"/>
  <c r="A1920" i="17"/>
  <c r="A1921" i="17"/>
  <c r="A1922" i="17"/>
  <c r="A1923" i="17"/>
  <c r="A1924" i="17"/>
  <c r="A1925" i="17"/>
  <c r="A1926" i="17"/>
  <c r="A1927" i="17"/>
  <c r="A1928" i="17"/>
  <c r="A1929" i="17"/>
  <c r="A1930" i="17"/>
  <c r="A1931" i="17"/>
  <c r="A1932" i="17"/>
  <c r="A1933" i="17"/>
  <c r="A1934" i="17"/>
  <c r="A1935" i="17"/>
  <c r="A1936" i="17"/>
  <c r="A1937" i="17"/>
  <c r="A1938" i="17"/>
  <c r="A1939" i="17"/>
  <c r="A1940" i="17"/>
  <c r="A1941" i="17"/>
  <c r="A1942" i="17"/>
  <c r="A1943" i="17"/>
  <c r="A1944" i="17"/>
  <c r="A1945" i="17"/>
  <c r="A1946" i="17"/>
  <c r="A1947" i="17"/>
  <c r="A1948" i="17"/>
  <c r="A1949" i="17"/>
  <c r="A1950" i="17"/>
  <c r="A1951" i="17"/>
  <c r="A1952" i="17"/>
  <c r="A1953" i="17"/>
  <c r="A1954" i="17"/>
  <c r="A1955" i="17"/>
  <c r="A1956" i="17"/>
  <c r="A1957" i="17"/>
  <c r="A1958" i="17"/>
  <c r="A1959" i="17"/>
  <c r="A1960" i="17"/>
  <c r="A1961" i="17"/>
  <c r="A1962" i="17"/>
  <c r="A1963" i="17"/>
  <c r="A1964" i="17"/>
  <c r="A1965" i="17"/>
  <c r="A1966" i="17"/>
  <c r="A1967" i="17"/>
  <c r="A1968" i="17"/>
  <c r="A1969" i="17"/>
  <c r="A1970" i="17"/>
  <c r="A1971" i="17"/>
  <c r="A1972" i="17"/>
  <c r="A1973" i="17"/>
  <c r="A1974" i="17"/>
  <c r="A1975" i="17"/>
  <c r="A1976" i="17"/>
  <c r="A1977" i="17"/>
  <c r="A1978" i="17"/>
  <c r="A1979" i="17"/>
  <c r="A1980" i="17"/>
  <c r="A1981" i="17"/>
  <c r="A1982" i="17"/>
  <c r="A1983" i="17"/>
  <c r="A1984" i="17"/>
  <c r="A1985" i="17"/>
  <c r="A1986" i="17"/>
  <c r="A1987" i="17"/>
  <c r="A1988" i="17"/>
  <c r="A1989" i="17"/>
  <c r="A1990" i="17"/>
  <c r="A1991" i="17"/>
  <c r="A1992" i="17"/>
  <c r="A1993" i="17"/>
  <c r="A1994" i="17"/>
  <c r="A1995" i="17"/>
  <c r="A1996" i="17"/>
  <c r="A1997" i="17"/>
  <c r="A1998" i="17"/>
  <c r="A1999" i="17"/>
  <c r="A20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H18" i="2"/>
  <c r="H19" i="2" s="1"/>
  <c r="Z3" i="2"/>
  <c r="H20" i="2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H68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B20" i="2" s="1"/>
  <c r="AC21" i="2"/>
  <c r="B21" i="2" s="1"/>
  <c r="AC22" i="2"/>
  <c r="A22" i="2" s="1"/>
  <c r="CY22" i="2" s="1"/>
  <c r="AC23" i="2"/>
  <c r="B23" i="2" s="1"/>
  <c r="AC24" i="2"/>
  <c r="B24" i="2" s="1"/>
  <c r="AC25" i="2"/>
  <c r="A25" i="2" s="1"/>
  <c r="CY25" i="2" s="1"/>
  <c r="AC26" i="2"/>
  <c r="A26" i="2" s="1"/>
  <c r="CY26" i="2" s="1"/>
  <c r="AC27" i="2"/>
  <c r="B27" i="2" s="1"/>
  <c r="AC28" i="2"/>
  <c r="B28" i="2" s="1"/>
  <c r="AC29" i="2"/>
  <c r="B29" i="2" s="1"/>
  <c r="AC30" i="2"/>
  <c r="A30" i="2" s="1"/>
  <c r="CY30" i="2" s="1"/>
  <c r="AC31" i="2"/>
  <c r="B31" i="2" s="1"/>
  <c r="AC32" i="2"/>
  <c r="B32" i="2" s="1"/>
  <c r="AC33" i="2"/>
  <c r="A33" i="2" s="1"/>
  <c r="CY33" i="2" s="1"/>
  <c r="AC34" i="2"/>
  <c r="A34" i="2" s="1"/>
  <c r="CY34" i="2" s="1"/>
  <c r="AC35" i="2"/>
  <c r="B35" i="2" s="1"/>
  <c r="AC36" i="2"/>
  <c r="B36" i="2" s="1"/>
  <c r="AC37" i="2"/>
  <c r="B37" i="2" s="1"/>
  <c r="AC38" i="2"/>
  <c r="A38" i="2" s="1"/>
  <c r="CY38" i="2" s="1"/>
  <c r="AC39" i="2"/>
  <c r="B39" i="2" s="1"/>
  <c r="AC40" i="2"/>
  <c r="B40" i="2" s="1"/>
  <c r="AC41" i="2"/>
  <c r="B41" i="2" s="1"/>
  <c r="AC42" i="2"/>
  <c r="A42" i="2" s="1"/>
  <c r="CY42" i="2" s="1"/>
  <c r="AC43" i="2"/>
  <c r="B43" i="2" s="1"/>
  <c r="AC44" i="2"/>
  <c r="B44" i="2" s="1"/>
  <c r="AC45" i="2"/>
  <c r="B45" i="2" s="1"/>
  <c r="AC46" i="2"/>
  <c r="A46" i="2" s="1"/>
  <c r="CY46" i="2" s="1"/>
  <c r="AC47" i="2"/>
  <c r="B47" i="2" s="1"/>
  <c r="AC48" i="2"/>
  <c r="B48" i="2" s="1"/>
  <c r="AC49" i="2"/>
  <c r="A49" i="2" s="1"/>
  <c r="CY49" i="2" s="1"/>
  <c r="AC50" i="2"/>
  <c r="A50" i="2" s="1"/>
  <c r="CY50" i="2" s="1"/>
  <c r="AC51" i="2"/>
  <c r="A51" i="2" s="1"/>
  <c r="CY51" i="2" s="1"/>
  <c r="AC52" i="2"/>
  <c r="B52" i="2" s="1"/>
  <c r="AC53" i="2"/>
  <c r="B53" i="2" s="1"/>
  <c r="AC54" i="2"/>
  <c r="A54" i="2" s="1"/>
  <c r="CY54" i="2" s="1"/>
  <c r="AC55" i="2"/>
  <c r="B55" i="2" s="1"/>
  <c r="AC56" i="2"/>
  <c r="B56" i="2" s="1"/>
  <c r="AC57" i="2"/>
  <c r="B57" i="2" s="1"/>
  <c r="AC58" i="2"/>
  <c r="A58" i="2" s="1"/>
  <c r="CY58" i="2" s="1"/>
  <c r="AC59" i="2"/>
  <c r="B59" i="2" s="1"/>
  <c r="AC60" i="2"/>
  <c r="B60" i="2" s="1"/>
  <c r="AC61" i="2"/>
  <c r="B61" i="2" s="1"/>
  <c r="AC62" i="2"/>
  <c r="A62" i="2" s="1"/>
  <c r="CY62" i="2" s="1"/>
  <c r="AC63" i="2"/>
  <c r="B63" i="2" s="1"/>
  <c r="AC64" i="2"/>
  <c r="B64" i="2" s="1"/>
  <c r="AC65" i="2"/>
  <c r="A65" i="2" s="1"/>
  <c r="CY65" i="2" s="1"/>
  <c r="AC66" i="2"/>
  <c r="A66" i="2" s="1"/>
  <c r="CY66" i="2" s="1"/>
  <c r="AC67" i="2"/>
  <c r="B67" i="2" s="1"/>
  <c r="AC68" i="2"/>
  <c r="B68" i="2" s="1"/>
  <c r="AC69" i="2"/>
  <c r="B69" i="2" s="1"/>
  <c r="AC70" i="2"/>
  <c r="A70" i="2" s="1"/>
  <c r="CY70" i="2" s="1"/>
  <c r="AH69" i="2"/>
  <c r="AH70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I53" i="2" s="1"/>
  <c r="AH52" i="2"/>
  <c r="AI52" i="2" s="1"/>
  <c r="AH51" i="2"/>
  <c r="AI51" i="2" s="1"/>
  <c r="AH50" i="2"/>
  <c r="AI50" i="2" s="1"/>
  <c r="AH49" i="2"/>
  <c r="AI49" i="2" s="1"/>
  <c r="AH48" i="2"/>
  <c r="AI48" i="2" s="1"/>
  <c r="AH47" i="2"/>
  <c r="AI47" i="2" s="1"/>
  <c r="AH46" i="2"/>
  <c r="AI46" i="2" s="1"/>
  <c r="AH45" i="2"/>
  <c r="AI45" i="2" s="1"/>
  <c r="AH44" i="2"/>
  <c r="AI44" i="2" s="1"/>
  <c r="AH43" i="2"/>
  <c r="AI43" i="2" s="1"/>
  <c r="AH42" i="2"/>
  <c r="AI42" i="2" s="1"/>
  <c r="AH41" i="2"/>
  <c r="AI41" i="2" s="1"/>
  <c r="AH40" i="2"/>
  <c r="AI40" i="2" s="1"/>
  <c r="AH39" i="2"/>
  <c r="AI39" i="2" s="1"/>
  <c r="AH38" i="2"/>
  <c r="AI38" i="2" s="1"/>
  <c r="AH37" i="2"/>
  <c r="AI37" i="2" s="1"/>
  <c r="AH36" i="2"/>
  <c r="AI36" i="2" s="1"/>
  <c r="AH35" i="2"/>
  <c r="AI35" i="2" s="1"/>
  <c r="AH34" i="2"/>
  <c r="AI34" i="2" s="1"/>
  <c r="AH33" i="2"/>
  <c r="AI33" i="2" s="1"/>
  <c r="AH32" i="2"/>
  <c r="AI32" i="2" s="1"/>
  <c r="AH31" i="2"/>
  <c r="AI31" i="2" s="1"/>
  <c r="AH30" i="2"/>
  <c r="AI30" i="2" s="1"/>
  <c r="AH29" i="2"/>
  <c r="AI29" i="2" s="1"/>
  <c r="AH28" i="2"/>
  <c r="AI28" i="2" s="1"/>
  <c r="AH27" i="2"/>
  <c r="AI27" i="2" s="1"/>
  <c r="AH26" i="2"/>
  <c r="AI26" i="2" s="1"/>
  <c r="AH25" i="2"/>
  <c r="AI25" i="2" s="1"/>
  <c r="AH24" i="2"/>
  <c r="AI24" i="2" s="1"/>
  <c r="AH23" i="2"/>
  <c r="AI23" i="2" s="1"/>
  <c r="AH22" i="2"/>
  <c r="AI22" i="2" s="1"/>
  <c r="AH21" i="2"/>
  <c r="AI21" i="2" s="1"/>
  <c r="AH20" i="2"/>
  <c r="AI20" i="2" s="1"/>
  <c r="AH19" i="2"/>
  <c r="AI19" i="2" s="1"/>
  <c r="AH18" i="2"/>
  <c r="AI18" i="2" s="1"/>
  <c r="AH17" i="2"/>
  <c r="AI17" i="2" s="1"/>
  <c r="AH16" i="2"/>
  <c r="AI16" i="2" s="1"/>
  <c r="AH15" i="2"/>
  <c r="AI15" i="2" s="1"/>
  <c r="AH14" i="2"/>
  <c r="AI14" i="2" s="1"/>
  <c r="AH13" i="2"/>
  <c r="AI13" i="2" s="1"/>
  <c r="AH12" i="2"/>
  <c r="AI12" i="2" s="1"/>
  <c r="AH11" i="2"/>
  <c r="AI11" i="2" s="1"/>
  <c r="AH10" i="2"/>
  <c r="AI10" i="2" s="1"/>
  <c r="AH9" i="2"/>
  <c r="AI9" i="2" s="1"/>
  <c r="AH8" i="2"/>
  <c r="AI8" i="2" s="1"/>
  <c r="AH7" i="2"/>
  <c r="AI7" i="2" s="1"/>
  <c r="AH6" i="2"/>
  <c r="AI6" i="2" s="1"/>
  <c r="AH5" i="2"/>
  <c r="AI5" i="2" s="1"/>
  <c r="AH4" i="2"/>
  <c r="AI4" i="2" s="1"/>
  <c r="AH3" i="2"/>
  <c r="AI3" i="2" s="1"/>
  <c r="F16" i="17"/>
  <c r="F17" i="17"/>
  <c r="F18" i="17"/>
  <c r="F19" i="17"/>
  <c r="F20" i="17"/>
  <c r="F21" i="17"/>
  <c r="H2" i="2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U1" i="7"/>
  <c r="T1" i="7"/>
  <c r="S1" i="7"/>
  <c r="R1" i="7"/>
  <c r="Q1" i="7"/>
  <c r="P1" i="7"/>
  <c r="O1" i="7"/>
  <c r="N1" i="7"/>
  <c r="M1" i="7"/>
  <c r="L1" i="7"/>
  <c r="K1" i="7"/>
  <c r="G8" i="2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AA1" i="7"/>
  <c r="Z1" i="7"/>
  <c r="Y1" i="7"/>
  <c r="X1" i="7"/>
  <c r="C1" i="20"/>
  <c r="B3" i="20" s="1"/>
  <c r="B4" i="20" s="1"/>
  <c r="W1" i="7"/>
  <c r="V1" i="7"/>
  <c r="H1" i="2"/>
  <c r="A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3" i="14"/>
  <c r="A204" i="14"/>
  <c r="A205" i="14"/>
  <c r="A206" i="14"/>
  <c r="A207" i="14"/>
  <c r="A208" i="14"/>
  <c r="A209" i="14"/>
  <c r="A210" i="14"/>
  <c r="A211" i="14"/>
  <c r="A212" i="14"/>
  <c r="A213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7" i="14"/>
  <c r="A248" i="14"/>
  <c r="A249" i="14"/>
  <c r="A250" i="14"/>
  <c r="A251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69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5" i="14"/>
  <c r="A336" i="14"/>
  <c r="A337" i="14"/>
  <c r="A338" i="14"/>
  <c r="A339" i="14"/>
  <c r="A340" i="14"/>
  <c r="A341" i="14"/>
  <c r="A342" i="14"/>
  <c r="A343" i="14"/>
  <c r="A344" i="14"/>
  <c r="A345" i="14"/>
  <c r="A346" i="14"/>
  <c r="A347" i="14"/>
  <c r="A348" i="14"/>
  <c r="A349" i="14"/>
  <c r="A350" i="14"/>
  <c r="A351" i="14"/>
  <c r="A352" i="14"/>
  <c r="A353" i="14"/>
  <c r="A354" i="14"/>
  <c r="A355" i="14"/>
  <c r="A356" i="14"/>
  <c r="A357" i="14"/>
  <c r="A358" i="14"/>
  <c r="A359" i="14"/>
  <c r="A360" i="14"/>
  <c r="A361" i="14"/>
  <c r="A362" i="14"/>
  <c r="A363" i="14"/>
  <c r="A364" i="14"/>
  <c r="A365" i="14"/>
  <c r="A366" i="14"/>
  <c r="A367" i="14"/>
  <c r="A368" i="14"/>
  <c r="A369" i="14"/>
  <c r="A370" i="14"/>
  <c r="A371" i="14"/>
  <c r="A372" i="14"/>
  <c r="A373" i="14"/>
  <c r="A374" i="14"/>
  <c r="A375" i="14"/>
  <c r="A376" i="14"/>
  <c r="A377" i="14"/>
  <c r="A378" i="14"/>
  <c r="A379" i="14"/>
  <c r="A380" i="14"/>
  <c r="A381" i="14"/>
  <c r="A382" i="14"/>
  <c r="A383" i="14"/>
  <c r="A384" i="14"/>
  <c r="A385" i="14"/>
  <c r="A386" i="14"/>
  <c r="A387" i="14"/>
  <c r="A388" i="14"/>
  <c r="A389" i="14"/>
  <c r="A390" i="14"/>
  <c r="A391" i="14"/>
  <c r="A392" i="14"/>
  <c r="A393" i="14"/>
  <c r="A394" i="14"/>
  <c r="A395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25" i="14"/>
  <c r="A426" i="14"/>
  <c r="A427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453" i="14"/>
  <c r="A454" i="14"/>
  <c r="A455" i="14"/>
  <c r="A456" i="14"/>
  <c r="A457" i="14"/>
  <c r="A458" i="14"/>
  <c r="A459" i="14"/>
  <c r="A460" i="14"/>
  <c r="A461" i="14"/>
  <c r="A462" i="14"/>
  <c r="A463" i="14"/>
  <c r="A464" i="14"/>
  <c r="A465" i="14"/>
  <c r="A466" i="14"/>
  <c r="A467" i="14"/>
  <c r="A468" i="14"/>
  <c r="A469" i="14"/>
  <c r="A470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493" i="14"/>
  <c r="A494" i="14"/>
  <c r="A495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514" i="14"/>
  <c r="A515" i="14"/>
  <c r="A516" i="14"/>
  <c r="A517" i="14"/>
  <c r="A518" i="14"/>
  <c r="A519" i="14"/>
  <c r="A520" i="14"/>
  <c r="A521" i="14"/>
  <c r="A522" i="14"/>
  <c r="A523" i="14"/>
  <c r="A524" i="14"/>
  <c r="A525" i="14"/>
  <c r="A526" i="14"/>
  <c r="A527" i="14"/>
  <c r="A528" i="14"/>
  <c r="A529" i="14"/>
  <c r="A530" i="14"/>
  <c r="A531" i="14"/>
  <c r="A532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546" i="14"/>
  <c r="A547" i="14"/>
  <c r="A548" i="14"/>
  <c r="A549" i="14"/>
  <c r="A550" i="14"/>
  <c r="A551" i="14"/>
  <c r="A552" i="14"/>
  <c r="A553" i="14"/>
  <c r="A554" i="14"/>
  <c r="A555" i="14"/>
  <c r="A556" i="14"/>
  <c r="A557" i="14"/>
  <c r="A558" i="14"/>
  <c r="A559" i="14"/>
  <c r="A560" i="14"/>
  <c r="A561" i="14"/>
  <c r="A562" i="14"/>
  <c r="A563" i="14"/>
  <c r="A564" i="14"/>
  <c r="A565" i="14"/>
  <c r="A566" i="14"/>
  <c r="A567" i="14"/>
  <c r="A568" i="14"/>
  <c r="A569" i="14"/>
  <c r="A570" i="14"/>
  <c r="A571" i="14"/>
  <c r="A572" i="14"/>
  <c r="A573" i="14"/>
  <c r="A574" i="14"/>
  <c r="A575" i="14"/>
  <c r="A576" i="14"/>
  <c r="A577" i="14"/>
  <c r="A578" i="14"/>
  <c r="A579" i="14"/>
  <c r="A580" i="14"/>
  <c r="A581" i="14"/>
  <c r="A582" i="14"/>
  <c r="A583" i="14"/>
  <c r="A584" i="14"/>
  <c r="A585" i="14"/>
  <c r="A586" i="14"/>
  <c r="A587" i="14"/>
  <c r="A588" i="14"/>
  <c r="A589" i="14"/>
  <c r="A590" i="14"/>
  <c r="A591" i="14"/>
  <c r="A592" i="14"/>
  <c r="A593" i="14"/>
  <c r="A594" i="14"/>
  <c r="A595" i="14"/>
  <c r="A596" i="14"/>
  <c r="A597" i="14"/>
  <c r="A598" i="14"/>
  <c r="A599" i="14"/>
  <c r="A600" i="14"/>
  <c r="A601" i="14"/>
  <c r="A602" i="14"/>
  <c r="A603" i="14"/>
  <c r="A604" i="14"/>
  <c r="A605" i="14"/>
  <c r="A606" i="14"/>
  <c r="A607" i="14"/>
  <c r="A608" i="14"/>
  <c r="A609" i="14"/>
  <c r="A610" i="14"/>
  <c r="A611" i="14"/>
  <c r="A612" i="14"/>
  <c r="A613" i="14"/>
  <c r="A614" i="14"/>
  <c r="A615" i="14"/>
  <c r="A616" i="14"/>
  <c r="A617" i="14"/>
  <c r="A618" i="14"/>
  <c r="A619" i="14"/>
  <c r="A620" i="14"/>
  <c r="A621" i="14"/>
  <c r="A622" i="14"/>
  <c r="A623" i="14"/>
  <c r="A624" i="14"/>
  <c r="A625" i="14"/>
  <c r="A626" i="14"/>
  <c r="A627" i="14"/>
  <c r="A628" i="14"/>
  <c r="A629" i="14"/>
  <c r="A630" i="14"/>
  <c r="A631" i="14"/>
  <c r="A632" i="14"/>
  <c r="A633" i="14"/>
  <c r="A634" i="14"/>
  <c r="A635" i="14"/>
  <c r="A636" i="14"/>
  <c r="A637" i="14"/>
  <c r="A638" i="14"/>
  <c r="A639" i="14"/>
  <c r="A640" i="14"/>
  <c r="A641" i="14"/>
  <c r="A642" i="14"/>
  <c r="A643" i="14"/>
  <c r="A644" i="14"/>
  <c r="A645" i="14"/>
  <c r="A646" i="14"/>
  <c r="A647" i="14"/>
  <c r="A648" i="14"/>
  <c r="A649" i="14"/>
  <c r="A650" i="14"/>
  <c r="A651" i="14"/>
  <c r="A652" i="14"/>
  <c r="A653" i="14"/>
  <c r="A654" i="14"/>
  <c r="A655" i="14"/>
  <c r="A656" i="14"/>
  <c r="A657" i="14"/>
  <c r="A658" i="14"/>
  <c r="A659" i="14"/>
  <c r="A660" i="14"/>
  <c r="A661" i="14"/>
  <c r="A662" i="14"/>
  <c r="A663" i="14"/>
  <c r="A664" i="14"/>
  <c r="A665" i="14"/>
  <c r="A666" i="14"/>
  <c r="A667" i="14"/>
  <c r="A668" i="14"/>
  <c r="A669" i="14"/>
  <c r="A670" i="14"/>
  <c r="A671" i="14"/>
  <c r="A672" i="14"/>
  <c r="A673" i="14"/>
  <c r="A674" i="14"/>
  <c r="A675" i="14"/>
  <c r="A676" i="14"/>
  <c r="A677" i="14"/>
  <c r="A678" i="14"/>
  <c r="A679" i="14"/>
  <c r="A680" i="14"/>
  <c r="A681" i="14"/>
  <c r="A682" i="14"/>
  <c r="A683" i="14"/>
  <c r="A684" i="14"/>
  <c r="A685" i="14"/>
  <c r="A686" i="14"/>
  <c r="A687" i="14"/>
  <c r="A688" i="14"/>
  <c r="A689" i="14"/>
  <c r="A690" i="14"/>
  <c r="A691" i="14"/>
  <c r="A692" i="14"/>
  <c r="A693" i="14"/>
  <c r="A694" i="14"/>
  <c r="A695" i="14"/>
  <c r="A696" i="14"/>
  <c r="A697" i="14"/>
  <c r="A698" i="14"/>
  <c r="A699" i="14"/>
  <c r="A700" i="14"/>
  <c r="A701" i="14"/>
  <c r="A702" i="14"/>
  <c r="A703" i="14"/>
  <c r="A704" i="14"/>
  <c r="A705" i="14"/>
  <c r="A706" i="14"/>
  <c r="A707" i="14"/>
  <c r="A708" i="14"/>
  <c r="A709" i="14"/>
  <c r="A710" i="14"/>
  <c r="A711" i="14"/>
  <c r="A712" i="14"/>
  <c r="A713" i="14"/>
  <c r="A714" i="14"/>
  <c r="A715" i="14"/>
  <c r="A716" i="14"/>
  <c r="A717" i="14"/>
  <c r="A718" i="14"/>
  <c r="A719" i="14"/>
  <c r="A720" i="14"/>
  <c r="A721" i="14"/>
  <c r="A722" i="14"/>
  <c r="A723" i="14"/>
  <c r="A724" i="14"/>
  <c r="A725" i="14"/>
  <c r="A726" i="14"/>
  <c r="A727" i="14"/>
  <c r="A728" i="14"/>
  <c r="A729" i="14"/>
  <c r="A730" i="14"/>
  <c r="A731" i="14"/>
  <c r="A732" i="14"/>
  <c r="A733" i="14"/>
  <c r="A734" i="14"/>
  <c r="A735" i="14"/>
  <c r="A736" i="14"/>
  <c r="A737" i="14"/>
  <c r="A738" i="14"/>
  <c r="A739" i="14"/>
  <c r="A740" i="14"/>
  <c r="A741" i="14"/>
  <c r="A742" i="14"/>
  <c r="A743" i="14"/>
  <c r="A744" i="14"/>
  <c r="A745" i="14"/>
  <c r="A746" i="14"/>
  <c r="A747" i="14"/>
  <c r="A748" i="14"/>
  <c r="A749" i="14"/>
  <c r="A750" i="14"/>
  <c r="A751" i="14"/>
  <c r="A752" i="14"/>
  <c r="A753" i="14"/>
  <c r="A754" i="14"/>
  <c r="A755" i="14"/>
  <c r="A756" i="14"/>
  <c r="A757" i="14"/>
  <c r="A758" i="14"/>
  <c r="A759" i="14"/>
  <c r="A760" i="14"/>
  <c r="A761" i="14"/>
  <c r="A762" i="14"/>
  <c r="A763" i="14"/>
  <c r="A764" i="14"/>
  <c r="A765" i="14"/>
  <c r="A766" i="14"/>
  <c r="A767" i="14"/>
  <c r="A768" i="14"/>
  <c r="A769" i="14"/>
  <c r="A770" i="14"/>
  <c r="A771" i="14"/>
  <c r="A772" i="14"/>
  <c r="A773" i="14"/>
  <c r="A774" i="14"/>
  <c r="A775" i="14"/>
  <c r="A776" i="14"/>
  <c r="A777" i="14"/>
  <c r="A778" i="14"/>
  <c r="A779" i="14"/>
  <c r="A780" i="14"/>
  <c r="A781" i="14"/>
  <c r="A782" i="14"/>
  <c r="A783" i="14"/>
  <c r="A784" i="14"/>
  <c r="A785" i="14"/>
  <c r="A786" i="14"/>
  <c r="A787" i="14"/>
  <c r="A788" i="14"/>
  <c r="A789" i="14"/>
  <c r="A790" i="14"/>
  <c r="A791" i="14"/>
  <c r="A792" i="14"/>
  <c r="A793" i="14"/>
  <c r="A794" i="14"/>
  <c r="A795" i="14"/>
  <c r="A796" i="14"/>
  <c r="A797" i="14"/>
  <c r="A798" i="14"/>
  <c r="A799" i="14"/>
  <c r="A800" i="14"/>
  <c r="A801" i="14"/>
  <c r="A802" i="14"/>
  <c r="A803" i="14"/>
  <c r="A804" i="14"/>
  <c r="A805" i="14"/>
  <c r="A806" i="14"/>
  <c r="A807" i="14"/>
  <c r="A808" i="14"/>
  <c r="A809" i="14"/>
  <c r="A810" i="14"/>
  <c r="A811" i="14"/>
  <c r="A812" i="14"/>
  <c r="A813" i="14"/>
  <c r="A814" i="14"/>
  <c r="A815" i="14"/>
  <c r="A816" i="14"/>
  <c r="A817" i="14"/>
  <c r="A818" i="14"/>
  <c r="A819" i="14"/>
  <c r="A820" i="14"/>
  <c r="A821" i="14"/>
  <c r="A822" i="14"/>
  <c r="A823" i="14"/>
  <c r="A824" i="14"/>
  <c r="A825" i="14"/>
  <c r="A826" i="14"/>
  <c r="A827" i="14"/>
  <c r="A828" i="14"/>
  <c r="A829" i="14"/>
  <c r="A830" i="14"/>
  <c r="A831" i="14"/>
  <c r="A832" i="14"/>
  <c r="A833" i="14"/>
  <c r="A834" i="14"/>
  <c r="A835" i="14"/>
  <c r="A836" i="14"/>
  <c r="A837" i="14"/>
  <c r="A838" i="14"/>
  <c r="A839" i="14"/>
  <c r="A840" i="14"/>
  <c r="A841" i="14"/>
  <c r="A842" i="14"/>
  <c r="A843" i="14"/>
  <c r="A844" i="14"/>
  <c r="A845" i="14"/>
  <c r="A846" i="14"/>
  <c r="A847" i="14"/>
  <c r="A848" i="14"/>
  <c r="A849" i="14"/>
  <c r="A850" i="14"/>
  <c r="A851" i="14"/>
  <c r="A852" i="14"/>
  <c r="A853" i="14"/>
  <c r="A854" i="14"/>
  <c r="A855" i="14"/>
  <c r="A856" i="14"/>
  <c r="A857" i="14"/>
  <c r="A858" i="14"/>
  <c r="A859" i="14"/>
  <c r="A860" i="14"/>
  <c r="A861" i="14"/>
  <c r="A862" i="14"/>
  <c r="A863" i="14"/>
  <c r="A864" i="14"/>
  <c r="A865" i="14"/>
  <c r="A866" i="14"/>
  <c r="A867" i="14"/>
  <c r="A868" i="14"/>
  <c r="A869" i="14"/>
  <c r="A870" i="14"/>
  <c r="A871" i="14"/>
  <c r="A872" i="14"/>
  <c r="A873" i="14"/>
  <c r="A874" i="14"/>
  <c r="A875" i="14"/>
  <c r="A876" i="14"/>
  <c r="A877" i="14"/>
  <c r="A878" i="14"/>
  <c r="A879" i="14"/>
  <c r="A880" i="14"/>
  <c r="A881" i="14"/>
  <c r="A882" i="14"/>
  <c r="A883" i="14"/>
  <c r="A884" i="14"/>
  <c r="A885" i="14"/>
  <c r="A886" i="14"/>
  <c r="A887" i="14"/>
  <c r="A888" i="14"/>
  <c r="A889" i="14"/>
  <c r="A890" i="14"/>
  <c r="A891" i="14"/>
  <c r="A892" i="14"/>
  <c r="A893" i="14"/>
  <c r="A894" i="14"/>
  <c r="A895" i="14"/>
  <c r="A896" i="14"/>
  <c r="A897" i="14"/>
  <c r="A898" i="14"/>
  <c r="A899" i="14"/>
  <c r="A900" i="14"/>
  <c r="A901" i="14"/>
  <c r="A902" i="14"/>
  <c r="A903" i="14"/>
  <c r="A904" i="14"/>
  <c r="A905" i="14"/>
  <c r="A906" i="14"/>
  <c r="A907" i="14"/>
  <c r="A908" i="14"/>
  <c r="A909" i="14"/>
  <c r="A910" i="14"/>
  <c r="A911" i="14"/>
  <c r="A912" i="14"/>
  <c r="A913" i="14"/>
  <c r="A914" i="14"/>
  <c r="A915" i="14"/>
  <c r="A916" i="14"/>
  <c r="A917" i="14"/>
  <c r="A918" i="14"/>
  <c r="A919" i="14"/>
  <c r="A920" i="14"/>
  <c r="A921" i="14"/>
  <c r="A922" i="14"/>
  <c r="A923" i="14"/>
  <c r="A924" i="14"/>
  <c r="A925" i="14"/>
  <c r="A926" i="14"/>
  <c r="A927" i="14"/>
  <c r="A928" i="14"/>
  <c r="A929" i="14"/>
  <c r="A930" i="14"/>
  <c r="A931" i="14"/>
  <c r="A932" i="14"/>
  <c r="A933" i="14"/>
  <c r="A934" i="14"/>
  <c r="A935" i="14"/>
  <c r="A936" i="14"/>
  <c r="A937" i="14"/>
  <c r="A938" i="14"/>
  <c r="A939" i="14"/>
  <c r="A940" i="14"/>
  <c r="A941" i="14"/>
  <c r="A942" i="14"/>
  <c r="A943" i="14"/>
  <c r="A944" i="14"/>
  <c r="A945" i="14"/>
  <c r="A946" i="14"/>
  <c r="A947" i="14"/>
  <c r="A948" i="14"/>
  <c r="A949" i="14"/>
  <c r="A950" i="14"/>
  <c r="A951" i="14"/>
  <c r="A952" i="14"/>
  <c r="A953" i="14"/>
  <c r="A954" i="14"/>
  <c r="A955" i="14"/>
  <c r="A956" i="14"/>
  <c r="A957" i="14"/>
  <c r="A958" i="14"/>
  <c r="A959" i="14"/>
  <c r="A960" i="14"/>
  <c r="A961" i="14"/>
  <c r="A962" i="14"/>
  <c r="A963" i="14"/>
  <c r="A964" i="14"/>
  <c r="A965" i="14"/>
  <c r="A966" i="14"/>
  <c r="A967" i="14"/>
  <c r="A968" i="14"/>
  <c r="A969" i="14"/>
  <c r="A970" i="14"/>
  <c r="A971" i="14"/>
  <c r="A972" i="14"/>
  <c r="A973" i="14"/>
  <c r="A974" i="14"/>
  <c r="A975" i="14"/>
  <c r="A976" i="14"/>
  <c r="A977" i="14"/>
  <c r="A978" i="14"/>
  <c r="A979" i="14"/>
  <c r="A980" i="14"/>
  <c r="A981" i="14"/>
  <c r="A982" i="14"/>
  <c r="A983" i="14"/>
  <c r="A984" i="14"/>
  <c r="A985" i="14"/>
  <c r="A986" i="14"/>
  <c r="A987" i="14"/>
  <c r="A988" i="14"/>
  <c r="A989" i="14"/>
  <c r="A990" i="14"/>
  <c r="A991" i="14"/>
  <c r="A992" i="14"/>
  <c r="A993" i="14"/>
  <c r="A994" i="14"/>
  <c r="A995" i="14"/>
  <c r="A996" i="14"/>
  <c r="A997" i="14"/>
  <c r="A998" i="14"/>
  <c r="A999" i="14"/>
  <c r="A1000" i="14"/>
  <c r="A1001" i="14"/>
  <c r="B28" i="14"/>
  <c r="B2" i="14"/>
  <c r="B3" i="14"/>
  <c r="B29" i="14"/>
  <c r="B4" i="14"/>
  <c r="B30" i="14"/>
  <c r="B5" i="14"/>
  <c r="B31" i="14"/>
  <c r="B6" i="14"/>
  <c r="B32" i="14"/>
  <c r="B7" i="14"/>
  <c r="B33" i="14"/>
  <c r="B8" i="14"/>
  <c r="B34" i="14"/>
  <c r="B9" i="14"/>
  <c r="B35" i="14"/>
  <c r="B10" i="14"/>
  <c r="B36" i="14"/>
  <c r="B11" i="14"/>
  <c r="B37" i="14"/>
  <c r="B12" i="14"/>
  <c r="B38" i="14"/>
  <c r="B13" i="14"/>
  <c r="B39" i="14"/>
  <c r="B14" i="14"/>
  <c r="B40" i="14"/>
  <c r="B15" i="14"/>
  <c r="B41" i="14"/>
  <c r="B16" i="14"/>
  <c r="B42" i="14"/>
  <c r="B17" i="14"/>
  <c r="B43" i="14"/>
  <c r="B18" i="14"/>
  <c r="B44" i="14"/>
  <c r="B19" i="14"/>
  <c r="B45" i="14"/>
  <c r="B20" i="14"/>
  <c r="B46" i="14"/>
  <c r="B22" i="14"/>
  <c r="B48" i="14"/>
  <c r="B23" i="14"/>
  <c r="B49" i="14"/>
  <c r="B24" i="14"/>
  <c r="B50" i="14"/>
  <c r="B26" i="14"/>
  <c r="B52" i="14"/>
  <c r="B27" i="14"/>
  <c r="B53" i="14"/>
  <c r="B21" i="14"/>
  <c r="B25" i="14"/>
  <c r="B47" i="14"/>
  <c r="B51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" i="7"/>
  <c r="C1" i="7"/>
  <c r="D1" i="7"/>
  <c r="E1" i="7"/>
  <c r="F1" i="7"/>
  <c r="G1" i="7"/>
  <c r="H1" i="7"/>
  <c r="I1" i="7"/>
  <c r="J1" i="7"/>
  <c r="A1" i="7"/>
  <c r="AC2" i="2"/>
  <c r="X23" i="2"/>
  <c r="X22" i="2"/>
  <c r="X21" i="2"/>
  <c r="X20" i="2"/>
  <c r="A28" i="20"/>
  <c r="A27" i="20"/>
  <c r="A26" i="20"/>
  <c r="A25" i="20"/>
  <c r="C28" i="20"/>
  <c r="C27" i="20"/>
  <c r="C26" i="20"/>
  <c r="C25" i="20"/>
  <c r="H21" i="2" l="1"/>
  <c r="AE26" i="2"/>
  <c r="AE70" i="2"/>
  <c r="AE66" i="2"/>
  <c r="AE62" i="2"/>
  <c r="AE58" i="2"/>
  <c r="AE54" i="2"/>
  <c r="AE50" i="2"/>
  <c r="AE42" i="2"/>
  <c r="X3" i="2"/>
  <c r="A3" i="2" s="1"/>
  <c r="CY3" i="2" s="1"/>
  <c r="X11" i="2"/>
  <c r="AE11" i="2" s="1"/>
  <c r="X16" i="2"/>
  <c r="AE69" i="2"/>
  <c r="AE65" i="2"/>
  <c r="AE61" i="2"/>
  <c r="AE57" i="2"/>
  <c r="AE53" i="2"/>
  <c r="AE49" i="2"/>
  <c r="AE45" i="2"/>
  <c r="AE41" i="2"/>
  <c r="AE37" i="2"/>
  <c r="AE33" i="2"/>
  <c r="AE29" i="2"/>
  <c r="AE25" i="2"/>
  <c r="AE22" i="2"/>
  <c r="B10" i="2"/>
  <c r="B6" i="2"/>
  <c r="AE35" i="2"/>
  <c r="X17" i="2"/>
  <c r="AE17" i="2" s="1"/>
  <c r="X15" i="2"/>
  <c r="AE15" i="2" s="1"/>
  <c r="X18" i="2"/>
  <c r="AE18" i="2" s="1"/>
  <c r="X19" i="2"/>
  <c r="AE19" i="2" s="1"/>
  <c r="A43" i="2"/>
  <c r="CY43" i="2" s="1"/>
  <c r="A35" i="2"/>
  <c r="CY35" i="2" s="1"/>
  <c r="A40" i="2"/>
  <c r="CY40" i="2" s="1"/>
  <c r="A64" i="2"/>
  <c r="CY64" i="2" s="1"/>
  <c r="A32" i="2"/>
  <c r="CY32" i="2" s="1"/>
  <c r="A24" i="2"/>
  <c r="CY24" i="2" s="1"/>
  <c r="H42" i="2"/>
  <c r="A69" i="2"/>
  <c r="CY69" i="2" s="1"/>
  <c r="A56" i="2"/>
  <c r="CY56" i="2" s="1"/>
  <c r="B51" i="2"/>
  <c r="D51" i="2" s="1"/>
  <c r="A21" i="2"/>
  <c r="CY21" i="2" s="1"/>
  <c r="X6" i="2"/>
  <c r="AE6" i="2" s="1"/>
  <c r="A67" i="2"/>
  <c r="CY67" i="2" s="1"/>
  <c r="A27" i="2"/>
  <c r="CY27" i="2" s="1"/>
  <c r="A41" i="2"/>
  <c r="CY41" i="2" s="1"/>
  <c r="A48" i="2"/>
  <c r="CY48" i="2" s="1"/>
  <c r="A37" i="2"/>
  <c r="CY37" i="2" s="1"/>
  <c r="B18" i="2"/>
  <c r="D18" i="2" s="1"/>
  <c r="A59" i="2"/>
  <c r="CY59" i="2" s="1"/>
  <c r="A57" i="2"/>
  <c r="CY57" i="2" s="1"/>
  <c r="A29" i="2"/>
  <c r="CY29" i="2" s="1"/>
  <c r="B25" i="2"/>
  <c r="D25" i="2" s="1"/>
  <c r="A45" i="2"/>
  <c r="CY45" i="2" s="1"/>
  <c r="A61" i="2"/>
  <c r="CY61" i="2" s="1"/>
  <c r="A53" i="2"/>
  <c r="CY53" i="2" s="1"/>
  <c r="B65" i="2"/>
  <c r="D65" i="2" s="1"/>
  <c r="B49" i="2"/>
  <c r="D49" i="2" s="1"/>
  <c r="B33" i="2"/>
  <c r="D33" i="2" s="1"/>
  <c r="A68" i="2"/>
  <c r="CY68" i="2" s="1"/>
  <c r="A63" i="2"/>
  <c r="CY63" i="2" s="1"/>
  <c r="A52" i="2"/>
  <c r="CY52" i="2" s="1"/>
  <c r="A47" i="2"/>
  <c r="CY47" i="2" s="1"/>
  <c r="A36" i="2"/>
  <c r="CY36" i="2" s="1"/>
  <c r="A31" i="2"/>
  <c r="CY31" i="2" s="1"/>
  <c r="A20" i="2"/>
  <c r="CY20" i="2" s="1"/>
  <c r="A60" i="2"/>
  <c r="CY60" i="2" s="1"/>
  <c r="A55" i="2"/>
  <c r="CY55" i="2" s="1"/>
  <c r="A44" i="2"/>
  <c r="CY44" i="2" s="1"/>
  <c r="A39" i="2"/>
  <c r="CY39" i="2" s="1"/>
  <c r="A28" i="2"/>
  <c r="CY28" i="2" s="1"/>
  <c r="A23" i="2"/>
  <c r="CY23" i="2" s="1"/>
  <c r="AE40" i="2"/>
  <c r="AE28" i="2"/>
  <c r="B70" i="2"/>
  <c r="D70" i="2" s="1"/>
  <c r="B66" i="2"/>
  <c r="D66" i="2" s="1"/>
  <c r="B62" i="2"/>
  <c r="D62" i="2" s="1"/>
  <c r="B58" i="2"/>
  <c r="D58" i="2" s="1"/>
  <c r="B54" i="2"/>
  <c r="D54" i="2" s="1"/>
  <c r="B50" i="2"/>
  <c r="D50" i="2" s="1"/>
  <c r="B46" i="2"/>
  <c r="D46" i="2" s="1"/>
  <c r="B42" i="2"/>
  <c r="D42" i="2" s="1"/>
  <c r="B38" i="2"/>
  <c r="D38" i="2" s="1"/>
  <c r="B34" i="2"/>
  <c r="D34" i="2" s="1"/>
  <c r="B30" i="2"/>
  <c r="D30" i="2" s="1"/>
  <c r="B26" i="2"/>
  <c r="D26" i="2" s="1"/>
  <c r="B22" i="2"/>
  <c r="D22" i="2" s="1"/>
  <c r="D6" i="20"/>
  <c r="C23" i="20" s="1"/>
  <c r="B6" i="20"/>
  <c r="A8" i="20" s="1"/>
  <c r="B16" i="2"/>
  <c r="B12" i="2"/>
  <c r="D12" i="2" s="1"/>
  <c r="B8" i="2"/>
  <c r="B4" i="2"/>
  <c r="D4" i="2" s="1"/>
  <c r="B19" i="2"/>
  <c r="D19" i="2" s="1"/>
  <c r="B11" i="2"/>
  <c r="D11" i="2" s="1"/>
  <c r="B14" i="2"/>
  <c r="D14" i="2" s="1"/>
  <c r="AG15" i="2"/>
  <c r="D48" i="2"/>
  <c r="AG67" i="2"/>
  <c r="AG63" i="2"/>
  <c r="AG47" i="2"/>
  <c r="AG31" i="2"/>
  <c r="AE44" i="2"/>
  <c r="AE20" i="2"/>
  <c r="AE68" i="2"/>
  <c r="AE64" i="2"/>
  <c r="AE60" i="2"/>
  <c r="AE56" i="2"/>
  <c r="AE52" i="2"/>
  <c r="AE48" i="2"/>
  <c r="AE36" i="2"/>
  <c r="AE32" i="2"/>
  <c r="AE24" i="2"/>
  <c r="X8" i="2"/>
  <c r="A8" i="2" s="1"/>
  <c r="CY8" i="2" s="1"/>
  <c r="X7" i="2"/>
  <c r="A7" i="2" s="1"/>
  <c r="CY7" i="2" s="1"/>
  <c r="X4" i="2"/>
  <c r="AE4" i="2" s="1"/>
  <c r="X12" i="2"/>
  <c r="X9" i="2"/>
  <c r="X5" i="2"/>
  <c r="AE5" i="2" s="1"/>
  <c r="X14" i="2"/>
  <c r="AE14" i="2" s="1"/>
  <c r="X13" i="2"/>
  <c r="X10" i="2"/>
  <c r="AG51" i="2"/>
  <c r="AG23" i="2"/>
  <c r="AG55" i="2"/>
  <c r="AG39" i="2"/>
  <c r="AG27" i="2"/>
  <c r="AG59" i="2"/>
  <c r="AG43" i="2"/>
  <c r="AG35" i="2"/>
  <c r="AG4" i="2"/>
  <c r="AE59" i="2"/>
  <c r="AG11" i="2"/>
  <c r="AG7" i="2"/>
  <c r="AG19" i="2"/>
  <c r="AG3" i="2"/>
  <c r="AE67" i="2"/>
  <c r="AE55" i="2"/>
  <c r="AE51" i="2"/>
  <c r="AE39" i="2"/>
  <c r="AE27" i="2"/>
  <c r="AE23" i="2"/>
  <c r="AG70" i="2"/>
  <c r="AG66" i="2"/>
  <c r="AG62" i="2"/>
  <c r="AG58" i="2"/>
  <c r="AG54" i="2"/>
  <c r="AG50" i="2"/>
  <c r="AG46" i="2"/>
  <c r="AG42" i="2"/>
  <c r="AG38" i="2"/>
  <c r="AG34" i="2"/>
  <c r="AG30" i="2"/>
  <c r="AG26" i="2"/>
  <c r="AG22" i="2"/>
  <c r="AG18" i="2"/>
  <c r="AG14" i="2"/>
  <c r="AG10" i="2"/>
  <c r="AG6" i="2"/>
  <c r="B15" i="2"/>
  <c r="B7" i="2"/>
  <c r="AG69" i="2"/>
  <c r="AG65" i="2"/>
  <c r="AG61" i="2"/>
  <c r="AG57" i="2"/>
  <c r="AG53" i="2"/>
  <c r="AG49" i="2"/>
  <c r="AG45" i="2"/>
  <c r="AG41" i="2"/>
  <c r="AG37" i="2"/>
  <c r="AG33" i="2"/>
  <c r="AG29" i="2"/>
  <c r="AG25" i="2"/>
  <c r="AG21" i="2"/>
  <c r="AG17" i="2"/>
  <c r="AG13" i="2"/>
  <c r="AG9" i="2"/>
  <c r="AG5" i="2"/>
  <c r="D64" i="2"/>
  <c r="D32" i="2"/>
  <c r="AE3" i="2"/>
  <c r="AE63" i="2"/>
  <c r="AE47" i="2"/>
  <c r="AE43" i="2"/>
  <c r="AE31" i="2"/>
  <c r="AG68" i="2"/>
  <c r="AG64" i="2"/>
  <c r="AG60" i="2"/>
  <c r="AG56" i="2"/>
  <c r="AG52" i="2"/>
  <c r="AG48" i="2"/>
  <c r="AG44" i="2"/>
  <c r="AG40" i="2"/>
  <c r="AG36" i="2"/>
  <c r="AG32" i="2"/>
  <c r="AG28" i="2"/>
  <c r="AG24" i="2"/>
  <c r="AG20" i="2"/>
  <c r="AG16" i="2"/>
  <c r="AG12" i="2"/>
  <c r="AG8" i="2"/>
  <c r="D67" i="2"/>
  <c r="D35" i="2"/>
  <c r="B3" i="2"/>
  <c r="D21" i="2"/>
  <c r="D29" i="2"/>
  <c r="D37" i="2"/>
  <c r="D45" i="2"/>
  <c r="D53" i="2"/>
  <c r="D61" i="2"/>
  <c r="D69" i="2"/>
  <c r="D20" i="2"/>
  <c r="D28" i="2"/>
  <c r="D36" i="2"/>
  <c r="D44" i="2"/>
  <c r="D52" i="2"/>
  <c r="D60" i="2"/>
  <c r="D68" i="2"/>
  <c r="D56" i="2"/>
  <c r="D40" i="2"/>
  <c r="D24" i="2"/>
  <c r="D59" i="2"/>
  <c r="D57" i="2"/>
  <c r="D43" i="2"/>
  <c r="D41" i="2"/>
  <c r="D27" i="2"/>
  <c r="B17" i="2"/>
  <c r="D17" i="2" s="1"/>
  <c r="B13" i="2"/>
  <c r="D13" i="2" s="1"/>
  <c r="B9" i="2"/>
  <c r="B5" i="2"/>
  <c r="D63" i="2"/>
  <c r="D55" i="2"/>
  <c r="D47" i="2"/>
  <c r="D39" i="2"/>
  <c r="D31" i="2"/>
  <c r="D23" i="2"/>
  <c r="AE46" i="2"/>
  <c r="AE38" i="2"/>
  <c r="AE34" i="2"/>
  <c r="AE30" i="2"/>
  <c r="AE21" i="2"/>
  <c r="A19" i="2" l="1"/>
  <c r="AI57" i="2"/>
  <c r="AF3" i="2"/>
  <c r="AA3" i="2"/>
  <c r="AI54" i="2"/>
  <c r="A16" i="2"/>
  <c r="D16" i="2" s="1"/>
  <c r="A23" i="20"/>
  <c r="A24" i="20"/>
  <c r="A11" i="2"/>
  <c r="CY11" i="2" s="1"/>
  <c r="A15" i="20"/>
  <c r="A21" i="20"/>
  <c r="A20" i="20"/>
  <c r="A18" i="2"/>
  <c r="A15" i="2"/>
  <c r="AE16" i="2"/>
  <c r="A12" i="2"/>
  <c r="CY12" i="2" s="1"/>
  <c r="A17" i="2"/>
  <c r="D15" i="2"/>
  <c r="C15" i="20"/>
  <c r="A22" i="20"/>
  <c r="C21" i="20"/>
  <c r="C24" i="20"/>
  <c r="C22" i="20"/>
  <c r="C20" i="20"/>
  <c r="A16" i="20"/>
  <c r="A6" i="2"/>
  <c r="D6" i="2" s="1"/>
  <c r="D8" i="2"/>
  <c r="A9" i="20"/>
  <c r="A14" i="20"/>
  <c r="A10" i="20"/>
  <c r="A17" i="20"/>
  <c r="A19" i="20"/>
  <c r="A11" i="20"/>
  <c r="A12" i="20"/>
  <c r="A18" i="20"/>
  <c r="A13" i="20"/>
  <c r="C10" i="20"/>
  <c r="C19" i="20"/>
  <c r="C8" i="20"/>
  <c r="AI68" i="2"/>
  <c r="AI62" i="2"/>
  <c r="C17" i="20"/>
  <c r="C13" i="20"/>
  <c r="C12" i="20"/>
  <c r="C16" i="20"/>
  <c r="C14" i="20"/>
  <c r="C11" i="20"/>
  <c r="C9" i="20"/>
  <c r="C18" i="20"/>
  <c r="AI67" i="2"/>
  <c r="AF4" i="2"/>
  <c r="AF5" i="2" s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I69" i="2"/>
  <c r="A13" i="2"/>
  <c r="CY13" i="2" s="1"/>
  <c r="AE13" i="2"/>
  <c r="AI66" i="2"/>
  <c r="D7" i="2"/>
  <c r="AI70" i="2"/>
  <c r="AI64" i="2"/>
  <c r="AI58" i="2"/>
  <c r="A5" i="2"/>
  <c r="CY5" i="2" s="1"/>
  <c r="AE7" i="2"/>
  <c r="AI56" i="2"/>
  <c r="AI63" i="2"/>
  <c r="A10" i="2"/>
  <c r="AI61" i="2"/>
  <c r="AE10" i="2"/>
  <c r="A14" i="2"/>
  <c r="CY14" i="2" s="1"/>
  <c r="AI65" i="2"/>
  <c r="A4" i="2"/>
  <c r="CY4" i="2" s="1"/>
  <c r="AI55" i="2"/>
  <c r="AE12" i="2"/>
  <c r="A9" i="2"/>
  <c r="CY9" i="2" s="1"/>
  <c r="AE9" i="2"/>
  <c r="AI60" i="2"/>
  <c r="AI59" i="2"/>
  <c r="AE8" i="2"/>
  <c r="H41" i="2"/>
  <c r="H24" i="2"/>
  <c r="H33" i="2" s="1"/>
  <c r="D3" i="2"/>
  <c r="CY6" i="2" l="1"/>
  <c r="CY10" i="2"/>
  <c r="D10" i="2"/>
  <c r="Z21" i="2"/>
  <c r="AA21" i="2" s="1"/>
  <c r="D9" i="2"/>
  <c r="Z26" i="2"/>
  <c r="AA26" i="2" s="1"/>
  <c r="Z54" i="2"/>
  <c r="AA54" i="2" s="1"/>
  <c r="Z17" i="2"/>
  <c r="AA17" i="2" s="1"/>
  <c r="D5" i="2"/>
  <c r="Z67" i="2"/>
  <c r="AA67" i="2" s="1"/>
  <c r="Z50" i="2"/>
  <c r="AA50" i="2" s="1"/>
  <c r="Z30" i="2"/>
  <c r="AA30" i="2" s="1"/>
  <c r="E65" i="2"/>
  <c r="Z15" i="2"/>
  <c r="AA15" i="2" s="1"/>
  <c r="Z34" i="2"/>
  <c r="AA34" i="2" s="1"/>
  <c r="Z9" i="2"/>
  <c r="AA9" i="2" s="1"/>
  <c r="Z25" i="2"/>
  <c r="AA25" i="2" s="1"/>
  <c r="Z7" i="2"/>
  <c r="AA7" i="2" s="1"/>
  <c r="Z8" i="2"/>
  <c r="AA8" i="2" s="1"/>
  <c r="Z49" i="2"/>
  <c r="AA49" i="2" s="1"/>
  <c r="Z22" i="2"/>
  <c r="AA22" i="2" s="1"/>
  <c r="Z10" i="2"/>
  <c r="AA10" i="2" s="1"/>
  <c r="Z69" i="2"/>
  <c r="AA69" i="2" s="1"/>
  <c r="Z37" i="2"/>
  <c r="AA37" i="2" s="1"/>
  <c r="Z42" i="2"/>
  <c r="AA42" i="2" s="1"/>
  <c r="Z63" i="2"/>
  <c r="AA63" i="2" s="1"/>
  <c r="Z57" i="2"/>
  <c r="AA57" i="2" s="1"/>
  <c r="Z64" i="2"/>
  <c r="AA64" i="2" s="1"/>
  <c r="Z6" i="2"/>
  <c r="AA6" i="2" s="1"/>
  <c r="Z23" i="2"/>
  <c r="AA23" i="2" s="1"/>
  <c r="E68" i="2"/>
  <c r="Z32" i="2"/>
  <c r="AA32" i="2" s="1"/>
  <c r="C56" i="2"/>
  <c r="C68" i="2"/>
  <c r="E6" i="2"/>
  <c r="E7" i="2"/>
  <c r="C70" i="2"/>
  <c r="C28" i="2"/>
  <c r="C23" i="2"/>
  <c r="C58" i="2"/>
  <c r="E20" i="2"/>
  <c r="C11" i="2"/>
  <c r="C18" i="2"/>
  <c r="E55" i="2"/>
  <c r="C54" i="2"/>
  <c r="C50" i="2"/>
  <c r="C43" i="2"/>
  <c r="E52" i="2"/>
  <c r="C4" i="2"/>
  <c r="E60" i="2"/>
  <c r="C39" i="2"/>
  <c r="E15" i="2"/>
  <c r="E43" i="2"/>
  <c r="E49" i="2"/>
  <c r="C30" i="2"/>
  <c r="C10" i="2"/>
  <c r="C31" i="2"/>
  <c r="E66" i="2"/>
  <c r="C26" i="2"/>
  <c r="C22" i="2"/>
  <c r="E62" i="2"/>
  <c r="E28" i="2"/>
  <c r="E61" i="2"/>
  <c r="C69" i="2"/>
  <c r="C35" i="2"/>
  <c r="C8" i="2"/>
  <c r="Z45" i="2"/>
  <c r="AA45" i="2" s="1"/>
  <c r="Z31" i="2"/>
  <c r="AA31" i="2" s="1"/>
  <c r="Z70" i="2"/>
  <c r="AA70" i="2" s="1"/>
  <c r="Z33" i="2"/>
  <c r="AA33" i="2" s="1"/>
  <c r="Z52" i="2"/>
  <c r="AA52" i="2" s="1"/>
  <c r="Z40" i="2"/>
  <c r="AA40" i="2" s="1"/>
  <c r="Z18" i="2"/>
  <c r="AA18" i="2" s="1"/>
  <c r="Z41" i="2"/>
  <c r="AA41" i="2" s="1"/>
  <c r="Z38" i="2"/>
  <c r="AA38" i="2" s="1"/>
  <c r="Z28" i="2"/>
  <c r="AA28" i="2" s="1"/>
  <c r="Z16" i="2"/>
  <c r="AA16" i="2" s="1"/>
  <c r="Z60" i="2"/>
  <c r="AA60" i="2" s="1"/>
  <c r="C6" i="2"/>
  <c r="Z11" i="2"/>
  <c r="AA11" i="2" s="1"/>
  <c r="Z46" i="2"/>
  <c r="AA46" i="2" s="1"/>
  <c r="Z13" i="2"/>
  <c r="AA13" i="2" s="1"/>
  <c r="Z24" i="2"/>
  <c r="AA24" i="2" s="1"/>
  <c r="C51" i="2"/>
  <c r="C25" i="2"/>
  <c r="E33" i="2"/>
  <c r="E4" i="2"/>
  <c r="C40" i="2"/>
  <c r="E5" i="2"/>
  <c r="E42" i="2"/>
  <c r="E32" i="2"/>
  <c r="E21" i="2"/>
  <c r="C60" i="2"/>
  <c r="E58" i="2"/>
  <c r="E31" i="2"/>
  <c r="E12" i="2"/>
  <c r="C24" i="2"/>
  <c r="E13" i="2"/>
  <c r="C9" i="2"/>
  <c r="C65" i="2"/>
  <c r="E41" i="2"/>
  <c r="C38" i="2"/>
  <c r="C21" i="2"/>
  <c r="C48" i="2"/>
  <c r="C36" i="2"/>
  <c r="C49" i="2"/>
  <c r="E26" i="2"/>
  <c r="C53" i="2"/>
  <c r="E11" i="2"/>
  <c r="C59" i="2"/>
  <c r="C55" i="2"/>
  <c r="E23" i="2"/>
  <c r="E70" i="2"/>
  <c r="C29" i="2"/>
  <c r="C16" i="2"/>
  <c r="Z12" i="2"/>
  <c r="AA12" i="2" s="1"/>
  <c r="Z59" i="2"/>
  <c r="AA59" i="2" s="1"/>
  <c r="Z5" i="2"/>
  <c r="AA5" i="2" s="1"/>
  <c r="Z14" i="2"/>
  <c r="AA14" i="2" s="1"/>
  <c r="Z56" i="2"/>
  <c r="AA56" i="2" s="1"/>
  <c r="Z4" i="2"/>
  <c r="AA4" i="2" s="1"/>
  <c r="Z47" i="2"/>
  <c r="AA47" i="2" s="1"/>
  <c r="Z55" i="2"/>
  <c r="AA55" i="2" s="1"/>
  <c r="Z58" i="2"/>
  <c r="AA58" i="2" s="1"/>
  <c r="Z43" i="2"/>
  <c r="AA43" i="2" s="1"/>
  <c r="Z27" i="2"/>
  <c r="AA27" i="2" s="1"/>
  <c r="Z68" i="2"/>
  <c r="AA68" i="2" s="1"/>
  <c r="Z19" i="2"/>
  <c r="AA19" i="2" s="1"/>
  <c r="Z36" i="2"/>
  <c r="AA36" i="2" s="1"/>
  <c r="Z53" i="2"/>
  <c r="AA53" i="2" s="1"/>
  <c r="Z61" i="2"/>
  <c r="AA61" i="2" s="1"/>
  <c r="AE71" i="2"/>
  <c r="E47" i="2"/>
  <c r="C19" i="2"/>
  <c r="C34" i="2"/>
  <c r="E45" i="2"/>
  <c r="C32" i="2"/>
  <c r="E40" i="2"/>
  <c r="E25" i="2"/>
  <c r="E67" i="2"/>
  <c r="C64" i="2"/>
  <c r="C7" i="2"/>
  <c r="E64" i="2"/>
  <c r="C66" i="2"/>
  <c r="E69" i="2"/>
  <c r="C46" i="2"/>
  <c r="E44" i="2"/>
  <c r="E56" i="2"/>
  <c r="E39" i="2"/>
  <c r="E59" i="2"/>
  <c r="C52" i="2"/>
  <c r="E30" i="2"/>
  <c r="E54" i="2"/>
  <c r="E18" i="2"/>
  <c r="C13" i="2"/>
  <c r="C33" i="2"/>
  <c r="C63" i="2"/>
  <c r="C41" i="2"/>
  <c r="E17" i="2"/>
  <c r="C61" i="2"/>
  <c r="E19" i="2"/>
  <c r="C20" i="2"/>
  <c r="E51" i="2"/>
  <c r="C12" i="2"/>
  <c r="Z66" i="2"/>
  <c r="AA66" i="2" s="1"/>
  <c r="Z29" i="2"/>
  <c r="AA29" i="2" s="1"/>
  <c r="Z48" i="2"/>
  <c r="AA48" i="2" s="1"/>
  <c r="Z44" i="2"/>
  <c r="AA44" i="2" s="1"/>
  <c r="Z39" i="2"/>
  <c r="AA39" i="2" s="1"/>
  <c r="Z35" i="2"/>
  <c r="AA35" i="2" s="1"/>
  <c r="Z65" i="2"/>
  <c r="AA65" i="2" s="1"/>
  <c r="Z20" i="2"/>
  <c r="AA20" i="2" s="1"/>
  <c r="Z62" i="2"/>
  <c r="AA62" i="2" s="1"/>
  <c r="C42" i="2"/>
  <c r="C67" i="2"/>
  <c r="E57" i="2"/>
  <c r="C44" i="2"/>
  <c r="E10" i="2"/>
  <c r="E22" i="2"/>
  <c r="C47" i="2"/>
  <c r="E16" i="2"/>
  <c r="E50" i="2"/>
  <c r="E38" i="2"/>
  <c r="E14" i="2"/>
  <c r="E34" i="2"/>
  <c r="C37" i="2"/>
  <c r="E63" i="2"/>
  <c r="E46" i="2"/>
  <c r="E29" i="2"/>
  <c r="E53" i="2"/>
  <c r="C15" i="2"/>
  <c r="E9" i="2"/>
  <c r="C17" i="2"/>
  <c r="E27" i="2"/>
  <c r="E35" i="2"/>
  <c r="C62" i="2"/>
  <c r="C5" i="2"/>
  <c r="C14" i="2"/>
  <c r="E36" i="2"/>
  <c r="E24" i="2"/>
  <c r="C27" i="2"/>
  <c r="E8" i="2"/>
  <c r="E37" i="2"/>
  <c r="C45" i="2"/>
  <c r="E48" i="2"/>
  <c r="C57" i="2"/>
  <c r="Z51" i="2"/>
  <c r="AA51" i="2" s="1"/>
  <c r="H35" i="2"/>
  <c r="CY19" i="2" l="1"/>
  <c r="CY16" i="2"/>
  <c r="CY15" i="2"/>
  <c r="CY17" i="2"/>
  <c r="CY18" i="2"/>
  <c r="CK26" i="2"/>
  <c r="CO51" i="2"/>
  <c r="AP66" i="2"/>
  <c r="BG58" i="2"/>
  <c r="BH65" i="2"/>
  <c r="CC26" i="2"/>
  <c r="AP65" i="2"/>
  <c r="BG64" i="2"/>
  <c r="BM48" i="2"/>
  <c r="BC49" i="2"/>
  <c r="AX59" i="2"/>
  <c r="BL65" i="2"/>
  <c r="BL54" i="2"/>
  <c r="CI17" i="2"/>
  <c r="AX55" i="2"/>
  <c r="AT58" i="2"/>
  <c r="BG53" i="2"/>
  <c r="BJ55" i="2"/>
  <c r="AP69" i="2"/>
  <c r="CA35" i="2"/>
  <c r="BA70" i="2"/>
  <c r="AZ63" i="2"/>
  <c r="BB51" i="2"/>
  <c r="CO14" i="2"/>
  <c r="BH59" i="2"/>
  <c r="BH68" i="2"/>
  <c r="BD65" i="2"/>
  <c r="BN40" i="2"/>
  <c r="BY27" i="2"/>
  <c r="AY62" i="2"/>
  <c r="AZ70" i="2"/>
  <c r="CT6" i="2"/>
  <c r="BD54" i="2"/>
  <c r="AO69" i="2"/>
  <c r="BR35" i="2"/>
  <c r="BC52" i="2"/>
  <c r="AW63" i="2"/>
  <c r="BW46" i="2"/>
  <c r="AO65" i="2"/>
  <c r="BC70" i="2"/>
  <c r="AW64" i="2"/>
  <c r="BI44" i="2"/>
  <c r="BG49" i="2"/>
  <c r="BJ53" i="2"/>
  <c r="CK70" i="2"/>
  <c r="AT61" i="2"/>
  <c r="AY64" i="2"/>
  <c r="BR52" i="2"/>
  <c r="BK42" i="2"/>
  <c r="BT43" i="2"/>
  <c r="CS52" i="2"/>
  <c r="AW59" i="2"/>
  <c r="AU60" i="2"/>
  <c r="AW70" i="2"/>
  <c r="BD58" i="2"/>
  <c r="AJ68" i="2"/>
  <c r="AV68" i="2"/>
  <c r="BC50" i="2"/>
  <c r="BB65" i="2"/>
  <c r="BC54" i="2"/>
  <c r="BF64" i="2"/>
  <c r="BI49" i="2"/>
  <c r="AT60" i="2"/>
  <c r="CA25" i="2"/>
  <c r="BO60" i="2"/>
  <c r="BI55" i="2"/>
  <c r="BM56" i="2"/>
  <c r="BE66" i="2"/>
  <c r="BG59" i="2"/>
  <c r="AT69" i="2"/>
  <c r="BP56" i="2"/>
  <c r="BM63" i="2"/>
  <c r="BP65" i="2"/>
  <c r="BQ54" i="2"/>
  <c r="BY31" i="2"/>
  <c r="CR14" i="2"/>
  <c r="CF26" i="2"/>
  <c r="BB66" i="2"/>
  <c r="BG56" i="2"/>
  <c r="BG51" i="2"/>
  <c r="BE48" i="2"/>
  <c r="BG63" i="2"/>
  <c r="BD68" i="2"/>
  <c r="AV60" i="2"/>
  <c r="AO68" i="2"/>
  <c r="BG52" i="2"/>
  <c r="BR63" i="2"/>
  <c r="BT32" i="2"/>
  <c r="BV30" i="2"/>
  <c r="BT70" i="2"/>
  <c r="AS61" i="2"/>
  <c r="AY63" i="2"/>
  <c r="AY53" i="2"/>
  <c r="AU58" i="2"/>
  <c r="BI60" i="2"/>
  <c r="CF22" i="2"/>
  <c r="BB53" i="2"/>
  <c r="BF59" i="2"/>
  <c r="BZ70" i="2"/>
  <c r="CT66" i="2"/>
  <c r="AO64" i="2"/>
  <c r="AU66" i="2"/>
  <c r="BB70" i="2"/>
  <c r="BA53" i="2"/>
  <c r="AZ62" i="2"/>
  <c r="AX61" i="2"/>
  <c r="AU63" i="2"/>
  <c r="BJ63" i="2"/>
  <c r="BI43" i="2"/>
  <c r="BC51" i="2"/>
  <c r="BM53" i="2"/>
  <c r="BB52" i="2"/>
  <c r="BK45" i="2"/>
  <c r="AR61" i="2"/>
  <c r="AX69" i="2"/>
  <c r="BH69" i="2"/>
  <c r="BQ41" i="2"/>
  <c r="BR48" i="2"/>
  <c r="BY35" i="2"/>
  <c r="CH30" i="2"/>
  <c r="CB25" i="2"/>
  <c r="CB70" i="2"/>
  <c r="CR9" i="2"/>
  <c r="BA65" i="2"/>
  <c r="BB54" i="2"/>
  <c r="BE64" i="2"/>
  <c r="BI65" i="2"/>
  <c r="AX60" i="2"/>
  <c r="CF21" i="2"/>
  <c r="BN65" i="2"/>
  <c r="BL55" i="2"/>
  <c r="BE58" i="2"/>
  <c r="BJ64" i="2"/>
  <c r="BP58" i="2"/>
  <c r="BW31" i="2"/>
  <c r="CL14" i="2"/>
  <c r="BD64" i="2"/>
  <c r="AY55" i="2"/>
  <c r="BO52" i="2"/>
  <c r="BJ66" i="2"/>
  <c r="BO41" i="2"/>
  <c r="CH70" i="2"/>
  <c r="AZ56" i="2"/>
  <c r="BE49" i="2"/>
  <c r="CV47" i="2"/>
  <c r="CN35" i="2"/>
  <c r="BA52" i="2"/>
  <c r="AR68" i="2"/>
  <c r="AR70" i="2"/>
  <c r="BC59" i="2"/>
  <c r="AL66" i="2"/>
  <c r="AQ70" i="2"/>
  <c r="AW55" i="2"/>
  <c r="BB50" i="2"/>
  <c r="AZ68" i="2"/>
  <c r="BA59" i="2"/>
  <c r="BD62" i="2"/>
  <c r="BA61" i="2"/>
  <c r="BN48" i="2"/>
  <c r="BL63" i="2"/>
  <c r="AY65" i="2"/>
  <c r="AZ58" i="2"/>
  <c r="BL64" i="2"/>
  <c r="AX65" i="2"/>
  <c r="BJ58" i="2"/>
  <c r="BH66" i="2"/>
  <c r="BM69" i="2"/>
  <c r="BS39" i="2"/>
  <c r="BR45" i="2"/>
  <c r="BM46" i="2"/>
  <c r="BT60" i="2"/>
  <c r="BW30" i="2"/>
  <c r="CB27" i="2"/>
  <c r="BY70" i="2"/>
  <c r="AS70" i="2"/>
  <c r="AV58" i="2"/>
  <c r="BH64" i="2"/>
  <c r="BC64" i="2"/>
  <c r="BN41" i="2"/>
  <c r="BB58" i="2"/>
  <c r="BF70" i="2"/>
  <c r="BK70" i="2"/>
  <c r="BI62" i="2"/>
  <c r="AY69" i="2"/>
  <c r="BQ45" i="2"/>
  <c r="BW43" i="2"/>
  <c r="CK23" i="2"/>
  <c r="AV62" i="2"/>
  <c r="BH48" i="2"/>
  <c r="BA66" i="2"/>
  <c r="BL56" i="2"/>
  <c r="AM70" i="2"/>
  <c r="BP48" i="2"/>
  <c r="BL70" i="2"/>
  <c r="BF46" i="2"/>
  <c r="BS60" i="2"/>
  <c r="CS54" i="2"/>
  <c r="CG41" i="2"/>
  <c r="CO52" i="2"/>
  <c r="CK44" i="2"/>
  <c r="CP49" i="2"/>
  <c r="CB28" i="2"/>
  <c r="CI20" i="2"/>
  <c r="CK53" i="2"/>
  <c r="CN26" i="2"/>
  <c r="CB55" i="2"/>
  <c r="CI32" i="2"/>
  <c r="CK59" i="2"/>
  <c r="CQ42" i="2"/>
  <c r="CT23" i="2"/>
  <c r="CU68" i="2"/>
  <c r="CV48" i="2"/>
  <c r="CW25" i="2"/>
  <c r="CE65" i="2"/>
  <c r="CH69" i="2"/>
  <c r="BY63" i="2"/>
  <c r="CM35" i="2"/>
  <c r="CQ32" i="2"/>
  <c r="CD55" i="2"/>
  <c r="CI60" i="2"/>
  <c r="CL33" i="2"/>
  <c r="CN59" i="2"/>
  <c r="CD70" i="2"/>
  <c r="CI70" i="2"/>
  <c r="CL38" i="2"/>
  <c r="CR33" i="2"/>
  <c r="CT55" i="2"/>
  <c r="CV20" i="2"/>
  <c r="CV70" i="2"/>
  <c r="CW41" i="2"/>
  <c r="CM62" i="2"/>
  <c r="CP46" i="2"/>
  <c r="CQ43" i="2"/>
  <c r="CR45" i="2"/>
  <c r="CS32" i="2"/>
  <c r="CT12" i="2"/>
  <c r="CT61" i="2"/>
  <c r="CU39" i="2"/>
  <c r="CV17" i="2"/>
  <c r="CV49" i="2"/>
  <c r="CW18" i="2"/>
  <c r="CW50" i="2"/>
  <c r="CM33" i="2"/>
  <c r="CO31" i="2"/>
  <c r="CQ13" i="2"/>
  <c r="CQ55" i="2"/>
  <c r="CR36" i="2"/>
  <c r="CS13" i="2"/>
  <c r="CS45" i="2"/>
  <c r="CT17" i="2"/>
  <c r="CT49" i="2"/>
  <c r="CU20" i="2"/>
  <c r="CU52" i="2"/>
  <c r="CV22" i="2"/>
  <c r="CV54" i="2"/>
  <c r="CW23" i="2"/>
  <c r="CW55" i="2"/>
  <c r="CD65" i="2"/>
  <c r="CK60" i="2"/>
  <c r="CF65" i="2"/>
  <c r="CN66" i="2"/>
  <c r="CR18" i="2"/>
  <c r="CF45" i="2"/>
  <c r="CJ41" i="2"/>
  <c r="CL66" i="2"/>
  <c r="CO38" i="2"/>
  <c r="CF60" i="2"/>
  <c r="CJ46" i="2"/>
  <c r="CO23" i="2"/>
  <c r="CS15" i="2"/>
  <c r="CU22" i="2"/>
  <c r="CV24" i="2"/>
  <c r="CW4" i="2"/>
  <c r="CW49" i="2"/>
  <c r="CN15" i="2"/>
  <c r="CP54" i="2"/>
  <c r="CQ54" i="2"/>
  <c r="CR51" i="2"/>
  <c r="CS36" i="2"/>
  <c r="CT20" i="2"/>
  <c r="CT65" i="2"/>
  <c r="CU43" i="2"/>
  <c r="CV21" i="2"/>
  <c r="CV53" i="2"/>
  <c r="CW22" i="2"/>
  <c r="CW54" i="2"/>
  <c r="CM49" i="2"/>
  <c r="CO47" i="2"/>
  <c r="CQ18" i="2"/>
  <c r="CQ62" i="2"/>
  <c r="CR41" i="2"/>
  <c r="CS17" i="2"/>
  <c r="CS49" i="2"/>
  <c r="CT21" i="2"/>
  <c r="CT53" i="2"/>
  <c r="CU24" i="2"/>
  <c r="CU61" i="2"/>
  <c r="CV26" i="2"/>
  <c r="CV59" i="2"/>
  <c r="CW27" i="2"/>
  <c r="CW60" i="2"/>
  <c r="CN39" i="2"/>
  <c r="CP34" i="2"/>
  <c r="CQ30" i="2"/>
  <c r="CR11" i="2"/>
  <c r="CR53" i="2"/>
  <c r="CS26" i="2"/>
  <c r="CS59" i="2"/>
  <c r="CT30" i="2"/>
  <c r="CT63" i="2"/>
  <c r="CU33" i="2"/>
  <c r="CU66" i="2"/>
  <c r="CV35" i="2"/>
  <c r="CW3" i="2"/>
  <c r="CW28" i="2"/>
  <c r="CW48" i="2"/>
  <c r="H25" i="2"/>
  <c r="BR70" i="2"/>
  <c r="CG70" i="2"/>
  <c r="CM14" i="2"/>
  <c r="CB29" i="2"/>
  <c r="CD22" i="2"/>
  <c r="BW35" i="2"/>
  <c r="BQ43" i="2"/>
  <c r="BM58" i="2"/>
  <c r="BL46" i="2"/>
  <c r="BP61" i="2"/>
  <c r="BT45" i="2"/>
  <c r="BS64" i="2"/>
  <c r="BS53" i="2"/>
  <c r="BS69" i="2"/>
  <c r="AK69" i="2"/>
  <c r="AN69" i="2"/>
  <c r="BF60" i="2"/>
  <c r="BG68" i="2"/>
  <c r="BD51" i="2"/>
  <c r="BI70" i="2"/>
  <c r="BM40" i="2"/>
  <c r="AT66" i="2"/>
  <c r="BH51" i="2"/>
  <c r="BL52" i="2"/>
  <c r="BO44" i="2"/>
  <c r="CO58" i="2"/>
  <c r="CM44" i="2"/>
  <c r="CP60" i="2"/>
  <c r="CW21" i="2"/>
  <c r="CO60" i="2"/>
  <c r="CR24" i="2"/>
  <c r="CS61" i="2"/>
  <c r="CU23" i="2"/>
  <c r="CV37" i="2"/>
  <c r="CW38" i="2"/>
  <c r="CN51" i="2"/>
  <c r="CQ39" i="2"/>
  <c r="CR62" i="2"/>
  <c r="CS66" i="2"/>
  <c r="CU8" i="2"/>
  <c r="CV10" i="2"/>
  <c r="CW11" i="2"/>
  <c r="CM21" i="2"/>
  <c r="CP26" i="2"/>
  <c r="CQ46" i="2"/>
  <c r="CR32" i="2"/>
  <c r="CS22" i="2"/>
  <c r="CT10" i="2"/>
  <c r="CT46" i="2"/>
  <c r="CU29" i="2"/>
  <c r="CV15" i="2"/>
  <c r="CV51" i="2"/>
  <c r="CW20" i="2"/>
  <c r="CW52" i="2"/>
  <c r="CF23" i="2"/>
  <c r="BS70" i="2"/>
  <c r="CI23" i="2"/>
  <c r="BZ31" i="2"/>
  <c r="BS35" i="2"/>
  <c r="BP43" i="2"/>
  <c r="BQ65" i="2"/>
  <c r="BP52" i="2"/>
  <c r="BT41" i="2"/>
  <c r="BQ56" i="2"/>
  <c r="BJ60" i="2"/>
  <c r="BA69" i="2"/>
  <c r="AZ69" i="2"/>
  <c r="BF53" i="2"/>
  <c r="BF49" i="2"/>
  <c r="BK49" i="2"/>
  <c r="BN64" i="2"/>
  <c r="BI59" i="2"/>
  <c r="BM61" i="2"/>
  <c r="AU59" i="2"/>
  <c r="BF54" i="2"/>
  <c r="BF63" i="2"/>
  <c r="BF55" i="2"/>
  <c r="AV63" i="2"/>
  <c r="BK41" i="2"/>
  <c r="BK46" i="2"/>
  <c r="AU64" i="2"/>
  <c r="BE51" i="2"/>
  <c r="BC61" i="2"/>
  <c r="BF56" i="2"/>
  <c r="AS65" i="2"/>
  <c r="BC55" i="2"/>
  <c r="AT68" i="2"/>
  <c r="AV70" i="2"/>
  <c r="BA58" i="2"/>
  <c r="CN12" i="2"/>
  <c r="BN70" i="2"/>
  <c r="CP10" i="2"/>
  <c r="CL15" i="2"/>
  <c r="BV31" i="2"/>
  <c r="CE24" i="2"/>
  <c r="CJ17" i="2"/>
  <c r="BV60" i="2"/>
  <c r="BR65" i="2"/>
  <c r="BO50" i="2"/>
  <c r="BQ53" i="2"/>
  <c r="BT37" i="2"/>
  <c r="BS46" i="2"/>
  <c r="BO69" i="2"/>
  <c r="BD69" i="2"/>
  <c r="AK68" i="2"/>
  <c r="BE60" i="2"/>
  <c r="AU65" i="2"/>
  <c r="BH56" i="2"/>
  <c r="BK53" i="2"/>
  <c r="BN52" i="2"/>
  <c r="BT46" i="2"/>
  <c r="CR50" i="2"/>
  <c r="CP14" i="2"/>
  <c r="CS47" i="2"/>
  <c r="CW66" i="2"/>
  <c r="CQ17" i="2"/>
  <c r="CS8" i="2"/>
  <c r="CT36" i="2"/>
  <c r="CU60" i="2"/>
  <c r="CV66" i="2"/>
  <c r="CW68" i="2"/>
  <c r="CP31" i="2"/>
  <c r="CR15" i="2"/>
  <c r="CS29" i="2"/>
  <c r="CT33" i="2"/>
  <c r="CU36" i="2"/>
  <c r="CV38" i="2"/>
  <c r="CW39" i="2"/>
  <c r="CN23" i="2"/>
  <c r="CP59" i="2"/>
  <c r="CQ51" i="2"/>
  <c r="CR48" i="2"/>
  <c r="CS38" i="2"/>
  <c r="CT14" i="2"/>
  <c r="CT59" i="2"/>
  <c r="CU45" i="2"/>
  <c r="CV19" i="2"/>
  <c r="CV69" i="2"/>
  <c r="CW32" i="2"/>
  <c r="CW65" i="2"/>
  <c r="CG26" i="2"/>
  <c r="CI26" i="2"/>
  <c r="BM70" i="2"/>
  <c r="BZ27" i="2"/>
  <c r="BW54" i="2"/>
  <c r="BU60" i="2"/>
  <c r="BO65" i="2"/>
  <c r="BN63" i="2"/>
  <c r="BR41" i="2"/>
  <c r="BX32" i="2"/>
  <c r="BK59" i="2"/>
  <c r="AR69" i="2"/>
  <c r="BD59" i="2"/>
  <c r="BH70" i="2"/>
  <c r="BG65" i="2"/>
  <c r="BL47" i="2"/>
  <c r="AY60" i="2"/>
  <c r="BJ59" i="2"/>
  <c r="BN53" i="2"/>
  <c r="AX58" i="2"/>
  <c r="CN13" i="2"/>
  <c r="BB68" i="2"/>
  <c r="AZ59" i="2"/>
  <c r="AT63" i="2"/>
  <c r="BJ42" i="2"/>
  <c r="BG48" i="2"/>
  <c r="BB64" i="2"/>
  <c r="AR62" i="2"/>
  <c r="AY54" i="2"/>
  <c r="AQ62" i="2"/>
  <c r="AY58" i="2"/>
  <c r="BB55" i="2"/>
  <c r="AR65" i="2"/>
  <c r="AM68" i="2"/>
  <c r="AX66" i="2"/>
  <c r="CG23" i="2"/>
  <c r="BW70" i="2"/>
  <c r="CE23" i="2"/>
  <c r="CH23" i="2"/>
  <c r="BX31" i="2"/>
  <c r="CF30" i="2"/>
  <c r="BP54" i="2"/>
  <c r="BR34" i="2"/>
  <c r="BT65" i="2"/>
  <c r="BQ52" i="2"/>
  <c r="BQ49" i="2"/>
  <c r="AN64" i="2"/>
  <c r="BP68" i="2"/>
  <c r="CV5" i="2"/>
  <c r="AQ69" i="2"/>
  <c r="BE53" i="2"/>
  <c r="BF65" i="2"/>
  <c r="BA56" i="2"/>
  <c r="BI58" i="2"/>
  <c r="BL51" i="2"/>
  <c r="CN20" i="2"/>
  <c r="CH27" i="2"/>
  <c r="CH39" i="2"/>
  <c r="CU46" i="2"/>
  <c r="CL42" i="2"/>
  <c r="CQ22" i="2"/>
  <c r="CS16" i="2"/>
  <c r="CT40" i="2"/>
  <c r="CU69" i="2"/>
  <c r="CW5" i="2"/>
  <c r="CL46" i="2"/>
  <c r="CP39" i="2"/>
  <c r="CR20" i="2"/>
  <c r="CS33" i="2"/>
  <c r="CT37" i="2"/>
  <c r="CU40" i="2"/>
  <c r="CV42" i="2"/>
  <c r="CW43" i="2"/>
  <c r="CO35" i="2"/>
  <c r="CP68" i="2"/>
  <c r="CQ69" i="2"/>
  <c r="CR68" i="2"/>
  <c r="CS42" i="2"/>
  <c r="CT26" i="2"/>
  <c r="CU13" i="2"/>
  <c r="CU49" i="2"/>
  <c r="CV31" i="2"/>
  <c r="CW12" i="2"/>
  <c r="CW36" i="2"/>
  <c r="CW70" i="2"/>
  <c r="BV70" i="2"/>
  <c r="CR10" i="2"/>
  <c r="CC25" i="2"/>
  <c r="CB24" i="2"/>
  <c r="BS54" i="2"/>
  <c r="BX35" i="2"/>
  <c r="BO46" i="2"/>
  <c r="BP53" i="2"/>
  <c r="BO68" i="2"/>
  <c r="BQ60" i="2"/>
  <c r="AP62" i="2"/>
  <c r="BF69" i="2"/>
  <c r="BH45" i="2"/>
  <c r="AS62" i="2"/>
  <c r="BI54" i="2"/>
  <c r="BM60" i="2"/>
  <c r="BC58" i="2"/>
  <c r="BK62" i="2"/>
  <c r="BO64" i="2"/>
  <c r="BA51" i="2"/>
  <c r="BX29" i="2"/>
  <c r="AX70" i="2"/>
  <c r="AS60" i="2"/>
  <c r="BB63" i="2"/>
  <c r="BH60" i="2"/>
  <c r="BL48" i="2"/>
  <c r="AS64" i="2"/>
  <c r="BB61" i="2"/>
  <c r="BA54" i="2"/>
  <c r="AT62" i="2"/>
  <c r="BD50" i="2"/>
  <c r="BE55" i="2"/>
  <c r="AX68" i="2"/>
  <c r="BA68" i="2"/>
  <c r="AM66" i="2"/>
  <c r="AN70" i="2"/>
  <c r="AW60" i="2"/>
  <c r="AT65" i="2"/>
  <c r="AV66" i="2"/>
  <c r="AX64" i="2"/>
  <c r="AZ54" i="2"/>
  <c r="AP64" i="2"/>
  <c r="BF48" i="2"/>
  <c r="BJ49" i="2"/>
  <c r="AQ63" i="2"/>
  <c r="BA55" i="2"/>
  <c r="BC63" i="2"/>
  <c r="CQ9" i="2"/>
  <c r="AW58" i="2"/>
  <c r="BO40" i="2"/>
  <c r="BL44" i="2"/>
  <c r="BG66" i="2"/>
  <c r="AS66" i="2"/>
  <c r="BL59" i="2"/>
  <c r="BI66" i="2"/>
  <c r="BB62" i="2"/>
  <c r="BG60" i="2"/>
  <c r="BF52" i="2"/>
  <c r="BK69" i="2"/>
  <c r="CW6" i="2"/>
  <c r="BO61" i="2"/>
  <c r="BI64" i="2"/>
  <c r="BO45" i="2"/>
  <c r="BJ61" i="2"/>
  <c r="BT33" i="2"/>
  <c r="BQ58" i="2"/>
  <c r="BK43" i="2"/>
  <c r="BR54" i="2"/>
  <c r="CH22" i="2"/>
  <c r="CI29" i="2"/>
  <c r="CJ23" i="2"/>
  <c r="CN14" i="2"/>
  <c r="BU70" i="2"/>
  <c r="CC23" i="2"/>
  <c r="AW66" i="2"/>
  <c r="BD49" i="2"/>
  <c r="AN66" i="2"/>
  <c r="AX56" i="2"/>
  <c r="BH61" i="2"/>
  <c r="BG47" i="2"/>
  <c r="AS59" i="2"/>
  <c r="BJ46" i="2"/>
  <c r="BN39" i="2"/>
  <c r="AR63" i="2"/>
  <c r="BG70" i="2"/>
  <c r="BG61" i="2"/>
  <c r="BE50" i="2"/>
  <c r="AT59" i="2"/>
  <c r="BN45" i="2"/>
  <c r="BK54" i="2"/>
  <c r="BE68" i="2"/>
  <c r="BN56" i="2"/>
  <c r="BK61" i="2"/>
  <c r="BI45" i="2"/>
  <c r="AV65" i="2"/>
  <c r="BE65" i="2"/>
  <c r="AL70" i="2"/>
  <c r="BE69" i="2"/>
  <c r="BH63" i="2"/>
  <c r="BW50" i="2"/>
  <c r="BI68" i="2"/>
  <c r="BR49" i="2"/>
  <c r="BI52" i="2"/>
  <c r="BU65" i="2"/>
  <c r="BW34" i="2"/>
  <c r="BV43" i="2"/>
  <c r="BN54" i="2"/>
  <c r="CG22" i="2"/>
  <c r="CD29" i="2"/>
  <c r="CE21" i="2"/>
  <c r="CC70" i="2"/>
  <c r="BP70" i="2"/>
  <c r="CO13" i="2"/>
  <c r="AW56" i="2"/>
  <c r="BF61" i="2"/>
  <c r="BF51" i="2"/>
  <c r="AZ64" i="2"/>
  <c r="BD48" i="2"/>
  <c r="BM41" i="2"/>
  <c r="BA63" i="2"/>
  <c r="BC53" i="2"/>
  <c r="BE62" i="2"/>
  <c r="BF62" i="2"/>
  <c r="AU70" i="2"/>
  <c r="BN61" i="2"/>
  <c r="BK66" i="2"/>
  <c r="BG50" i="2"/>
  <c r="BN68" i="2"/>
  <c r="BJ50" i="2"/>
  <c r="BH50" i="2"/>
  <c r="AU69" i="2"/>
  <c r="BM39" i="2"/>
  <c r="BP45" i="2"/>
  <c r="BN46" i="2"/>
  <c r="BU43" i="2"/>
  <c r="CA27" i="2"/>
  <c r="CM23" i="2"/>
  <c r="CH26" i="2"/>
  <c r="BC68" i="2"/>
  <c r="AZ52" i="2"/>
  <c r="AY61" i="2"/>
  <c r="AL68" i="2"/>
  <c r="BC62" i="2"/>
  <c r="BN44" i="2"/>
  <c r="BN69" i="2"/>
  <c r="BP49" i="2"/>
  <c r="BX30" i="2"/>
  <c r="CT7" i="2"/>
  <c r="CU62" i="2"/>
  <c r="CS10" i="2"/>
  <c r="CL68" i="2"/>
  <c r="CS62" i="2"/>
  <c r="CW34" i="2"/>
  <c r="CR19" i="2"/>
  <c r="CK21" i="2"/>
  <c r="AR67" i="2"/>
  <c r="BG67" i="2"/>
  <c r="AU68" i="2"/>
  <c r="AO70" i="2"/>
  <c r="AP70" i="2"/>
  <c r="AZ55" i="2"/>
  <c r="AY66" i="2"/>
  <c r="BD70" i="2"/>
  <c r="BB60" i="2"/>
  <c r="AT64" i="2"/>
  <c r="AK70" i="2"/>
  <c r="AW65" i="2"/>
  <c r="AY70" i="2"/>
  <c r="BD55" i="2"/>
  <c r="AS68" i="2"/>
  <c r="BC65" i="2"/>
  <c r="AR60" i="2"/>
  <c r="BE59" i="2"/>
  <c r="BB59" i="2"/>
  <c r="AQ68" i="2"/>
  <c r="AN65" i="2"/>
  <c r="AZ66" i="2"/>
  <c r="AZ60" i="2"/>
  <c r="AV59" i="2"/>
  <c r="BC66" i="2"/>
  <c r="AQ66" i="2"/>
  <c r="AY56" i="2"/>
  <c r="AW61" i="2"/>
  <c r="BI47" i="2"/>
  <c r="AR64" i="2"/>
  <c r="BI46" i="2"/>
  <c r="BL69" i="2"/>
  <c r="AS63" i="2"/>
  <c r="BG54" i="2"/>
  <c r="BG45" i="2"/>
  <c r="BE61" i="2"/>
  <c r="AT70" i="2"/>
  <c r="BN49" i="2"/>
  <c r="BK58" i="2"/>
  <c r="BF50" i="2"/>
  <c r="BN60" i="2"/>
  <c r="BK65" i="2"/>
  <c r="BI50" i="2"/>
  <c r="AY59" i="2"/>
  <c r="BE70" i="2"/>
  <c r="BD53" i="2"/>
  <c r="AV69" i="2"/>
  <c r="BL40" i="2"/>
  <c r="BR46" i="2"/>
  <c r="BR37" i="2"/>
  <c r="BL49" i="2"/>
  <c r="BJ52" i="2"/>
  <c r="BV65" i="2"/>
  <c r="BL58" i="2"/>
  <c r="BS43" i="2"/>
  <c r="BV35" i="2"/>
  <c r="CD27" i="2"/>
  <c r="BW29" i="2"/>
  <c r="CI21" i="2"/>
  <c r="CF70" i="2"/>
  <c r="BQ70" i="2"/>
  <c r="CP13" i="2"/>
  <c r="AY68" i="2"/>
  <c r="BD66" i="2"/>
  <c r="AX62" i="2"/>
  <c r="BH54" i="2"/>
  <c r="AU61" i="2"/>
  <c r="BA64" i="2"/>
  <c r="AX54" i="2"/>
  <c r="BG69" i="2"/>
  <c r="BI63" i="2"/>
  <c r="AP63" i="2"/>
  <c r="AV56" i="2"/>
  <c r="BI53" i="2"/>
  <c r="BB56" i="2"/>
  <c r="AM65" i="2"/>
  <c r="BM49" i="2"/>
  <c r="BJ51" i="2"/>
  <c r="BA60" i="2"/>
  <c r="BM68" i="2"/>
  <c r="BJ70" i="2"/>
  <c r="BF66" i="2"/>
  <c r="AN68" i="2"/>
  <c r="BH53" i="2"/>
  <c r="AW69" i="2"/>
  <c r="AJ69" i="2"/>
  <c r="BO39" i="2"/>
  <c r="BI56" i="2"/>
  <c r="BQ37" i="2"/>
  <c r="BR53" i="2"/>
  <c r="BQ48" i="2"/>
  <c r="BS65" i="2"/>
  <c r="BZ35" i="2"/>
  <c r="BM43" i="2"/>
  <c r="BU35" i="2"/>
  <c r="BK64" i="2"/>
  <c r="CI25" i="2"/>
  <c r="CM15" i="2"/>
  <c r="BO70" i="2"/>
  <c r="CB26" i="2"/>
  <c r="CU6" i="2"/>
  <c r="BC56" i="2"/>
  <c r="AZ61" i="2"/>
  <c r="BF47" i="2"/>
  <c r="AM69" i="2"/>
  <c r="BH46" i="2"/>
  <c r="BP39" i="2"/>
  <c r="BE63" i="2"/>
  <c r="BJ43" i="2"/>
  <c r="BH52" i="2"/>
  <c r="BD56" i="2"/>
  <c r="AR66" i="2"/>
  <c r="BM65" i="2"/>
  <c r="BK50" i="2"/>
  <c r="BD52" i="2"/>
  <c r="BM64" i="2"/>
  <c r="BF58" i="2"/>
  <c r="BH49" i="2"/>
  <c r="BB69" i="2"/>
  <c r="BW63" i="2"/>
  <c r="BO63" i="2"/>
  <c r="BN58" i="2"/>
  <c r="BM54" i="2"/>
  <c r="CC29" i="2"/>
  <c r="CA70" i="2"/>
  <c r="CM13" i="2"/>
  <c r="AO66" i="2"/>
  <c r="BD60" i="2"/>
  <c r="BE47" i="2"/>
  <c r="AX63" i="2"/>
  <c r="AQ64" i="2"/>
  <c r="BJ62" i="2"/>
  <c r="CU5" i="2"/>
  <c r="BS48" i="2"/>
  <c r="BU31" i="2"/>
  <c r="CW44" i="2"/>
  <c r="CU17" i="2"/>
  <c r="CR27" i="2"/>
  <c r="CW7" i="2"/>
  <c r="CR58" i="2"/>
  <c r="CV33" i="2"/>
  <c r="CO27" i="2"/>
  <c r="CI59" i="2"/>
  <c r="BO56" i="2"/>
  <c r="BL60" i="2"/>
  <c r="BI51" i="2"/>
  <c r="AW68" i="2"/>
  <c r="BM52" i="2"/>
  <c r="BJ54" i="2"/>
  <c r="BE56" i="2"/>
  <c r="BH58" i="2"/>
  <c r="BG55" i="2"/>
  <c r="BC69" i="2"/>
  <c r="AS69" i="2"/>
  <c r="BP50" i="2"/>
  <c r="BK60" i="2"/>
  <c r="BP41" i="2"/>
  <c r="BR61" i="2"/>
  <c r="BG46" i="2"/>
  <c r="AQ65" i="2"/>
  <c r="BP60" i="2"/>
  <c r="CH18" i="2"/>
  <c r="CG30" i="2"/>
  <c r="CA31" i="2"/>
  <c r="CA26" i="2"/>
  <c r="CD23" i="2"/>
  <c r="BX70" i="2"/>
  <c r="BZ26" i="2"/>
  <c r="AU62" i="2"/>
  <c r="BE54" i="2"/>
  <c r="AQ61" i="2"/>
  <c r="AV64" i="2"/>
  <c r="BO48" i="2"/>
  <c r="BH44" i="2"/>
  <c r="BD63" i="2"/>
  <c r="AO63" i="2"/>
  <c r="AW62" i="2"/>
  <c r="BS33" i="2"/>
  <c r="BA62" i="2"/>
  <c r="AJ70" i="2"/>
  <c r="H30" i="2" s="1"/>
  <c r="BM45" i="2"/>
  <c r="BJ47" i="2"/>
  <c r="AZ65" i="2"/>
  <c r="BM44" i="2"/>
  <c r="BD61" i="2"/>
  <c r="BF68" i="2"/>
  <c r="AL69" i="2"/>
  <c r="BR56" i="2"/>
  <c r="BQ61" i="2"/>
  <c r="BO58" i="2"/>
  <c r="BQ35" i="2"/>
  <c r="CD25" i="2"/>
  <c r="CE70" i="2"/>
  <c r="CS7" i="2"/>
  <c r="BC60" i="2"/>
  <c r="BH62" i="2"/>
  <c r="AP68" i="2"/>
  <c r="BL43" i="2"/>
  <c r="BL68" i="2"/>
  <c r="AZ53" i="2"/>
  <c r="BO49" i="2"/>
  <c r="BR58" i="2"/>
  <c r="CJ70" i="2"/>
  <c r="CW16" i="2"/>
  <c r="CT42" i="2"/>
  <c r="CQ25" i="2"/>
  <c r="CV6" i="2"/>
  <c r="CQ34" i="2"/>
  <c r="CU15" i="2"/>
  <c r="CV40" i="2"/>
  <c r="BP57" i="2"/>
  <c r="BM67" i="2"/>
  <c r="CL56" i="2"/>
  <c r="CT67" i="2"/>
  <c r="CD67" i="2"/>
  <c r="BA67" i="2"/>
  <c r="CC57" i="2"/>
  <c r="CH57" i="2"/>
  <c r="BI57" i="2"/>
  <c r="BA57" i="2"/>
  <c r="CK56" i="2"/>
  <c r="BM47" i="2"/>
  <c r="CE67" i="2"/>
  <c r="CV67" i="2"/>
  <c r="AV67" i="2"/>
  <c r="AW67" i="2"/>
  <c r="BX57" i="2"/>
  <c r="CM57" i="2"/>
  <c r="AZ57" i="2"/>
  <c r="CI56" i="2"/>
  <c r="CA56" i="2"/>
  <c r="BZ67" i="2"/>
  <c r="BY67" i="2"/>
  <c r="CL67" i="2"/>
  <c r="BD67" i="2"/>
  <c r="AL67" i="2"/>
  <c r="BU57" i="2"/>
  <c r="BZ57" i="2"/>
  <c r="BM57" i="2"/>
  <c r="BL45" i="2"/>
  <c r="CH56" i="2"/>
  <c r="CO64" i="2"/>
  <c r="CM64" i="2"/>
  <c r="BJ65" i="2"/>
  <c r="CF57" i="2"/>
  <c r="BU56" i="2"/>
  <c r="CG67" i="2"/>
  <c r="CI67" i="2"/>
  <c r="AN67" i="2"/>
  <c r="CQ57" i="2"/>
  <c r="BR57" i="2"/>
  <c r="AW57" i="2"/>
  <c r="CU56" i="2"/>
  <c r="CO56" i="2"/>
  <c r="BO67" i="2"/>
  <c r="CF67" i="2"/>
  <c r="AK67" i="2"/>
  <c r="CL57" i="2"/>
  <c r="BL57" i="2"/>
  <c r="BW57" i="2"/>
  <c r="BH57" i="2"/>
  <c r="CF56" i="2"/>
  <c r="BZ56" i="2"/>
  <c r="CR67" i="2"/>
  <c r="BV67" i="2"/>
  <c r="BI67" i="2"/>
  <c r="AQ67" i="2"/>
  <c r="CI57" i="2"/>
  <c r="BD57" i="2"/>
  <c r="BG57" i="2"/>
  <c r="CS56" i="2"/>
  <c r="CB56" i="2"/>
  <c r="CJ64" i="2"/>
  <c r="CL64" i="2"/>
  <c r="CW64" i="2"/>
  <c r="BR64" i="2"/>
  <c r="CD64" i="2"/>
  <c r="BK56" i="2"/>
  <c r="CH64" i="2"/>
  <c r="CG64" i="2"/>
  <c r="BQ64" i="2"/>
  <c r="CA64" i="2"/>
  <c r="BO55" i="2"/>
  <c r="BQ36" i="2"/>
  <c r="BR40" i="2"/>
  <c r="BS55" i="2"/>
  <c r="BL62" i="2"/>
  <c r="BN55" i="2"/>
  <c r="BP66" i="2"/>
  <c r="BR66" i="2"/>
  <c r="BG62" i="2"/>
  <c r="BO38" i="2"/>
  <c r="BQ69" i="2"/>
  <c r="BT36" i="2"/>
  <c r="BT55" i="2"/>
  <c r="BU51" i="2"/>
  <c r="BV47" i="2"/>
  <c r="BW38" i="2"/>
  <c r="BX36" i="2"/>
  <c r="AV61" i="2"/>
  <c r="BK63" i="2"/>
  <c r="BN42" i="2"/>
  <c r="BP69" i="2"/>
  <c r="BR39" i="2"/>
  <c r="BS49" i="2"/>
  <c r="BT48" i="2"/>
  <c r="BU36" i="2"/>
  <c r="BU52" i="2"/>
  <c r="BV40" i="2"/>
  <c r="BV61" i="2"/>
  <c r="BL42" i="2"/>
  <c r="BP47" i="2"/>
  <c r="BR68" i="2"/>
  <c r="BT39" i="2"/>
  <c r="BU33" i="2"/>
  <c r="BU66" i="2"/>
  <c r="BV58" i="2"/>
  <c r="BW47" i="2"/>
  <c r="BX46" i="2"/>
  <c r="BX69" i="2"/>
  <c r="BY51" i="2"/>
  <c r="BZ39" i="2"/>
  <c r="BL50" i="2"/>
  <c r="BO66" i="2"/>
  <c r="BR69" i="2"/>
  <c r="BT40" i="2"/>
  <c r="BU34" i="2"/>
  <c r="BU68" i="2"/>
  <c r="BV59" i="2"/>
  <c r="CQ56" i="2"/>
  <c r="BT67" i="2"/>
  <c r="BS67" i="2"/>
  <c r="AY67" i="2"/>
  <c r="CA57" i="2"/>
  <c r="CR57" i="2"/>
  <c r="BF57" i="2"/>
  <c r="CV56" i="2"/>
  <c r="BW56" i="2"/>
  <c r="CP67" i="2"/>
  <c r="CS67" i="2"/>
  <c r="BP67" i="2"/>
  <c r="AM67" i="2"/>
  <c r="BV57" i="2"/>
  <c r="CG57" i="2"/>
  <c r="BN57" i="2"/>
  <c r="BL61" i="2"/>
  <c r="CJ56" i="2"/>
  <c r="CN64" i="2"/>
  <c r="CB67" i="2"/>
  <c r="CQ67" i="2"/>
  <c r="BL67" i="2"/>
  <c r="AP67" i="2"/>
  <c r="CT57" i="2"/>
  <c r="BS57" i="2"/>
  <c r="CJ57" i="2"/>
  <c r="AY57" i="2"/>
  <c r="CG56" i="2"/>
  <c r="BU64" i="2"/>
  <c r="BX56" i="2"/>
  <c r="CQ64" i="2"/>
  <c r="CP64" i="2"/>
  <c r="CB64" i="2"/>
  <c r="CV64" i="2"/>
  <c r="CK64" i="2"/>
  <c r="BX64" i="2"/>
  <c r="BP64" i="2"/>
  <c r="BW64" i="2"/>
  <c r="BO62" i="2"/>
  <c r="BQ40" i="2"/>
  <c r="BR44" i="2"/>
  <c r="BH47" i="2"/>
  <c r="BM66" i="2"/>
  <c r="BO51" i="2"/>
  <c r="BQ62" i="2"/>
  <c r="BS36" i="2"/>
  <c r="BK55" i="2"/>
  <c r="BP42" i="2"/>
  <c r="BR38" i="2"/>
  <c r="BT42" i="2"/>
  <c r="BT69" i="2"/>
  <c r="BU55" i="2"/>
  <c r="BV51" i="2"/>
  <c r="BW42" i="2"/>
  <c r="BX40" i="2"/>
  <c r="BI61" i="2"/>
  <c r="BL41" i="2"/>
  <c r="BO42" i="2"/>
  <c r="BQ38" i="2"/>
  <c r="BR47" i="2"/>
  <c r="BS61" i="2"/>
  <c r="BT52" i="2"/>
  <c r="BU40" i="2"/>
  <c r="BU61" i="2"/>
  <c r="BV44" i="2"/>
  <c r="BW39" i="2"/>
  <c r="BN59" i="2"/>
  <c r="BQ42" i="2"/>
  <c r="BS34" i="2"/>
  <c r="BT49" i="2"/>
  <c r="BU41" i="2"/>
  <c r="BV33" i="2"/>
  <c r="BV66" i="2"/>
  <c r="BW52" i="2"/>
  <c r="AS67" i="2"/>
  <c r="AU57" i="2"/>
  <c r="CU67" i="2"/>
  <c r="CN57" i="2"/>
  <c r="CN56" i="2"/>
  <c r="CO67" i="2"/>
  <c r="CP57" i="2"/>
  <c r="BV56" i="2"/>
  <c r="BZ64" i="2"/>
  <c r="BV64" i="2"/>
  <c r="BY64" i="2"/>
  <c r="BT64" i="2"/>
  <c r="BP40" i="2"/>
  <c r="BS47" i="2"/>
  <c r="BN38" i="2"/>
  <c r="BQ66" i="2"/>
  <c r="BM59" i="2"/>
  <c r="BS38" i="2"/>
  <c r="BU39" i="2"/>
  <c r="BV55" i="2"/>
  <c r="BX44" i="2"/>
  <c r="BM42" i="2"/>
  <c r="BQ46" i="2"/>
  <c r="BS66" i="2"/>
  <c r="BU44" i="2"/>
  <c r="BV48" i="2"/>
  <c r="BO37" i="2"/>
  <c r="BS50" i="2"/>
  <c r="BU49" i="2"/>
  <c r="BW32" i="2"/>
  <c r="BX51" i="2"/>
  <c r="BY43" i="2"/>
  <c r="BY69" i="2"/>
  <c r="BM50" i="2"/>
  <c r="BQ47" i="2"/>
  <c r="BS63" i="2"/>
  <c r="BU42" i="2"/>
  <c r="BV42" i="2"/>
  <c r="BW41" i="2"/>
  <c r="BW65" i="2"/>
  <c r="BX52" i="2"/>
  <c r="BY32" i="2"/>
  <c r="BY48" i="2"/>
  <c r="BZ28" i="2"/>
  <c r="BZ44" i="2"/>
  <c r="BZ65" i="2"/>
  <c r="CA51" i="2"/>
  <c r="CB33" i="2"/>
  <c r="CB49" i="2"/>
  <c r="CB66" i="2"/>
  <c r="CC45" i="2"/>
  <c r="CC62" i="2"/>
  <c r="CD41" i="2"/>
  <c r="CD58" i="2"/>
  <c r="CE32" i="2"/>
  <c r="CE48" i="2"/>
  <c r="CF34" i="2"/>
  <c r="CF50" i="2"/>
  <c r="CF68" i="2"/>
  <c r="CG46" i="2"/>
  <c r="CG63" i="2"/>
  <c r="CH42" i="2"/>
  <c r="CH59" i="2"/>
  <c r="BJ48" i="2"/>
  <c r="BO47" i="2"/>
  <c r="BQ68" i="2"/>
  <c r="BS68" i="2"/>
  <c r="BT62" i="2"/>
  <c r="BU62" i="2"/>
  <c r="BV62" i="2"/>
  <c r="BW55" i="2"/>
  <c r="BX38" i="2"/>
  <c r="BX58" i="2"/>
  <c r="BP46" i="2"/>
  <c r="BT63" i="2"/>
  <c r="BW69" i="2"/>
  <c r="BY41" i="2"/>
  <c r="BZ29" i="2"/>
  <c r="BZ58" i="2"/>
  <c r="CA33" i="2"/>
  <c r="CA54" i="2"/>
  <c r="CB35" i="2"/>
  <c r="CB63" i="2"/>
  <c r="CC39" i="2"/>
  <c r="CC61" i="2"/>
  <c r="CW57" i="2"/>
  <c r="CM56" i="2"/>
  <c r="CC67" i="2"/>
  <c r="BQ57" i="2"/>
  <c r="BN67" i="2"/>
  <c r="BT57" i="2"/>
  <c r="BK48" i="2"/>
  <c r="CE64" i="2"/>
  <c r="CF64" i="2"/>
  <c r="BP44" i="2"/>
  <c r="BS51" i="2"/>
  <c r="BN47" i="2"/>
  <c r="BR62" i="2"/>
  <c r="BN51" i="2"/>
  <c r="BS59" i="2"/>
  <c r="BU47" i="2"/>
  <c r="BV69" i="2"/>
  <c r="BX48" i="2"/>
  <c r="BM62" i="2"/>
  <c r="BQ63" i="2"/>
  <c r="BT38" i="2"/>
  <c r="BU48" i="2"/>
  <c r="BV52" i="2"/>
  <c r="BO59" i="2"/>
  <c r="BS62" i="2"/>
  <c r="BU58" i="2"/>
  <c r="BW40" i="2"/>
  <c r="BX55" i="2"/>
  <c r="BY47" i="2"/>
  <c r="BZ43" i="2"/>
  <c r="BN66" i="2"/>
  <c r="BR51" i="2"/>
  <c r="BT50" i="2"/>
  <c r="BU50" i="2"/>
  <c r="BV50" i="2"/>
  <c r="BW48" i="2"/>
  <c r="BX37" i="2"/>
  <c r="BX61" i="2"/>
  <c r="BY36" i="2"/>
  <c r="BY52" i="2"/>
  <c r="BZ32" i="2"/>
  <c r="BZ48" i="2"/>
  <c r="CA39" i="2"/>
  <c r="CA55" i="2"/>
  <c r="CB37" i="2"/>
  <c r="CB53" i="2"/>
  <c r="CC33" i="2"/>
  <c r="CC49" i="2"/>
  <c r="CC66" i="2"/>
  <c r="CD45" i="2"/>
  <c r="CD62" i="2"/>
  <c r="CE36" i="2"/>
  <c r="CE52" i="2"/>
  <c r="CF38" i="2"/>
  <c r="CF54" i="2"/>
  <c r="CG34" i="2"/>
  <c r="CG50" i="2"/>
  <c r="CG68" i="2"/>
  <c r="CH46" i="2"/>
  <c r="CH63" i="2"/>
  <c r="BL66" i="2"/>
  <c r="BP38" i="2"/>
  <c r="BR42" i="2"/>
  <c r="BT34" i="2"/>
  <c r="BU37" i="2"/>
  <c r="BO57" i="2"/>
  <c r="CE56" i="2"/>
  <c r="BJ67" i="2"/>
  <c r="BK57" i="2"/>
  <c r="CA67" i="2"/>
  <c r="AV57" i="2"/>
  <c r="BE52" i="2"/>
  <c r="CT64" i="2"/>
  <c r="CU64" i="2"/>
  <c r="BM55" i="2"/>
  <c r="BK47" i="2"/>
  <c r="BQ44" i="2"/>
  <c r="BJ44" i="2"/>
  <c r="BP36" i="2"/>
  <c r="BS40" i="2"/>
  <c r="BP59" i="2"/>
  <c r="BT47" i="2"/>
  <c r="BU69" i="2"/>
  <c r="BW59" i="2"/>
  <c r="BJ45" i="2"/>
  <c r="BO53" i="2"/>
  <c r="BR55" i="2"/>
  <c r="BT61" i="2"/>
  <c r="BV32" i="2"/>
  <c r="BJ69" i="2"/>
  <c r="BQ59" i="2"/>
  <c r="BT58" i="2"/>
  <c r="BV41" i="2"/>
  <c r="BW58" i="2"/>
  <c r="BX60" i="2"/>
  <c r="BY55" i="2"/>
  <c r="BZ47" i="2"/>
  <c r="BO43" i="2"/>
  <c r="BS37" i="2"/>
  <c r="BT59" i="2"/>
  <c r="BU59" i="2"/>
  <c r="BV68" i="2"/>
  <c r="BW53" i="2"/>
  <c r="BX42" i="2"/>
  <c r="BX65" i="2"/>
  <c r="BY40" i="2"/>
  <c r="BY61" i="2"/>
  <c r="BZ36" i="2"/>
  <c r="BZ52" i="2"/>
  <c r="CA43" i="2"/>
  <c r="CA60" i="2"/>
  <c r="CB41" i="2"/>
  <c r="CB58" i="2"/>
  <c r="CC37" i="2"/>
  <c r="CC53" i="2"/>
  <c r="CD33" i="2"/>
  <c r="CD49" i="2"/>
  <c r="CD66" i="2"/>
  <c r="CE40" i="2"/>
  <c r="CE61" i="2"/>
  <c r="CF42" i="2"/>
  <c r="CF59" i="2"/>
  <c r="CG38" i="2"/>
  <c r="CG54" i="2"/>
  <c r="CH34" i="2"/>
  <c r="CH50" i="2"/>
  <c r="CH68" i="2"/>
  <c r="BM51" i="2"/>
  <c r="BP55" i="2"/>
  <c r="BR59" i="2"/>
  <c r="BT44" i="2"/>
  <c r="BU45" i="2"/>
  <c r="BV45" i="2"/>
  <c r="BW44" i="2"/>
  <c r="BW66" i="2"/>
  <c r="BX49" i="2"/>
  <c r="CB57" i="2"/>
  <c r="BJ56" i="2"/>
  <c r="CR64" i="2"/>
  <c r="BR36" i="2"/>
  <c r="BQ51" i="2"/>
  <c r="BJ68" i="2"/>
  <c r="BV36" i="2"/>
  <c r="BV49" i="2"/>
  <c r="BK68" i="2"/>
  <c r="BV34" i="2"/>
  <c r="BY28" i="2"/>
  <c r="BZ61" i="2"/>
  <c r="CB62" i="2"/>
  <c r="CD53" i="2"/>
  <c r="CF46" i="2"/>
  <c r="CH38" i="2"/>
  <c r="BQ50" i="2"/>
  <c r="BV37" i="2"/>
  <c r="BW61" i="2"/>
  <c r="BX62" i="2"/>
  <c r="BR43" i="2"/>
  <c r="BW45" i="2"/>
  <c r="BY49" i="2"/>
  <c r="BZ45" i="2"/>
  <c r="CA28" i="2"/>
  <c r="CA61" i="2"/>
  <c r="CB46" i="2"/>
  <c r="CC34" i="2"/>
  <c r="CC68" i="2"/>
  <c r="CD48" i="2"/>
  <c r="CE25" i="2"/>
  <c r="CE46" i="2"/>
  <c r="CE69" i="2"/>
  <c r="CF44" i="2"/>
  <c r="CF66" i="2"/>
  <c r="CG44" i="2"/>
  <c r="CG66" i="2"/>
  <c r="BQ55" i="2"/>
  <c r="BU54" i="2"/>
  <c r="BX59" i="2"/>
  <c r="BY59" i="2"/>
  <c r="BZ46" i="2"/>
  <c r="CA34" i="2"/>
  <c r="CA62" i="2"/>
  <c r="CB42" i="2"/>
  <c r="CC24" i="2"/>
  <c r="BU63" i="2"/>
  <c r="BY29" i="2"/>
  <c r="BY62" i="2"/>
  <c r="BZ54" i="2"/>
  <c r="CA36" i="2"/>
  <c r="CA58" i="2"/>
  <c r="CB43" i="2"/>
  <c r="CB65" i="2"/>
  <c r="CC47" i="2"/>
  <c r="CD30" i="2"/>
  <c r="CD51" i="2"/>
  <c r="CE27" i="2"/>
  <c r="CE49" i="2"/>
  <c r="CF25" i="2"/>
  <c r="CF47" i="2"/>
  <c r="CG25" i="2"/>
  <c r="CG47" i="2"/>
  <c r="CH25" i="2"/>
  <c r="BZ34" i="2"/>
  <c r="CB61" i="2"/>
  <c r="CC60" i="2"/>
  <c r="CD61" i="2"/>
  <c r="CE62" i="2"/>
  <c r="CF62" i="2"/>
  <c r="CG60" i="2"/>
  <c r="CH45" i="2"/>
  <c r="CI18" i="2"/>
  <c r="CI41" i="2"/>
  <c r="CI58" i="2"/>
  <c r="CJ27" i="2"/>
  <c r="CJ43" i="2"/>
  <c r="CJ60" i="2"/>
  <c r="CK31" i="2"/>
  <c r="CK47" i="2"/>
  <c r="CK69" i="2"/>
  <c r="CL31" i="2"/>
  <c r="CL47" i="2"/>
  <c r="CL69" i="2"/>
  <c r="CM30" i="2"/>
  <c r="CM46" i="2"/>
  <c r="CM63" i="2"/>
  <c r="CN24" i="2"/>
  <c r="CN40" i="2"/>
  <c r="CN61" i="2"/>
  <c r="CO16" i="2"/>
  <c r="CO32" i="2"/>
  <c r="CO48" i="2"/>
  <c r="CO70" i="2"/>
  <c r="CP24" i="2"/>
  <c r="CP40" i="2"/>
  <c r="CP61" i="2"/>
  <c r="BX50" i="2"/>
  <c r="BZ68" i="2"/>
  <c r="CB68" i="2"/>
  <c r="CC63" i="2"/>
  <c r="CE31" i="2"/>
  <c r="CF32" i="2"/>
  <c r="CG19" i="2"/>
  <c r="CG62" i="2"/>
  <c r="CH41" i="2"/>
  <c r="CI19" i="2"/>
  <c r="CI38" i="2"/>
  <c r="CI54" i="2"/>
  <c r="CJ20" i="2"/>
  <c r="CJ36" i="2"/>
  <c r="CJ52" i="2"/>
  <c r="CK20" i="2"/>
  <c r="CK36" i="2"/>
  <c r="CK52" i="2"/>
  <c r="CL20" i="2"/>
  <c r="CL36" i="2"/>
  <c r="CL52" i="2"/>
  <c r="CM19" i="2"/>
  <c r="CM39" i="2"/>
  <c r="CM55" i="2"/>
  <c r="CN21" i="2"/>
  <c r="CN37" i="2"/>
  <c r="CN53" i="2"/>
  <c r="CO17" i="2"/>
  <c r="CO33" i="2"/>
  <c r="CO49" i="2"/>
  <c r="CO66" i="2"/>
  <c r="CP29" i="2"/>
  <c r="CP45" i="2"/>
  <c r="CP62" i="2"/>
  <c r="CQ20" i="2"/>
  <c r="CQ36" i="2"/>
  <c r="BT56" i="2"/>
  <c r="BK51" i="2"/>
  <c r="BT51" i="2"/>
  <c r="BP51" i="2"/>
  <c r="BK52" i="2"/>
  <c r="BX41" i="2"/>
  <c r="BP37" i="2"/>
  <c r="BW33" i="2"/>
  <c r="BY44" i="2"/>
  <c r="CA47" i="2"/>
  <c r="CC41" i="2"/>
  <c r="CE28" i="2"/>
  <c r="CF63" i="2"/>
  <c r="CH54" i="2"/>
  <c r="BS42" i="2"/>
  <c r="BV53" i="2"/>
  <c r="BX33" i="2"/>
  <c r="BX66" i="2"/>
  <c r="BS45" i="2"/>
  <c r="BX34" i="2"/>
  <c r="BY58" i="2"/>
  <c r="BZ51" i="2"/>
  <c r="CA38" i="2"/>
  <c r="CA66" i="2"/>
  <c r="CB51" i="2"/>
  <c r="CC44" i="2"/>
  <c r="CD32" i="2"/>
  <c r="CD54" i="2"/>
  <c r="CE30" i="2"/>
  <c r="CE51" i="2"/>
  <c r="CF28" i="2"/>
  <c r="CF49" i="2"/>
  <c r="CG28" i="2"/>
  <c r="CG49" i="2"/>
  <c r="BH55" i="2"/>
  <c r="BR60" i="2"/>
  <c r="BV38" i="2"/>
  <c r="BY34" i="2"/>
  <c r="BY68" i="2"/>
  <c r="BZ53" i="2"/>
  <c r="CA40" i="2"/>
  <c r="CA68" i="2"/>
  <c r="CB47" i="2"/>
  <c r="BK44" i="2"/>
  <c r="BV46" i="2"/>
  <c r="BY37" i="2"/>
  <c r="BZ33" i="2"/>
  <c r="BZ60" i="2"/>
  <c r="CA41" i="2"/>
  <c r="CA63" i="2"/>
  <c r="CB48" i="2"/>
  <c r="CC31" i="2"/>
  <c r="CC52" i="2"/>
  <c r="CD35" i="2"/>
  <c r="CD63" i="2"/>
  <c r="CE33" i="2"/>
  <c r="CE54" i="2"/>
  <c r="CF31" i="2"/>
  <c r="CF52" i="2"/>
  <c r="CG31" i="2"/>
  <c r="CG52" i="2"/>
  <c r="BW37" i="2"/>
  <c r="BZ62" i="2"/>
  <c r="CC27" i="2"/>
  <c r="AT67" i="2"/>
  <c r="CI64" i="2"/>
  <c r="CC64" i="2"/>
  <c r="BP62" i="2"/>
  <c r="BV39" i="2"/>
  <c r="BS41" i="2"/>
  <c r="BR50" i="2"/>
  <c r="BY39" i="2"/>
  <c r="BS52" i="2"/>
  <c r="BW60" i="2"/>
  <c r="BY65" i="2"/>
  <c r="CA69" i="2"/>
  <c r="CC58" i="2"/>
  <c r="CE44" i="2"/>
  <c r="CG42" i="2"/>
  <c r="BI48" i="2"/>
  <c r="BT53" i="2"/>
  <c r="BW36" i="2"/>
  <c r="BX43" i="2"/>
  <c r="BI69" i="2"/>
  <c r="BU46" i="2"/>
  <c r="BX54" i="2"/>
  <c r="BY66" i="2"/>
  <c r="BZ63" i="2"/>
  <c r="CA44" i="2"/>
  <c r="CB30" i="2"/>
  <c r="CB69" i="2"/>
  <c r="CC50" i="2"/>
  <c r="CD38" i="2"/>
  <c r="CD60" i="2"/>
  <c r="CE35" i="2"/>
  <c r="CE58" i="2"/>
  <c r="CF33" i="2"/>
  <c r="CF55" i="2"/>
  <c r="CG33" i="2"/>
  <c r="CG55" i="2"/>
  <c r="BO54" i="2"/>
  <c r="BS58" i="2"/>
  <c r="BW51" i="2"/>
  <c r="BY42" i="2"/>
  <c r="BZ30" i="2"/>
  <c r="BZ59" i="2"/>
  <c r="CA45" i="2"/>
  <c r="CB31" i="2"/>
  <c r="CB52" i="2"/>
  <c r="BN50" i="2"/>
  <c r="BX45" i="2"/>
  <c r="BY45" i="2"/>
  <c r="BZ41" i="2"/>
  <c r="BZ66" i="2"/>
  <c r="CA46" i="2"/>
  <c r="CB32" i="2"/>
  <c r="CB54" i="2"/>
  <c r="CC36" i="2"/>
  <c r="CC59" i="2"/>
  <c r="CD40" i="2"/>
  <c r="CD69" i="2"/>
  <c r="CE38" i="2"/>
  <c r="CE60" i="2"/>
  <c r="CF36" i="2"/>
  <c r="CF58" i="2"/>
  <c r="CG36" i="2"/>
  <c r="CG58" i="2"/>
  <c r="BX28" i="2"/>
  <c r="CA48" i="2"/>
  <c r="CC38" i="2"/>
  <c r="CD39" i="2"/>
  <c r="CE39" i="2"/>
  <c r="CF40" i="2"/>
  <c r="CG37" i="2"/>
  <c r="CH35" i="2"/>
  <c r="CH62" i="2"/>
  <c r="CI33" i="2"/>
  <c r="CI49" i="2"/>
  <c r="CI66" i="2"/>
  <c r="CJ35" i="2"/>
  <c r="CJ51" i="2"/>
  <c r="CK19" i="2"/>
  <c r="CK39" i="2"/>
  <c r="CK55" i="2"/>
  <c r="CL23" i="2"/>
  <c r="CL39" i="2"/>
  <c r="CL55" i="2"/>
  <c r="CM22" i="2"/>
  <c r="CM38" i="2"/>
  <c r="BN62" i="2"/>
  <c r="BT66" i="2"/>
  <c r="BZ40" i="2"/>
  <c r="CG59" i="2"/>
  <c r="BX53" i="2"/>
  <c r="BZ37" i="2"/>
  <c r="CC28" i="2"/>
  <c r="CE41" i="2"/>
  <c r="CG39" i="2"/>
  <c r="BX39" i="2"/>
  <c r="CA50" i="2"/>
  <c r="BX63" i="2"/>
  <c r="CA52" i="2"/>
  <c r="CD24" i="2"/>
  <c r="CE66" i="2"/>
  <c r="CH20" i="2"/>
  <c r="CD28" i="2"/>
  <c r="CF29" i="2"/>
  <c r="CH29" i="2"/>
  <c r="CI28" i="2"/>
  <c r="CI62" i="2"/>
  <c r="CJ47" i="2"/>
  <c r="CK35" i="2"/>
  <c r="CL19" i="2"/>
  <c r="CL51" i="2"/>
  <c r="CM34" i="2"/>
  <c r="CM59" i="2"/>
  <c r="CN28" i="2"/>
  <c r="CN48" i="2"/>
  <c r="CO12" i="2"/>
  <c r="CO36" i="2"/>
  <c r="CO61" i="2"/>
  <c r="CP20" i="2"/>
  <c r="CP44" i="2"/>
  <c r="BV54" i="2"/>
  <c r="BZ42" i="2"/>
  <c r="CC30" i="2"/>
  <c r="CD42" i="2"/>
  <c r="CF20" i="2"/>
  <c r="CG29" i="2"/>
  <c r="CH31" i="2"/>
  <c r="CH58" i="2"/>
  <c r="CI42" i="2"/>
  <c r="CI63" i="2"/>
  <c r="CJ32" i="2"/>
  <c r="CJ61" i="2"/>
  <c r="CK28" i="2"/>
  <c r="CK48" i="2"/>
  <c r="CL24" i="2"/>
  <c r="CL44" i="2"/>
  <c r="CL70" i="2"/>
  <c r="CM43" i="2"/>
  <c r="CM69" i="2"/>
  <c r="CN33" i="2"/>
  <c r="CN58" i="2"/>
  <c r="CO25" i="2"/>
  <c r="CO45" i="2"/>
  <c r="CP17" i="2"/>
  <c r="CP37" i="2"/>
  <c r="CP58" i="2"/>
  <c r="CQ24" i="2"/>
  <c r="CQ44" i="2"/>
  <c r="CQ65" i="2"/>
  <c r="CR26" i="2"/>
  <c r="CR42" i="2"/>
  <c r="BU38" i="2"/>
  <c r="CA37" i="2"/>
  <c r="CC32" i="2"/>
  <c r="CD34" i="2"/>
  <c r="CE34" i="2"/>
  <c r="CF24" i="2"/>
  <c r="CG21" i="2"/>
  <c r="CG65" i="2"/>
  <c r="CH37" i="2"/>
  <c r="CH60" i="2"/>
  <c r="CI35" i="2"/>
  <c r="CI51" i="2"/>
  <c r="CJ16" i="2"/>
  <c r="CJ33" i="2"/>
  <c r="CJ49" i="2"/>
  <c r="CJ66" i="2"/>
  <c r="CK29" i="2"/>
  <c r="CK45" i="2"/>
  <c r="CK62" i="2"/>
  <c r="CL25" i="2"/>
  <c r="CL41" i="2"/>
  <c r="CL58" i="2"/>
  <c r="CM20" i="2"/>
  <c r="CM36" i="2"/>
  <c r="CM52" i="2"/>
  <c r="CN18" i="2"/>
  <c r="CN34" i="2"/>
  <c r="CN50" i="2"/>
  <c r="CN68" i="2"/>
  <c r="CO30" i="2"/>
  <c r="CO46" i="2"/>
  <c r="CO63" i="2"/>
  <c r="BT54" i="2"/>
  <c r="CA65" i="2"/>
  <c r="CC46" i="2"/>
  <c r="CD47" i="2"/>
  <c r="CE37" i="2"/>
  <c r="CF37" i="2"/>
  <c r="CG35" i="2"/>
  <c r="CH28" i="2"/>
  <c r="CH49" i="2"/>
  <c r="CI22" i="2"/>
  <c r="CI40" i="2"/>
  <c r="CI61" i="2"/>
  <c r="CJ22" i="2"/>
  <c r="CJ38" i="2"/>
  <c r="CJ54" i="2"/>
  <c r="CK18" i="2"/>
  <c r="CK34" i="2"/>
  <c r="CK50" i="2"/>
  <c r="CK68" i="2"/>
  <c r="CL30" i="2"/>
  <c r="CM25" i="2"/>
  <c r="CN43" i="2"/>
  <c r="CO55" i="2"/>
  <c r="CP43" i="2"/>
  <c r="CQ10" i="2"/>
  <c r="CQ31" i="2"/>
  <c r="CQ53" i="2"/>
  <c r="CR23" i="2"/>
  <c r="CR44" i="2"/>
  <c r="CR69" i="2"/>
  <c r="CS23" i="2"/>
  <c r="CS39" i="2"/>
  <c r="CS55" i="2"/>
  <c r="CT15" i="2"/>
  <c r="CT31" i="2"/>
  <c r="CT47" i="2"/>
  <c r="CT69" i="2"/>
  <c r="CT56" i="2"/>
  <c r="AZ67" i="2"/>
  <c r="CK57" i="2"/>
  <c r="BS44" i="2"/>
  <c r="BY60" i="2"/>
  <c r="CB45" i="2"/>
  <c r="BN43" i="2"/>
  <c r="BQ39" i="2"/>
  <c r="BZ69" i="2"/>
  <c r="CC55" i="2"/>
  <c r="CE63" i="2"/>
  <c r="CG61" i="2"/>
  <c r="BY50" i="2"/>
  <c r="CB36" i="2"/>
  <c r="BY53" i="2"/>
  <c r="CB38" i="2"/>
  <c r="CD46" i="2"/>
  <c r="CF41" i="2"/>
  <c r="BY54" i="2"/>
  <c r="CD50" i="2"/>
  <c r="CF51" i="2"/>
  <c r="CH40" i="2"/>
  <c r="CI37" i="2"/>
  <c r="CJ19" i="2"/>
  <c r="CJ55" i="2"/>
  <c r="CK43" i="2"/>
  <c r="CL27" i="2"/>
  <c r="CL60" i="2"/>
  <c r="CM42" i="2"/>
  <c r="CM68" i="2"/>
  <c r="CN32" i="2"/>
  <c r="CN52" i="2"/>
  <c r="CO20" i="2"/>
  <c r="CO40" i="2"/>
  <c r="CO65" i="2"/>
  <c r="CP28" i="2"/>
  <c r="CP48" i="2"/>
  <c r="BW62" i="2"/>
  <c r="CA32" i="2"/>
  <c r="CC40" i="2"/>
  <c r="CD52" i="2"/>
  <c r="CF43" i="2"/>
  <c r="CG40" i="2"/>
  <c r="CH36" i="2"/>
  <c r="CI24" i="2"/>
  <c r="CI46" i="2"/>
  <c r="CI68" i="2"/>
  <c r="CJ40" i="2"/>
  <c r="CJ65" i="2"/>
  <c r="CK32" i="2"/>
  <c r="CK61" i="2"/>
  <c r="CL28" i="2"/>
  <c r="CL48" i="2"/>
  <c r="CM27" i="2"/>
  <c r="CM47" i="2"/>
  <c r="CN17" i="2"/>
  <c r="CN41" i="2"/>
  <c r="CN62" i="2"/>
  <c r="CO29" i="2"/>
  <c r="CO53" i="2"/>
  <c r="CP21" i="2"/>
  <c r="CP41" i="2"/>
  <c r="CP66" i="2"/>
  <c r="CQ28" i="2"/>
  <c r="CQ48" i="2"/>
  <c r="CQ70" i="2"/>
  <c r="CR30" i="2"/>
  <c r="CR46" i="2"/>
  <c r="BX68" i="2"/>
  <c r="CA59" i="2"/>
  <c r="CC43" i="2"/>
  <c r="CD44" i="2"/>
  <c r="CE45" i="2"/>
  <c r="CF35" i="2"/>
  <c r="CG32" i="2"/>
  <c r="CH19" i="2"/>
  <c r="CH43" i="2"/>
  <c r="CH65" i="2"/>
  <c r="CI39" i="2"/>
  <c r="CI55" i="2"/>
  <c r="CJ21" i="2"/>
  <c r="CJ37" i="2"/>
  <c r="CJ53" i="2"/>
  <c r="CK17" i="2"/>
  <c r="CK33" i="2"/>
  <c r="CK49" i="2"/>
  <c r="CK66" i="2"/>
  <c r="CL29" i="2"/>
  <c r="CL45" i="2"/>
  <c r="CL62" i="2"/>
  <c r="CM24" i="2"/>
  <c r="CM40" i="2"/>
  <c r="CM61" i="2"/>
  <c r="CN22" i="2"/>
  <c r="CN38" i="2"/>
  <c r="CN54" i="2"/>
  <c r="CO18" i="2"/>
  <c r="CO34" i="2"/>
  <c r="CO50" i="2"/>
  <c r="CO68" i="2"/>
  <c r="BY46" i="2"/>
  <c r="CB34" i="2"/>
  <c r="CC69" i="2"/>
  <c r="CD59" i="2"/>
  <c r="CE47" i="2"/>
  <c r="CF48" i="2"/>
  <c r="CG45" i="2"/>
  <c r="CH33" i="2"/>
  <c r="CH55" i="2"/>
  <c r="CI27" i="2"/>
  <c r="CI44" i="2"/>
  <c r="CI65" i="2"/>
  <c r="CJ26" i="2"/>
  <c r="CJ42" i="2"/>
  <c r="CJ59" i="2"/>
  <c r="CK22" i="2"/>
  <c r="CK38" i="2"/>
  <c r="CK54" i="2"/>
  <c r="CL18" i="2"/>
  <c r="CL34" i="2"/>
  <c r="CM41" i="2"/>
  <c r="CN60" i="2"/>
  <c r="CP19" i="2"/>
  <c r="CP51" i="2"/>
  <c r="CQ15" i="2"/>
  <c r="CQ37" i="2"/>
  <c r="CQ59" i="2"/>
  <c r="CR28" i="2"/>
  <c r="CR49" i="2"/>
  <c r="CS11" i="2"/>
  <c r="CS27" i="2"/>
  <c r="CS43" i="2"/>
  <c r="CS60" i="2"/>
  <c r="CT19" i="2"/>
  <c r="CT35" i="2"/>
  <c r="CT51" i="2"/>
  <c r="CU10" i="2"/>
  <c r="CU26" i="2"/>
  <c r="CU42" i="2"/>
  <c r="CU59" i="2"/>
  <c r="CV12" i="2"/>
  <c r="CV28" i="2"/>
  <c r="CV44" i="2"/>
  <c r="CV65" i="2"/>
  <c r="CW13" i="2"/>
  <c r="CW29" i="2"/>
  <c r="CW45" i="2"/>
  <c r="CW62" i="2"/>
  <c r="CM29" i="2"/>
  <c r="CN31" i="2"/>
  <c r="CO43" i="2"/>
  <c r="CP38" i="2"/>
  <c r="CP70" i="2"/>
  <c r="CQ27" i="2"/>
  <c r="CQ49" i="2"/>
  <c r="CR13" i="2"/>
  <c r="CR35" i="2"/>
  <c r="CR61" i="2"/>
  <c r="CS12" i="2"/>
  <c r="CS28" i="2"/>
  <c r="CS44" i="2"/>
  <c r="CS65" i="2"/>
  <c r="CT16" i="2"/>
  <c r="CT32" i="2"/>
  <c r="CT48" i="2"/>
  <c r="CT70" i="2"/>
  <c r="CU19" i="2"/>
  <c r="CU35" i="2"/>
  <c r="CU51" i="2"/>
  <c r="CV4" i="2"/>
  <c r="BW68" i="2"/>
  <c r="BT68" i="2"/>
  <c r="CD37" i="2"/>
  <c r="BU53" i="2"/>
  <c r="BV63" i="2"/>
  <c r="CA49" i="2"/>
  <c r="CD43" i="2"/>
  <c r="CF39" i="2"/>
  <c r="BP63" i="2"/>
  <c r="BZ38" i="2"/>
  <c r="CB59" i="2"/>
  <c r="BZ49" i="2"/>
  <c r="CB60" i="2"/>
  <c r="CE22" i="2"/>
  <c r="CG20" i="2"/>
  <c r="CB39" i="2"/>
  <c r="CE29" i="2"/>
  <c r="CG27" i="2"/>
  <c r="CH51" i="2"/>
  <c r="CI45" i="2"/>
  <c r="CJ31" i="2"/>
  <c r="CJ69" i="2"/>
  <c r="CK51" i="2"/>
  <c r="CL35" i="2"/>
  <c r="CM18" i="2"/>
  <c r="CM50" i="2"/>
  <c r="CN16" i="2"/>
  <c r="CN36" i="2"/>
  <c r="CN65" i="2"/>
  <c r="CO24" i="2"/>
  <c r="CO44" i="2"/>
  <c r="CP12" i="2"/>
  <c r="CP32" i="2"/>
  <c r="CP52" i="2"/>
  <c r="BY30" i="2"/>
  <c r="CA53" i="2"/>
  <c r="CC51" i="2"/>
  <c r="CE42" i="2"/>
  <c r="CF53" i="2"/>
  <c r="CG51" i="2"/>
  <c r="CH47" i="2"/>
  <c r="CI30" i="2"/>
  <c r="CI50" i="2"/>
  <c r="CJ24" i="2"/>
  <c r="CJ44" i="2"/>
  <c r="CK16" i="2"/>
  <c r="CK40" i="2"/>
  <c r="CK65" i="2"/>
  <c r="CL32" i="2"/>
  <c r="CL61" i="2"/>
  <c r="CM31" i="2"/>
  <c r="CM51" i="2"/>
  <c r="CN25" i="2"/>
  <c r="CN45" i="2"/>
  <c r="CU63" i="2"/>
  <c r="CU38" i="2"/>
  <c r="CU18" i="2"/>
  <c r="CT43" i="2"/>
  <c r="CT11" i="2"/>
  <c r="CS35" i="2"/>
  <c r="CR60" i="2"/>
  <c r="CR17" i="2"/>
  <c r="CQ26" i="2"/>
  <c r="CP35" i="2"/>
  <c r="CN27" i="2"/>
  <c r="CL26" i="2"/>
  <c r="CK46" i="2"/>
  <c r="CJ68" i="2"/>
  <c r="CJ34" i="2"/>
  <c r="CI52" i="2"/>
  <c r="CH66" i="2"/>
  <c r="CH21" i="2"/>
  <c r="CF27" i="2"/>
  <c r="CD36" i="2"/>
  <c r="CA42" i="2"/>
  <c r="CO59" i="2"/>
  <c r="CO26" i="2"/>
  <c r="CN46" i="2"/>
  <c r="CM70" i="2"/>
  <c r="CM32" i="2"/>
  <c r="CL53" i="2"/>
  <c r="CL21" i="2"/>
  <c r="CK41" i="2"/>
  <c r="CJ62" i="2"/>
  <c r="CJ29" i="2"/>
  <c r="CI47" i="2"/>
  <c r="CH53" i="2"/>
  <c r="CG53" i="2"/>
  <c r="CE68" i="2"/>
  <c r="CC65" i="2"/>
  <c r="BZ50" i="2"/>
  <c r="CR38" i="2"/>
  <c r="CQ61" i="2"/>
  <c r="CQ16" i="2"/>
  <c r="CP33" i="2"/>
  <c r="CO41" i="2"/>
  <c r="CN49" i="2"/>
  <c r="CL65" i="2"/>
  <c r="CK24" i="2"/>
  <c r="CI34" i="2"/>
  <c r="CE53" i="2"/>
  <c r="CP65" i="2"/>
  <c r="CO28" i="2"/>
  <c r="CM54" i="2"/>
  <c r="CK27" i="2"/>
  <c r="CG48" i="2"/>
  <c r="CE43" i="2"/>
  <c r="CA29" i="2"/>
  <c r="CB40" i="2"/>
  <c r="BX47" i="2"/>
  <c r="CV60" i="2"/>
  <c r="CV43" i="2"/>
  <c r="CV27" i="2"/>
  <c r="CV11" i="2"/>
  <c r="CU58" i="2"/>
  <c r="CU41" i="2"/>
  <c r="CU25" i="2"/>
  <c r="CU9" i="2"/>
  <c r="CT54" i="2"/>
  <c r="CT38" i="2"/>
  <c r="CT22" i="2"/>
  <c r="CS68" i="2"/>
  <c r="CS50" i="2"/>
  <c r="CS34" i="2"/>
  <c r="CS18" i="2"/>
  <c r="CR63" i="2"/>
  <c r="CR43" i="2"/>
  <c r="CR21" i="2"/>
  <c r="CQ63" i="2"/>
  <c r="CQ41" i="2"/>
  <c r="CQ19" i="2"/>
  <c r="CP50" i="2"/>
  <c r="CP15" i="2"/>
  <c r="CO19" i="2"/>
  <c r="CM53" i="2"/>
  <c r="CL50" i="2"/>
  <c r="CW51" i="2"/>
  <c r="CW35" i="2"/>
  <c r="CW19" i="2"/>
  <c r="CV68" i="2"/>
  <c r="CV50" i="2"/>
  <c r="CV34" i="2"/>
  <c r="CV18" i="2"/>
  <c r="CU70" i="2"/>
  <c r="CU48" i="2"/>
  <c r="CU32" i="2"/>
  <c r="CU16" i="2"/>
  <c r="CT62" i="2"/>
  <c r="CT45" i="2"/>
  <c r="CT29" i="2"/>
  <c r="CT13" i="2"/>
  <c r="CS58" i="2"/>
  <c r="CS41" i="2"/>
  <c r="CS25" i="2"/>
  <c r="CS9" i="2"/>
  <c r="CR52" i="2"/>
  <c r="CR31" i="2"/>
  <c r="CR8" i="2"/>
  <c r="CQ50" i="2"/>
  <c r="CQ29" i="2"/>
  <c r="CP55" i="2"/>
  <c r="CP23" i="2"/>
  <c r="CO15" i="2"/>
  <c r="CN19" i="2"/>
  <c r="CM17" i="2"/>
  <c r="CW63" i="2"/>
  <c r="CW46" i="2"/>
  <c r="CW30" i="2"/>
  <c r="CW14" i="2"/>
  <c r="CV62" i="2"/>
  <c r="CV45" i="2"/>
  <c r="CV29" i="2"/>
  <c r="CV13" i="2"/>
  <c r="CU55" i="2"/>
  <c r="CU31" i="2"/>
  <c r="CU11" i="2"/>
  <c r="CT52" i="2"/>
  <c r="CT28" i="2"/>
  <c r="CT8" i="2"/>
  <c r="CS48" i="2"/>
  <c r="CS24" i="2"/>
  <c r="CR70" i="2"/>
  <c r="CR40" i="2"/>
  <c r="CQ66" i="2"/>
  <c r="CQ38" i="2"/>
  <c r="CQ11" i="2"/>
  <c r="CP30" i="2"/>
  <c r="CO11" i="2"/>
  <c r="CM45" i="2"/>
  <c r="CW58" i="2"/>
  <c r="CW37" i="2"/>
  <c r="CW17" i="2"/>
  <c r="CV61" i="2"/>
  <c r="CV36" i="2"/>
  <c r="CV16" i="2"/>
  <c r="CU54" i="2"/>
  <c r="CU34" i="2"/>
  <c r="CU14" i="2"/>
  <c r="CT39" i="2"/>
  <c r="CS69" i="2"/>
  <c r="CS31" i="2"/>
  <c r="CR55" i="2"/>
  <c r="CR12" i="2"/>
  <c r="CQ21" i="2"/>
  <c r="CP27" i="2"/>
  <c r="CM58" i="2"/>
  <c r="CL22" i="2"/>
  <c r="CK42" i="2"/>
  <c r="CJ63" i="2"/>
  <c r="CJ30" i="2"/>
  <c r="CI48" i="2"/>
  <c r="CH61" i="2"/>
  <c r="CG69" i="2"/>
  <c r="CE59" i="2"/>
  <c r="CD26" i="2"/>
  <c r="BZ55" i="2"/>
  <c r="CO54" i="2"/>
  <c r="CO22" i="2"/>
  <c r="CN42" i="2"/>
  <c r="CM65" i="2"/>
  <c r="CM28" i="2"/>
  <c r="CL49" i="2"/>
  <c r="CL17" i="2"/>
  <c r="CK37" i="2"/>
  <c r="CJ58" i="2"/>
  <c r="CJ25" i="2"/>
  <c r="CI43" i="2"/>
  <c r="CH48" i="2"/>
  <c r="CG43" i="2"/>
  <c r="CE55" i="2"/>
  <c r="CC54" i="2"/>
  <c r="BY38" i="2"/>
  <c r="CR34" i="2"/>
  <c r="CQ52" i="2"/>
  <c r="CQ12" i="2"/>
  <c r="CP25" i="2"/>
  <c r="CO37" i="2"/>
  <c r="CN29" i="2"/>
  <c r="CL40" i="2"/>
  <c r="CJ48" i="2"/>
  <c r="CH52" i="2"/>
  <c r="CD31" i="2"/>
  <c r="CP36" i="2"/>
  <c r="CN70" i="2"/>
  <c r="CM26" i="2"/>
  <c r="CJ39" i="2"/>
  <c r="CE50" i="2"/>
  <c r="CC42" i="2"/>
  <c r="BT35" i="2"/>
  <c r="BY33" i="2"/>
  <c r="BU32" i="2"/>
  <c r="BL53" i="2"/>
  <c r="CK15" i="2"/>
  <c r="CW61" i="2"/>
  <c r="CW40" i="2"/>
  <c r="CW24" i="2"/>
  <c r="CW8" i="2"/>
  <c r="CV55" i="2"/>
  <c r="CV39" i="2"/>
  <c r="CV23" i="2"/>
  <c r="CV7" i="2"/>
  <c r="CU53" i="2"/>
  <c r="CU37" i="2"/>
  <c r="CU21" i="2"/>
  <c r="CT68" i="2"/>
  <c r="CT50" i="2"/>
  <c r="CT34" i="2"/>
  <c r="CT18" i="2"/>
  <c r="CS63" i="2"/>
  <c r="CS46" i="2"/>
  <c r="CS30" i="2"/>
  <c r="CS14" i="2"/>
  <c r="CR59" i="2"/>
  <c r="CR37" i="2"/>
  <c r="CR16" i="2"/>
  <c r="CQ58" i="2"/>
  <c r="CQ35" i="2"/>
  <c r="CQ14" i="2"/>
  <c r="CP42" i="2"/>
  <c r="CO69" i="2"/>
  <c r="CN55" i="2"/>
  <c r="CM37" i="2"/>
  <c r="CW69" i="2"/>
  <c r="CW47" i="2"/>
  <c r="CW31" i="2"/>
  <c r="CW15" i="2"/>
  <c r="CV63" i="2"/>
  <c r="CV46" i="2"/>
  <c r="CV30" i="2"/>
  <c r="CV14" i="2"/>
  <c r="CU65" i="2"/>
  <c r="CU44" i="2"/>
  <c r="CU28" i="2"/>
  <c r="CU12" i="2"/>
  <c r="CT58" i="2"/>
  <c r="CT41" i="2"/>
  <c r="CT25" i="2"/>
  <c r="CT9" i="2"/>
  <c r="CS53" i="2"/>
  <c r="CS37" i="2"/>
  <c r="CS21" i="2"/>
  <c r="CR66" i="2"/>
  <c r="CR47" i="2"/>
  <c r="CR25" i="2"/>
  <c r="CQ68" i="2"/>
  <c r="CQ45" i="2"/>
  <c r="CQ23" i="2"/>
  <c r="CP47" i="2"/>
  <c r="CP11" i="2"/>
  <c r="CN69" i="2"/>
  <c r="CM66" i="2"/>
  <c r="CL63" i="2"/>
  <c r="CW59" i="2"/>
  <c r="CW42" i="2"/>
  <c r="CW26" i="2"/>
  <c r="CW10" i="2"/>
  <c r="CV58" i="2"/>
  <c r="CV41" i="2"/>
  <c r="CV25" i="2"/>
  <c r="CV9" i="2"/>
  <c r="CU47" i="2"/>
  <c r="CU27" i="2"/>
  <c r="CU7" i="2"/>
  <c r="CT44" i="2"/>
  <c r="CT24" i="2"/>
  <c r="CS70" i="2"/>
  <c r="CS40" i="2"/>
  <c r="CS20" i="2"/>
  <c r="CR65" i="2"/>
  <c r="CR29" i="2"/>
  <c r="CQ60" i="2"/>
  <c r="CQ33" i="2"/>
  <c r="CP63" i="2"/>
  <c r="CP22" i="2"/>
  <c r="CN47" i="2"/>
  <c r="CL59" i="2"/>
  <c r="CW53" i="2"/>
  <c r="CW33" i="2"/>
  <c r="CW9" i="2"/>
  <c r="CV52" i="2"/>
  <c r="CV32" i="2"/>
  <c r="CV8" i="2"/>
  <c r="CU50" i="2"/>
  <c r="CU30" i="2"/>
  <c r="CT60" i="2"/>
  <c r="CT27" i="2"/>
  <c r="CS51" i="2"/>
  <c r="CS19" i="2"/>
  <c r="CR39" i="2"/>
  <c r="CQ47" i="2"/>
  <c r="CP69" i="2"/>
  <c r="CO39" i="2"/>
  <c r="CL54" i="2"/>
  <c r="CK63" i="2"/>
  <c r="CK30" i="2"/>
  <c r="CJ50" i="2"/>
  <c r="CJ18" i="2"/>
  <c r="CI36" i="2"/>
  <c r="CH44" i="2"/>
  <c r="CG24" i="2"/>
  <c r="CE26" i="2"/>
  <c r="CC35" i="2"/>
  <c r="CP18" i="2"/>
  <c r="CO42" i="2"/>
  <c r="CN63" i="2"/>
  <c r="CN30" i="2"/>
  <c r="CM48" i="2"/>
  <c r="CM16" i="2"/>
  <c r="CL37" i="2"/>
  <c r="CK58" i="2"/>
  <c r="CK25" i="2"/>
  <c r="CJ45" i="2"/>
  <c r="CI69" i="2"/>
  <c r="CI31" i="2"/>
  <c r="CH32" i="2"/>
  <c r="CF69" i="2"/>
  <c r="CD68" i="2"/>
  <c r="CB50" i="2"/>
  <c r="CR54" i="2"/>
  <c r="CR22" i="2"/>
  <c r="CQ40" i="2"/>
  <c r="CP53" i="2"/>
  <c r="CO62" i="2"/>
  <c r="CO21" i="2"/>
  <c r="CM60" i="2"/>
  <c r="CL16" i="2"/>
  <c r="CJ28" i="2"/>
  <c r="CH24" i="2"/>
  <c r="CB44" i="2"/>
  <c r="CP16" i="2"/>
  <c r="CN44" i="2"/>
  <c r="CL43" i="2"/>
  <c r="CI53" i="2"/>
  <c r="CC48" i="2"/>
  <c r="CA30" i="2"/>
  <c r="CF61" i="2"/>
  <c r="BW49" i="2"/>
  <c r="CH67" i="2"/>
  <c r="BQ67" i="2"/>
  <c r="CR56" i="2"/>
  <c r="CU57" i="2"/>
  <c r="BC67" i="2"/>
  <c r="BJ57" i="2"/>
  <c r="AX67" i="2"/>
  <c r="BF67" i="2"/>
  <c r="BK67" i="2"/>
  <c r="CJ67" i="2"/>
  <c r="CD56" i="2"/>
  <c r="CW56" i="2"/>
  <c r="BH67" i="2"/>
  <c r="CP56" i="2"/>
  <c r="AU67" i="2"/>
  <c r="CW67" i="2"/>
  <c r="BY56" i="2"/>
  <c r="CC56" i="2"/>
  <c r="BY57" i="2"/>
  <c r="BC57" i="2"/>
  <c r="BX67" i="2"/>
  <c r="BW67" i="2"/>
  <c r="CS64" i="2"/>
  <c r="CV57" i="2"/>
  <c r="AO67" i="2"/>
  <c r="BE57" i="2"/>
  <c r="AX57" i="2"/>
  <c r="BB57" i="2"/>
  <c r="CM67" i="2"/>
  <c r="CN67" i="2"/>
  <c r="CO57" i="2"/>
  <c r="CD57" i="2"/>
  <c r="BE67" i="2"/>
  <c r="H22" i="2"/>
  <c r="BS56" i="2"/>
  <c r="BU67" i="2"/>
  <c r="CS57" i="2"/>
  <c r="CK67" i="2"/>
  <c r="BB67" i="2"/>
  <c r="BR67" i="2"/>
  <c r="CE57" i="2"/>
  <c r="AW72" i="2" l="1"/>
  <c r="AW73" i="2" s="1"/>
  <c r="AJ71" i="2"/>
  <c r="AJ76" i="2" s="1"/>
  <c r="AJ72" i="2"/>
  <c r="AJ73" i="2" s="1"/>
  <c r="AY72" i="2"/>
  <c r="AY73" i="2" s="1"/>
  <c r="AL71" i="2"/>
  <c r="AL76" i="2" s="1"/>
  <c r="AQ71" i="2"/>
  <c r="AQ74" i="2" s="1"/>
  <c r="AL72" i="2"/>
  <c r="AL73" i="2" s="1"/>
  <c r="AQ72" i="2"/>
  <c r="AQ73" i="2" s="1"/>
  <c r="AV72" i="2"/>
  <c r="AV73" i="2" s="1"/>
  <c r="AK72" i="2"/>
  <c r="AK73" i="2" s="1"/>
  <c r="AY71" i="2"/>
  <c r="AY74" i="2" s="1"/>
  <c r="AW71" i="2"/>
  <c r="AW74" i="2" s="1"/>
  <c r="AP72" i="2"/>
  <c r="AP73" i="2" s="1"/>
  <c r="AS71" i="2"/>
  <c r="AS74" i="2" s="1"/>
  <c r="AN72" i="2"/>
  <c r="AN73" i="2" s="1"/>
  <c r="AR72" i="2"/>
  <c r="AR73" i="2" s="1"/>
  <c r="BM71" i="2"/>
  <c r="BM74" i="2" s="1"/>
  <c r="AT72" i="2"/>
  <c r="AT73" i="2" s="1"/>
  <c r="BG72" i="2"/>
  <c r="BG73" i="2" s="1"/>
  <c r="BD71" i="2"/>
  <c r="BD74" i="2" s="1"/>
  <c r="BA71" i="2"/>
  <c r="BA76" i="2" s="1"/>
  <c r="BI72" i="2"/>
  <c r="BI73" i="2" s="1"/>
  <c r="AP71" i="2"/>
  <c r="AP74" i="2" s="1"/>
  <c r="AO71" i="2"/>
  <c r="AO74" i="2" s="1"/>
  <c r="BD72" i="2"/>
  <c r="BD73" i="2" s="1"/>
  <c r="BF71" i="2"/>
  <c r="BF76" i="2" s="1"/>
  <c r="BG71" i="2"/>
  <c r="BG74" i="2" s="1"/>
  <c r="AN71" i="2"/>
  <c r="AN74" i="2" s="1"/>
  <c r="BA72" i="2"/>
  <c r="BA73" i="2" s="1"/>
  <c r="AS72" i="2"/>
  <c r="AS73" i="2" s="1"/>
  <c r="AK71" i="2"/>
  <c r="AK76" i="2" s="1"/>
  <c r="AX72" i="2"/>
  <c r="AX73" i="2" s="1"/>
  <c r="AU71" i="2"/>
  <c r="AU74" i="2" s="1"/>
  <c r="BL71" i="2"/>
  <c r="BL76" i="2" s="1"/>
  <c r="AM71" i="2"/>
  <c r="AM76" i="2" s="1"/>
  <c r="AV71" i="2"/>
  <c r="AV76" i="2" s="1"/>
  <c r="BI71" i="2"/>
  <c r="BI76" i="2" s="1"/>
  <c r="AR71" i="2"/>
  <c r="AR76" i="2" s="1"/>
  <c r="BM72" i="2"/>
  <c r="BM73" i="2" s="1"/>
  <c r="BF72" i="2"/>
  <c r="BF73" i="2" s="1"/>
  <c r="BH72" i="2"/>
  <c r="BH73" i="2" s="1"/>
  <c r="AZ71" i="2"/>
  <c r="AZ76" i="2" s="1"/>
  <c r="AT71" i="2"/>
  <c r="AT74" i="2" s="1"/>
  <c r="AM72" i="2"/>
  <c r="AM73" i="2" s="1"/>
  <c r="BV72" i="2"/>
  <c r="BV73" i="2" s="1"/>
  <c r="BO71" i="2"/>
  <c r="BO76" i="2" s="1"/>
  <c r="BL72" i="2"/>
  <c r="BL73" i="2" s="1"/>
  <c r="BJ72" i="2"/>
  <c r="BJ73" i="2" s="1"/>
  <c r="BO72" i="2"/>
  <c r="BO73" i="2" s="1"/>
  <c r="AZ72" i="2"/>
  <c r="AZ73" i="2" s="1"/>
  <c r="BK72" i="2"/>
  <c r="BK73" i="2" s="1"/>
  <c r="BR72" i="2"/>
  <c r="BR73" i="2" s="1"/>
  <c r="BN71" i="2"/>
  <c r="BN76" i="2" s="1"/>
  <c r="CT71" i="2"/>
  <c r="CT74" i="2" s="1"/>
  <c r="BJ71" i="2"/>
  <c r="BJ76" i="2" s="1"/>
  <c r="BP71" i="2"/>
  <c r="BP74" i="2" s="1"/>
  <c r="BV71" i="2"/>
  <c r="BV74" i="2" s="1"/>
  <c r="BQ71" i="2"/>
  <c r="BQ74" i="2" s="1"/>
  <c r="CF71" i="2"/>
  <c r="CF76" i="2" s="1"/>
  <c r="BQ72" i="2"/>
  <c r="BQ73" i="2" s="1"/>
  <c r="BU71" i="2"/>
  <c r="BU76" i="2" s="1"/>
  <c r="BT72" i="2"/>
  <c r="BT73" i="2" s="1"/>
  <c r="CJ71" i="2"/>
  <c r="CJ76" i="2" s="1"/>
  <c r="CV72" i="2"/>
  <c r="CV73" i="2" s="1"/>
  <c r="CO71" i="2"/>
  <c r="CO76" i="2" s="1"/>
  <c r="CF72" i="2"/>
  <c r="CF73" i="2" s="1"/>
  <c r="CU71" i="2"/>
  <c r="CU76" i="2" s="1"/>
  <c r="CT72" i="2"/>
  <c r="CT73" i="2" s="1"/>
  <c r="CG71" i="2"/>
  <c r="CG74" i="2" s="1"/>
  <c r="CA71" i="2"/>
  <c r="CA76" i="2" s="1"/>
  <c r="CI72" i="2"/>
  <c r="CI73" i="2" s="1"/>
  <c r="CR71" i="2"/>
  <c r="CR74" i="2" s="1"/>
  <c r="CQ72" i="2"/>
  <c r="CQ73" i="2" s="1"/>
  <c r="CB71" i="2"/>
  <c r="CB74" i="2" s="1"/>
  <c r="BW72" i="2"/>
  <c r="BW73" i="2" s="1"/>
  <c r="BZ72" i="2"/>
  <c r="BZ73" i="2" s="1"/>
  <c r="CR72" i="2"/>
  <c r="CR73" i="2" s="1"/>
  <c r="CJ72" i="2"/>
  <c r="CJ73" i="2" s="1"/>
  <c r="BP72" i="2"/>
  <c r="BP73" i="2" s="1"/>
  <c r="BT71" i="2"/>
  <c r="BT76" i="2" s="1"/>
  <c r="CE72" i="2"/>
  <c r="CE73" i="2" s="1"/>
  <c r="BX72" i="2"/>
  <c r="BX73" i="2" s="1"/>
  <c r="CH72" i="2"/>
  <c r="CH73" i="2" s="1"/>
  <c r="CP71" i="2"/>
  <c r="CP74" i="2" s="1"/>
  <c r="CL71" i="2"/>
  <c r="CL74" i="2" s="1"/>
  <c r="CB72" i="2"/>
  <c r="CB73" i="2" s="1"/>
  <c r="CI71" i="2"/>
  <c r="CI76" i="2" s="1"/>
  <c r="BN72" i="2"/>
  <c r="BN73" i="2" s="1"/>
  <c r="BZ71" i="2"/>
  <c r="BZ74" i="2" s="1"/>
  <c r="CO72" i="2"/>
  <c r="CO73" i="2" s="1"/>
  <c r="CG72" i="2"/>
  <c r="CG73" i="2" s="1"/>
  <c r="CA72" i="2"/>
  <c r="CA73" i="2" s="1"/>
  <c r="BS71" i="2"/>
  <c r="BS76" i="2" s="1"/>
  <c r="AU72" i="2"/>
  <c r="AU73" i="2" s="1"/>
  <c r="CU72" i="2"/>
  <c r="CU73" i="2" s="1"/>
  <c r="CQ71" i="2"/>
  <c r="CQ74" i="2" s="1"/>
  <c r="CH71" i="2"/>
  <c r="CH74" i="2" s="1"/>
  <c r="BK71" i="2"/>
  <c r="BK74" i="2" s="1"/>
  <c r="CL72" i="2"/>
  <c r="CL73" i="2" s="1"/>
  <c r="CK72" i="2"/>
  <c r="CK73" i="2" s="1"/>
  <c r="CN71" i="2"/>
  <c r="CN76" i="2" s="1"/>
  <c r="BW71" i="2"/>
  <c r="BW74" i="2" s="1"/>
  <c r="CC71" i="2"/>
  <c r="CC76" i="2" s="1"/>
  <c r="CP72" i="2"/>
  <c r="CP73" i="2" s="1"/>
  <c r="CM72" i="2"/>
  <c r="CM73" i="2" s="1"/>
  <c r="CV71" i="2"/>
  <c r="CV74" i="2" s="1"/>
  <c r="CW71" i="2"/>
  <c r="CW76" i="2" s="1"/>
  <c r="BY72" i="2"/>
  <c r="BY73" i="2" s="1"/>
  <c r="CD71" i="2"/>
  <c r="CD74" i="2" s="1"/>
  <c r="BH71" i="2"/>
  <c r="BH76" i="2" s="1"/>
  <c r="BX71" i="2"/>
  <c r="BX76" i="2" s="1"/>
  <c r="AO72" i="2"/>
  <c r="AO73" i="2" s="1"/>
  <c r="BC72" i="2"/>
  <c r="BC73" i="2" s="1"/>
  <c r="CW72" i="2"/>
  <c r="CW73" i="2" s="1"/>
  <c r="BC71" i="2"/>
  <c r="BC74" i="2" s="1"/>
  <c r="BY71" i="2"/>
  <c r="BY74" i="2" s="1"/>
  <c r="AX71" i="2"/>
  <c r="AX74" i="2" s="1"/>
  <c r="CC72" i="2"/>
  <c r="CC73" i="2" s="1"/>
  <c r="BE72" i="2"/>
  <c r="BE73" i="2" s="1"/>
  <c r="CK71" i="2"/>
  <c r="CK74" i="2" s="1"/>
  <c r="CS72" i="2"/>
  <c r="CS73" i="2" s="1"/>
  <c r="BE71" i="2"/>
  <c r="BE76" i="2" s="1"/>
  <c r="CM71" i="2"/>
  <c r="CM74" i="2" s="1"/>
  <c r="CD72" i="2"/>
  <c r="CD73" i="2" s="1"/>
  <c r="BB72" i="2"/>
  <c r="BB73" i="2" s="1"/>
  <c r="CN72" i="2"/>
  <c r="CN73" i="2" s="1"/>
  <c r="BS72" i="2"/>
  <c r="BS73" i="2" s="1"/>
  <c r="BU72" i="2"/>
  <c r="BU73" i="2" s="1"/>
  <c r="BV76" i="2"/>
  <c r="BB71" i="2"/>
  <c r="BB74" i="2" s="1"/>
  <c r="CS71" i="2"/>
  <c r="CS74" i="2" s="1"/>
  <c r="CE71" i="2"/>
  <c r="BR71" i="2"/>
  <c r="CB75" i="2" l="1"/>
  <c r="CP75" i="2"/>
  <c r="BV77" i="2"/>
  <c r="AL74" i="2"/>
  <c r="AL77" i="2" s="1"/>
  <c r="AQ76" i="2"/>
  <c r="AW75" i="2"/>
  <c r="AJ74" i="2"/>
  <c r="AJ75" i="2" s="1"/>
  <c r="AP76" i="2"/>
  <c r="AY76" i="2"/>
  <c r="CF74" i="2"/>
  <c r="CF77" i="2" s="1"/>
  <c r="AK74" i="2"/>
  <c r="AK77" i="2" s="1"/>
  <c r="AT76" i="2"/>
  <c r="BG76" i="2"/>
  <c r="AM74" i="2"/>
  <c r="AM77" i="2" s="1"/>
  <c r="AW77" i="2"/>
  <c r="AO76" i="2"/>
  <c r="AN76" i="2"/>
  <c r="CP77" i="2"/>
  <c r="BD76" i="2"/>
  <c r="AN77" i="2"/>
  <c r="AN75" i="2"/>
  <c r="AV74" i="2"/>
  <c r="AV77" i="2" s="1"/>
  <c r="BP76" i="2"/>
  <c r="AW76" i="2"/>
  <c r="AX75" i="2"/>
  <c r="BY76" i="2"/>
  <c r="CR77" i="2"/>
  <c r="BQ76" i="2"/>
  <c r="CD76" i="2"/>
  <c r="BQ75" i="2"/>
  <c r="AT75" i="2"/>
  <c r="AP77" i="2"/>
  <c r="BH74" i="2"/>
  <c r="BH75" i="2" s="1"/>
  <c r="AR74" i="2"/>
  <c r="AR77" i="2" s="1"/>
  <c r="BA74" i="2"/>
  <c r="BA75" i="2" s="1"/>
  <c r="BQ77" i="2"/>
  <c r="CR75" i="2"/>
  <c r="CG76" i="2"/>
  <c r="AU76" i="2"/>
  <c r="BV75" i="2"/>
  <c r="BM75" i="2"/>
  <c r="AP75" i="2"/>
  <c r="BD75" i="2"/>
  <c r="BM76" i="2"/>
  <c r="BN74" i="2"/>
  <c r="BN77" i="2" s="1"/>
  <c r="CO74" i="2"/>
  <c r="CO77" i="2" s="1"/>
  <c r="CD75" i="2"/>
  <c r="CN74" i="2"/>
  <c r="CN77" i="2" s="1"/>
  <c r="CH76" i="2"/>
  <c r="CG75" i="2"/>
  <c r="BM77" i="2"/>
  <c r="BS74" i="2"/>
  <c r="BS75" i="2" s="1"/>
  <c r="BI74" i="2"/>
  <c r="BI75" i="2" s="1"/>
  <c r="CL76" i="2"/>
  <c r="BU74" i="2"/>
  <c r="BU75" i="2" s="1"/>
  <c r="AU77" i="2"/>
  <c r="BJ74" i="2"/>
  <c r="BJ77" i="2" s="1"/>
  <c r="BK75" i="2"/>
  <c r="AT77" i="2"/>
  <c r="CV76" i="2"/>
  <c r="AS76" i="2"/>
  <c r="BO74" i="2"/>
  <c r="BO77" i="2" s="1"/>
  <c r="CT76" i="2"/>
  <c r="BZ76" i="2"/>
  <c r="BL74" i="2"/>
  <c r="BL75" i="2" s="1"/>
  <c r="BF74" i="2"/>
  <c r="BF77" i="2" s="1"/>
  <c r="CM75" i="2"/>
  <c r="CQ75" i="2"/>
  <c r="AZ74" i="2"/>
  <c r="AZ77" i="2" s="1"/>
  <c r="BK77" i="2"/>
  <c r="CL77" i="2"/>
  <c r="CI74" i="2"/>
  <c r="CI77" i="2" s="1"/>
  <c r="CB76" i="2"/>
  <c r="CB77" i="2"/>
  <c r="BW76" i="2"/>
  <c r="AX76" i="2"/>
  <c r="AX77" i="2"/>
  <c r="CA74" i="2"/>
  <c r="CA75" i="2" s="1"/>
  <c r="AU75" i="2"/>
  <c r="BK76" i="2"/>
  <c r="CC74" i="2"/>
  <c r="CC77" i="2" s="1"/>
  <c r="BZ75" i="2"/>
  <c r="CQ76" i="2"/>
  <c r="BZ77" i="2"/>
  <c r="CP76" i="2"/>
  <c r="BT74" i="2"/>
  <c r="BT77" i="2" s="1"/>
  <c r="CR76" i="2"/>
  <c r="CK75" i="2"/>
  <c r="CL75" i="2"/>
  <c r="CG77" i="2"/>
  <c r="CH75" i="2"/>
  <c r="BW75" i="2"/>
  <c r="CW74" i="2"/>
  <c r="CW75" i="2" s="1"/>
  <c r="BX74" i="2"/>
  <c r="BX77" i="2" s="1"/>
  <c r="CH77" i="2"/>
  <c r="BE74" i="2"/>
  <c r="BE75" i="2" s="1"/>
  <c r="BP77" i="2"/>
  <c r="BW77" i="2"/>
  <c r="CJ74" i="2"/>
  <c r="CJ75" i="2" s="1"/>
  <c r="BC76" i="2"/>
  <c r="CU74" i="2"/>
  <c r="CU77" i="2" s="1"/>
  <c r="BY75" i="2"/>
  <c r="BY77" i="2"/>
  <c r="BC77" i="2"/>
  <c r="CK77" i="2"/>
  <c r="CK76" i="2"/>
  <c r="CS75" i="2"/>
  <c r="CD77" i="2"/>
  <c r="BB76" i="2"/>
  <c r="CM77" i="2"/>
  <c r="CM76" i="2"/>
  <c r="CS77" i="2"/>
  <c r="BB75" i="2"/>
  <c r="CS76" i="2"/>
  <c r="CE76" i="2"/>
  <c r="CE74" i="2"/>
  <c r="BR76" i="2"/>
  <c r="BR74" i="2"/>
  <c r="BC75" i="2"/>
  <c r="CQ77" i="2"/>
  <c r="BD77" i="2"/>
  <c r="BB77" i="2"/>
  <c r="BG77" i="2"/>
  <c r="BG75" i="2"/>
  <c r="BP75" i="2"/>
  <c r="AO77" i="2"/>
  <c r="AO75" i="2"/>
  <c r="AQ77" i="2"/>
  <c r="AQ75" i="2"/>
  <c r="AY77" i="2"/>
  <c r="AY75" i="2"/>
  <c r="CT77" i="2"/>
  <c r="CT75" i="2"/>
  <c r="CV77" i="2"/>
  <c r="CV75" i="2"/>
  <c r="AS77" i="2"/>
  <c r="AS75" i="2"/>
  <c r="AL75" i="2" l="1"/>
  <c r="AJ77" i="2"/>
  <c r="BN75" i="2"/>
  <c r="CF75" i="2"/>
  <c r="AK75" i="2"/>
  <c r="AM75" i="2"/>
  <c r="BL77" i="2"/>
  <c r="BH77" i="2"/>
  <c r="CN75" i="2"/>
  <c r="BS77" i="2"/>
  <c r="AV75" i="2"/>
  <c r="BJ75" i="2"/>
  <c r="BI77" i="2"/>
  <c r="AR75" i="2"/>
  <c r="BU77" i="2"/>
  <c r="BA77" i="2"/>
  <c r="CI75" i="2"/>
  <c r="CA77" i="2"/>
  <c r="BO75" i="2"/>
  <c r="CO75" i="2"/>
  <c r="AZ75" i="2"/>
  <c r="BT75" i="2"/>
  <c r="BX75" i="2"/>
  <c r="CW77" i="2"/>
  <c r="BF75" i="2"/>
  <c r="CC75" i="2"/>
  <c r="CJ77" i="2"/>
  <c r="CU75" i="2"/>
  <c r="BE77" i="2"/>
  <c r="CE77" i="2"/>
  <c r="CE75" i="2"/>
  <c r="BR77" i="2"/>
  <c r="BR75" i="2"/>
  <c r="AJ80" i="2" l="1"/>
  <c r="AZ78" i="2" s="1"/>
  <c r="AW78" i="2" l="1"/>
  <c r="BO78" i="2"/>
  <c r="BY78" i="2"/>
  <c r="BG78" i="2"/>
  <c r="BP78" i="2"/>
  <c r="BJ78" i="2"/>
  <c r="CH78" i="2"/>
  <c r="CU78" i="2"/>
  <c r="CT78" i="2"/>
  <c r="BR78" i="2"/>
  <c r="AM78" i="2"/>
  <c r="H29" i="2"/>
  <c r="BE78" i="2"/>
  <c r="BM78" i="2"/>
  <c r="BL78" i="2"/>
  <c r="AS78" i="2"/>
  <c r="AJ78" i="2"/>
  <c r="AP78" i="2"/>
  <c r="AY78" i="2"/>
  <c r="CS78" i="2"/>
  <c r="BI78" i="2"/>
  <c r="BS78" i="2"/>
  <c r="AO78" i="2"/>
  <c r="CW78" i="2"/>
  <c r="BH78" i="2"/>
  <c r="BB78" i="2"/>
  <c r="CM78" i="2"/>
  <c r="CI78" i="2"/>
  <c r="AQ78" i="2"/>
  <c r="AR78" i="2"/>
  <c r="BF78" i="2"/>
  <c r="BK78" i="2"/>
  <c r="AN78" i="2"/>
  <c r="CQ78" i="2"/>
  <c r="H39" i="2"/>
  <c r="CN78" i="2"/>
  <c r="BX78" i="2"/>
  <c r="BU78" i="2"/>
  <c r="CR78" i="2"/>
  <c r="AL78" i="2"/>
  <c r="BV78" i="2"/>
  <c r="BN78" i="2"/>
  <c r="CJ78" i="2"/>
  <c r="AK78" i="2"/>
  <c r="CK78" i="2"/>
  <c r="CV78" i="2"/>
  <c r="CO78" i="2"/>
  <c r="BA78" i="2"/>
  <c r="BQ78" i="2"/>
  <c r="AV78" i="2"/>
  <c r="BT78" i="2"/>
  <c r="BC78" i="2"/>
  <c r="CG78" i="2"/>
  <c r="CA78" i="2"/>
  <c r="BW78" i="2"/>
  <c r="CL78" i="2"/>
  <c r="CC78" i="2"/>
  <c r="AT78" i="2"/>
  <c r="CP78" i="2"/>
  <c r="CB78" i="2"/>
  <c r="BD78" i="2"/>
  <c r="CD78" i="2"/>
  <c r="CF78" i="2"/>
  <c r="CE78" i="2"/>
  <c r="BZ78" i="2"/>
  <c r="AU78" i="2"/>
  <c r="AX78" i="2"/>
  <c r="AJ81" i="2" l="1"/>
  <c r="H26" i="2" s="1"/>
  <c r="BS79" i="2" s="1"/>
  <c r="H43" i="2" l="1"/>
  <c r="H23" i="2"/>
  <c r="H34" i="2" s="1"/>
  <c r="AS79" i="2"/>
  <c r="BN79" i="2"/>
  <c r="CQ79" i="2"/>
  <c r="BJ79" i="2"/>
  <c r="H27" i="2"/>
  <c r="CW79" i="2"/>
  <c r="BU79" i="2"/>
  <c r="BT79" i="2"/>
  <c r="AO79" i="2"/>
  <c r="CM79" i="2"/>
  <c r="BX79" i="2"/>
  <c r="AT79" i="2"/>
  <c r="AW79" i="2"/>
  <c r="BH79" i="2"/>
  <c r="BC79" i="2"/>
  <c r="AV79" i="2"/>
  <c r="AN79" i="2"/>
  <c r="AK79" i="2"/>
  <c r="BF79" i="2"/>
  <c r="BL79" i="2"/>
  <c r="BG79" i="2"/>
  <c r="H37" i="2"/>
  <c r="BY79" i="2"/>
  <c r="BI79" i="2"/>
  <c r="CH79" i="2"/>
  <c r="CU79" i="2"/>
  <c r="CC79" i="2"/>
  <c r="BM79" i="2"/>
  <c r="BW79" i="2"/>
  <c r="CF79" i="2"/>
  <c r="CB79" i="2"/>
  <c r="BK79" i="2"/>
  <c r="CT79" i="2"/>
  <c r="CG79" i="2"/>
  <c r="CS79" i="2"/>
  <c r="H38" i="2"/>
  <c r="AX79" i="2"/>
  <c r="AM79" i="2"/>
  <c r="BB79" i="2"/>
  <c r="CN79" i="2"/>
  <c r="CR79" i="2"/>
  <c r="AR79" i="2"/>
  <c r="AJ79" i="2"/>
  <c r="BV79" i="2"/>
  <c r="BQ79" i="2"/>
  <c r="BA79" i="2"/>
  <c r="CP79" i="2"/>
  <c r="AQ79" i="2"/>
  <c r="AP79" i="2"/>
  <c r="CV79" i="2"/>
  <c r="H32" i="2"/>
  <c r="AZ79" i="2"/>
  <c r="BZ79" i="2"/>
  <c r="CA79" i="2"/>
  <c r="BP79" i="2"/>
  <c r="BD79" i="2"/>
  <c r="AU79" i="2"/>
  <c r="CE79" i="2"/>
  <c r="H44" i="2"/>
  <c r="CK79" i="2"/>
  <c r="CD79" i="2"/>
  <c r="H36" i="2"/>
  <c r="CI79" i="2"/>
  <c r="BE79" i="2"/>
  <c r="BO79" i="2"/>
  <c r="AL79" i="2"/>
  <c r="BR79" i="2"/>
  <c r="CL79" i="2"/>
  <c r="AY79" i="2"/>
  <c r="CO79" i="2"/>
  <c r="CJ79" i="2"/>
  <c r="H40" i="2"/>
  <c r="H28" i="2" l="1"/>
  <c r="H31" i="2"/>
  <c r="B2" i="20"/>
  <c r="D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Dubins</author>
  </authors>
  <commentList>
    <comment ref="G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This is the labeled dosing interval for the formulation, for calculating AUCx/AUCinf (it's the "x"). For TPD studies, if the AUCx/AUCinf &lt;0.8 for a modified release formulation, a steady-state study is required.</t>
        </r>
      </text>
    </comment>
  </commentList>
</comments>
</file>

<file path=xl/sharedStrings.xml><?xml version="1.0" encoding="utf-8"?>
<sst xmlns="http://schemas.openxmlformats.org/spreadsheetml/2006/main" count="107" uniqueCount="83">
  <si>
    <t>Subject:</t>
  </si>
  <si>
    <t>Time</t>
  </si>
  <si>
    <t>Concentration</t>
  </si>
  <si>
    <t>AUCT</t>
  </si>
  <si>
    <t>Period:</t>
  </si>
  <si>
    <t>Formulation:</t>
  </si>
  <si>
    <t>Period</t>
  </si>
  <si>
    <t>Cmax</t>
  </si>
  <si>
    <t>Tmax</t>
  </si>
  <si>
    <t>Lambda</t>
  </si>
  <si>
    <t>AUCinf</t>
  </si>
  <si>
    <t>AUCt</t>
  </si>
  <si>
    <t>B</t>
  </si>
  <si>
    <t>A</t>
  </si>
  <si>
    <t>LAMBDA:</t>
  </si>
  <si>
    <t>MAX RSQ:</t>
  </si>
  <si>
    <t>BEST LAMBDA:</t>
  </si>
  <si>
    <t>T1/2</t>
  </si>
  <si>
    <t>Treatment</t>
  </si>
  <si>
    <t># POINTS:</t>
  </si>
  <si>
    <t>Subject</t>
  </si>
  <si>
    <t>INDEX</t>
  </si>
  <si>
    <t>PACKED</t>
  </si>
  <si>
    <t>MRT</t>
  </si>
  <si>
    <t>AUCMC</t>
  </si>
  <si>
    <t>+</t>
  </si>
  <si>
    <t>Sequence</t>
  </si>
  <si>
    <t>AUCRatio</t>
  </si>
  <si>
    <t>Dose:</t>
  </si>
  <si>
    <t>Lookup String</t>
  </si>
  <si>
    <t>Row</t>
  </si>
  <si>
    <t>CONC</t>
  </si>
  <si>
    <t>MARKBAD</t>
  </si>
  <si>
    <t>ng</t>
  </si>
  <si>
    <t>EQUATIONS:</t>
  </si>
  <si>
    <t>LASTTIME</t>
  </si>
  <si>
    <t>REQUIRED:</t>
  </si>
  <si>
    <t>Clast</t>
  </si>
  <si>
    <t>RESULTS:</t>
  </si>
  <si>
    <t>SUBJECT:</t>
  </si>
  <si>
    <t>FIRSTTIME</t>
  </si>
  <si>
    <t>ng mL h/(ng h) = mL</t>
  </si>
  <si>
    <t>Vd/F (L)</t>
  </si>
  <si>
    <t>ng mL /(ng h) = mL/h</t>
  </si>
  <si>
    <t>Cl/F (L/h)</t>
  </si>
  <si>
    <t>Cmax Index</t>
  </si>
  <si>
    <t>HALFLIFE:</t>
  </si>
  <si>
    <t>Tlast - Tstart:</t>
  </si>
  <si>
    <r>
      <t>Min 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</si>
  <si>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Poor Span?</t>
  </si>
  <si>
    <t>ERR_r2</t>
  </si>
  <si>
    <t>ERR_slope</t>
  </si>
  <si>
    <t>ERR_Cmax</t>
  </si>
  <si>
    <t>ERR_Clast</t>
  </si>
  <si>
    <t>ERR_Tspan</t>
  </si>
  <si>
    <t>Forced RSQ:</t>
  </si>
  <si>
    <t>Filtered RSQ:</t>
  </si>
  <si>
    <t>Problem?</t>
  </si>
  <si>
    <t>Pre-dose/Cmax</t>
  </si>
  <si>
    <t>TLIN</t>
  </si>
  <si>
    <t>LQCT</t>
  </si>
  <si>
    <t>TLIN:</t>
  </si>
  <si>
    <t>r2_adj</t>
  </si>
  <si>
    <t>Sequence:</t>
  </si>
  <si>
    <t>Scheduled Time (h)</t>
  </si>
  <si>
    <t>Missing String:</t>
  </si>
  <si>
    <t>ERR_80%AUC</t>
  </si>
  <si>
    <t xml:space="preserve">  ("." for SAS, "NA" for R)</t>
  </si>
  <si>
    <t>hours</t>
  </si>
  <si>
    <t>AUCX/AUCinf</t>
  </si>
  <si>
    <t>&lt;-- Max Row</t>
  </si>
  <si>
    <t>AUCX</t>
  </si>
  <si>
    <t>Tlag</t>
  </si>
  <si>
    <t>Dose Interval</t>
  </si>
  <si>
    <t>Period 1</t>
  </si>
  <si>
    <t>Period 2</t>
  </si>
  <si>
    <t>NA</t>
  </si>
  <si>
    <t>REVERSED</t>
  </si>
  <si>
    <t>Deviation (min)</t>
  </si>
  <si>
    <r>
      <t xml:space="preserve">Min #Points for </t>
    </r>
    <r>
      <rPr>
        <b/>
        <sz val="10"/>
        <rFont val="Symbol"/>
        <family val="1"/>
        <charset val="2"/>
      </rPr>
      <t>l</t>
    </r>
  </si>
  <si>
    <t>points</t>
  </si>
  <si>
    <t>BLQ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</si>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</sst>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%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b/>
      <vertAlign val="superscript"/>
      <sz val="10"/>
      <name val="Arial"/>
      <family val="2"/>
    </font>
    <font>
      <sz val="9"/>
      <name val="Times"/>
      <family val="1"/>
    </font>
    <font>
      <sz val="7"/>
      <name val="Arial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b/>
      <sz val="10"/>
      <name val="Symbol"/>
      <family val="1"/>
      <charset val="2"/>
    </font>
    <font>
      <b/>
      <sz val="9"/>
      <color rgb="FF000000"/>
      <name val="Arial"/>
      <family val="2"/>
    </font>
    <font>
      <sz val="8"/>
      <color rgb="FF000000"/>
      <name val="Tahom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10">
    <xf numFmtId="0" fontId="0" fillId="0" borderId="0"/>
    <xf numFmtId="0" fontId="6" fillId="0" borderId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" fillId="0" borderId="0"/>
    <xf numFmtId="0" fontId="1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0" xfId="0" applyFill="1"/>
    <xf numFmtId="0" fontId="0" fillId="0" borderId="0" xfId="0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5" fillId="3" borderId="0" xfId="0" applyFont="1" applyFill="1"/>
    <xf numFmtId="0" fontId="6" fillId="3" borderId="0" xfId="0" applyFon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2" fontId="6" fillId="3" borderId="12" xfId="0" applyNumberFormat="1" applyFont="1" applyFill="1" applyBorder="1" applyAlignment="1">
      <alignment horizontal="center"/>
    </xf>
    <xf numFmtId="0" fontId="6" fillId="3" borderId="10" xfId="0" applyFont="1" applyFill="1" applyBorder="1"/>
    <xf numFmtId="0" fontId="6" fillId="3" borderId="11" xfId="0" applyFont="1" applyFill="1" applyBorder="1"/>
    <xf numFmtId="2" fontId="6" fillId="3" borderId="0" xfId="0" applyNumberFormat="1" applyFont="1" applyFill="1" applyAlignment="1">
      <alignment horizontal="center"/>
    </xf>
    <xf numFmtId="0" fontId="6" fillId="0" borderId="0" xfId="0" applyFont="1"/>
    <xf numFmtId="2" fontId="0" fillId="0" borderId="0" xfId="0" applyNumberFormat="1"/>
    <xf numFmtId="49" fontId="0" fillId="3" borderId="0" xfId="0" applyNumberFormat="1" applyFill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2" fontId="5" fillId="3" borderId="12" xfId="0" applyNumberFormat="1" applyFont="1" applyFill="1" applyBorder="1" applyAlignment="1">
      <alignment horizontal="center"/>
    </xf>
    <xf numFmtId="0" fontId="0" fillId="3" borderId="16" xfId="0" applyFill="1" applyBorder="1"/>
    <xf numFmtId="164" fontId="0" fillId="3" borderId="0" xfId="0" applyNumberFormat="1" applyFill="1"/>
    <xf numFmtId="167" fontId="6" fillId="3" borderId="0" xfId="2" applyNumberFormat="1" applyFont="1" applyFill="1"/>
    <xf numFmtId="167" fontId="0" fillId="3" borderId="0" xfId="2" applyNumberFormat="1" applyFont="1" applyFill="1"/>
    <xf numFmtId="9" fontId="6" fillId="3" borderId="0" xfId="2" applyFont="1" applyFill="1"/>
    <xf numFmtId="0" fontId="8" fillId="3" borderId="0" xfId="0" applyFont="1" applyFill="1"/>
    <xf numFmtId="2" fontId="5" fillId="3" borderId="17" xfId="0" applyNumberFormat="1" applyFont="1" applyFill="1" applyBorder="1" applyAlignment="1">
      <alignment horizontal="center"/>
    </xf>
    <xf numFmtId="0" fontId="0" fillId="3" borderId="18" xfId="0" applyFill="1" applyBorder="1"/>
    <xf numFmtId="0" fontId="0" fillId="3" borderId="19" xfId="0" applyFill="1" applyBorder="1"/>
    <xf numFmtId="0" fontId="9" fillId="3" borderId="0" xfId="0" applyFont="1" applyFill="1"/>
    <xf numFmtId="164" fontId="0" fillId="3" borderId="18" xfId="0" applyNumberFormat="1" applyFill="1" applyBorder="1"/>
    <xf numFmtId="0" fontId="6" fillId="3" borderId="12" xfId="0" applyFont="1" applyFill="1" applyBorder="1"/>
    <xf numFmtId="0" fontId="6" fillId="3" borderId="17" xfId="0" applyFont="1" applyFill="1" applyBorder="1"/>
    <xf numFmtId="1" fontId="7" fillId="3" borderId="20" xfId="0" applyNumberFormat="1" applyFont="1" applyFill="1" applyBorder="1" applyAlignment="1">
      <alignment horizontal="right"/>
    </xf>
    <xf numFmtId="0" fontId="0" fillId="3" borderId="0" xfId="0" applyFill="1" applyAlignment="1">
      <alignment horizontal="right"/>
    </xf>
    <xf numFmtId="2" fontId="9" fillId="3" borderId="0" xfId="0" applyNumberFormat="1" applyFont="1" applyFill="1" applyAlignment="1">
      <alignment horizontal="left"/>
    </xf>
    <xf numFmtId="0" fontId="10" fillId="3" borderId="0" xfId="0" applyFont="1" applyFill="1"/>
    <xf numFmtId="0" fontId="0" fillId="0" borderId="0" xfId="0" applyAlignment="1">
      <alignment horizontal="right"/>
    </xf>
    <xf numFmtId="0" fontId="5" fillId="3" borderId="0" xfId="0" applyFont="1" applyFill="1" applyAlignment="1">
      <alignment horizontal="left"/>
    </xf>
    <xf numFmtId="0" fontId="0" fillId="3" borderId="9" xfId="0" applyFill="1" applyBorder="1"/>
    <xf numFmtId="166" fontId="7" fillId="3" borderId="20" xfId="0" applyNumberFormat="1" applyFont="1" applyFill="1" applyBorder="1" applyAlignment="1">
      <alignment horizontal="right"/>
    </xf>
    <xf numFmtId="0" fontId="11" fillId="3" borderId="0" xfId="0" applyFont="1" applyFill="1"/>
    <xf numFmtId="0" fontId="0" fillId="3" borderId="1" xfId="0" applyFill="1" applyBorder="1" applyAlignment="1">
      <alignment horizontal="left"/>
    </xf>
    <xf numFmtId="0" fontId="0" fillId="3" borderId="3" xfId="0" applyFill="1" applyBorder="1" applyAlignment="1">
      <alignment horizontal="righ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right"/>
    </xf>
    <xf numFmtId="0" fontId="6" fillId="3" borderId="4" xfId="0" applyFont="1" applyFill="1" applyBorder="1" applyAlignment="1">
      <alignment horizontal="left"/>
    </xf>
    <xf numFmtId="0" fontId="0" fillId="3" borderId="4" xfId="0" applyFill="1" applyBorder="1"/>
    <xf numFmtId="0" fontId="0" fillId="3" borderId="6" xfId="0" applyFill="1" applyBorder="1"/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9" fontId="11" fillId="3" borderId="0" xfId="0" applyNumberFormat="1" applyFont="1" applyFill="1"/>
    <xf numFmtId="165" fontId="5" fillId="3" borderId="12" xfId="0" applyNumberFormat="1" applyFont="1" applyFill="1" applyBorder="1" applyAlignment="1">
      <alignment horizontal="center"/>
    </xf>
    <xf numFmtId="165" fontId="5" fillId="3" borderId="17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2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/>
    </xf>
    <xf numFmtId="0" fontId="0" fillId="3" borderId="0" xfId="0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2" fontId="0" fillId="3" borderId="0" xfId="0" applyNumberFormat="1" applyFill="1"/>
    <xf numFmtId="0" fontId="0" fillId="4" borderId="0" xfId="0" applyFill="1"/>
    <xf numFmtId="0" fontId="6" fillId="3" borderId="20" xfId="0" applyFont="1" applyFill="1" applyBorder="1" applyAlignment="1">
      <alignment horizontal="right"/>
    </xf>
    <xf numFmtId="0" fontId="6" fillId="3" borderId="4" xfId="0" applyFont="1" applyFill="1" applyBorder="1"/>
    <xf numFmtId="0" fontId="16" fillId="3" borderId="0" xfId="0" quotePrefix="1" applyFont="1" applyFill="1"/>
    <xf numFmtId="1" fontId="0" fillId="3" borderId="0" xfId="0" applyNumberFormat="1" applyFill="1"/>
    <xf numFmtId="0" fontId="16" fillId="3" borderId="0" xfId="0" applyFont="1" applyFill="1"/>
    <xf numFmtId="0" fontId="6" fillId="3" borderId="21" xfId="0" applyFont="1" applyFill="1" applyBorder="1"/>
    <xf numFmtId="0" fontId="6" fillId="3" borderId="22" xfId="0" applyFont="1" applyFill="1" applyBorder="1"/>
    <xf numFmtId="0" fontId="6" fillId="3" borderId="23" xfId="0" applyFont="1" applyFill="1" applyBorder="1"/>
    <xf numFmtId="0" fontId="6" fillId="3" borderId="5" xfId="0" applyFont="1" applyFill="1" applyBorder="1" applyAlignment="1">
      <alignment horizontal="right"/>
    </xf>
    <xf numFmtId="2" fontId="6" fillId="3" borderId="5" xfId="0" applyNumberFormat="1" applyFont="1" applyFill="1" applyBorder="1" applyAlignment="1">
      <alignment horizontal="right"/>
    </xf>
    <xf numFmtId="2" fontId="0" fillId="3" borderId="5" xfId="0" applyNumberFormat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5" fillId="2" borderId="24" xfId="0" applyFont="1" applyFill="1" applyBorder="1" applyAlignment="1">
      <alignment horizontal="center"/>
    </xf>
    <xf numFmtId="1" fontId="6" fillId="0" borderId="0" xfId="0" applyNumberFormat="1" applyFont="1"/>
    <xf numFmtId="0" fontId="6" fillId="0" borderId="0" xfId="0" applyFont="1" applyProtection="1">
      <protection locked="0"/>
    </xf>
    <xf numFmtId="1" fontId="6" fillId="0" borderId="0" xfId="0" applyNumberFormat="1" applyFont="1" applyProtection="1">
      <protection locked="0"/>
    </xf>
    <xf numFmtId="1" fontId="9" fillId="3" borderId="0" xfId="0" applyNumberFormat="1" applyFont="1" applyFill="1"/>
    <xf numFmtId="0" fontId="3" fillId="0" borderId="0" xfId="0" applyFont="1" applyAlignment="1">
      <alignment horizontal="left"/>
    </xf>
    <xf numFmtId="0" fontId="6" fillId="5" borderId="0" xfId="0" applyFont="1" applyFill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0" fontId="6" fillId="5" borderId="0" xfId="0" applyFont="1" applyFill="1" applyProtection="1">
      <protection locked="0"/>
    </xf>
    <xf numFmtId="1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/>
      <protection locked="0"/>
    </xf>
    <xf numFmtId="1" fontId="6" fillId="5" borderId="16" xfId="0" applyNumberFormat="1" applyFont="1" applyFill="1" applyBorder="1" applyAlignment="1" applyProtection="1">
      <alignment horizontal="center"/>
      <protection locked="0"/>
    </xf>
    <xf numFmtId="1" fontId="3" fillId="5" borderId="16" xfId="0" applyNumberFormat="1" applyFont="1" applyFill="1" applyBorder="1" applyAlignment="1" applyProtection="1">
      <alignment horizontal="center"/>
      <protection locked="0"/>
    </xf>
    <xf numFmtId="1" fontId="3" fillId="0" borderId="0" xfId="101" applyNumberFormat="1" applyAlignment="1">
      <alignment horizontal="center"/>
    </xf>
    <xf numFmtId="165" fontId="3" fillId="0" borderId="0" xfId="101" applyNumberFormat="1" applyAlignment="1">
      <alignment horizontal="right"/>
    </xf>
    <xf numFmtId="1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101" applyAlignment="1">
      <alignment horizontal="center"/>
    </xf>
    <xf numFmtId="2" fontId="3" fillId="0" borderId="0" xfId="101" applyNumberFormat="1" applyAlignment="1">
      <alignment horizontal="center"/>
    </xf>
    <xf numFmtId="0" fontId="5" fillId="2" borderId="25" xfId="0" applyFont="1" applyFill="1" applyBorder="1" applyAlignment="1">
      <alignment horizontal="center"/>
    </xf>
    <xf numFmtId="2" fontId="6" fillId="3" borderId="17" xfId="0" applyNumberFormat="1" applyFont="1" applyFill="1" applyBorder="1" applyAlignment="1">
      <alignment horizontal="center"/>
    </xf>
  </cellXfs>
  <cellStyles count="110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5" builtinId="9" hidden="1"/>
    <cellStyle name="Followed Hyperlink" xfId="107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4" builtinId="8" hidden="1"/>
    <cellStyle name="Hyperlink" xfId="106" builtinId="8" hidden="1"/>
    <cellStyle name="Normal" xfId="0" builtinId="0"/>
    <cellStyle name="Normal 2" xfId="1" xr:uid="{00000000-0005-0000-0000-000067000000}"/>
    <cellStyle name="Normal 2 2" xfId="101" xr:uid="{00000000-0005-0000-0000-000068000000}"/>
    <cellStyle name="Normal 3" xfId="108" xr:uid="{00000000-0005-0000-0000-000069000000}"/>
    <cellStyle name="Normal 4" xfId="109" xr:uid="{00000000-0005-0000-0000-00006A000000}"/>
    <cellStyle name="Percent" xfId="2" builtinId="5"/>
    <cellStyle name="Percent 2" xfId="102" xr:uid="{00000000-0005-0000-0000-00006C000000}"/>
    <cellStyle name="Percent 3" xfId="103" xr:uid="{00000000-0005-0000-0000-00006D000000}"/>
  </cellStyles>
  <dxfs count="21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34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13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ont>
        <b/>
        <i/>
        <condense val="0"/>
        <extend val="0"/>
        <color indexed="10"/>
      </font>
      <fill>
        <patternFill>
          <bgColor indexed="22"/>
        </patternFill>
      </fill>
    </dxf>
    <dxf>
      <fill>
        <patternFill>
          <bgColor theme="7" tint="0.39994506668294322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rgb="FFFF99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FF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Normal Scale</a:t>
            </a:r>
          </a:p>
        </c:rich>
      </c:tx>
      <c:layout>
        <c:manualLayout>
          <c:xMode val="edge"/>
          <c:yMode val="edge"/>
          <c:x val="0.29126213592233002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087378640776699"/>
          <c:y val="0.18997385952684309"/>
          <c:w val="0.75533980582524296"/>
          <c:h val="0.59894536267490905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0C-4D36-A1FD-554A4EEF0808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0C-4D36-A1FD-554A4EEF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3760"/>
        <c:axId val="231656064"/>
      </c:scatterChart>
      <c:valAx>
        <c:axId val="231653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6796116504854424"/>
              <c:y val="0.883906121233526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6064"/>
        <c:crosses val="autoZero"/>
        <c:crossBetween val="midCat"/>
      </c:valAx>
      <c:valAx>
        <c:axId val="2316560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4951456310679599E-2"/>
              <c:y val="0.234828773052445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16537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894151479581934"/>
          <c:y val="0.20696736842974209"/>
          <c:w val="0.22995478408866801"/>
          <c:h val="0.11065582074461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Concentration vs. Time Plot
Log-Normal Scale</a:t>
            </a:r>
          </a:p>
        </c:rich>
      </c:tx>
      <c:layout>
        <c:manualLayout>
          <c:xMode val="edge"/>
          <c:yMode val="edge"/>
          <c:x val="0.29069828480742216"/>
          <c:y val="3.15789473684211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53514779998599"/>
          <c:y val="0.18421052631578891"/>
          <c:w val="0.79069917086658736"/>
          <c:h val="0.63421052631578934"/>
        </c:manualLayout>
      </c:layout>
      <c:scatterChart>
        <c:scatterStyle val="lineMarker"/>
        <c:varyColors val="0"/>
        <c:ser>
          <c:idx val="0"/>
          <c:order val="0"/>
          <c:tx>
            <c:v>Treatment A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Graphs'!$A$8:$A$75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Graphs'!$B$8:$B$75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2.4</c:v>
                </c:pt>
                <c:pt idx="3">
                  <c:v>4.5</c:v>
                </c:pt>
                <c:pt idx="4">
                  <c:v>15.4</c:v>
                </c:pt>
                <c:pt idx="5">
                  <c:v>13</c:v>
                </c:pt>
                <c:pt idx="6">
                  <c:v>10.32</c:v>
                </c:pt>
                <c:pt idx="7">
                  <c:v>8.4</c:v>
                </c:pt>
                <c:pt idx="8">
                  <c:v>7.53</c:v>
                </c:pt>
                <c:pt idx="9">
                  <c:v>0</c:v>
                </c:pt>
                <c:pt idx="10">
                  <c:v>3.88</c:v>
                </c:pt>
                <c:pt idx="11">
                  <c:v>2</c:v>
                </c:pt>
                <c:pt idx="12">
                  <c:v>1.35</c:v>
                </c:pt>
                <c:pt idx="13">
                  <c:v>1.23</c:v>
                </c:pt>
                <c:pt idx="14">
                  <c:v>0.94</c:v>
                </c:pt>
                <c:pt idx="15">
                  <c:v>0.21</c:v>
                </c:pt>
                <c:pt idx="16">
                  <c:v>0.14000000000000001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7-46DD-9022-6F8C3CBE816E}"/>
            </c:ext>
          </c:extLst>
        </c:ser>
        <c:ser>
          <c:idx val="1"/>
          <c:order val="1"/>
          <c:tx>
            <c:v>Treatment B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circle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'Subject Graphs'!$C$8:$C$75</c:f>
              <c:numCache>
                <c:formatCode>0.00</c:formatCode>
                <c:ptCount val="68"/>
                <c:pt idx="0">
                  <c:v>0</c:v>
                </c:pt>
                <c:pt idx="1">
                  <c:v>0.33300000000000002</c:v>
                </c:pt>
                <c:pt idx="2">
                  <c:v>0.66700000000000004</c:v>
                </c:pt>
                <c:pt idx="3">
                  <c:v>1.1000000000000001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6</c:v>
                </c:pt>
                <c:pt idx="11">
                  <c:v>8</c:v>
                </c:pt>
                <c:pt idx="12">
                  <c:v>12</c:v>
                </c:pt>
                <c:pt idx="13">
                  <c:v>24</c:v>
                </c:pt>
                <c:pt idx="14">
                  <c:v>36</c:v>
                </c:pt>
                <c:pt idx="15">
                  <c:v>48</c:v>
                </c:pt>
                <c:pt idx="16">
                  <c:v>72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xVal>
          <c:yVal>
            <c:numRef>
              <c:f>'Subject Graphs'!$D$8:$D$75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</c:v>
                </c:pt>
                <c:pt idx="7">
                  <c:v>2.5099999999999998</c:v>
                </c:pt>
                <c:pt idx="8">
                  <c:v>4.32</c:v>
                </c:pt>
                <c:pt idx="9">
                  <c:v>5.21</c:v>
                </c:pt>
                <c:pt idx="10">
                  <c:v>3.61</c:v>
                </c:pt>
                <c:pt idx="11">
                  <c:v>9.07</c:v>
                </c:pt>
                <c:pt idx="12">
                  <c:v>16.59</c:v>
                </c:pt>
                <c:pt idx="13">
                  <c:v>23.32</c:v>
                </c:pt>
                <c:pt idx="14">
                  <c:v>16.11</c:v>
                </c:pt>
                <c:pt idx="15">
                  <c:v>16.010000000000002</c:v>
                </c:pt>
                <c:pt idx="16">
                  <c:v>15.08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7-46DD-9022-6F8C3CBE8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258560"/>
        <c:axId val="190265216"/>
      </c:scatterChart>
      <c:valAx>
        <c:axId val="190258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Time (hours)</a:t>
                </a:r>
              </a:p>
            </c:rich>
          </c:tx>
          <c:layout>
            <c:manualLayout>
              <c:xMode val="edge"/>
              <c:yMode val="edge"/>
              <c:x val="0.45542717044090397"/>
              <c:y val="0.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65216"/>
        <c:crosses val="autoZero"/>
        <c:crossBetween val="midCat"/>
      </c:valAx>
      <c:valAx>
        <c:axId val="19026521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Plasma Concentration (ng/mL)</a:t>
                </a:r>
              </a:p>
            </c:rich>
          </c:tx>
          <c:layout>
            <c:manualLayout>
              <c:xMode val="edge"/>
              <c:yMode val="edge"/>
              <c:x val="3.1007751937984489E-2"/>
              <c:y val="0.2421052631578951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025856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184366574234868"/>
          <c:y val="0.20528511311259609"/>
          <c:w val="0.22960750478785397"/>
          <c:h val="0.109756397109704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19" fmlaLink="$C$1" fmlaRange="Data!$A$2:$A$1003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G$7" lockText="1" noThreeD="1"/>
</file>

<file path=xl/ctrlProps/ctrlProp5.xml><?xml version="1.0" encoding="utf-8"?>
<formControlPr xmlns="http://schemas.microsoft.com/office/spreadsheetml/2009/9/main" objectType="CheckBox" checked="Checked" fmlaLink="$G$9" lockText="1" noThreeD="1"/>
</file>

<file path=xl/ctrlProps/ctrlProp6.xml><?xml version="1.0" encoding="utf-8"?>
<formControlPr xmlns="http://schemas.microsoft.com/office/spreadsheetml/2009/9/main" objectType="CheckBox" fmlaLink="$G$10" lockText="1" noThreeD="1"/>
</file>

<file path=xl/ctrlProps/ctrlProp7.xml><?xml version="1.0" encoding="utf-8"?>
<formControlPr xmlns="http://schemas.microsoft.com/office/spreadsheetml/2009/9/main" objectType="CheckBox" fmlaLink="$G$11" lockText="1" noThreeD="1"/>
</file>

<file path=xl/ctrlProps/ctrlProp8.xml><?xml version="1.0" encoding="utf-8"?>
<formControlPr xmlns="http://schemas.microsoft.com/office/spreadsheetml/2009/9/main" objectType="CheckBox" checked="Checked" fmlaLink="$G$12" lockText="1" noThreeD="1"/>
</file>

<file path=xl/ctrlProps/ctrlProp9.xml><?xml version="1.0" encoding="utf-8"?>
<formControlPr xmlns="http://schemas.microsoft.com/office/spreadsheetml/2009/9/main" objectType="CheckBox" checked="Checked" fmlaLink="$G$13" lockText="1" noThreeD="1"/>
</file>

<file path=xl/ctrlProps/ctrlProp10.xml><?xml version="1.0" encoding="utf-8"?>
<formControlPr xmlns="http://schemas.microsoft.com/office/spreadsheetml/2009/9/main" objectType="CheckBox" fmlaLink="$G$14" lockText="1" noThreeD="1"/>
</file>

<file path=xl/ctrlProps/ctrlProp11.xml><?xml version="1.0" encoding="utf-8"?>
<formControlPr xmlns="http://schemas.microsoft.com/office/spreadsheetml/2009/9/main" objectType="Drop" dropLines="113" dropStyle="combo" dx="19" fmlaLink="Analysis!$C$1" fmlaRange="Data!$A$2:$A$501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</xdr:row>
      <xdr:rowOff>19050</xdr:rowOff>
    </xdr:from>
    <xdr:to>
      <xdr:col>10</xdr:col>
      <xdr:colOff>531497</xdr:colOff>
      <xdr:row>28</xdr:row>
      <xdr:rowOff>76200</xdr:rowOff>
    </xdr:to>
    <xdr:sp macro="" textlink="">
      <xdr:nvSpPr>
        <xdr:cNvPr id="9217" name="Text Box 1" descr="Parchment">
          <a:extLst>
            <a:ext uri="{FF2B5EF4-FFF2-40B4-BE49-F238E27FC236}">
              <a16:creationId xmlns:a16="http://schemas.microsoft.com/office/drawing/2014/main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247650" y="180975"/>
          <a:ext cx="6379847" cy="442912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1">
            <a:defRPr sz="1000"/>
          </a:pPr>
          <a:r>
            <a:rPr lang="en-US" sz="2000" b="0" i="0" strike="noStrike">
              <a:solidFill>
                <a:srgbClr val="000000"/>
              </a:solidFill>
              <a:latin typeface="Arial"/>
              <a:cs typeface="Arial"/>
            </a:rPr>
            <a:t>Noncompartmental PK Analysis Program</a:t>
          </a:r>
        </a:p>
        <a:p>
          <a:pPr algn="l" rtl="1">
            <a:defRPr sz="1000"/>
          </a:pPr>
          <a:endParaRPr lang="en-US" sz="2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This program will perform a non-compartmental PK analysis on concentration vs. time data.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u="sng" strike="noStrike">
              <a:solidFill>
                <a:srgbClr val="000000"/>
              </a:solidFill>
              <a:latin typeface="Arial"/>
              <a:cs typeface="Arial"/>
            </a:rPr>
            <a:t>Instructions: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1) Enter the Randomization Scheme in the "Randomization" worksheet. Follow the format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Subject   Period1  Period2 ...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1                A              B  ......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 program can handle up to four treatments (two for graphing purposes).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2) Enter the Sampling Times on the first row</a:t>
          </a:r>
          <a:r>
            <a:rPr lang="en-US" sz="1200" b="1" i="0" strike="noStrike" baseline="0">
              <a:solidFill>
                <a:srgbClr val="000000"/>
              </a:solidFill>
              <a:latin typeface="Arial"/>
              <a:cs typeface="Arial"/>
            </a:rPr>
            <a:t> of the "Data"</a:t>
          </a:r>
          <a:r>
            <a:rPr lang="en-US" sz="1200" b="1" i="0" strike="noStrike">
              <a:solidFill>
                <a:srgbClr val="000000"/>
              </a:solidFill>
              <a:latin typeface="Arial"/>
              <a:cs typeface="Arial"/>
            </a:rPr>
            <a:t> worksheet.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3) Enter the concentration-time data in the "Data" worksheet.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instances of "BLQ" with -999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• Replace all other codes with a negative number of your choosing (e.g. replace NS with -993)</a:t>
          </a: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The</a:t>
          </a:r>
          <a:r>
            <a:rPr lang="en-US" sz="1200" b="0" i="0" strike="noStrike" baseline="0">
              <a:solidFill>
                <a:srgbClr val="000000"/>
              </a:solidFill>
              <a:latin typeface="Arial"/>
              <a:cs typeface="Arial"/>
            </a:rPr>
            <a:t> macro on this page will perform the above replacements.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4) Check the assumptions required on the "Analysis" worksheet. If MRT or Cl/F is required, enter the correct dose in the same mass units as Cmax.</a:t>
          </a:r>
        </a:p>
        <a:p>
          <a:pPr algn="l" rtl="1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5) Now click the "Run PK analysis" button. Results will appear on the "Results" worksheet.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312420</xdr:colOff>
      <xdr:row>3</xdr:row>
      <xdr:rowOff>129540</xdr:rowOff>
    </xdr:from>
    <xdr:to>
      <xdr:col>18</xdr:col>
      <xdr:colOff>571500</xdr:colOff>
      <xdr:row>6</xdr:row>
      <xdr:rowOff>133350</xdr:rowOff>
    </xdr:to>
    <xdr:sp macro="[0]!BLQN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574020" y="605790"/>
          <a:ext cx="1541780" cy="4800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PUSH ME</a:t>
          </a:r>
          <a:r>
            <a:rPr lang="en-US" sz="1100" baseline="0"/>
            <a:t> to code BLQ and NS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26</xdr:row>
      <xdr:rowOff>91440</xdr:rowOff>
    </xdr:from>
    <xdr:to>
      <xdr:col>10</xdr:col>
      <xdr:colOff>403860</xdr:colOff>
      <xdr:row>29</xdr:row>
      <xdr:rowOff>38100</xdr:rowOff>
    </xdr:to>
    <xdr:pic>
      <xdr:nvPicPr>
        <xdr:cNvPr id="63228" name="Picture 8" descr="eq00025">
          <a:extLst>
            <a:ext uri="{FF2B5EF4-FFF2-40B4-BE49-F238E27FC236}">
              <a16:creationId xmlns:a16="http://schemas.microsoft.com/office/drawing/2014/main" id="{00000000-0008-0000-0500-0000FC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4594860"/>
          <a:ext cx="115062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0</xdr:colOff>
      <xdr:row>17</xdr:row>
      <xdr:rowOff>22860</xdr:rowOff>
    </xdr:from>
    <xdr:to>
      <xdr:col>12</xdr:col>
      <xdr:colOff>419100</xdr:colOff>
      <xdr:row>19</xdr:row>
      <xdr:rowOff>129540</xdr:rowOff>
    </xdr:to>
    <xdr:pic>
      <xdr:nvPicPr>
        <xdr:cNvPr id="63229" name="Picture 9" descr="eq00021">
          <a:extLst>
            <a:ext uri="{FF2B5EF4-FFF2-40B4-BE49-F238E27FC236}">
              <a16:creationId xmlns:a16="http://schemas.microsoft.com/office/drawing/2014/main" id="{00000000-0008-0000-0500-0000FD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93180" y="3017520"/>
          <a:ext cx="2499360" cy="4419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114300</xdr:colOff>
      <xdr:row>17</xdr:row>
      <xdr:rowOff>22860</xdr:rowOff>
    </xdr:from>
    <xdr:to>
      <xdr:col>14</xdr:col>
      <xdr:colOff>525780</xdr:colOff>
      <xdr:row>19</xdr:row>
      <xdr:rowOff>144780</xdr:rowOff>
    </xdr:to>
    <xdr:pic>
      <xdr:nvPicPr>
        <xdr:cNvPr id="63230" name="Picture 10" descr="eq00022">
          <a:extLst>
            <a:ext uri="{FF2B5EF4-FFF2-40B4-BE49-F238E27FC236}">
              <a16:creationId xmlns:a16="http://schemas.microsoft.com/office/drawing/2014/main" id="{00000000-0008-0000-0500-0000FE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2580" y="3017520"/>
          <a:ext cx="103632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30480</xdr:colOff>
      <xdr:row>22</xdr:row>
      <xdr:rowOff>121920</xdr:rowOff>
    </xdr:from>
    <xdr:to>
      <xdr:col>10</xdr:col>
      <xdr:colOff>274320</xdr:colOff>
      <xdr:row>26</xdr:row>
      <xdr:rowOff>38100</xdr:rowOff>
    </xdr:to>
    <xdr:pic>
      <xdr:nvPicPr>
        <xdr:cNvPr id="63231" name="Picture 18">
          <a:extLst>
            <a:ext uri="{FF2B5EF4-FFF2-40B4-BE49-F238E27FC236}">
              <a16:creationId xmlns:a16="http://schemas.microsoft.com/office/drawing/2014/main" id="{00000000-0008-0000-0500-0000FFF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660" y="3954780"/>
          <a:ext cx="1021080" cy="586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45720</xdr:colOff>
      <xdr:row>29</xdr:row>
      <xdr:rowOff>38100</xdr:rowOff>
    </xdr:from>
    <xdr:to>
      <xdr:col>10</xdr:col>
      <xdr:colOff>236220</xdr:colOff>
      <xdr:row>32</xdr:row>
      <xdr:rowOff>38100</xdr:rowOff>
    </xdr:to>
    <xdr:pic>
      <xdr:nvPicPr>
        <xdr:cNvPr id="63232" name="Picture 20">
          <a:extLst>
            <a:ext uri="{FF2B5EF4-FFF2-40B4-BE49-F238E27FC236}">
              <a16:creationId xmlns:a16="http://schemas.microsoft.com/office/drawing/2014/main" id="{00000000-0008-0000-0500-000000F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48"/>
        <a:stretch>
          <a:fillRect/>
        </a:stretch>
      </xdr:blipFill>
      <xdr:spPr bwMode="auto">
        <a:xfrm>
          <a:off x="6438900" y="5044440"/>
          <a:ext cx="96774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0</xdr:row>
          <xdr:rowOff>19050</xdr:rowOff>
        </xdr:from>
        <xdr:to>
          <xdr:col>2</xdr:col>
          <xdr:colOff>323850</xdr:colOff>
          <xdr:row>0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171450</xdr:rowOff>
        </xdr:from>
        <xdr:to>
          <xdr:col>10</xdr:col>
          <xdr:colOff>19050</xdr:colOff>
          <xdr:row>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PK analysis on all subjects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3</xdr:row>
          <xdr:rowOff>57150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current </a:t>
              </a:r>
            </a:p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6</xdr:row>
          <xdr:rowOff>19050</xdr:rowOff>
        </xdr:from>
        <xdr:to>
          <xdr:col>13</xdr:col>
          <xdr:colOff>400050</xdr:colOff>
          <xdr:row>7</xdr:row>
          <xdr:rowOff>50800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Treat BLQ values flanked by concentrations as if they had never been scheduled for collection (unchecked: BLQ=0)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19</xdr:row>
          <xdr:rowOff>171450</xdr:rowOff>
        </xdr:from>
        <xdr:to>
          <xdr:col>11</xdr:col>
          <xdr:colOff>514350</xdr:colOff>
          <xdr:row>23</xdr:row>
          <xdr:rowOff>0</xdr:rowOff>
        </xdr:to>
        <xdr:sp macro="" textlink="">
          <xdr:nvSpPr>
            <xdr:cNvPr id="1045" name="Objec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5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EFED6"/>
                  </a:solidFill>
                </a14:hiddenFill>
              </a:ext>
              <a:ext uri="{91240B29-F687-4F45-9708-019B960494DF}">
                <a14:hiddenLine w="9525">
                  <a:solidFill>
                    <a:srgbClr val="FEFED6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7</xdr:row>
          <xdr:rowOff>0</xdr:rowOff>
        </xdr:from>
        <xdr:to>
          <xdr:col>13</xdr:col>
          <xdr:colOff>361950</xdr:colOff>
          <xdr:row>8</xdr:row>
          <xdr:rowOff>57150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AUCt for missed terminal samples preceded by concentrations or missed pre-dose concentrations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8</xdr:row>
          <xdr:rowOff>19050</xdr:rowOff>
        </xdr:from>
        <xdr:to>
          <xdr:col>11</xdr:col>
          <xdr:colOff>19050</xdr:colOff>
          <xdr:row>9</xdr:row>
          <xdr:rowOff>57150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Estimate AUCinf even if AUCt is not estimated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10</xdr:row>
          <xdr:rowOff>19050</xdr:rowOff>
        </xdr:from>
        <xdr:to>
          <xdr:col>11</xdr:col>
          <xdr:colOff>19050</xdr:colOff>
          <xdr:row>11</xdr:row>
          <xdr:rowOff>95250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adjust sampling times with Blood Sampling Deviations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9</xdr:row>
          <xdr:rowOff>19050</xdr:rowOff>
        </xdr:from>
        <xdr:to>
          <xdr:col>11</xdr:col>
          <xdr:colOff>19050</xdr:colOff>
          <xdr:row>10</xdr:row>
          <xdr:rowOff>76200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Cmax or Tmax if adjacent sampling time was missed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11</xdr:row>
          <xdr:rowOff>19050</xdr:rowOff>
        </xdr:from>
        <xdr:to>
          <xdr:col>11</xdr:col>
          <xdr:colOff>19050</xdr:colOff>
          <xdr:row>12</xdr:row>
          <xdr:rowOff>95250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select t1/2 if it is greater than the time span it is estimated over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38100</xdr:rowOff>
        </xdr:from>
        <xdr:to>
          <xdr:col>8</xdr:col>
          <xdr:colOff>704850</xdr:colOff>
          <xdr:row>13</xdr:row>
          <xdr:rowOff>95250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5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Don't estimate AUCinf if AUCt/AUCinf &lt; 80%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0</xdr:row>
      <xdr:rowOff>45720</xdr:rowOff>
    </xdr:from>
    <xdr:to>
      <xdr:col>12</xdr:col>
      <xdr:colOff>472440</xdr:colOff>
      <xdr:row>21</xdr:row>
      <xdr:rowOff>106680</xdr:rowOff>
    </xdr:to>
    <xdr:graphicFrame macro="">
      <xdr:nvGraphicFramePr>
        <xdr:cNvPr id="8320" name="Chart 4">
          <a:extLst>
            <a:ext uri="{FF2B5EF4-FFF2-40B4-BE49-F238E27FC236}">
              <a16:creationId xmlns:a16="http://schemas.microsoft.com/office/drawing/2014/main" id="{00000000-0008-0000-0700-000080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22</xdr:row>
      <xdr:rowOff>0</xdr:rowOff>
    </xdr:from>
    <xdr:to>
      <xdr:col>12</xdr:col>
      <xdr:colOff>472440</xdr:colOff>
      <xdr:row>44</xdr:row>
      <xdr:rowOff>60960</xdr:rowOff>
    </xdr:to>
    <xdr:graphicFrame macro="">
      <xdr:nvGraphicFramePr>
        <xdr:cNvPr id="8321" name="Chart 6">
          <a:extLst>
            <a:ext uri="{FF2B5EF4-FFF2-40B4-BE49-F238E27FC236}">
              <a16:creationId xmlns:a16="http://schemas.microsoft.com/office/drawing/2014/main" id="{00000000-0008-0000-0700-000081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0</xdr:row>
          <xdr:rowOff>38100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39688</xdr:colOff>
      <xdr:row>0</xdr:row>
      <xdr:rowOff>105833</xdr:rowOff>
    </xdr:from>
    <xdr:to>
      <xdr:col>16</xdr:col>
      <xdr:colOff>79375</xdr:colOff>
      <xdr:row>7</xdr:row>
      <xdr:rowOff>1</xdr:rowOff>
    </xdr:to>
    <xdr:sp macro="[0]!Sor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273646" y="105833"/>
          <a:ext cx="1865312" cy="116416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For this spreadsheet to display the proper subject</a:t>
          </a:r>
          <a:r>
            <a:rPr lang="en-CA" sz="1100" baseline="0"/>
            <a:t> profiles, on the "Data" worksheet, sort by Subject then by Period. Or, click this button.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"/>
  <sheetViews>
    <sheetView tabSelected="1" workbookViewId="0">
      <selection activeCell="C3" sqref="C3"/>
    </sheetView>
  </sheetViews>
  <sheetFormatPr defaultColWidth="9.1796875" defaultRowHeight="12.5" x14ac:dyDescent="0.25"/>
  <cols>
    <col min="1" max="16384" width="9.1796875" style="70"/>
  </cols>
  <sheetData/>
  <phoneticPr fontId="4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00"/>
  <sheetViews>
    <sheetView workbookViewId="0">
      <selection activeCell="A2" sqref="A2"/>
    </sheetView>
  </sheetViews>
  <sheetFormatPr defaultColWidth="9.1796875" defaultRowHeight="12.5" x14ac:dyDescent="0.25"/>
  <cols>
    <col min="1" max="3" width="9.1796875" style="88"/>
    <col min="4" max="16384" width="9.1796875" style="11"/>
  </cols>
  <sheetData>
    <row r="1" spans="1:10" x14ac:dyDescent="0.25">
      <c r="A1" s="11" t="s">
        <v>20</v>
      </c>
      <c r="B1" s="11" t="s">
        <v>74</v>
      </c>
      <c r="C1" s="11" t="s">
        <v>75</v>
      </c>
    </row>
    <row r="2" spans="1:10" x14ac:dyDescent="0.25">
      <c r="A2" s="90">
        <v>1</v>
      </c>
      <c r="B2" s="11" t="s">
        <v>13</v>
      </c>
      <c r="C2" s="11" t="s">
        <v>12</v>
      </c>
      <c r="J2" s="63"/>
    </row>
    <row r="3" spans="1:10" x14ac:dyDescent="0.25">
      <c r="A3" s="90">
        <v>2</v>
      </c>
      <c r="B3" s="11" t="s">
        <v>12</v>
      </c>
      <c r="C3" s="11" t="s">
        <v>13</v>
      </c>
      <c r="J3" s="63"/>
    </row>
    <row r="4" spans="1:10" x14ac:dyDescent="0.25">
      <c r="A4" s="11"/>
      <c r="B4" s="11"/>
      <c r="C4" s="11"/>
      <c r="J4" s="63"/>
    </row>
    <row r="5" spans="1:10" x14ac:dyDescent="0.25">
      <c r="A5" s="11"/>
      <c r="B5" s="11"/>
      <c r="C5" s="11"/>
      <c r="J5" s="63"/>
    </row>
    <row r="6" spans="1:10" x14ac:dyDescent="0.25">
      <c r="A6" s="11"/>
      <c r="B6" s="11"/>
      <c r="C6" s="11"/>
      <c r="J6" s="63"/>
    </row>
    <row r="7" spans="1:10" x14ac:dyDescent="0.25">
      <c r="A7" s="11"/>
      <c r="B7" s="11"/>
      <c r="C7" s="11"/>
      <c r="J7" s="63"/>
    </row>
    <row r="8" spans="1:10" x14ac:dyDescent="0.25">
      <c r="A8" s="11"/>
      <c r="B8" s="11"/>
      <c r="C8" s="11"/>
      <c r="J8" s="63"/>
    </row>
    <row r="9" spans="1:10" x14ac:dyDescent="0.25">
      <c r="A9" s="11"/>
      <c r="B9" s="11"/>
      <c r="C9" s="11"/>
      <c r="J9" s="63"/>
    </row>
    <row r="10" spans="1:10" x14ac:dyDescent="0.25">
      <c r="A10" s="11"/>
      <c r="B10" s="11"/>
      <c r="C10" s="11"/>
      <c r="J10" s="63"/>
    </row>
    <row r="11" spans="1:10" x14ac:dyDescent="0.25">
      <c r="A11" s="11"/>
      <c r="B11" s="11"/>
      <c r="C11" s="11"/>
      <c r="J11" s="63"/>
    </row>
    <row r="12" spans="1:10" x14ac:dyDescent="0.25">
      <c r="A12" s="11"/>
      <c r="B12" s="11"/>
      <c r="C12" s="11"/>
      <c r="J12" s="63"/>
    </row>
    <row r="13" spans="1:10" x14ac:dyDescent="0.25">
      <c r="A13" s="11"/>
      <c r="B13" s="11"/>
      <c r="C13" s="11"/>
      <c r="J13" s="63"/>
    </row>
    <row r="14" spans="1:10" x14ac:dyDescent="0.25">
      <c r="A14" s="11"/>
      <c r="B14" s="11"/>
      <c r="C14" s="11"/>
      <c r="J14" s="63"/>
    </row>
    <row r="15" spans="1:10" x14ac:dyDescent="0.25">
      <c r="A15" s="11"/>
      <c r="B15" s="11"/>
      <c r="C15" s="11"/>
      <c r="J15" s="63"/>
    </row>
    <row r="16" spans="1:10" x14ac:dyDescent="0.25">
      <c r="A16" s="11"/>
      <c r="B16" s="11"/>
      <c r="C16" s="11"/>
      <c r="J16" s="63"/>
    </row>
    <row r="17" spans="1:10" x14ac:dyDescent="0.25">
      <c r="A17" s="11"/>
      <c r="B17" s="11"/>
      <c r="C17" s="11"/>
      <c r="J17" s="63"/>
    </row>
    <row r="18" spans="1:10" x14ac:dyDescent="0.25">
      <c r="A18" s="11"/>
      <c r="B18" s="11"/>
      <c r="C18" s="11"/>
    </row>
    <row r="19" spans="1:10" x14ac:dyDescent="0.25">
      <c r="A19" s="11"/>
      <c r="B19" s="11"/>
      <c r="C19" s="11"/>
    </row>
    <row r="20" spans="1:10" x14ac:dyDescent="0.25">
      <c r="A20" s="11"/>
      <c r="B20" s="11"/>
      <c r="C20" s="11"/>
    </row>
    <row r="21" spans="1:10" x14ac:dyDescent="0.25">
      <c r="A21" s="11"/>
      <c r="B21" s="11"/>
      <c r="C21" s="11"/>
    </row>
    <row r="22" spans="1:10" x14ac:dyDescent="0.25">
      <c r="A22" s="11"/>
      <c r="B22" s="11"/>
      <c r="C22" s="11"/>
    </row>
    <row r="23" spans="1:10" x14ac:dyDescent="0.25">
      <c r="A23" s="11"/>
      <c r="B23" s="11"/>
      <c r="C23" s="11"/>
    </row>
    <row r="24" spans="1:10" x14ac:dyDescent="0.25">
      <c r="A24" s="11"/>
      <c r="B24" s="11"/>
      <c r="C24" s="11"/>
    </row>
    <row r="25" spans="1:10" x14ac:dyDescent="0.25">
      <c r="A25" s="11"/>
      <c r="B25" s="11"/>
      <c r="C25" s="11"/>
    </row>
    <row r="26" spans="1:10" x14ac:dyDescent="0.25">
      <c r="A26" s="11"/>
      <c r="B26" s="11"/>
      <c r="C26" s="11"/>
    </row>
    <row r="27" spans="1:10" x14ac:dyDescent="0.25">
      <c r="A27" s="11"/>
      <c r="B27" s="11"/>
      <c r="C27" s="11"/>
    </row>
    <row r="28" spans="1:10" x14ac:dyDescent="0.25">
      <c r="A28" s="11"/>
      <c r="B28" s="11"/>
      <c r="C28" s="11"/>
    </row>
    <row r="29" spans="1:10" x14ac:dyDescent="0.25">
      <c r="A29" s="11"/>
      <c r="B29" s="11"/>
      <c r="C29" s="11"/>
    </row>
    <row r="30" spans="1:10" x14ac:dyDescent="0.25">
      <c r="A30" s="11"/>
      <c r="B30" s="11"/>
      <c r="C30" s="11"/>
    </row>
    <row r="31" spans="1:10" x14ac:dyDescent="0.25">
      <c r="A31" s="11"/>
      <c r="B31" s="11"/>
      <c r="C31" s="11"/>
    </row>
    <row r="32" spans="1:10" x14ac:dyDescent="0.25">
      <c r="A32" s="11"/>
      <c r="B32" s="11"/>
      <c r="C32" s="11"/>
    </row>
    <row r="33" s="11" customFormat="1" x14ac:dyDescent="0.25"/>
    <row r="34" s="11" customFormat="1" x14ac:dyDescent="0.25"/>
    <row r="35" s="11" customFormat="1" x14ac:dyDescent="0.25"/>
    <row r="36" s="11" customFormat="1" x14ac:dyDescent="0.25"/>
    <row r="37" s="11" customFormat="1" x14ac:dyDescent="0.25"/>
    <row r="38" s="11" customFormat="1" x14ac:dyDescent="0.25"/>
    <row r="39" s="11" customFormat="1" x14ac:dyDescent="0.25"/>
    <row r="40" s="11" customFormat="1" x14ac:dyDescent="0.25"/>
    <row r="41" s="11" customFormat="1" x14ac:dyDescent="0.25"/>
    <row r="42" s="11" customFormat="1" x14ac:dyDescent="0.25"/>
    <row r="43" s="11" customFormat="1" x14ac:dyDescent="0.25"/>
    <row r="44" s="11" customFormat="1" x14ac:dyDescent="0.25"/>
    <row r="45" s="11" customFormat="1" x14ac:dyDescent="0.25"/>
    <row r="46" s="11" customFormat="1" x14ac:dyDescent="0.25"/>
    <row r="47" s="11" customFormat="1" x14ac:dyDescent="0.25"/>
    <row r="48" s="11" customFormat="1" x14ac:dyDescent="0.25"/>
    <row r="49" s="11" customFormat="1" x14ac:dyDescent="0.25"/>
    <row r="50" s="11" customFormat="1" x14ac:dyDescent="0.25"/>
    <row r="51" s="11" customFormat="1" x14ac:dyDescent="0.25"/>
    <row r="52" s="11" customFormat="1" x14ac:dyDescent="0.25"/>
    <row r="53" s="11" customFormat="1" x14ac:dyDescent="0.25"/>
    <row r="54" s="11" customFormat="1" x14ac:dyDescent="0.25"/>
    <row r="55" s="11" customFormat="1" x14ac:dyDescent="0.25"/>
    <row r="56" s="11" customFormat="1" x14ac:dyDescent="0.25"/>
    <row r="57" s="11" customFormat="1" x14ac:dyDescent="0.25"/>
    <row r="58" s="11" customFormat="1" x14ac:dyDescent="0.25"/>
    <row r="59" s="11" customFormat="1" x14ac:dyDescent="0.25"/>
    <row r="60" s="11" customFormat="1" x14ac:dyDescent="0.25"/>
    <row r="61" s="11" customFormat="1" x14ac:dyDescent="0.25"/>
    <row r="62" s="11" customFormat="1" x14ac:dyDescent="0.25"/>
    <row r="63" s="11" customFormat="1" x14ac:dyDescent="0.25"/>
    <row r="64" s="11" customFormat="1" x14ac:dyDescent="0.25"/>
    <row r="65" s="11" customFormat="1" x14ac:dyDescent="0.25"/>
    <row r="66" s="11" customFormat="1" x14ac:dyDescent="0.25"/>
    <row r="67" s="11" customFormat="1" x14ac:dyDescent="0.25"/>
    <row r="68" s="11" customFormat="1" x14ac:dyDescent="0.25"/>
    <row r="69" s="11" customFormat="1" x14ac:dyDescent="0.25"/>
    <row r="70" s="11" customFormat="1" x14ac:dyDescent="0.25"/>
    <row r="71" s="11" customFormat="1" x14ac:dyDescent="0.25"/>
    <row r="72" s="11" customFormat="1" x14ac:dyDescent="0.25"/>
    <row r="73" s="11" customFormat="1" x14ac:dyDescent="0.25"/>
    <row r="74" s="11" customFormat="1" x14ac:dyDescent="0.25"/>
    <row r="75" s="11" customFormat="1" x14ac:dyDescent="0.25"/>
    <row r="76" s="11" customFormat="1" x14ac:dyDescent="0.25"/>
    <row r="77" s="11" customFormat="1" x14ac:dyDescent="0.25"/>
    <row r="78" s="11" customFormat="1" x14ac:dyDescent="0.25"/>
    <row r="79" s="11" customFormat="1" x14ac:dyDescent="0.25"/>
    <row r="80" s="11" customFormat="1" x14ac:dyDescent="0.25"/>
    <row r="81" s="11" customFormat="1" x14ac:dyDescent="0.25"/>
    <row r="82" s="11" customFormat="1" x14ac:dyDescent="0.25"/>
    <row r="83" s="11" customFormat="1" x14ac:dyDescent="0.25"/>
    <row r="84" s="11" customFormat="1" x14ac:dyDescent="0.25"/>
    <row r="85" s="11" customFormat="1" x14ac:dyDescent="0.25"/>
    <row r="86" s="11" customFormat="1" x14ac:dyDescent="0.25"/>
    <row r="87" s="11" customFormat="1" x14ac:dyDescent="0.25"/>
    <row r="88" s="11" customFormat="1" x14ac:dyDescent="0.25"/>
    <row r="89" s="11" customFormat="1" x14ac:dyDescent="0.25"/>
    <row r="90" s="11" customFormat="1" x14ac:dyDescent="0.25"/>
    <row r="91" s="11" customFormat="1" x14ac:dyDescent="0.25"/>
    <row r="92" s="11" customFormat="1" x14ac:dyDescent="0.25"/>
    <row r="93" s="11" customFormat="1" x14ac:dyDescent="0.25"/>
    <row r="94" s="11" customFormat="1" x14ac:dyDescent="0.25"/>
    <row r="95" s="11" customFormat="1" x14ac:dyDescent="0.25"/>
    <row r="96" s="11" customFormat="1" x14ac:dyDescent="0.25"/>
    <row r="97" s="11" customFormat="1" x14ac:dyDescent="0.25"/>
    <row r="98" s="11" customFormat="1" x14ac:dyDescent="0.25"/>
    <row r="99" s="11" customFormat="1" x14ac:dyDescent="0.25"/>
    <row r="100" s="11" customFormat="1" x14ac:dyDescent="0.25"/>
    <row r="101" s="11" customFormat="1" x14ac:dyDescent="0.25"/>
    <row r="102" s="11" customFormat="1" x14ac:dyDescent="0.25"/>
    <row r="103" s="11" customFormat="1" x14ac:dyDescent="0.25"/>
    <row r="104" s="11" customFormat="1" x14ac:dyDescent="0.25"/>
    <row r="105" s="11" customFormat="1" x14ac:dyDescent="0.25"/>
    <row r="106" s="11" customFormat="1" x14ac:dyDescent="0.25"/>
    <row r="107" s="11" customFormat="1" x14ac:dyDescent="0.25"/>
    <row r="108" s="11" customFormat="1" x14ac:dyDescent="0.25"/>
    <row r="109" s="11" customFormat="1" x14ac:dyDescent="0.25"/>
    <row r="110" s="11" customFormat="1" x14ac:dyDescent="0.25"/>
    <row r="111" s="11" customFormat="1" x14ac:dyDescent="0.25"/>
    <row r="112" s="11" customFormat="1" x14ac:dyDescent="0.25"/>
    <row r="113" s="11" customFormat="1" x14ac:dyDescent="0.25"/>
    <row r="114" s="11" customFormat="1" x14ac:dyDescent="0.25"/>
    <row r="115" s="11" customFormat="1" x14ac:dyDescent="0.25"/>
    <row r="116" s="11" customFormat="1" x14ac:dyDescent="0.25"/>
    <row r="117" s="11" customFormat="1" x14ac:dyDescent="0.25"/>
    <row r="118" s="11" customFormat="1" x14ac:dyDescent="0.25"/>
    <row r="119" s="11" customFormat="1" x14ac:dyDescent="0.25"/>
    <row r="120" s="11" customFormat="1" x14ac:dyDescent="0.25"/>
    <row r="121" s="11" customFormat="1" x14ac:dyDescent="0.25"/>
    <row r="122" s="11" customFormat="1" x14ac:dyDescent="0.25"/>
    <row r="123" s="11" customFormat="1" x14ac:dyDescent="0.25"/>
    <row r="124" s="11" customFormat="1" x14ac:dyDescent="0.25"/>
    <row r="125" s="11" customFormat="1" x14ac:dyDescent="0.25"/>
    <row r="126" s="11" customFormat="1" x14ac:dyDescent="0.25"/>
    <row r="127" s="11" customFormat="1" x14ac:dyDescent="0.25"/>
    <row r="128" s="11" customFormat="1" x14ac:dyDescent="0.25"/>
    <row r="129" s="11" customFormat="1" x14ac:dyDescent="0.25"/>
    <row r="130" s="11" customFormat="1" x14ac:dyDescent="0.25"/>
    <row r="131" s="11" customFormat="1" x14ac:dyDescent="0.25"/>
    <row r="132" s="11" customFormat="1" x14ac:dyDescent="0.25"/>
    <row r="133" s="11" customFormat="1" x14ac:dyDescent="0.25"/>
    <row r="134" s="11" customFormat="1" x14ac:dyDescent="0.25"/>
    <row r="135" s="11" customFormat="1" x14ac:dyDescent="0.25"/>
    <row r="136" s="11" customFormat="1" x14ac:dyDescent="0.25"/>
    <row r="137" s="11" customFormat="1" x14ac:dyDescent="0.25"/>
    <row r="138" s="11" customFormat="1" x14ac:dyDescent="0.25"/>
    <row r="139" s="11" customFormat="1" x14ac:dyDescent="0.25"/>
    <row r="140" s="11" customFormat="1" x14ac:dyDescent="0.25"/>
    <row r="141" s="11" customFormat="1" x14ac:dyDescent="0.25"/>
    <row r="142" s="11" customFormat="1" x14ac:dyDescent="0.25"/>
    <row r="143" s="11" customFormat="1" x14ac:dyDescent="0.25"/>
    <row r="144" s="11" customFormat="1" x14ac:dyDescent="0.25"/>
    <row r="145" s="11" customFormat="1" x14ac:dyDescent="0.25"/>
    <row r="146" s="11" customFormat="1" x14ac:dyDescent="0.25"/>
    <row r="147" s="11" customFormat="1" x14ac:dyDescent="0.25"/>
    <row r="148" s="11" customFormat="1" x14ac:dyDescent="0.25"/>
    <row r="149" s="11" customFormat="1" x14ac:dyDescent="0.25"/>
    <row r="150" s="11" customFormat="1" x14ac:dyDescent="0.25"/>
    <row r="151" s="11" customFormat="1" x14ac:dyDescent="0.25"/>
    <row r="152" s="11" customFormat="1" x14ac:dyDescent="0.25"/>
    <row r="153" s="11" customFormat="1" x14ac:dyDescent="0.25"/>
    <row r="154" s="11" customFormat="1" x14ac:dyDescent="0.25"/>
    <row r="155" s="11" customFormat="1" x14ac:dyDescent="0.25"/>
    <row r="156" s="11" customFormat="1" x14ac:dyDescent="0.25"/>
    <row r="157" s="11" customFormat="1" x14ac:dyDescent="0.25"/>
    <row r="158" s="11" customFormat="1" x14ac:dyDescent="0.25"/>
    <row r="159" s="11" customFormat="1" x14ac:dyDescent="0.25"/>
    <row r="160" s="11" customFormat="1" x14ac:dyDescent="0.25"/>
    <row r="161" s="11" customFormat="1" x14ac:dyDescent="0.25"/>
    <row r="162" s="11" customFormat="1" x14ac:dyDescent="0.25"/>
    <row r="163" s="11" customFormat="1" x14ac:dyDescent="0.25"/>
    <row r="164" s="11" customFormat="1" x14ac:dyDescent="0.25"/>
    <row r="165" s="11" customFormat="1" x14ac:dyDescent="0.25"/>
    <row r="166" s="11" customFormat="1" x14ac:dyDescent="0.25"/>
    <row r="167" s="11" customFormat="1" x14ac:dyDescent="0.25"/>
    <row r="168" s="11" customFormat="1" x14ac:dyDescent="0.25"/>
    <row r="169" s="11" customFormat="1" x14ac:dyDescent="0.25"/>
    <row r="170" s="11" customFormat="1" x14ac:dyDescent="0.25"/>
    <row r="171" s="11" customFormat="1" x14ac:dyDescent="0.25"/>
    <row r="172" s="11" customFormat="1" x14ac:dyDescent="0.25"/>
    <row r="173" s="11" customFormat="1" x14ac:dyDescent="0.25"/>
    <row r="174" s="11" customFormat="1" x14ac:dyDescent="0.25"/>
    <row r="175" s="11" customFormat="1" x14ac:dyDescent="0.25"/>
    <row r="176" s="11" customFormat="1" x14ac:dyDescent="0.25"/>
    <row r="177" s="11" customFormat="1" x14ac:dyDescent="0.25"/>
    <row r="178" s="11" customFormat="1" x14ac:dyDescent="0.25"/>
    <row r="179" s="11" customFormat="1" x14ac:dyDescent="0.25"/>
    <row r="180" s="11" customFormat="1" x14ac:dyDescent="0.25"/>
    <row r="181" s="11" customFormat="1" x14ac:dyDescent="0.25"/>
    <row r="182" s="11" customFormat="1" x14ac:dyDescent="0.25"/>
    <row r="183" s="11" customFormat="1" x14ac:dyDescent="0.25"/>
    <row r="184" s="11" customFormat="1" x14ac:dyDescent="0.25"/>
    <row r="185" s="11" customFormat="1" x14ac:dyDescent="0.25"/>
    <row r="186" s="11" customFormat="1" x14ac:dyDescent="0.25"/>
    <row r="187" s="11" customFormat="1" x14ac:dyDescent="0.25"/>
    <row r="188" s="11" customFormat="1" x14ac:dyDescent="0.25"/>
    <row r="189" s="11" customFormat="1" x14ac:dyDescent="0.25"/>
    <row r="190" s="11" customFormat="1" x14ac:dyDescent="0.25"/>
    <row r="191" s="11" customFormat="1" x14ac:dyDescent="0.25"/>
    <row r="192" s="11" customFormat="1" x14ac:dyDescent="0.25"/>
    <row r="193" s="11" customFormat="1" x14ac:dyDescent="0.25"/>
    <row r="194" s="11" customFormat="1" x14ac:dyDescent="0.25"/>
    <row r="195" s="11" customFormat="1" x14ac:dyDescent="0.25"/>
    <row r="196" s="11" customFormat="1" x14ac:dyDescent="0.25"/>
    <row r="197" s="11" customFormat="1" x14ac:dyDescent="0.25"/>
    <row r="198" s="11" customFormat="1" x14ac:dyDescent="0.25"/>
    <row r="199" s="11" customFormat="1" x14ac:dyDescent="0.25"/>
    <row r="200" s="11" customFormat="1" x14ac:dyDescent="0.25"/>
    <row r="201" s="11" customFormat="1" x14ac:dyDescent="0.25"/>
    <row r="202" s="11" customFormat="1" x14ac:dyDescent="0.25"/>
    <row r="203" s="11" customFormat="1" x14ac:dyDescent="0.25"/>
    <row r="204" s="11" customFormat="1" x14ac:dyDescent="0.25"/>
    <row r="205" s="11" customFormat="1" x14ac:dyDescent="0.25"/>
    <row r="206" s="11" customFormat="1" x14ac:dyDescent="0.25"/>
    <row r="207" s="11" customFormat="1" x14ac:dyDescent="0.25"/>
    <row r="208" s="11" customFormat="1" x14ac:dyDescent="0.25"/>
    <row r="209" s="11" customFormat="1" x14ac:dyDescent="0.25"/>
    <row r="210" s="11" customFormat="1" x14ac:dyDescent="0.25"/>
    <row r="211" s="11" customFormat="1" x14ac:dyDescent="0.25"/>
    <row r="212" s="11" customFormat="1" x14ac:dyDescent="0.25"/>
    <row r="213" s="11" customFormat="1" x14ac:dyDescent="0.25"/>
    <row r="214" s="11" customFormat="1" x14ac:dyDescent="0.25"/>
    <row r="215" s="11" customFormat="1" x14ac:dyDescent="0.25"/>
    <row r="216" s="11" customFormat="1" x14ac:dyDescent="0.25"/>
    <row r="217" s="11" customFormat="1" x14ac:dyDescent="0.25"/>
    <row r="218" s="11" customFormat="1" x14ac:dyDescent="0.25"/>
    <row r="219" s="11" customFormat="1" x14ac:dyDescent="0.25"/>
    <row r="220" s="11" customFormat="1" x14ac:dyDescent="0.25"/>
    <row r="221" s="11" customFormat="1" x14ac:dyDescent="0.25"/>
    <row r="222" s="11" customFormat="1" x14ac:dyDescent="0.25"/>
    <row r="223" s="11" customFormat="1" x14ac:dyDescent="0.25"/>
    <row r="224" s="11" customFormat="1" x14ac:dyDescent="0.25"/>
    <row r="225" s="11" customFormat="1" x14ac:dyDescent="0.25"/>
    <row r="226" s="11" customFormat="1" x14ac:dyDescent="0.25"/>
    <row r="227" s="11" customFormat="1" x14ac:dyDescent="0.25"/>
    <row r="228" s="11" customFormat="1" x14ac:dyDescent="0.25"/>
    <row r="229" s="11" customFormat="1" x14ac:dyDescent="0.25"/>
    <row r="230" s="11" customFormat="1" x14ac:dyDescent="0.25"/>
    <row r="231" s="11" customFormat="1" x14ac:dyDescent="0.25"/>
    <row r="232" s="11" customFormat="1" x14ac:dyDescent="0.25"/>
    <row r="233" s="11" customFormat="1" x14ac:dyDescent="0.25"/>
    <row r="234" s="11" customFormat="1" x14ac:dyDescent="0.25"/>
    <row r="235" s="11" customFormat="1" x14ac:dyDescent="0.25"/>
    <row r="236" s="11" customFormat="1" x14ac:dyDescent="0.25"/>
    <row r="237" s="11" customFormat="1" x14ac:dyDescent="0.25"/>
    <row r="238" s="11" customFormat="1" x14ac:dyDescent="0.25"/>
    <row r="239" s="11" customFormat="1" x14ac:dyDescent="0.25"/>
    <row r="240" s="11" customFormat="1" x14ac:dyDescent="0.25"/>
    <row r="241" s="11" customFormat="1" x14ac:dyDescent="0.25"/>
    <row r="242" s="11" customFormat="1" x14ac:dyDescent="0.25"/>
    <row r="243" s="11" customFormat="1" x14ac:dyDescent="0.25"/>
    <row r="244" s="11" customFormat="1" x14ac:dyDescent="0.25"/>
    <row r="245" s="11" customFormat="1" x14ac:dyDescent="0.25"/>
    <row r="246" s="11" customFormat="1" x14ac:dyDescent="0.25"/>
    <row r="247" s="11" customFormat="1" x14ac:dyDescent="0.25"/>
    <row r="248" s="11" customFormat="1" x14ac:dyDescent="0.25"/>
    <row r="249" s="11" customFormat="1" x14ac:dyDescent="0.25"/>
    <row r="250" s="11" customFormat="1" x14ac:dyDescent="0.25"/>
    <row r="251" s="11" customFormat="1" x14ac:dyDescent="0.25"/>
    <row r="252" s="11" customFormat="1" x14ac:dyDescent="0.25"/>
    <row r="253" s="11" customFormat="1" x14ac:dyDescent="0.25"/>
    <row r="254" s="11" customFormat="1" x14ac:dyDescent="0.25"/>
    <row r="255" s="11" customFormat="1" x14ac:dyDescent="0.25"/>
    <row r="256" s="11" customFormat="1" x14ac:dyDescent="0.25"/>
    <row r="257" s="11" customFormat="1" x14ac:dyDescent="0.25"/>
    <row r="258" s="11" customFormat="1" x14ac:dyDescent="0.25"/>
    <row r="259" s="11" customFormat="1" x14ac:dyDescent="0.25"/>
    <row r="260" s="11" customFormat="1" x14ac:dyDescent="0.25"/>
    <row r="261" s="11" customFormat="1" x14ac:dyDescent="0.25"/>
    <row r="262" s="11" customFormat="1" x14ac:dyDescent="0.25"/>
    <row r="263" s="11" customFormat="1" x14ac:dyDescent="0.25"/>
    <row r="264" s="11" customFormat="1" x14ac:dyDescent="0.25"/>
    <row r="265" s="11" customFormat="1" x14ac:dyDescent="0.25"/>
    <row r="266" s="11" customFormat="1" x14ac:dyDescent="0.25"/>
    <row r="267" s="11" customFormat="1" x14ac:dyDescent="0.25"/>
    <row r="268" s="11" customFormat="1" x14ac:dyDescent="0.25"/>
    <row r="269" s="11" customFormat="1" x14ac:dyDescent="0.25"/>
    <row r="270" s="11" customFormat="1" x14ac:dyDescent="0.25"/>
    <row r="271" s="11" customFormat="1" x14ac:dyDescent="0.25"/>
    <row r="272" s="11" customFormat="1" x14ac:dyDescent="0.25"/>
    <row r="273" s="11" customFormat="1" x14ac:dyDescent="0.25"/>
    <row r="274" s="11" customFormat="1" x14ac:dyDescent="0.25"/>
    <row r="275" s="11" customFormat="1" x14ac:dyDescent="0.25"/>
    <row r="276" s="11" customFormat="1" x14ac:dyDescent="0.25"/>
    <row r="277" s="11" customFormat="1" x14ac:dyDescent="0.25"/>
    <row r="278" s="11" customFormat="1" x14ac:dyDescent="0.25"/>
    <row r="279" s="11" customFormat="1" x14ac:dyDescent="0.25"/>
    <row r="280" s="11" customFormat="1" x14ac:dyDescent="0.25"/>
    <row r="281" s="11" customFormat="1" x14ac:dyDescent="0.25"/>
    <row r="282" s="11" customFormat="1" x14ac:dyDescent="0.25"/>
    <row r="283" s="11" customFormat="1" x14ac:dyDescent="0.25"/>
    <row r="284" s="11" customFormat="1" x14ac:dyDescent="0.25"/>
    <row r="285" s="11" customFormat="1" x14ac:dyDescent="0.25"/>
    <row r="286" s="11" customFormat="1" x14ac:dyDescent="0.25"/>
    <row r="287" s="11" customFormat="1" x14ac:dyDescent="0.25"/>
    <row r="288" s="11" customFormat="1" x14ac:dyDescent="0.25"/>
    <row r="289" s="11" customFormat="1" x14ac:dyDescent="0.25"/>
    <row r="290" s="11" customFormat="1" x14ac:dyDescent="0.25"/>
    <row r="291" s="11" customFormat="1" x14ac:dyDescent="0.25"/>
    <row r="292" s="11" customFormat="1" x14ac:dyDescent="0.25"/>
    <row r="293" s="11" customFormat="1" x14ac:dyDescent="0.25"/>
    <row r="294" s="11" customFormat="1" x14ac:dyDescent="0.25"/>
    <row r="295" s="11" customFormat="1" x14ac:dyDescent="0.25"/>
    <row r="296" s="11" customFormat="1" x14ac:dyDescent="0.25"/>
    <row r="297" s="11" customFormat="1" x14ac:dyDescent="0.25"/>
    <row r="298" s="11" customFormat="1" x14ac:dyDescent="0.25"/>
    <row r="299" s="11" customFormat="1" x14ac:dyDescent="0.25"/>
    <row r="300" s="11" customFormat="1" x14ac:dyDescent="0.25"/>
    <row r="301" s="11" customFormat="1" x14ac:dyDescent="0.25"/>
    <row r="302" s="11" customFormat="1" x14ac:dyDescent="0.25"/>
    <row r="303" s="11" customFormat="1" x14ac:dyDescent="0.25"/>
    <row r="304" s="11" customFormat="1" x14ac:dyDescent="0.25"/>
    <row r="305" s="11" customFormat="1" x14ac:dyDescent="0.25"/>
    <row r="306" s="11" customFormat="1" x14ac:dyDescent="0.25"/>
    <row r="307" s="11" customFormat="1" x14ac:dyDescent="0.25"/>
    <row r="308" s="11" customFormat="1" x14ac:dyDescent="0.25"/>
    <row r="309" s="11" customFormat="1" x14ac:dyDescent="0.25"/>
    <row r="310" s="11" customFormat="1" x14ac:dyDescent="0.25"/>
    <row r="311" s="11" customFormat="1" x14ac:dyDescent="0.25"/>
    <row r="312" s="11" customFormat="1" x14ac:dyDescent="0.25"/>
    <row r="313" s="11" customFormat="1" x14ac:dyDescent="0.25"/>
    <row r="314" s="11" customFormat="1" x14ac:dyDescent="0.25"/>
    <row r="315" s="11" customFormat="1" x14ac:dyDescent="0.25"/>
    <row r="316" s="11" customFormat="1" x14ac:dyDescent="0.25"/>
    <row r="317" s="11" customFormat="1" x14ac:dyDescent="0.25"/>
    <row r="318" s="11" customFormat="1" x14ac:dyDescent="0.25"/>
    <row r="319" s="11" customFormat="1" x14ac:dyDescent="0.25"/>
    <row r="320" s="11" customFormat="1" x14ac:dyDescent="0.25"/>
    <row r="321" s="11" customFormat="1" x14ac:dyDescent="0.25"/>
    <row r="322" s="11" customFormat="1" x14ac:dyDescent="0.25"/>
    <row r="323" s="11" customFormat="1" x14ac:dyDescent="0.25"/>
    <row r="324" s="11" customFormat="1" x14ac:dyDescent="0.25"/>
    <row r="325" s="11" customFormat="1" x14ac:dyDescent="0.25"/>
    <row r="326" s="11" customFormat="1" x14ac:dyDescent="0.25"/>
    <row r="327" s="11" customFormat="1" x14ac:dyDescent="0.25"/>
    <row r="328" s="11" customFormat="1" x14ac:dyDescent="0.25"/>
    <row r="329" s="11" customFormat="1" x14ac:dyDescent="0.25"/>
    <row r="330" s="11" customFormat="1" x14ac:dyDescent="0.25"/>
    <row r="331" s="11" customFormat="1" x14ac:dyDescent="0.25"/>
    <row r="332" s="11" customFormat="1" x14ac:dyDescent="0.25"/>
    <row r="333" s="11" customFormat="1" x14ac:dyDescent="0.25"/>
    <row r="334" s="11" customFormat="1" x14ac:dyDescent="0.25"/>
    <row r="335" s="11" customFormat="1" x14ac:dyDescent="0.25"/>
    <row r="336" s="11" customFormat="1" x14ac:dyDescent="0.25"/>
    <row r="337" s="11" customFormat="1" x14ac:dyDescent="0.25"/>
    <row r="338" s="11" customFormat="1" x14ac:dyDescent="0.25"/>
    <row r="339" s="11" customFormat="1" x14ac:dyDescent="0.25"/>
    <row r="340" s="11" customFormat="1" x14ac:dyDescent="0.25"/>
    <row r="341" s="11" customFormat="1" x14ac:dyDescent="0.25"/>
    <row r="342" s="11" customFormat="1" x14ac:dyDescent="0.25"/>
    <row r="343" s="11" customFormat="1" x14ac:dyDescent="0.25"/>
    <row r="344" s="11" customFormat="1" x14ac:dyDescent="0.25"/>
    <row r="345" s="11" customFormat="1" x14ac:dyDescent="0.25"/>
    <row r="346" s="11" customFormat="1" x14ac:dyDescent="0.25"/>
    <row r="347" s="11" customFormat="1" x14ac:dyDescent="0.25"/>
    <row r="348" s="11" customFormat="1" x14ac:dyDescent="0.25"/>
    <row r="349" s="11" customFormat="1" x14ac:dyDescent="0.25"/>
    <row r="350" s="11" customFormat="1" x14ac:dyDescent="0.25"/>
    <row r="351" s="11" customFormat="1" x14ac:dyDescent="0.25"/>
    <row r="352" s="11" customFormat="1" x14ac:dyDescent="0.25"/>
    <row r="353" s="11" customFormat="1" x14ac:dyDescent="0.25"/>
    <row r="354" s="11" customFormat="1" x14ac:dyDescent="0.25"/>
    <row r="355" s="11" customFormat="1" x14ac:dyDescent="0.25"/>
    <row r="356" s="11" customFormat="1" x14ac:dyDescent="0.25"/>
    <row r="357" s="11" customFormat="1" x14ac:dyDescent="0.25"/>
    <row r="358" s="11" customFormat="1" x14ac:dyDescent="0.25"/>
    <row r="359" s="11" customFormat="1" x14ac:dyDescent="0.25"/>
    <row r="360" s="11" customFormat="1" x14ac:dyDescent="0.25"/>
    <row r="361" s="11" customFormat="1" x14ac:dyDescent="0.25"/>
    <row r="362" s="11" customFormat="1" x14ac:dyDescent="0.25"/>
    <row r="363" s="11" customFormat="1" x14ac:dyDescent="0.25"/>
    <row r="364" s="11" customFormat="1" x14ac:dyDescent="0.25"/>
    <row r="365" s="11" customFormat="1" x14ac:dyDescent="0.25"/>
    <row r="366" s="11" customFormat="1" x14ac:dyDescent="0.25"/>
    <row r="367" s="11" customFormat="1" x14ac:dyDescent="0.25"/>
    <row r="368" s="11" customFormat="1" x14ac:dyDescent="0.25"/>
    <row r="369" s="11" customFormat="1" x14ac:dyDescent="0.25"/>
    <row r="370" s="11" customFormat="1" x14ac:dyDescent="0.25"/>
    <row r="371" s="11" customFormat="1" x14ac:dyDescent="0.25"/>
    <row r="372" s="11" customFormat="1" x14ac:dyDescent="0.25"/>
    <row r="373" s="11" customFormat="1" x14ac:dyDescent="0.25"/>
    <row r="374" s="11" customFormat="1" x14ac:dyDescent="0.25"/>
    <row r="375" s="11" customFormat="1" x14ac:dyDescent="0.25"/>
    <row r="376" s="11" customFormat="1" x14ac:dyDescent="0.25"/>
    <row r="377" s="11" customFormat="1" x14ac:dyDescent="0.25"/>
    <row r="378" s="11" customFormat="1" x14ac:dyDescent="0.25"/>
    <row r="379" s="11" customFormat="1" x14ac:dyDescent="0.25"/>
    <row r="380" s="11" customFormat="1" x14ac:dyDescent="0.25"/>
    <row r="381" s="11" customFormat="1" x14ac:dyDescent="0.25"/>
    <row r="382" s="11" customFormat="1" x14ac:dyDescent="0.25"/>
    <row r="383" s="11" customFormat="1" x14ac:dyDescent="0.25"/>
    <row r="384" s="11" customFormat="1" x14ac:dyDescent="0.25"/>
    <row r="385" s="11" customFormat="1" x14ac:dyDescent="0.25"/>
    <row r="386" s="11" customFormat="1" x14ac:dyDescent="0.25"/>
    <row r="387" s="11" customFormat="1" x14ac:dyDescent="0.25"/>
    <row r="388" s="11" customFormat="1" x14ac:dyDescent="0.25"/>
    <row r="389" s="11" customFormat="1" x14ac:dyDescent="0.25"/>
    <row r="390" s="11" customFormat="1" x14ac:dyDescent="0.25"/>
    <row r="391" s="11" customFormat="1" x14ac:dyDescent="0.25"/>
    <row r="392" s="11" customFormat="1" x14ac:dyDescent="0.25"/>
    <row r="393" s="11" customFormat="1" x14ac:dyDescent="0.25"/>
    <row r="394" s="11" customFormat="1" x14ac:dyDescent="0.25"/>
    <row r="395" s="11" customFormat="1" x14ac:dyDescent="0.25"/>
    <row r="396" s="11" customFormat="1" x14ac:dyDescent="0.25"/>
    <row r="397" s="11" customFormat="1" x14ac:dyDescent="0.25"/>
    <row r="398" s="11" customFormat="1" x14ac:dyDescent="0.25"/>
    <row r="399" s="11" customFormat="1" x14ac:dyDescent="0.25"/>
    <row r="400" s="11" customFormat="1" x14ac:dyDescent="0.25"/>
    <row r="401" s="11" customFormat="1" x14ac:dyDescent="0.25"/>
    <row r="402" s="11" customFormat="1" x14ac:dyDescent="0.25"/>
    <row r="403" s="11" customFormat="1" x14ac:dyDescent="0.25"/>
    <row r="404" s="11" customFormat="1" x14ac:dyDescent="0.25"/>
    <row r="405" s="11" customFormat="1" x14ac:dyDescent="0.25"/>
    <row r="406" s="11" customFormat="1" x14ac:dyDescent="0.25"/>
    <row r="407" s="11" customFormat="1" x14ac:dyDescent="0.25"/>
    <row r="408" s="11" customFormat="1" x14ac:dyDescent="0.25"/>
    <row r="409" s="11" customFormat="1" x14ac:dyDescent="0.25"/>
    <row r="410" s="11" customFormat="1" x14ac:dyDescent="0.25"/>
    <row r="411" s="11" customFormat="1" x14ac:dyDescent="0.25"/>
    <row r="412" s="11" customFormat="1" x14ac:dyDescent="0.25"/>
    <row r="413" s="11" customFormat="1" x14ac:dyDescent="0.25"/>
    <row r="414" s="11" customFormat="1" x14ac:dyDescent="0.25"/>
    <row r="415" s="11" customFormat="1" x14ac:dyDescent="0.25"/>
    <row r="416" s="11" customFormat="1" x14ac:dyDescent="0.25"/>
    <row r="417" s="11" customFormat="1" x14ac:dyDescent="0.25"/>
    <row r="418" s="11" customFormat="1" x14ac:dyDescent="0.25"/>
    <row r="419" s="11" customFormat="1" x14ac:dyDescent="0.25"/>
    <row r="420" s="11" customFormat="1" x14ac:dyDescent="0.25"/>
    <row r="421" s="11" customFormat="1" x14ac:dyDescent="0.25"/>
    <row r="422" s="11" customFormat="1" x14ac:dyDescent="0.25"/>
    <row r="423" s="11" customFormat="1" x14ac:dyDescent="0.25"/>
    <row r="424" s="11" customFormat="1" x14ac:dyDescent="0.25"/>
    <row r="425" s="11" customFormat="1" x14ac:dyDescent="0.25"/>
    <row r="426" s="11" customFormat="1" x14ac:dyDescent="0.25"/>
    <row r="427" s="11" customFormat="1" x14ac:dyDescent="0.25"/>
    <row r="428" s="11" customFormat="1" x14ac:dyDescent="0.25"/>
    <row r="429" s="11" customFormat="1" x14ac:dyDescent="0.25"/>
    <row r="430" s="11" customFormat="1" x14ac:dyDescent="0.25"/>
    <row r="431" s="11" customFormat="1" x14ac:dyDescent="0.25"/>
    <row r="432" s="11" customFormat="1" x14ac:dyDescent="0.25"/>
    <row r="433" s="11" customFormat="1" x14ac:dyDescent="0.25"/>
    <row r="434" s="11" customFormat="1" x14ac:dyDescent="0.25"/>
    <row r="435" s="11" customFormat="1" x14ac:dyDescent="0.25"/>
    <row r="436" s="11" customFormat="1" x14ac:dyDescent="0.25"/>
    <row r="437" s="11" customFormat="1" x14ac:dyDescent="0.25"/>
    <row r="438" s="11" customFormat="1" x14ac:dyDescent="0.25"/>
    <row r="439" s="11" customFormat="1" x14ac:dyDescent="0.25"/>
    <row r="440" s="11" customFormat="1" x14ac:dyDescent="0.25"/>
    <row r="441" s="11" customFormat="1" x14ac:dyDescent="0.25"/>
    <row r="442" s="11" customFormat="1" x14ac:dyDescent="0.25"/>
    <row r="443" s="11" customFormat="1" x14ac:dyDescent="0.25"/>
    <row r="444" s="11" customFormat="1" x14ac:dyDescent="0.25"/>
    <row r="445" s="11" customFormat="1" x14ac:dyDescent="0.25"/>
    <row r="446" s="11" customFormat="1" x14ac:dyDescent="0.25"/>
    <row r="447" s="11" customFormat="1" x14ac:dyDescent="0.25"/>
    <row r="448" s="11" customFormat="1" x14ac:dyDescent="0.25"/>
    <row r="449" s="11" customFormat="1" x14ac:dyDescent="0.25"/>
    <row r="450" s="11" customFormat="1" x14ac:dyDescent="0.25"/>
    <row r="451" s="11" customFormat="1" x14ac:dyDescent="0.25"/>
    <row r="452" s="11" customFormat="1" x14ac:dyDescent="0.25"/>
    <row r="453" s="11" customFormat="1" x14ac:dyDescent="0.25"/>
    <row r="454" s="11" customFormat="1" x14ac:dyDescent="0.25"/>
    <row r="455" s="11" customFormat="1" x14ac:dyDescent="0.25"/>
    <row r="456" s="11" customFormat="1" x14ac:dyDescent="0.25"/>
    <row r="457" s="11" customFormat="1" x14ac:dyDescent="0.25"/>
    <row r="458" s="11" customFormat="1" x14ac:dyDescent="0.25"/>
    <row r="459" s="11" customFormat="1" x14ac:dyDescent="0.25"/>
    <row r="460" s="11" customFormat="1" x14ac:dyDescent="0.25"/>
    <row r="461" s="11" customFormat="1" x14ac:dyDescent="0.25"/>
    <row r="462" s="11" customFormat="1" x14ac:dyDescent="0.25"/>
    <row r="463" s="11" customFormat="1" x14ac:dyDescent="0.25"/>
    <row r="464" s="11" customFormat="1" x14ac:dyDescent="0.25"/>
    <row r="465" s="11" customFormat="1" x14ac:dyDescent="0.25"/>
    <row r="466" s="11" customFormat="1" x14ac:dyDescent="0.25"/>
    <row r="467" s="11" customFormat="1" x14ac:dyDescent="0.25"/>
    <row r="468" s="11" customFormat="1" x14ac:dyDescent="0.25"/>
    <row r="469" s="11" customFormat="1" x14ac:dyDescent="0.25"/>
    <row r="470" s="11" customFormat="1" x14ac:dyDescent="0.25"/>
    <row r="471" s="11" customFormat="1" x14ac:dyDescent="0.25"/>
    <row r="472" s="11" customFormat="1" x14ac:dyDescent="0.25"/>
    <row r="473" s="11" customFormat="1" x14ac:dyDescent="0.25"/>
    <row r="474" s="11" customFormat="1" x14ac:dyDescent="0.25"/>
    <row r="475" s="11" customFormat="1" x14ac:dyDescent="0.25"/>
    <row r="476" s="11" customFormat="1" x14ac:dyDescent="0.25"/>
    <row r="477" s="11" customFormat="1" x14ac:dyDescent="0.25"/>
    <row r="478" s="11" customFormat="1" x14ac:dyDescent="0.25"/>
    <row r="479" s="11" customFormat="1" x14ac:dyDescent="0.25"/>
    <row r="480" s="11" customFormat="1" x14ac:dyDescent="0.25"/>
    <row r="481" s="11" customFormat="1" x14ac:dyDescent="0.25"/>
    <row r="482" s="11" customFormat="1" x14ac:dyDescent="0.25"/>
    <row r="483" s="11" customFormat="1" x14ac:dyDescent="0.25"/>
    <row r="484" s="11" customFormat="1" x14ac:dyDescent="0.25"/>
    <row r="485" s="11" customFormat="1" x14ac:dyDescent="0.25"/>
    <row r="486" s="11" customFormat="1" x14ac:dyDescent="0.25"/>
    <row r="487" s="11" customFormat="1" x14ac:dyDescent="0.25"/>
    <row r="488" s="11" customFormat="1" x14ac:dyDescent="0.25"/>
    <row r="489" s="11" customFormat="1" x14ac:dyDescent="0.25"/>
    <row r="490" s="11" customFormat="1" x14ac:dyDescent="0.25"/>
    <row r="491" s="11" customFormat="1" x14ac:dyDescent="0.25"/>
    <row r="492" s="11" customFormat="1" x14ac:dyDescent="0.25"/>
    <row r="493" s="11" customFormat="1" x14ac:dyDescent="0.25"/>
    <row r="494" s="11" customFormat="1" x14ac:dyDescent="0.25"/>
    <row r="495" s="11" customFormat="1" x14ac:dyDescent="0.25"/>
    <row r="496" s="11" customFormat="1" x14ac:dyDescent="0.25"/>
    <row r="497" s="11" customFormat="1" x14ac:dyDescent="0.25"/>
    <row r="498" s="11" customFormat="1" x14ac:dyDescent="0.25"/>
    <row r="499" s="11" customFormat="1" x14ac:dyDescent="0.25"/>
    <row r="500" s="11" customFormat="1" x14ac:dyDescent="0.25"/>
    <row r="501" s="11" customFormat="1" x14ac:dyDescent="0.25"/>
    <row r="502" s="11" customFormat="1" x14ac:dyDescent="0.25"/>
    <row r="503" s="11" customFormat="1" x14ac:dyDescent="0.25"/>
    <row r="504" s="11" customFormat="1" x14ac:dyDescent="0.25"/>
    <row r="505" s="11" customFormat="1" x14ac:dyDescent="0.25"/>
    <row r="506" s="11" customFormat="1" x14ac:dyDescent="0.25"/>
    <row r="507" s="11" customFormat="1" x14ac:dyDescent="0.25"/>
    <row r="508" s="11" customFormat="1" x14ac:dyDescent="0.25"/>
    <row r="509" s="11" customFormat="1" x14ac:dyDescent="0.25"/>
    <row r="510" s="11" customFormat="1" x14ac:dyDescent="0.25"/>
    <row r="511" s="11" customFormat="1" x14ac:dyDescent="0.25"/>
    <row r="512" s="11" customFormat="1" x14ac:dyDescent="0.25"/>
    <row r="513" s="11" customFormat="1" x14ac:dyDescent="0.25"/>
    <row r="514" s="11" customFormat="1" x14ac:dyDescent="0.25"/>
    <row r="515" s="11" customFormat="1" x14ac:dyDescent="0.25"/>
    <row r="516" s="11" customFormat="1" x14ac:dyDescent="0.25"/>
    <row r="517" s="11" customFormat="1" x14ac:dyDescent="0.25"/>
    <row r="518" s="11" customFormat="1" x14ac:dyDescent="0.25"/>
    <row r="519" s="11" customFormat="1" x14ac:dyDescent="0.25"/>
    <row r="520" s="11" customFormat="1" x14ac:dyDescent="0.25"/>
    <row r="521" s="11" customFormat="1" x14ac:dyDescent="0.25"/>
    <row r="522" s="11" customFormat="1" x14ac:dyDescent="0.25"/>
    <row r="523" s="11" customFormat="1" x14ac:dyDescent="0.25"/>
    <row r="524" s="11" customFormat="1" x14ac:dyDescent="0.25"/>
    <row r="525" s="11" customFormat="1" x14ac:dyDescent="0.25"/>
    <row r="526" s="11" customFormat="1" x14ac:dyDescent="0.25"/>
    <row r="527" s="11" customFormat="1" x14ac:dyDescent="0.25"/>
    <row r="528" s="11" customFormat="1" x14ac:dyDescent="0.25"/>
    <row r="529" s="11" customFormat="1" x14ac:dyDescent="0.25"/>
    <row r="530" s="11" customFormat="1" x14ac:dyDescent="0.25"/>
    <row r="531" s="11" customFormat="1" x14ac:dyDescent="0.25"/>
    <row r="532" s="11" customFormat="1" x14ac:dyDescent="0.25"/>
    <row r="533" s="11" customFormat="1" x14ac:dyDescent="0.25"/>
    <row r="534" s="11" customFormat="1" x14ac:dyDescent="0.25"/>
    <row r="535" s="11" customFormat="1" x14ac:dyDescent="0.25"/>
    <row r="536" s="11" customFormat="1" x14ac:dyDescent="0.25"/>
    <row r="537" s="11" customFormat="1" x14ac:dyDescent="0.25"/>
    <row r="538" s="11" customFormat="1" x14ac:dyDescent="0.25"/>
    <row r="539" s="11" customFormat="1" x14ac:dyDescent="0.25"/>
    <row r="540" s="11" customFormat="1" x14ac:dyDescent="0.25"/>
    <row r="541" s="11" customFormat="1" x14ac:dyDescent="0.25"/>
    <row r="542" s="11" customFormat="1" x14ac:dyDescent="0.25"/>
    <row r="543" s="11" customFormat="1" x14ac:dyDescent="0.25"/>
    <row r="544" s="11" customFormat="1" x14ac:dyDescent="0.25"/>
    <row r="545" s="11" customFormat="1" x14ac:dyDescent="0.25"/>
    <row r="546" s="11" customFormat="1" x14ac:dyDescent="0.25"/>
    <row r="547" s="11" customFormat="1" x14ac:dyDescent="0.25"/>
    <row r="548" s="11" customFormat="1" x14ac:dyDescent="0.25"/>
    <row r="549" s="11" customFormat="1" x14ac:dyDescent="0.25"/>
    <row r="550" s="11" customFormat="1" x14ac:dyDescent="0.25"/>
    <row r="551" s="11" customFormat="1" x14ac:dyDescent="0.25"/>
    <row r="552" s="11" customFormat="1" x14ac:dyDescent="0.25"/>
    <row r="553" s="11" customFormat="1" x14ac:dyDescent="0.25"/>
    <row r="554" s="11" customFormat="1" x14ac:dyDescent="0.25"/>
    <row r="555" s="11" customFormat="1" x14ac:dyDescent="0.25"/>
    <row r="556" s="11" customFormat="1" x14ac:dyDescent="0.25"/>
    <row r="557" s="11" customFormat="1" x14ac:dyDescent="0.25"/>
    <row r="558" s="11" customFormat="1" x14ac:dyDescent="0.25"/>
    <row r="559" s="11" customFormat="1" x14ac:dyDescent="0.25"/>
    <row r="560" s="11" customFormat="1" x14ac:dyDescent="0.25"/>
    <row r="561" s="11" customFormat="1" x14ac:dyDescent="0.25"/>
    <row r="562" s="11" customFormat="1" x14ac:dyDescent="0.25"/>
    <row r="563" s="11" customFormat="1" x14ac:dyDescent="0.25"/>
    <row r="564" s="11" customFormat="1" x14ac:dyDescent="0.25"/>
    <row r="565" s="11" customFormat="1" x14ac:dyDescent="0.25"/>
    <row r="566" s="11" customFormat="1" x14ac:dyDescent="0.25"/>
    <row r="567" s="11" customFormat="1" x14ac:dyDescent="0.25"/>
    <row r="568" s="11" customFormat="1" x14ac:dyDescent="0.25"/>
    <row r="569" s="11" customFormat="1" x14ac:dyDescent="0.25"/>
    <row r="570" s="11" customFormat="1" x14ac:dyDescent="0.25"/>
    <row r="571" s="11" customFormat="1" x14ac:dyDescent="0.25"/>
    <row r="572" s="11" customFormat="1" x14ac:dyDescent="0.25"/>
    <row r="573" s="11" customFormat="1" x14ac:dyDescent="0.25"/>
    <row r="574" s="11" customFormat="1" x14ac:dyDescent="0.25"/>
    <row r="575" s="11" customFormat="1" x14ac:dyDescent="0.25"/>
    <row r="576" s="11" customFormat="1" x14ac:dyDescent="0.25"/>
    <row r="577" s="11" customFormat="1" x14ac:dyDescent="0.25"/>
    <row r="578" s="11" customFormat="1" x14ac:dyDescent="0.25"/>
    <row r="579" s="11" customFormat="1" x14ac:dyDescent="0.25"/>
    <row r="580" s="11" customFormat="1" x14ac:dyDescent="0.25"/>
    <row r="581" s="11" customFormat="1" x14ac:dyDescent="0.25"/>
    <row r="582" s="11" customFormat="1" x14ac:dyDescent="0.25"/>
    <row r="583" s="11" customFormat="1" x14ac:dyDescent="0.25"/>
    <row r="584" s="11" customFormat="1" x14ac:dyDescent="0.25"/>
    <row r="585" s="11" customFormat="1" x14ac:dyDescent="0.25"/>
    <row r="586" s="11" customFormat="1" x14ac:dyDescent="0.25"/>
    <row r="587" s="11" customFormat="1" x14ac:dyDescent="0.25"/>
    <row r="588" s="11" customFormat="1" x14ac:dyDescent="0.25"/>
    <row r="589" s="11" customFormat="1" x14ac:dyDescent="0.25"/>
    <row r="590" s="11" customFormat="1" x14ac:dyDescent="0.25"/>
    <row r="591" s="11" customFormat="1" x14ac:dyDescent="0.25"/>
    <row r="592" s="11" customFormat="1" x14ac:dyDescent="0.25"/>
    <row r="593" s="11" customFormat="1" x14ac:dyDescent="0.25"/>
    <row r="594" s="11" customFormat="1" x14ac:dyDescent="0.25"/>
    <row r="595" s="11" customFormat="1" x14ac:dyDescent="0.25"/>
    <row r="596" s="11" customFormat="1" x14ac:dyDescent="0.25"/>
    <row r="597" s="11" customFormat="1" x14ac:dyDescent="0.25"/>
    <row r="598" s="11" customFormat="1" x14ac:dyDescent="0.25"/>
    <row r="599" s="11" customFormat="1" x14ac:dyDescent="0.25"/>
    <row r="600" s="11" customFormat="1" x14ac:dyDescent="0.25"/>
    <row r="601" s="11" customFormat="1" x14ac:dyDescent="0.25"/>
    <row r="602" s="11" customFormat="1" x14ac:dyDescent="0.25"/>
    <row r="603" s="11" customFormat="1" x14ac:dyDescent="0.25"/>
    <row r="604" s="11" customFormat="1" x14ac:dyDescent="0.25"/>
    <row r="605" s="11" customFormat="1" x14ac:dyDescent="0.25"/>
    <row r="606" s="11" customFormat="1" x14ac:dyDescent="0.25"/>
    <row r="607" s="11" customFormat="1" x14ac:dyDescent="0.25"/>
    <row r="608" s="11" customFormat="1" x14ac:dyDescent="0.25"/>
    <row r="609" s="11" customFormat="1" x14ac:dyDescent="0.25"/>
    <row r="610" s="11" customFormat="1" x14ac:dyDescent="0.25"/>
    <row r="611" s="11" customFormat="1" x14ac:dyDescent="0.25"/>
    <row r="612" s="11" customFormat="1" x14ac:dyDescent="0.25"/>
    <row r="613" s="11" customFormat="1" x14ac:dyDescent="0.25"/>
    <row r="614" s="11" customFormat="1" x14ac:dyDescent="0.25"/>
    <row r="615" s="11" customFormat="1" x14ac:dyDescent="0.25"/>
    <row r="616" s="11" customFormat="1" x14ac:dyDescent="0.25"/>
    <row r="617" s="11" customFormat="1" x14ac:dyDescent="0.25"/>
    <row r="618" s="11" customFormat="1" x14ac:dyDescent="0.25"/>
    <row r="619" s="11" customFormat="1" x14ac:dyDescent="0.25"/>
    <row r="620" s="11" customFormat="1" x14ac:dyDescent="0.25"/>
    <row r="621" s="11" customFormat="1" x14ac:dyDescent="0.25"/>
    <row r="622" s="11" customFormat="1" x14ac:dyDescent="0.25"/>
    <row r="623" s="11" customFormat="1" x14ac:dyDescent="0.25"/>
    <row r="624" s="11" customFormat="1" x14ac:dyDescent="0.25"/>
    <row r="625" s="11" customFormat="1" x14ac:dyDescent="0.25"/>
    <row r="626" s="11" customFormat="1" x14ac:dyDescent="0.25"/>
    <row r="627" s="11" customFormat="1" x14ac:dyDescent="0.25"/>
    <row r="628" s="11" customFormat="1" x14ac:dyDescent="0.25"/>
    <row r="629" s="11" customFormat="1" x14ac:dyDescent="0.25"/>
    <row r="630" s="11" customFormat="1" x14ac:dyDescent="0.25"/>
    <row r="631" s="11" customFormat="1" x14ac:dyDescent="0.25"/>
    <row r="632" s="11" customFormat="1" x14ac:dyDescent="0.25"/>
    <row r="633" s="11" customFormat="1" x14ac:dyDescent="0.25"/>
    <row r="634" s="11" customFormat="1" x14ac:dyDescent="0.25"/>
    <row r="635" s="11" customFormat="1" x14ac:dyDescent="0.25"/>
    <row r="636" s="11" customFormat="1" x14ac:dyDescent="0.25"/>
    <row r="637" s="11" customFormat="1" x14ac:dyDescent="0.25"/>
    <row r="638" s="11" customFormat="1" x14ac:dyDescent="0.25"/>
    <row r="639" s="11" customFormat="1" x14ac:dyDescent="0.25"/>
    <row r="640" s="11" customFormat="1" x14ac:dyDescent="0.25"/>
    <row r="641" s="11" customFormat="1" x14ac:dyDescent="0.25"/>
    <row r="642" s="11" customFormat="1" x14ac:dyDescent="0.25"/>
    <row r="643" s="11" customFormat="1" x14ac:dyDescent="0.25"/>
    <row r="644" s="11" customFormat="1" x14ac:dyDescent="0.25"/>
    <row r="645" s="11" customFormat="1" x14ac:dyDescent="0.25"/>
    <row r="646" s="11" customFormat="1" x14ac:dyDescent="0.25"/>
    <row r="647" s="11" customFormat="1" x14ac:dyDescent="0.25"/>
    <row r="648" s="11" customFormat="1" x14ac:dyDescent="0.25"/>
    <row r="649" s="11" customFormat="1" x14ac:dyDescent="0.25"/>
    <row r="650" s="11" customFormat="1" x14ac:dyDescent="0.25"/>
    <row r="651" s="11" customFormat="1" x14ac:dyDescent="0.25"/>
    <row r="652" s="11" customFormat="1" x14ac:dyDescent="0.25"/>
    <row r="653" s="11" customFormat="1" x14ac:dyDescent="0.25"/>
    <row r="654" s="11" customFormat="1" x14ac:dyDescent="0.25"/>
    <row r="655" s="11" customFormat="1" x14ac:dyDescent="0.25"/>
    <row r="656" s="11" customFormat="1" x14ac:dyDescent="0.25"/>
    <row r="657" s="11" customFormat="1" x14ac:dyDescent="0.25"/>
    <row r="658" s="11" customFormat="1" x14ac:dyDescent="0.25"/>
    <row r="659" s="11" customFormat="1" x14ac:dyDescent="0.25"/>
    <row r="660" s="11" customFormat="1" x14ac:dyDescent="0.25"/>
    <row r="661" s="11" customFormat="1" x14ac:dyDescent="0.25"/>
    <row r="662" s="11" customFormat="1" x14ac:dyDescent="0.25"/>
    <row r="663" s="11" customFormat="1" x14ac:dyDescent="0.25"/>
    <row r="664" s="11" customFormat="1" x14ac:dyDescent="0.25"/>
    <row r="665" s="11" customFormat="1" x14ac:dyDescent="0.25"/>
    <row r="666" s="11" customFormat="1" x14ac:dyDescent="0.25"/>
    <row r="667" s="11" customFormat="1" x14ac:dyDescent="0.25"/>
    <row r="668" s="11" customFormat="1" x14ac:dyDescent="0.25"/>
    <row r="669" s="11" customFormat="1" x14ac:dyDescent="0.25"/>
    <row r="670" s="11" customFormat="1" x14ac:dyDescent="0.25"/>
    <row r="671" s="11" customFormat="1" x14ac:dyDescent="0.25"/>
    <row r="672" s="11" customFormat="1" x14ac:dyDescent="0.25"/>
    <row r="673" s="11" customFormat="1" x14ac:dyDescent="0.25"/>
    <row r="674" s="11" customFormat="1" x14ac:dyDescent="0.25"/>
    <row r="675" s="11" customFormat="1" x14ac:dyDescent="0.25"/>
    <row r="676" s="11" customFormat="1" x14ac:dyDescent="0.25"/>
    <row r="677" s="11" customFormat="1" x14ac:dyDescent="0.25"/>
    <row r="678" s="11" customFormat="1" x14ac:dyDescent="0.25"/>
    <row r="679" s="11" customFormat="1" x14ac:dyDescent="0.25"/>
    <row r="680" s="11" customFormat="1" x14ac:dyDescent="0.25"/>
    <row r="681" s="11" customFormat="1" x14ac:dyDescent="0.25"/>
    <row r="682" s="11" customFormat="1" x14ac:dyDescent="0.25"/>
    <row r="683" s="11" customFormat="1" x14ac:dyDescent="0.25"/>
    <row r="684" s="11" customFormat="1" x14ac:dyDescent="0.25"/>
    <row r="685" s="11" customFormat="1" x14ac:dyDescent="0.25"/>
    <row r="686" s="11" customFormat="1" x14ac:dyDescent="0.25"/>
    <row r="687" s="11" customFormat="1" x14ac:dyDescent="0.25"/>
    <row r="688" s="11" customFormat="1" x14ac:dyDescent="0.25"/>
    <row r="689" s="11" customFormat="1" x14ac:dyDescent="0.25"/>
    <row r="690" s="11" customFormat="1" x14ac:dyDescent="0.25"/>
    <row r="691" s="11" customFormat="1" x14ac:dyDescent="0.25"/>
    <row r="692" s="11" customFormat="1" x14ac:dyDescent="0.25"/>
    <row r="693" s="11" customFormat="1" x14ac:dyDescent="0.25"/>
    <row r="694" s="11" customFormat="1" x14ac:dyDescent="0.25"/>
    <row r="695" s="11" customFormat="1" x14ac:dyDescent="0.25"/>
    <row r="696" s="11" customFormat="1" x14ac:dyDescent="0.25"/>
    <row r="697" s="11" customFormat="1" x14ac:dyDescent="0.25"/>
    <row r="698" s="11" customFormat="1" x14ac:dyDescent="0.25"/>
    <row r="699" s="11" customFormat="1" x14ac:dyDescent="0.25"/>
    <row r="700" s="11" customFormat="1" x14ac:dyDescent="0.25"/>
    <row r="701" s="11" customFormat="1" x14ac:dyDescent="0.25"/>
    <row r="702" s="11" customFormat="1" x14ac:dyDescent="0.25"/>
    <row r="703" s="11" customFormat="1" x14ac:dyDescent="0.25"/>
    <row r="704" s="11" customFormat="1" x14ac:dyDescent="0.25"/>
    <row r="705" s="11" customFormat="1" x14ac:dyDescent="0.25"/>
    <row r="706" s="11" customFormat="1" x14ac:dyDescent="0.25"/>
    <row r="707" s="11" customFormat="1" x14ac:dyDescent="0.25"/>
    <row r="708" s="11" customFormat="1" x14ac:dyDescent="0.25"/>
    <row r="709" s="11" customFormat="1" x14ac:dyDescent="0.25"/>
    <row r="710" s="11" customFormat="1" x14ac:dyDescent="0.25"/>
    <row r="711" s="11" customFormat="1" x14ac:dyDescent="0.25"/>
    <row r="712" s="11" customFormat="1" x14ac:dyDescent="0.25"/>
    <row r="713" s="11" customFormat="1" x14ac:dyDescent="0.25"/>
    <row r="714" s="11" customFormat="1" x14ac:dyDescent="0.25"/>
    <row r="715" s="11" customFormat="1" x14ac:dyDescent="0.25"/>
    <row r="716" s="11" customFormat="1" x14ac:dyDescent="0.25"/>
    <row r="717" s="11" customFormat="1" x14ac:dyDescent="0.25"/>
    <row r="718" s="11" customFormat="1" x14ac:dyDescent="0.25"/>
    <row r="719" s="11" customFormat="1" x14ac:dyDescent="0.25"/>
    <row r="720" s="11" customFormat="1" x14ac:dyDescent="0.25"/>
    <row r="721" s="11" customFormat="1" x14ac:dyDescent="0.25"/>
    <row r="722" s="11" customFormat="1" x14ac:dyDescent="0.25"/>
    <row r="723" s="11" customFormat="1" x14ac:dyDescent="0.25"/>
    <row r="724" s="11" customFormat="1" x14ac:dyDescent="0.25"/>
    <row r="725" s="11" customFormat="1" x14ac:dyDescent="0.25"/>
    <row r="726" s="11" customFormat="1" x14ac:dyDescent="0.25"/>
    <row r="727" s="11" customFormat="1" x14ac:dyDescent="0.25"/>
    <row r="728" s="11" customFormat="1" x14ac:dyDescent="0.25"/>
    <row r="729" s="11" customFormat="1" x14ac:dyDescent="0.25"/>
    <row r="730" s="11" customFormat="1" x14ac:dyDescent="0.25"/>
    <row r="731" s="11" customFormat="1" x14ac:dyDescent="0.25"/>
    <row r="732" s="11" customFormat="1" x14ac:dyDescent="0.25"/>
    <row r="733" s="11" customFormat="1" x14ac:dyDescent="0.25"/>
    <row r="734" s="11" customFormat="1" x14ac:dyDescent="0.25"/>
    <row r="735" s="11" customFormat="1" x14ac:dyDescent="0.25"/>
    <row r="736" s="11" customFormat="1" x14ac:dyDescent="0.25"/>
    <row r="737" s="11" customFormat="1" x14ac:dyDescent="0.25"/>
    <row r="738" s="11" customFormat="1" x14ac:dyDescent="0.25"/>
    <row r="739" s="11" customFormat="1" x14ac:dyDescent="0.25"/>
    <row r="740" s="11" customFormat="1" x14ac:dyDescent="0.25"/>
    <row r="741" s="11" customFormat="1" x14ac:dyDescent="0.25"/>
    <row r="742" s="11" customFormat="1" x14ac:dyDescent="0.25"/>
    <row r="743" s="11" customFormat="1" x14ac:dyDescent="0.25"/>
    <row r="744" s="11" customFormat="1" x14ac:dyDescent="0.25"/>
    <row r="745" s="11" customFormat="1" x14ac:dyDescent="0.25"/>
    <row r="746" s="11" customFormat="1" x14ac:dyDescent="0.25"/>
    <row r="747" s="11" customFormat="1" x14ac:dyDescent="0.25"/>
    <row r="748" s="11" customFormat="1" x14ac:dyDescent="0.25"/>
    <row r="749" s="11" customFormat="1" x14ac:dyDescent="0.25"/>
    <row r="750" s="11" customFormat="1" x14ac:dyDescent="0.25"/>
    <row r="751" s="11" customFormat="1" x14ac:dyDescent="0.25"/>
    <row r="752" s="11" customFormat="1" x14ac:dyDescent="0.25"/>
    <row r="753" s="11" customFormat="1" x14ac:dyDescent="0.25"/>
    <row r="754" s="11" customFormat="1" x14ac:dyDescent="0.25"/>
    <row r="755" s="11" customFormat="1" x14ac:dyDescent="0.25"/>
    <row r="756" s="11" customFormat="1" x14ac:dyDescent="0.25"/>
    <row r="757" s="11" customFormat="1" x14ac:dyDescent="0.25"/>
    <row r="758" s="11" customFormat="1" x14ac:dyDescent="0.25"/>
    <row r="759" s="11" customFormat="1" x14ac:dyDescent="0.25"/>
    <row r="760" s="11" customFormat="1" x14ac:dyDescent="0.25"/>
    <row r="761" s="11" customFormat="1" x14ac:dyDescent="0.25"/>
    <row r="762" s="11" customFormat="1" x14ac:dyDescent="0.25"/>
    <row r="763" s="11" customFormat="1" x14ac:dyDescent="0.25"/>
    <row r="764" s="11" customFormat="1" x14ac:dyDescent="0.25"/>
    <row r="765" s="11" customFormat="1" x14ac:dyDescent="0.25"/>
    <row r="766" s="11" customFormat="1" x14ac:dyDescent="0.25"/>
    <row r="767" s="11" customFormat="1" x14ac:dyDescent="0.25"/>
    <row r="768" s="11" customFormat="1" x14ac:dyDescent="0.25"/>
    <row r="769" s="11" customFormat="1" x14ac:dyDescent="0.25"/>
    <row r="770" s="11" customFormat="1" x14ac:dyDescent="0.25"/>
    <row r="771" s="11" customFormat="1" x14ac:dyDescent="0.25"/>
    <row r="772" s="11" customFormat="1" x14ac:dyDescent="0.25"/>
    <row r="773" s="11" customFormat="1" x14ac:dyDescent="0.25"/>
    <row r="774" s="11" customFormat="1" x14ac:dyDescent="0.25"/>
    <row r="775" s="11" customFormat="1" x14ac:dyDescent="0.25"/>
    <row r="776" s="11" customFormat="1" x14ac:dyDescent="0.25"/>
    <row r="777" s="11" customFormat="1" x14ac:dyDescent="0.25"/>
    <row r="778" s="11" customFormat="1" x14ac:dyDescent="0.25"/>
    <row r="779" s="11" customFormat="1" x14ac:dyDescent="0.25"/>
    <row r="780" s="11" customFormat="1" x14ac:dyDescent="0.25"/>
    <row r="781" s="11" customFormat="1" x14ac:dyDescent="0.25"/>
    <row r="782" s="11" customFormat="1" x14ac:dyDescent="0.25"/>
    <row r="783" s="11" customFormat="1" x14ac:dyDescent="0.25"/>
    <row r="784" s="11" customFormat="1" x14ac:dyDescent="0.25"/>
    <row r="785" s="11" customFormat="1" x14ac:dyDescent="0.25"/>
    <row r="786" s="11" customFormat="1" x14ac:dyDescent="0.25"/>
    <row r="787" s="11" customFormat="1" x14ac:dyDescent="0.25"/>
    <row r="788" s="11" customFormat="1" x14ac:dyDescent="0.25"/>
    <row r="789" s="11" customFormat="1" x14ac:dyDescent="0.25"/>
    <row r="790" s="11" customFormat="1" x14ac:dyDescent="0.25"/>
    <row r="791" s="11" customFormat="1" x14ac:dyDescent="0.25"/>
    <row r="792" s="11" customFormat="1" x14ac:dyDescent="0.25"/>
    <row r="793" s="11" customFormat="1" x14ac:dyDescent="0.25"/>
    <row r="794" s="11" customFormat="1" x14ac:dyDescent="0.25"/>
    <row r="795" s="11" customFormat="1" x14ac:dyDescent="0.25"/>
    <row r="796" s="11" customFormat="1" x14ac:dyDescent="0.25"/>
    <row r="797" s="11" customFormat="1" x14ac:dyDescent="0.25"/>
    <row r="798" s="11" customFormat="1" x14ac:dyDescent="0.25"/>
    <row r="799" s="11" customFormat="1" x14ac:dyDescent="0.25"/>
    <row r="800" s="11" customFormat="1" x14ac:dyDescent="0.25"/>
    <row r="801" s="11" customFormat="1" x14ac:dyDescent="0.25"/>
    <row r="802" s="11" customFormat="1" x14ac:dyDescent="0.25"/>
    <row r="803" s="11" customFormat="1" x14ac:dyDescent="0.25"/>
    <row r="804" s="11" customFormat="1" x14ac:dyDescent="0.25"/>
    <row r="805" s="11" customFormat="1" x14ac:dyDescent="0.25"/>
    <row r="806" s="11" customFormat="1" x14ac:dyDescent="0.25"/>
    <row r="807" s="11" customFormat="1" x14ac:dyDescent="0.25"/>
    <row r="808" s="11" customFormat="1" x14ac:dyDescent="0.25"/>
    <row r="809" s="11" customFormat="1" x14ac:dyDescent="0.25"/>
    <row r="810" s="11" customFormat="1" x14ac:dyDescent="0.25"/>
    <row r="811" s="11" customFormat="1" x14ac:dyDescent="0.25"/>
    <row r="812" s="11" customFormat="1" x14ac:dyDescent="0.25"/>
    <row r="813" s="11" customFormat="1" x14ac:dyDescent="0.25"/>
    <row r="814" s="11" customFormat="1" x14ac:dyDescent="0.25"/>
    <row r="815" s="11" customFormat="1" x14ac:dyDescent="0.25"/>
    <row r="816" s="11" customFormat="1" x14ac:dyDescent="0.25"/>
    <row r="817" s="11" customFormat="1" x14ac:dyDescent="0.25"/>
    <row r="818" s="11" customFormat="1" x14ac:dyDescent="0.25"/>
    <row r="819" s="11" customFormat="1" x14ac:dyDescent="0.25"/>
    <row r="820" s="11" customFormat="1" x14ac:dyDescent="0.25"/>
    <row r="821" s="11" customFormat="1" x14ac:dyDescent="0.25"/>
    <row r="822" s="11" customFormat="1" x14ac:dyDescent="0.25"/>
    <row r="823" s="11" customFormat="1" x14ac:dyDescent="0.25"/>
    <row r="824" s="11" customFormat="1" x14ac:dyDescent="0.25"/>
    <row r="825" s="11" customFormat="1" x14ac:dyDescent="0.25"/>
    <row r="826" s="11" customFormat="1" x14ac:dyDescent="0.25"/>
    <row r="827" s="11" customFormat="1" x14ac:dyDescent="0.25"/>
    <row r="828" s="11" customFormat="1" x14ac:dyDescent="0.25"/>
    <row r="829" s="11" customFormat="1" x14ac:dyDescent="0.25"/>
    <row r="830" s="11" customFormat="1" x14ac:dyDescent="0.25"/>
    <row r="831" s="11" customFormat="1" x14ac:dyDescent="0.25"/>
    <row r="832" s="11" customFormat="1" x14ac:dyDescent="0.25"/>
    <row r="833" s="11" customFormat="1" x14ac:dyDescent="0.25"/>
    <row r="834" s="11" customFormat="1" x14ac:dyDescent="0.25"/>
    <row r="835" s="11" customFormat="1" x14ac:dyDescent="0.25"/>
    <row r="836" s="11" customFormat="1" x14ac:dyDescent="0.25"/>
    <row r="837" s="11" customFormat="1" x14ac:dyDescent="0.25"/>
    <row r="838" s="11" customFormat="1" x14ac:dyDescent="0.25"/>
    <row r="839" s="11" customFormat="1" x14ac:dyDescent="0.25"/>
    <row r="840" s="11" customFormat="1" x14ac:dyDescent="0.25"/>
    <row r="841" s="11" customFormat="1" x14ac:dyDescent="0.25"/>
    <row r="842" s="11" customFormat="1" x14ac:dyDescent="0.25"/>
    <row r="843" s="11" customFormat="1" x14ac:dyDescent="0.25"/>
    <row r="844" s="11" customFormat="1" x14ac:dyDescent="0.25"/>
    <row r="845" s="11" customFormat="1" x14ac:dyDescent="0.25"/>
    <row r="846" s="11" customFormat="1" x14ac:dyDescent="0.25"/>
    <row r="847" s="11" customFormat="1" x14ac:dyDescent="0.25"/>
    <row r="848" s="11" customFormat="1" x14ac:dyDescent="0.25"/>
    <row r="849" s="11" customFormat="1" x14ac:dyDescent="0.25"/>
    <row r="850" s="11" customFormat="1" x14ac:dyDescent="0.25"/>
    <row r="851" s="11" customFormat="1" x14ac:dyDescent="0.25"/>
    <row r="852" s="11" customFormat="1" x14ac:dyDescent="0.25"/>
    <row r="853" s="11" customFormat="1" x14ac:dyDescent="0.25"/>
    <row r="854" s="11" customFormat="1" x14ac:dyDescent="0.25"/>
    <row r="855" s="11" customFormat="1" x14ac:dyDescent="0.25"/>
    <row r="856" s="11" customFormat="1" x14ac:dyDescent="0.25"/>
    <row r="857" s="11" customFormat="1" x14ac:dyDescent="0.25"/>
    <row r="858" s="11" customFormat="1" x14ac:dyDescent="0.25"/>
    <row r="859" s="11" customFormat="1" x14ac:dyDescent="0.25"/>
    <row r="860" s="11" customFormat="1" x14ac:dyDescent="0.25"/>
    <row r="861" s="11" customFormat="1" x14ac:dyDescent="0.25"/>
    <row r="862" s="11" customFormat="1" x14ac:dyDescent="0.25"/>
    <row r="863" s="11" customFormat="1" x14ac:dyDescent="0.25"/>
    <row r="864" s="11" customFormat="1" x14ac:dyDescent="0.25"/>
    <row r="865" s="11" customFormat="1" x14ac:dyDescent="0.25"/>
    <row r="866" s="11" customFormat="1" x14ac:dyDescent="0.25"/>
    <row r="867" s="11" customFormat="1" x14ac:dyDescent="0.25"/>
    <row r="868" s="11" customFormat="1" x14ac:dyDescent="0.25"/>
    <row r="869" s="11" customFormat="1" x14ac:dyDescent="0.25"/>
    <row r="870" s="11" customFormat="1" x14ac:dyDescent="0.25"/>
    <row r="871" s="11" customFormat="1" x14ac:dyDescent="0.25"/>
    <row r="872" s="11" customFormat="1" x14ac:dyDescent="0.25"/>
    <row r="873" s="11" customFormat="1" x14ac:dyDescent="0.25"/>
    <row r="874" s="11" customFormat="1" x14ac:dyDescent="0.25"/>
    <row r="875" s="11" customFormat="1" x14ac:dyDescent="0.25"/>
    <row r="876" s="11" customFormat="1" x14ac:dyDescent="0.25"/>
    <row r="877" s="11" customFormat="1" x14ac:dyDescent="0.25"/>
    <row r="878" s="11" customFormat="1" x14ac:dyDescent="0.25"/>
    <row r="879" s="11" customFormat="1" x14ac:dyDescent="0.25"/>
    <row r="880" s="11" customFormat="1" x14ac:dyDescent="0.25"/>
    <row r="881" s="11" customFormat="1" x14ac:dyDescent="0.25"/>
    <row r="882" s="11" customFormat="1" x14ac:dyDescent="0.25"/>
    <row r="883" s="11" customFormat="1" x14ac:dyDescent="0.25"/>
    <row r="884" s="11" customFormat="1" x14ac:dyDescent="0.25"/>
    <row r="885" s="11" customFormat="1" x14ac:dyDescent="0.25"/>
    <row r="886" s="11" customFormat="1" x14ac:dyDescent="0.25"/>
    <row r="887" s="11" customFormat="1" x14ac:dyDescent="0.25"/>
    <row r="888" s="11" customFormat="1" x14ac:dyDescent="0.25"/>
    <row r="889" s="11" customFormat="1" x14ac:dyDescent="0.25"/>
    <row r="890" s="11" customFormat="1" x14ac:dyDescent="0.25"/>
    <row r="891" s="11" customFormat="1" x14ac:dyDescent="0.25"/>
    <row r="892" s="11" customFormat="1" x14ac:dyDescent="0.25"/>
    <row r="893" s="11" customFormat="1" x14ac:dyDescent="0.25"/>
    <row r="894" s="11" customFormat="1" x14ac:dyDescent="0.25"/>
    <row r="895" s="11" customFormat="1" x14ac:dyDescent="0.25"/>
    <row r="896" s="11" customFormat="1" x14ac:dyDescent="0.25"/>
    <row r="897" s="11" customFormat="1" x14ac:dyDescent="0.25"/>
    <row r="898" s="11" customFormat="1" x14ac:dyDescent="0.25"/>
    <row r="899" s="11" customFormat="1" x14ac:dyDescent="0.25"/>
    <row r="900" s="11" customFormat="1" x14ac:dyDescent="0.25"/>
    <row r="901" s="11" customFormat="1" x14ac:dyDescent="0.25"/>
    <row r="902" s="11" customFormat="1" x14ac:dyDescent="0.25"/>
    <row r="903" s="11" customFormat="1" x14ac:dyDescent="0.25"/>
    <row r="904" s="11" customFormat="1" x14ac:dyDescent="0.25"/>
    <row r="905" s="11" customFormat="1" x14ac:dyDescent="0.25"/>
    <row r="906" s="11" customFormat="1" x14ac:dyDescent="0.25"/>
    <row r="907" s="11" customFormat="1" x14ac:dyDescent="0.25"/>
    <row r="908" s="11" customFormat="1" x14ac:dyDescent="0.25"/>
    <row r="909" s="11" customFormat="1" x14ac:dyDescent="0.25"/>
    <row r="910" s="11" customFormat="1" x14ac:dyDescent="0.25"/>
    <row r="911" s="11" customFormat="1" x14ac:dyDescent="0.25"/>
    <row r="912" s="11" customFormat="1" x14ac:dyDescent="0.25"/>
    <row r="913" s="11" customFormat="1" x14ac:dyDescent="0.25"/>
    <row r="914" s="11" customFormat="1" x14ac:dyDescent="0.25"/>
    <row r="915" s="11" customFormat="1" x14ac:dyDescent="0.25"/>
    <row r="916" s="11" customFormat="1" x14ac:dyDescent="0.25"/>
    <row r="917" s="11" customFormat="1" x14ac:dyDescent="0.25"/>
    <row r="918" s="11" customFormat="1" x14ac:dyDescent="0.25"/>
    <row r="919" s="11" customFormat="1" x14ac:dyDescent="0.25"/>
    <row r="920" s="11" customFormat="1" x14ac:dyDescent="0.25"/>
    <row r="921" s="11" customFormat="1" x14ac:dyDescent="0.25"/>
    <row r="922" s="11" customFormat="1" x14ac:dyDescent="0.25"/>
    <row r="923" s="11" customFormat="1" x14ac:dyDescent="0.25"/>
    <row r="924" s="11" customFormat="1" x14ac:dyDescent="0.25"/>
    <row r="925" s="11" customFormat="1" x14ac:dyDescent="0.25"/>
    <row r="926" s="11" customFormat="1" x14ac:dyDescent="0.25"/>
    <row r="927" s="11" customFormat="1" x14ac:dyDescent="0.25"/>
    <row r="928" s="11" customFormat="1" x14ac:dyDescent="0.25"/>
    <row r="929" s="11" customFormat="1" x14ac:dyDescent="0.25"/>
    <row r="930" s="11" customFormat="1" x14ac:dyDescent="0.25"/>
    <row r="931" s="11" customFormat="1" x14ac:dyDescent="0.25"/>
    <row r="932" s="11" customFormat="1" x14ac:dyDescent="0.25"/>
    <row r="933" s="11" customFormat="1" x14ac:dyDescent="0.25"/>
    <row r="934" s="11" customFormat="1" x14ac:dyDescent="0.25"/>
    <row r="935" s="11" customFormat="1" x14ac:dyDescent="0.25"/>
    <row r="936" s="11" customFormat="1" x14ac:dyDescent="0.25"/>
    <row r="937" s="11" customFormat="1" x14ac:dyDescent="0.25"/>
    <row r="938" s="11" customFormat="1" x14ac:dyDescent="0.25"/>
    <row r="939" s="11" customFormat="1" x14ac:dyDescent="0.25"/>
    <row r="940" s="11" customFormat="1" x14ac:dyDescent="0.25"/>
    <row r="941" s="11" customFormat="1" x14ac:dyDescent="0.25"/>
    <row r="942" s="11" customFormat="1" x14ac:dyDescent="0.25"/>
    <row r="943" s="11" customFormat="1" x14ac:dyDescent="0.25"/>
    <row r="944" s="11" customFormat="1" x14ac:dyDescent="0.25"/>
    <row r="945" s="11" customFormat="1" x14ac:dyDescent="0.25"/>
    <row r="946" s="11" customFormat="1" x14ac:dyDescent="0.25"/>
    <row r="947" s="11" customFormat="1" x14ac:dyDescent="0.25"/>
    <row r="948" s="11" customFormat="1" x14ac:dyDescent="0.25"/>
    <row r="949" s="11" customFormat="1" x14ac:dyDescent="0.25"/>
    <row r="950" s="11" customFormat="1" x14ac:dyDescent="0.25"/>
    <row r="951" s="11" customFormat="1" x14ac:dyDescent="0.25"/>
    <row r="952" s="11" customFormat="1" x14ac:dyDescent="0.25"/>
    <row r="953" s="11" customFormat="1" x14ac:dyDescent="0.25"/>
    <row r="954" s="11" customFormat="1" x14ac:dyDescent="0.25"/>
    <row r="955" s="11" customFormat="1" x14ac:dyDescent="0.25"/>
    <row r="956" s="11" customFormat="1" x14ac:dyDescent="0.25"/>
    <row r="957" s="11" customFormat="1" x14ac:dyDescent="0.25"/>
    <row r="958" s="11" customFormat="1" x14ac:dyDescent="0.25"/>
    <row r="959" s="11" customFormat="1" x14ac:dyDescent="0.25"/>
    <row r="960" s="11" customFormat="1" x14ac:dyDescent="0.25"/>
    <row r="961" s="11" customFormat="1" x14ac:dyDescent="0.25"/>
    <row r="962" s="11" customFormat="1" x14ac:dyDescent="0.25"/>
    <row r="963" s="11" customFormat="1" x14ac:dyDescent="0.25"/>
    <row r="964" s="11" customFormat="1" x14ac:dyDescent="0.25"/>
    <row r="965" s="11" customFormat="1" x14ac:dyDescent="0.25"/>
    <row r="966" s="11" customFormat="1" x14ac:dyDescent="0.25"/>
    <row r="967" s="11" customFormat="1" x14ac:dyDescent="0.25"/>
    <row r="968" s="11" customFormat="1" x14ac:dyDescent="0.25"/>
    <row r="969" s="11" customFormat="1" x14ac:dyDescent="0.25"/>
    <row r="970" s="11" customFormat="1" x14ac:dyDescent="0.25"/>
    <row r="971" s="11" customFormat="1" x14ac:dyDescent="0.25"/>
    <row r="972" s="11" customFormat="1" x14ac:dyDescent="0.25"/>
    <row r="973" s="11" customFormat="1" x14ac:dyDescent="0.25"/>
    <row r="974" s="11" customFormat="1" x14ac:dyDescent="0.25"/>
    <row r="975" s="11" customFormat="1" x14ac:dyDescent="0.25"/>
    <row r="976" s="11" customFormat="1" x14ac:dyDescent="0.25"/>
    <row r="977" s="11" customFormat="1" x14ac:dyDescent="0.25"/>
    <row r="978" s="11" customFormat="1" x14ac:dyDescent="0.25"/>
    <row r="979" s="11" customFormat="1" x14ac:dyDescent="0.25"/>
    <row r="980" s="11" customFormat="1" x14ac:dyDescent="0.25"/>
    <row r="981" s="11" customFormat="1" x14ac:dyDescent="0.25"/>
    <row r="982" s="11" customFormat="1" x14ac:dyDescent="0.25"/>
    <row r="983" s="11" customFormat="1" x14ac:dyDescent="0.25"/>
    <row r="984" s="11" customFormat="1" x14ac:dyDescent="0.25"/>
    <row r="985" s="11" customFormat="1" x14ac:dyDescent="0.25"/>
    <row r="986" s="11" customFormat="1" x14ac:dyDescent="0.25"/>
    <row r="987" s="11" customFormat="1" x14ac:dyDescent="0.25"/>
    <row r="988" s="11" customFormat="1" x14ac:dyDescent="0.25"/>
    <row r="989" s="11" customFormat="1" x14ac:dyDescent="0.25"/>
    <row r="990" s="11" customFormat="1" x14ac:dyDescent="0.25"/>
    <row r="991" s="11" customFormat="1" x14ac:dyDescent="0.25"/>
    <row r="992" s="11" customFormat="1" x14ac:dyDescent="0.25"/>
    <row r="993" s="11" customFormat="1" x14ac:dyDescent="0.25"/>
    <row r="994" s="11" customFormat="1" x14ac:dyDescent="0.25"/>
    <row r="995" s="11" customFormat="1" x14ac:dyDescent="0.25"/>
    <row r="996" s="11" customFormat="1" x14ac:dyDescent="0.25"/>
    <row r="997" s="11" customFormat="1" x14ac:dyDescent="0.25"/>
    <row r="998" s="11" customFormat="1" x14ac:dyDescent="0.25"/>
    <row r="999" s="11" customFormat="1" x14ac:dyDescent="0.25"/>
    <row r="1000" s="11" customFormat="1" x14ac:dyDescent="0.25"/>
  </sheetData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1001"/>
  <sheetViews>
    <sheetView workbookViewId="0"/>
  </sheetViews>
  <sheetFormatPr defaultColWidth="8.7265625" defaultRowHeight="12.5" x14ac:dyDescent="0.25"/>
  <sheetData>
    <row r="1" spans="1:2" x14ac:dyDescent="0.25">
      <c r="A1" t="s">
        <v>29</v>
      </c>
      <c r="B1" t="s">
        <v>30</v>
      </c>
    </row>
    <row r="2" spans="1:2" x14ac:dyDescent="0.25">
      <c r="A2" s="23" t="e">
        <f>#REF!&amp;"_"&amp;#REF!</f>
        <v>#REF!</v>
      </c>
      <c r="B2">
        <f>ROW()</f>
        <v>2</v>
      </c>
    </row>
    <row r="3" spans="1:2" x14ac:dyDescent="0.25">
      <c r="A3" s="23" t="e">
        <f>#REF!&amp;"_"&amp;#REF!</f>
        <v>#REF!</v>
      </c>
      <c r="B3">
        <f>ROW()</f>
        <v>3</v>
      </c>
    </row>
    <row r="4" spans="1:2" x14ac:dyDescent="0.25">
      <c r="A4" s="23" t="e">
        <f>#REF!&amp;"_"&amp;#REF!</f>
        <v>#REF!</v>
      </c>
      <c r="B4">
        <f>ROW()</f>
        <v>4</v>
      </c>
    </row>
    <row r="5" spans="1:2" x14ac:dyDescent="0.25">
      <c r="A5" s="23" t="e">
        <f>#REF!&amp;"_"&amp;#REF!</f>
        <v>#REF!</v>
      </c>
      <c r="B5">
        <f>ROW()</f>
        <v>5</v>
      </c>
    </row>
    <row r="6" spans="1:2" x14ac:dyDescent="0.25">
      <c r="A6" s="23" t="e">
        <f>#REF!&amp;"_"&amp;#REF!</f>
        <v>#REF!</v>
      </c>
      <c r="B6">
        <f>ROW()</f>
        <v>6</v>
      </c>
    </row>
    <row r="7" spans="1:2" x14ac:dyDescent="0.25">
      <c r="A7" s="23" t="e">
        <f>#REF!&amp;"_"&amp;#REF!</f>
        <v>#REF!</v>
      </c>
      <c r="B7">
        <f>ROW()</f>
        <v>7</v>
      </c>
    </row>
    <row r="8" spans="1:2" x14ac:dyDescent="0.25">
      <c r="A8" s="23" t="e">
        <f>#REF!&amp;"_"&amp;#REF!</f>
        <v>#REF!</v>
      </c>
      <c r="B8">
        <f>ROW()</f>
        <v>8</v>
      </c>
    </row>
    <row r="9" spans="1:2" x14ac:dyDescent="0.25">
      <c r="A9" s="23" t="e">
        <f>#REF!&amp;"_"&amp;#REF!</f>
        <v>#REF!</v>
      </c>
      <c r="B9">
        <f>ROW()</f>
        <v>9</v>
      </c>
    </row>
    <row r="10" spans="1:2" x14ac:dyDescent="0.25">
      <c r="A10" s="23" t="e">
        <f>#REF!&amp;"_"&amp;#REF!</f>
        <v>#REF!</v>
      </c>
      <c r="B10">
        <f>ROW()</f>
        <v>10</v>
      </c>
    </row>
    <row r="11" spans="1:2" x14ac:dyDescent="0.25">
      <c r="A11" s="23" t="e">
        <f>#REF!&amp;"_"&amp;#REF!</f>
        <v>#REF!</v>
      </c>
      <c r="B11">
        <f>ROW()</f>
        <v>11</v>
      </c>
    </row>
    <row r="12" spans="1:2" x14ac:dyDescent="0.25">
      <c r="A12" s="23" t="e">
        <f>#REF!&amp;"_"&amp;#REF!</f>
        <v>#REF!</v>
      </c>
      <c r="B12">
        <f>ROW()</f>
        <v>12</v>
      </c>
    </row>
    <row r="13" spans="1:2" x14ac:dyDescent="0.25">
      <c r="A13" s="23" t="e">
        <f>#REF!&amp;"_"&amp;#REF!</f>
        <v>#REF!</v>
      </c>
      <c r="B13">
        <f>ROW()</f>
        <v>13</v>
      </c>
    </row>
    <row r="14" spans="1:2" x14ac:dyDescent="0.25">
      <c r="A14" s="23" t="e">
        <f>#REF!&amp;"_"&amp;#REF!</f>
        <v>#REF!</v>
      </c>
      <c r="B14">
        <f>ROW()</f>
        <v>14</v>
      </c>
    </row>
    <row r="15" spans="1:2" x14ac:dyDescent="0.25">
      <c r="A15" s="23" t="e">
        <f>#REF!&amp;"_"&amp;#REF!</f>
        <v>#REF!</v>
      </c>
      <c r="B15">
        <f>ROW()</f>
        <v>15</v>
      </c>
    </row>
    <row r="16" spans="1:2" x14ac:dyDescent="0.25">
      <c r="A16" s="23" t="e">
        <f>#REF!&amp;"_"&amp;#REF!</f>
        <v>#REF!</v>
      </c>
      <c r="B16">
        <f>ROW()</f>
        <v>16</v>
      </c>
    </row>
    <row r="17" spans="1:2" x14ac:dyDescent="0.25">
      <c r="A17" s="23" t="e">
        <f>#REF!&amp;"_"&amp;#REF!</f>
        <v>#REF!</v>
      </c>
      <c r="B17">
        <f>ROW()</f>
        <v>17</v>
      </c>
    </row>
    <row r="18" spans="1:2" x14ac:dyDescent="0.25">
      <c r="A18" s="23" t="e">
        <f>#REF!&amp;"_"&amp;#REF!</f>
        <v>#REF!</v>
      </c>
      <c r="B18">
        <f>ROW()</f>
        <v>18</v>
      </c>
    </row>
    <row r="19" spans="1:2" x14ac:dyDescent="0.25">
      <c r="A19" s="23" t="e">
        <f>#REF!&amp;"_"&amp;#REF!</f>
        <v>#REF!</v>
      </c>
      <c r="B19">
        <f>ROW()</f>
        <v>19</v>
      </c>
    </row>
    <row r="20" spans="1:2" x14ac:dyDescent="0.25">
      <c r="A20" s="23" t="e">
        <f>#REF!&amp;"_"&amp;#REF!</f>
        <v>#REF!</v>
      </c>
      <c r="B20">
        <f>ROW()</f>
        <v>20</v>
      </c>
    </row>
    <row r="21" spans="1:2" x14ac:dyDescent="0.25">
      <c r="A21" s="23" t="e">
        <f>#REF!&amp;"_"&amp;#REF!</f>
        <v>#REF!</v>
      </c>
      <c r="B21">
        <f>ROW()</f>
        <v>21</v>
      </c>
    </row>
    <row r="22" spans="1:2" x14ac:dyDescent="0.25">
      <c r="A22" s="23" t="e">
        <f>#REF!&amp;"_"&amp;#REF!</f>
        <v>#REF!</v>
      </c>
      <c r="B22">
        <f>ROW()</f>
        <v>22</v>
      </c>
    </row>
    <row r="23" spans="1:2" x14ac:dyDescent="0.25">
      <c r="A23" s="23" t="e">
        <f>#REF!&amp;"_"&amp;#REF!</f>
        <v>#REF!</v>
      </c>
      <c r="B23">
        <f>ROW()</f>
        <v>23</v>
      </c>
    </row>
    <row r="24" spans="1:2" x14ac:dyDescent="0.25">
      <c r="A24" s="23" t="e">
        <f>#REF!&amp;"_"&amp;#REF!</f>
        <v>#REF!</v>
      </c>
      <c r="B24">
        <f>ROW()</f>
        <v>24</v>
      </c>
    </row>
    <row r="25" spans="1:2" x14ac:dyDescent="0.25">
      <c r="A25" s="23" t="e">
        <f>#REF!&amp;"_"&amp;#REF!</f>
        <v>#REF!</v>
      </c>
      <c r="B25">
        <f>ROW()</f>
        <v>25</v>
      </c>
    </row>
    <row r="26" spans="1:2" x14ac:dyDescent="0.25">
      <c r="A26" s="23" t="e">
        <f>#REF!&amp;"_"&amp;#REF!</f>
        <v>#REF!</v>
      </c>
      <c r="B26">
        <f>ROW()</f>
        <v>26</v>
      </c>
    </row>
    <row r="27" spans="1:2" x14ac:dyDescent="0.25">
      <c r="A27" s="23" t="e">
        <f>#REF!&amp;"_"&amp;#REF!</f>
        <v>#REF!</v>
      </c>
      <c r="B27">
        <f>ROW()</f>
        <v>27</v>
      </c>
    </row>
    <row r="28" spans="1:2" x14ac:dyDescent="0.25">
      <c r="A28" s="23" t="e">
        <f>#REF!&amp;"_"&amp;#REF!</f>
        <v>#REF!</v>
      </c>
      <c r="B28">
        <f>ROW()</f>
        <v>28</v>
      </c>
    </row>
    <row r="29" spans="1:2" x14ac:dyDescent="0.25">
      <c r="A29" s="23" t="e">
        <f>#REF!&amp;"_"&amp;#REF!</f>
        <v>#REF!</v>
      </c>
      <c r="B29">
        <f>ROW()</f>
        <v>29</v>
      </c>
    </row>
    <row r="30" spans="1:2" x14ac:dyDescent="0.25">
      <c r="A30" s="23" t="e">
        <f>#REF!&amp;"_"&amp;#REF!</f>
        <v>#REF!</v>
      </c>
      <c r="B30">
        <f>ROW()</f>
        <v>30</v>
      </c>
    </row>
    <row r="31" spans="1:2" x14ac:dyDescent="0.25">
      <c r="A31" s="23" t="e">
        <f>#REF!&amp;"_"&amp;#REF!</f>
        <v>#REF!</v>
      </c>
      <c r="B31">
        <f>ROW()</f>
        <v>31</v>
      </c>
    </row>
    <row r="32" spans="1:2" x14ac:dyDescent="0.25">
      <c r="A32" s="23" t="e">
        <f>#REF!&amp;"_"&amp;#REF!</f>
        <v>#REF!</v>
      </c>
      <c r="B32">
        <f>ROW()</f>
        <v>32</v>
      </c>
    </row>
    <row r="33" spans="1:2" x14ac:dyDescent="0.25">
      <c r="A33" s="23" t="e">
        <f>#REF!&amp;"_"&amp;#REF!</f>
        <v>#REF!</v>
      </c>
      <c r="B33">
        <f>ROW()</f>
        <v>33</v>
      </c>
    </row>
    <row r="34" spans="1:2" x14ac:dyDescent="0.25">
      <c r="A34" s="23" t="e">
        <f>#REF!&amp;"_"&amp;#REF!</f>
        <v>#REF!</v>
      </c>
      <c r="B34">
        <f>ROW()</f>
        <v>34</v>
      </c>
    </row>
    <row r="35" spans="1:2" x14ac:dyDescent="0.25">
      <c r="A35" s="23" t="e">
        <f>#REF!&amp;"_"&amp;#REF!</f>
        <v>#REF!</v>
      </c>
      <c r="B35">
        <f>ROW()</f>
        <v>35</v>
      </c>
    </row>
    <row r="36" spans="1:2" x14ac:dyDescent="0.25">
      <c r="A36" s="23" t="e">
        <f>#REF!&amp;"_"&amp;#REF!</f>
        <v>#REF!</v>
      </c>
      <c r="B36">
        <f>ROW()</f>
        <v>36</v>
      </c>
    </row>
    <row r="37" spans="1:2" x14ac:dyDescent="0.25">
      <c r="A37" s="23" t="e">
        <f>#REF!&amp;"_"&amp;#REF!</f>
        <v>#REF!</v>
      </c>
      <c r="B37">
        <f>ROW()</f>
        <v>37</v>
      </c>
    </row>
    <row r="38" spans="1:2" x14ac:dyDescent="0.25">
      <c r="A38" s="23" t="e">
        <f>#REF!&amp;"_"&amp;#REF!</f>
        <v>#REF!</v>
      </c>
      <c r="B38">
        <f>ROW()</f>
        <v>38</v>
      </c>
    </row>
    <row r="39" spans="1:2" x14ac:dyDescent="0.25">
      <c r="A39" s="23" t="e">
        <f>#REF!&amp;"_"&amp;#REF!</f>
        <v>#REF!</v>
      </c>
      <c r="B39">
        <f>ROW()</f>
        <v>39</v>
      </c>
    </row>
    <row r="40" spans="1:2" x14ac:dyDescent="0.25">
      <c r="A40" s="23" t="e">
        <f>#REF!&amp;"_"&amp;#REF!</f>
        <v>#REF!</v>
      </c>
      <c r="B40">
        <f>ROW()</f>
        <v>40</v>
      </c>
    </row>
    <row r="41" spans="1:2" x14ac:dyDescent="0.25">
      <c r="A41" s="23" t="e">
        <f>#REF!&amp;"_"&amp;#REF!</f>
        <v>#REF!</v>
      </c>
      <c r="B41">
        <f>ROW()</f>
        <v>41</v>
      </c>
    </row>
    <row r="42" spans="1:2" x14ac:dyDescent="0.25">
      <c r="A42" s="23" t="e">
        <f>#REF!&amp;"_"&amp;#REF!</f>
        <v>#REF!</v>
      </c>
      <c r="B42">
        <f>ROW()</f>
        <v>42</v>
      </c>
    </row>
    <row r="43" spans="1:2" x14ac:dyDescent="0.25">
      <c r="A43" s="23" t="e">
        <f>#REF!&amp;"_"&amp;#REF!</f>
        <v>#REF!</v>
      </c>
      <c r="B43">
        <f>ROW()</f>
        <v>43</v>
      </c>
    </row>
    <row r="44" spans="1:2" x14ac:dyDescent="0.25">
      <c r="A44" s="23" t="e">
        <f>#REF!&amp;"_"&amp;#REF!</f>
        <v>#REF!</v>
      </c>
      <c r="B44">
        <f>ROW()</f>
        <v>44</v>
      </c>
    </row>
    <row r="45" spans="1:2" x14ac:dyDescent="0.25">
      <c r="A45" s="23" t="e">
        <f>#REF!&amp;"_"&amp;#REF!</f>
        <v>#REF!</v>
      </c>
      <c r="B45">
        <f>ROW()</f>
        <v>45</v>
      </c>
    </row>
    <row r="46" spans="1:2" x14ac:dyDescent="0.25">
      <c r="A46" s="23" t="e">
        <f>#REF!&amp;"_"&amp;#REF!</f>
        <v>#REF!</v>
      </c>
      <c r="B46">
        <f>ROW()</f>
        <v>46</v>
      </c>
    </row>
    <row r="47" spans="1:2" x14ac:dyDescent="0.25">
      <c r="A47" s="23" t="e">
        <f>#REF!&amp;"_"&amp;#REF!</f>
        <v>#REF!</v>
      </c>
      <c r="B47">
        <f>ROW()</f>
        <v>47</v>
      </c>
    </row>
    <row r="48" spans="1:2" x14ac:dyDescent="0.25">
      <c r="A48" s="23" t="e">
        <f>#REF!&amp;"_"&amp;#REF!</f>
        <v>#REF!</v>
      </c>
      <c r="B48">
        <f>ROW()</f>
        <v>48</v>
      </c>
    </row>
    <row r="49" spans="1:2" x14ac:dyDescent="0.25">
      <c r="A49" s="23" t="e">
        <f>#REF!&amp;"_"&amp;#REF!</f>
        <v>#REF!</v>
      </c>
      <c r="B49">
        <f>ROW()</f>
        <v>49</v>
      </c>
    </row>
    <row r="50" spans="1:2" x14ac:dyDescent="0.25">
      <c r="A50" s="23" t="e">
        <f>#REF!&amp;"_"&amp;#REF!</f>
        <v>#REF!</v>
      </c>
      <c r="B50">
        <f>ROW()</f>
        <v>50</v>
      </c>
    </row>
    <row r="51" spans="1:2" x14ac:dyDescent="0.25">
      <c r="A51" s="23" t="e">
        <f>#REF!&amp;"_"&amp;#REF!</f>
        <v>#REF!</v>
      </c>
      <c r="B51">
        <f>ROW()</f>
        <v>51</v>
      </c>
    </row>
    <row r="52" spans="1:2" x14ac:dyDescent="0.25">
      <c r="A52" s="23" t="e">
        <f>#REF!&amp;"_"&amp;#REF!</f>
        <v>#REF!</v>
      </c>
      <c r="B52">
        <f>ROW()</f>
        <v>52</v>
      </c>
    </row>
    <row r="53" spans="1:2" x14ac:dyDescent="0.25">
      <c r="A53" s="23" t="e">
        <f>#REF!&amp;"_"&amp;#REF!</f>
        <v>#REF!</v>
      </c>
      <c r="B53">
        <f>ROW()</f>
        <v>53</v>
      </c>
    </row>
    <row r="54" spans="1:2" x14ac:dyDescent="0.25">
      <c r="A54" s="23" t="e">
        <f>#REF!&amp;"_"&amp;#REF!</f>
        <v>#REF!</v>
      </c>
      <c r="B54">
        <f>ROW()</f>
        <v>54</v>
      </c>
    </row>
    <row r="55" spans="1:2" x14ac:dyDescent="0.25">
      <c r="A55" s="23" t="e">
        <f>#REF!&amp;"_"&amp;#REF!</f>
        <v>#REF!</v>
      </c>
      <c r="B55">
        <f>ROW()</f>
        <v>55</v>
      </c>
    </row>
    <row r="56" spans="1:2" x14ac:dyDescent="0.25">
      <c r="A56" s="23" t="e">
        <f>#REF!&amp;"_"&amp;#REF!</f>
        <v>#REF!</v>
      </c>
      <c r="B56">
        <f>ROW()</f>
        <v>56</v>
      </c>
    </row>
    <row r="57" spans="1:2" x14ac:dyDescent="0.25">
      <c r="A57" s="23" t="e">
        <f>#REF!&amp;"_"&amp;#REF!</f>
        <v>#REF!</v>
      </c>
      <c r="B57">
        <f>ROW()</f>
        <v>57</v>
      </c>
    </row>
    <row r="58" spans="1:2" x14ac:dyDescent="0.25">
      <c r="A58" s="23" t="e">
        <f>#REF!&amp;"_"&amp;#REF!</f>
        <v>#REF!</v>
      </c>
      <c r="B58">
        <f>ROW()</f>
        <v>58</v>
      </c>
    </row>
    <row r="59" spans="1:2" x14ac:dyDescent="0.25">
      <c r="A59" s="23" t="e">
        <f>#REF!&amp;"_"&amp;#REF!</f>
        <v>#REF!</v>
      </c>
      <c r="B59">
        <f>ROW()</f>
        <v>59</v>
      </c>
    </row>
    <row r="60" spans="1:2" x14ac:dyDescent="0.25">
      <c r="A60" s="23" t="e">
        <f>#REF!&amp;"_"&amp;#REF!</f>
        <v>#REF!</v>
      </c>
      <c r="B60">
        <f>ROW()</f>
        <v>60</v>
      </c>
    </row>
    <row r="61" spans="1:2" x14ac:dyDescent="0.25">
      <c r="A61" s="23" t="e">
        <f>#REF!&amp;"_"&amp;#REF!</f>
        <v>#REF!</v>
      </c>
      <c r="B61">
        <f>ROW()</f>
        <v>61</v>
      </c>
    </row>
    <row r="62" spans="1:2" x14ac:dyDescent="0.25">
      <c r="A62" s="23" t="e">
        <f>#REF!&amp;"_"&amp;#REF!</f>
        <v>#REF!</v>
      </c>
      <c r="B62">
        <f>ROW()</f>
        <v>62</v>
      </c>
    </row>
    <row r="63" spans="1:2" x14ac:dyDescent="0.25">
      <c r="A63" s="23" t="e">
        <f>#REF!&amp;"_"&amp;#REF!</f>
        <v>#REF!</v>
      </c>
      <c r="B63">
        <f>ROW()</f>
        <v>63</v>
      </c>
    </row>
    <row r="64" spans="1:2" x14ac:dyDescent="0.25">
      <c r="A64" s="23" t="e">
        <f>#REF!&amp;"_"&amp;#REF!</f>
        <v>#REF!</v>
      </c>
      <c r="B64">
        <f>ROW()</f>
        <v>64</v>
      </c>
    </row>
    <row r="65" spans="1:2" x14ac:dyDescent="0.25">
      <c r="A65" s="23" t="e">
        <f>#REF!&amp;"_"&amp;#REF!</f>
        <v>#REF!</v>
      </c>
      <c r="B65">
        <f>ROW()</f>
        <v>65</v>
      </c>
    </row>
    <row r="66" spans="1:2" x14ac:dyDescent="0.25">
      <c r="A66" s="23" t="e">
        <f>#REF!&amp;"_"&amp;#REF!</f>
        <v>#REF!</v>
      </c>
      <c r="B66">
        <f>ROW()</f>
        <v>66</v>
      </c>
    </row>
    <row r="67" spans="1:2" x14ac:dyDescent="0.25">
      <c r="A67" s="23" t="e">
        <f>#REF!&amp;"_"&amp;#REF!</f>
        <v>#REF!</v>
      </c>
      <c r="B67">
        <f>ROW()</f>
        <v>67</v>
      </c>
    </row>
    <row r="68" spans="1:2" x14ac:dyDescent="0.25">
      <c r="A68" s="23" t="e">
        <f>#REF!&amp;"_"&amp;#REF!</f>
        <v>#REF!</v>
      </c>
      <c r="B68">
        <f>ROW()</f>
        <v>68</v>
      </c>
    </row>
    <row r="69" spans="1:2" x14ac:dyDescent="0.25">
      <c r="A69" s="23" t="e">
        <f>#REF!&amp;"_"&amp;#REF!</f>
        <v>#REF!</v>
      </c>
      <c r="B69">
        <f>ROW()</f>
        <v>69</v>
      </c>
    </row>
    <row r="70" spans="1:2" x14ac:dyDescent="0.25">
      <c r="A70" s="23" t="e">
        <f>#REF!&amp;"_"&amp;#REF!</f>
        <v>#REF!</v>
      </c>
      <c r="B70">
        <f>ROW()</f>
        <v>70</v>
      </c>
    </row>
    <row r="71" spans="1:2" x14ac:dyDescent="0.25">
      <c r="A71" s="23" t="e">
        <f>#REF!&amp;"_"&amp;#REF!</f>
        <v>#REF!</v>
      </c>
      <c r="B71">
        <f>ROW()</f>
        <v>71</v>
      </c>
    </row>
    <row r="72" spans="1:2" x14ac:dyDescent="0.25">
      <c r="A72" s="23" t="e">
        <f>#REF!&amp;"_"&amp;#REF!</f>
        <v>#REF!</v>
      </c>
      <c r="B72">
        <f>ROW()</f>
        <v>72</v>
      </c>
    </row>
    <row r="73" spans="1:2" x14ac:dyDescent="0.25">
      <c r="A73" s="23" t="e">
        <f>#REF!&amp;"_"&amp;#REF!</f>
        <v>#REF!</v>
      </c>
      <c r="B73">
        <f>ROW()</f>
        <v>73</v>
      </c>
    </row>
    <row r="74" spans="1:2" x14ac:dyDescent="0.25">
      <c r="A74" s="23" t="e">
        <f>#REF!&amp;"_"&amp;#REF!</f>
        <v>#REF!</v>
      </c>
      <c r="B74">
        <f>ROW()</f>
        <v>74</v>
      </c>
    </row>
    <row r="75" spans="1:2" x14ac:dyDescent="0.25">
      <c r="A75" s="23" t="e">
        <f>#REF!&amp;"_"&amp;#REF!</f>
        <v>#REF!</v>
      </c>
      <c r="B75">
        <f>ROW()</f>
        <v>75</v>
      </c>
    </row>
    <row r="76" spans="1:2" x14ac:dyDescent="0.25">
      <c r="A76" s="23" t="e">
        <f>#REF!&amp;"_"&amp;#REF!</f>
        <v>#REF!</v>
      </c>
      <c r="B76">
        <f>ROW()</f>
        <v>76</v>
      </c>
    </row>
    <row r="77" spans="1:2" x14ac:dyDescent="0.25">
      <c r="A77" s="23" t="e">
        <f>#REF!&amp;"_"&amp;#REF!</f>
        <v>#REF!</v>
      </c>
      <c r="B77">
        <f>ROW()</f>
        <v>77</v>
      </c>
    </row>
    <row r="78" spans="1:2" x14ac:dyDescent="0.25">
      <c r="A78" s="23" t="e">
        <f>#REF!&amp;"_"&amp;#REF!</f>
        <v>#REF!</v>
      </c>
      <c r="B78">
        <f>ROW()</f>
        <v>78</v>
      </c>
    </row>
    <row r="79" spans="1:2" x14ac:dyDescent="0.25">
      <c r="A79" s="23" t="e">
        <f>#REF!&amp;"_"&amp;#REF!</f>
        <v>#REF!</v>
      </c>
      <c r="B79">
        <f>ROW()</f>
        <v>79</v>
      </c>
    </row>
    <row r="80" spans="1:2" x14ac:dyDescent="0.25">
      <c r="A80" s="23" t="e">
        <f>#REF!&amp;"_"&amp;#REF!</f>
        <v>#REF!</v>
      </c>
      <c r="B80">
        <f>ROW()</f>
        <v>80</v>
      </c>
    </row>
    <row r="81" spans="1:2" x14ac:dyDescent="0.25">
      <c r="A81" s="23" t="e">
        <f>#REF!&amp;"_"&amp;#REF!</f>
        <v>#REF!</v>
      </c>
      <c r="B81">
        <f>ROW()</f>
        <v>81</v>
      </c>
    </row>
    <row r="82" spans="1:2" x14ac:dyDescent="0.25">
      <c r="A82" s="23" t="e">
        <f>#REF!&amp;"_"&amp;#REF!</f>
        <v>#REF!</v>
      </c>
      <c r="B82">
        <f>ROW()</f>
        <v>82</v>
      </c>
    </row>
    <row r="83" spans="1:2" x14ac:dyDescent="0.25">
      <c r="A83" s="23" t="e">
        <f>#REF!&amp;"_"&amp;#REF!</f>
        <v>#REF!</v>
      </c>
      <c r="B83">
        <f>ROW()</f>
        <v>83</v>
      </c>
    </row>
    <row r="84" spans="1:2" x14ac:dyDescent="0.25">
      <c r="A84" s="23" t="e">
        <f>#REF!&amp;"_"&amp;#REF!</f>
        <v>#REF!</v>
      </c>
      <c r="B84">
        <f>ROW()</f>
        <v>84</v>
      </c>
    </row>
    <row r="85" spans="1:2" x14ac:dyDescent="0.25">
      <c r="A85" s="23" t="e">
        <f>#REF!&amp;"_"&amp;#REF!</f>
        <v>#REF!</v>
      </c>
      <c r="B85">
        <f>ROW()</f>
        <v>85</v>
      </c>
    </row>
    <row r="86" spans="1:2" x14ac:dyDescent="0.25">
      <c r="A86" s="23" t="e">
        <f>#REF!&amp;"_"&amp;#REF!</f>
        <v>#REF!</v>
      </c>
      <c r="B86">
        <f>ROW()</f>
        <v>86</v>
      </c>
    </row>
    <row r="87" spans="1:2" x14ac:dyDescent="0.25">
      <c r="A87" s="23" t="e">
        <f>#REF!&amp;"_"&amp;#REF!</f>
        <v>#REF!</v>
      </c>
      <c r="B87">
        <f>ROW()</f>
        <v>87</v>
      </c>
    </row>
    <row r="88" spans="1:2" x14ac:dyDescent="0.25">
      <c r="A88" s="23" t="e">
        <f>#REF!&amp;"_"&amp;#REF!</f>
        <v>#REF!</v>
      </c>
      <c r="B88">
        <f>ROW()</f>
        <v>88</v>
      </c>
    </row>
    <row r="89" spans="1:2" x14ac:dyDescent="0.25">
      <c r="A89" s="23" t="e">
        <f>#REF!&amp;"_"&amp;#REF!</f>
        <v>#REF!</v>
      </c>
      <c r="B89">
        <f>ROW()</f>
        <v>89</v>
      </c>
    </row>
    <row r="90" spans="1:2" x14ac:dyDescent="0.25">
      <c r="A90" s="23" t="e">
        <f>#REF!&amp;"_"&amp;#REF!</f>
        <v>#REF!</v>
      </c>
      <c r="B90">
        <f>ROW()</f>
        <v>90</v>
      </c>
    </row>
    <row r="91" spans="1:2" x14ac:dyDescent="0.25">
      <c r="A91" s="23" t="e">
        <f>#REF!&amp;"_"&amp;#REF!</f>
        <v>#REF!</v>
      </c>
      <c r="B91">
        <f>ROW()</f>
        <v>91</v>
      </c>
    </row>
    <row r="92" spans="1:2" x14ac:dyDescent="0.25">
      <c r="A92" s="23" t="e">
        <f>#REF!&amp;"_"&amp;#REF!</f>
        <v>#REF!</v>
      </c>
      <c r="B92">
        <f>ROW()</f>
        <v>92</v>
      </c>
    </row>
    <row r="93" spans="1:2" x14ac:dyDescent="0.25">
      <c r="A93" s="23" t="e">
        <f>#REF!&amp;"_"&amp;#REF!</f>
        <v>#REF!</v>
      </c>
      <c r="B93">
        <f>ROW()</f>
        <v>93</v>
      </c>
    </row>
    <row r="94" spans="1:2" x14ac:dyDescent="0.25">
      <c r="A94" s="23" t="e">
        <f>#REF!&amp;"_"&amp;#REF!</f>
        <v>#REF!</v>
      </c>
      <c r="B94">
        <f>ROW()</f>
        <v>94</v>
      </c>
    </row>
    <row r="95" spans="1:2" x14ac:dyDescent="0.25">
      <c r="A95" s="23" t="e">
        <f>#REF!&amp;"_"&amp;#REF!</f>
        <v>#REF!</v>
      </c>
      <c r="B95">
        <f>ROW()</f>
        <v>95</v>
      </c>
    </row>
    <row r="96" spans="1:2" x14ac:dyDescent="0.25">
      <c r="A96" s="23" t="e">
        <f>#REF!&amp;"_"&amp;#REF!</f>
        <v>#REF!</v>
      </c>
      <c r="B96">
        <f>ROW()</f>
        <v>96</v>
      </c>
    </row>
    <row r="97" spans="1:2" x14ac:dyDescent="0.25">
      <c r="A97" s="23" t="e">
        <f>#REF!&amp;"_"&amp;#REF!</f>
        <v>#REF!</v>
      </c>
      <c r="B97">
        <f>ROW()</f>
        <v>97</v>
      </c>
    </row>
    <row r="98" spans="1:2" x14ac:dyDescent="0.25">
      <c r="A98" s="23" t="e">
        <f>#REF!&amp;"_"&amp;#REF!</f>
        <v>#REF!</v>
      </c>
      <c r="B98">
        <f>ROW()</f>
        <v>98</v>
      </c>
    </row>
    <row r="99" spans="1:2" x14ac:dyDescent="0.25">
      <c r="A99" s="23" t="e">
        <f>#REF!&amp;"_"&amp;#REF!</f>
        <v>#REF!</v>
      </c>
      <c r="B99">
        <f>ROW()</f>
        <v>99</v>
      </c>
    </row>
    <row r="100" spans="1:2" x14ac:dyDescent="0.25">
      <c r="A100" s="23" t="e">
        <f>#REF!&amp;"_"&amp;#REF!</f>
        <v>#REF!</v>
      </c>
      <c r="B100">
        <f>ROW()</f>
        <v>100</v>
      </c>
    </row>
    <row r="101" spans="1:2" x14ac:dyDescent="0.25">
      <c r="A101" s="23" t="e">
        <f>#REF!&amp;"_"&amp;#REF!</f>
        <v>#REF!</v>
      </c>
      <c r="B101">
        <f>ROW()</f>
        <v>101</v>
      </c>
    </row>
    <row r="102" spans="1:2" x14ac:dyDescent="0.25">
      <c r="A102" s="23" t="e">
        <f>#REF!&amp;"_"&amp;#REF!</f>
        <v>#REF!</v>
      </c>
      <c r="B102">
        <f>ROW()</f>
        <v>102</v>
      </c>
    </row>
    <row r="103" spans="1:2" x14ac:dyDescent="0.25">
      <c r="A103" s="23" t="e">
        <f>#REF!&amp;"_"&amp;#REF!</f>
        <v>#REF!</v>
      </c>
      <c r="B103">
        <f>ROW()</f>
        <v>103</v>
      </c>
    </row>
    <row r="104" spans="1:2" x14ac:dyDescent="0.25">
      <c r="A104" s="23" t="e">
        <f>#REF!&amp;"_"&amp;#REF!</f>
        <v>#REF!</v>
      </c>
      <c r="B104">
        <f>ROW()</f>
        <v>104</v>
      </c>
    </row>
    <row r="105" spans="1:2" x14ac:dyDescent="0.25">
      <c r="A105" s="23" t="e">
        <f>#REF!&amp;"_"&amp;#REF!</f>
        <v>#REF!</v>
      </c>
      <c r="B105">
        <f>ROW()</f>
        <v>105</v>
      </c>
    </row>
    <row r="106" spans="1:2" x14ac:dyDescent="0.25">
      <c r="A106" s="23" t="e">
        <f>#REF!&amp;"_"&amp;#REF!</f>
        <v>#REF!</v>
      </c>
      <c r="B106">
        <f>ROW()</f>
        <v>106</v>
      </c>
    </row>
    <row r="107" spans="1:2" x14ac:dyDescent="0.25">
      <c r="A107" s="23" t="e">
        <f>#REF!&amp;"_"&amp;#REF!</f>
        <v>#REF!</v>
      </c>
      <c r="B107">
        <f>ROW()</f>
        <v>107</v>
      </c>
    </row>
    <row r="108" spans="1:2" x14ac:dyDescent="0.25">
      <c r="A108" s="23" t="e">
        <f>#REF!&amp;"_"&amp;#REF!</f>
        <v>#REF!</v>
      </c>
      <c r="B108">
        <f>ROW()</f>
        <v>108</v>
      </c>
    </row>
    <row r="109" spans="1:2" x14ac:dyDescent="0.25">
      <c r="A109" s="23" t="e">
        <f>#REF!&amp;"_"&amp;#REF!</f>
        <v>#REF!</v>
      </c>
      <c r="B109">
        <f>ROW()</f>
        <v>109</v>
      </c>
    </row>
    <row r="110" spans="1:2" x14ac:dyDescent="0.25">
      <c r="A110" s="23" t="e">
        <f>#REF!&amp;"_"&amp;#REF!</f>
        <v>#REF!</v>
      </c>
      <c r="B110">
        <f>ROW()</f>
        <v>110</v>
      </c>
    </row>
    <row r="111" spans="1:2" x14ac:dyDescent="0.25">
      <c r="A111" s="23" t="e">
        <f>#REF!&amp;"_"&amp;#REF!</f>
        <v>#REF!</v>
      </c>
      <c r="B111">
        <f>ROW()</f>
        <v>111</v>
      </c>
    </row>
    <row r="112" spans="1:2" x14ac:dyDescent="0.25">
      <c r="A112" s="23" t="e">
        <f>#REF!&amp;"_"&amp;#REF!</f>
        <v>#REF!</v>
      </c>
      <c r="B112">
        <f>ROW()</f>
        <v>112</v>
      </c>
    </row>
    <row r="113" spans="1:2" x14ac:dyDescent="0.25">
      <c r="A113" s="23" t="e">
        <f>#REF!&amp;"_"&amp;#REF!</f>
        <v>#REF!</v>
      </c>
      <c r="B113">
        <f>ROW()</f>
        <v>113</v>
      </c>
    </row>
    <row r="114" spans="1:2" x14ac:dyDescent="0.25">
      <c r="A114" s="23" t="e">
        <f>#REF!&amp;"_"&amp;#REF!</f>
        <v>#REF!</v>
      </c>
      <c r="B114">
        <f>ROW()</f>
        <v>114</v>
      </c>
    </row>
    <row r="115" spans="1:2" x14ac:dyDescent="0.25">
      <c r="A115" s="23" t="e">
        <f>#REF!&amp;"_"&amp;#REF!</f>
        <v>#REF!</v>
      </c>
      <c r="B115">
        <f>ROW()</f>
        <v>115</v>
      </c>
    </row>
    <row r="116" spans="1:2" x14ac:dyDescent="0.25">
      <c r="A116" s="23" t="e">
        <f>#REF!&amp;"_"&amp;#REF!</f>
        <v>#REF!</v>
      </c>
      <c r="B116">
        <f>ROW()</f>
        <v>116</v>
      </c>
    </row>
    <row r="117" spans="1:2" x14ac:dyDescent="0.25">
      <c r="A117" s="23" t="e">
        <f>#REF!&amp;"_"&amp;#REF!</f>
        <v>#REF!</v>
      </c>
      <c r="B117">
        <f>ROW()</f>
        <v>117</v>
      </c>
    </row>
    <row r="118" spans="1:2" x14ac:dyDescent="0.25">
      <c r="A118" s="23" t="e">
        <f>#REF!&amp;"_"&amp;#REF!</f>
        <v>#REF!</v>
      </c>
      <c r="B118">
        <f>ROW()</f>
        <v>118</v>
      </c>
    </row>
    <row r="119" spans="1:2" x14ac:dyDescent="0.25">
      <c r="A119" s="23" t="e">
        <f>#REF!&amp;"_"&amp;#REF!</f>
        <v>#REF!</v>
      </c>
      <c r="B119">
        <f>ROW()</f>
        <v>119</v>
      </c>
    </row>
    <row r="120" spans="1:2" x14ac:dyDescent="0.25">
      <c r="A120" s="23" t="e">
        <f>#REF!&amp;"_"&amp;#REF!</f>
        <v>#REF!</v>
      </c>
      <c r="B120">
        <f>ROW()</f>
        <v>120</v>
      </c>
    </row>
    <row r="121" spans="1:2" x14ac:dyDescent="0.25">
      <c r="A121" s="23" t="e">
        <f>#REF!&amp;"_"&amp;#REF!</f>
        <v>#REF!</v>
      </c>
      <c r="B121">
        <f>ROW()</f>
        <v>121</v>
      </c>
    </row>
    <row r="122" spans="1:2" x14ac:dyDescent="0.25">
      <c r="A122" s="23" t="e">
        <f>#REF!&amp;"_"&amp;#REF!</f>
        <v>#REF!</v>
      </c>
      <c r="B122">
        <f>ROW()</f>
        <v>122</v>
      </c>
    </row>
    <row r="123" spans="1:2" x14ac:dyDescent="0.25">
      <c r="A123" s="23" t="e">
        <f>#REF!&amp;"_"&amp;#REF!</f>
        <v>#REF!</v>
      </c>
      <c r="B123">
        <f>ROW()</f>
        <v>123</v>
      </c>
    </row>
    <row r="124" spans="1:2" x14ac:dyDescent="0.25">
      <c r="A124" s="23" t="e">
        <f>#REF!&amp;"_"&amp;#REF!</f>
        <v>#REF!</v>
      </c>
      <c r="B124">
        <f>ROW()</f>
        <v>124</v>
      </c>
    </row>
    <row r="125" spans="1:2" x14ac:dyDescent="0.25">
      <c r="A125" s="23" t="e">
        <f>#REF!&amp;"_"&amp;#REF!</f>
        <v>#REF!</v>
      </c>
      <c r="B125">
        <f>ROW()</f>
        <v>125</v>
      </c>
    </row>
    <row r="126" spans="1:2" x14ac:dyDescent="0.25">
      <c r="A126" s="23" t="e">
        <f>#REF!&amp;"_"&amp;#REF!</f>
        <v>#REF!</v>
      </c>
      <c r="B126">
        <f>ROW()</f>
        <v>126</v>
      </c>
    </row>
    <row r="127" spans="1:2" x14ac:dyDescent="0.25">
      <c r="A127" s="23" t="e">
        <f>#REF!&amp;"_"&amp;#REF!</f>
        <v>#REF!</v>
      </c>
      <c r="B127">
        <f>ROW()</f>
        <v>127</v>
      </c>
    </row>
    <row r="128" spans="1:2" x14ac:dyDescent="0.25">
      <c r="A128" s="23" t="e">
        <f>#REF!&amp;"_"&amp;#REF!</f>
        <v>#REF!</v>
      </c>
      <c r="B128">
        <f>ROW()</f>
        <v>128</v>
      </c>
    </row>
    <row r="129" spans="1:2" x14ac:dyDescent="0.25">
      <c r="A129" s="23" t="e">
        <f>#REF!&amp;"_"&amp;#REF!</f>
        <v>#REF!</v>
      </c>
      <c r="B129">
        <f>ROW()</f>
        <v>129</v>
      </c>
    </row>
    <row r="130" spans="1:2" x14ac:dyDescent="0.25">
      <c r="A130" s="23" t="e">
        <f>#REF!&amp;"_"&amp;#REF!</f>
        <v>#REF!</v>
      </c>
      <c r="B130">
        <f>ROW()</f>
        <v>130</v>
      </c>
    </row>
    <row r="131" spans="1:2" x14ac:dyDescent="0.25">
      <c r="A131" s="23" t="e">
        <f>#REF!&amp;"_"&amp;#REF!</f>
        <v>#REF!</v>
      </c>
      <c r="B131">
        <f>ROW()</f>
        <v>131</v>
      </c>
    </row>
    <row r="132" spans="1:2" x14ac:dyDescent="0.25">
      <c r="A132" s="23" t="e">
        <f>#REF!&amp;"_"&amp;#REF!</f>
        <v>#REF!</v>
      </c>
      <c r="B132">
        <f>ROW()</f>
        <v>132</v>
      </c>
    </row>
    <row r="133" spans="1:2" x14ac:dyDescent="0.25">
      <c r="A133" s="23" t="e">
        <f>#REF!&amp;"_"&amp;#REF!</f>
        <v>#REF!</v>
      </c>
      <c r="B133">
        <f>ROW()</f>
        <v>133</v>
      </c>
    </row>
    <row r="134" spans="1:2" x14ac:dyDescent="0.25">
      <c r="A134" s="23" t="e">
        <f>#REF!&amp;"_"&amp;#REF!</f>
        <v>#REF!</v>
      </c>
      <c r="B134">
        <f>ROW()</f>
        <v>134</v>
      </c>
    </row>
    <row r="135" spans="1:2" x14ac:dyDescent="0.25">
      <c r="A135" s="23" t="e">
        <f>#REF!&amp;"_"&amp;#REF!</f>
        <v>#REF!</v>
      </c>
      <c r="B135">
        <f>ROW()</f>
        <v>135</v>
      </c>
    </row>
    <row r="136" spans="1:2" x14ac:dyDescent="0.25">
      <c r="A136" s="23" t="e">
        <f>#REF!&amp;"_"&amp;#REF!</f>
        <v>#REF!</v>
      </c>
      <c r="B136">
        <f>ROW()</f>
        <v>136</v>
      </c>
    </row>
    <row r="137" spans="1:2" x14ac:dyDescent="0.25">
      <c r="A137" s="23" t="e">
        <f>#REF!&amp;"_"&amp;#REF!</f>
        <v>#REF!</v>
      </c>
      <c r="B137">
        <f>ROW()</f>
        <v>137</v>
      </c>
    </row>
    <row r="138" spans="1:2" x14ac:dyDescent="0.25">
      <c r="A138" s="23" t="e">
        <f>#REF!&amp;"_"&amp;#REF!</f>
        <v>#REF!</v>
      </c>
      <c r="B138">
        <f>ROW()</f>
        <v>138</v>
      </c>
    </row>
    <row r="139" spans="1:2" x14ac:dyDescent="0.25">
      <c r="A139" s="23" t="e">
        <f>#REF!&amp;"_"&amp;#REF!</f>
        <v>#REF!</v>
      </c>
      <c r="B139">
        <f>ROW()</f>
        <v>139</v>
      </c>
    </row>
    <row r="140" spans="1:2" x14ac:dyDescent="0.25">
      <c r="A140" s="23" t="e">
        <f>#REF!&amp;"_"&amp;#REF!</f>
        <v>#REF!</v>
      </c>
      <c r="B140">
        <f>ROW()</f>
        <v>140</v>
      </c>
    </row>
    <row r="141" spans="1:2" x14ac:dyDescent="0.25">
      <c r="A141" s="23" t="e">
        <f>#REF!&amp;"_"&amp;#REF!</f>
        <v>#REF!</v>
      </c>
      <c r="B141">
        <f>ROW()</f>
        <v>141</v>
      </c>
    </row>
    <row r="142" spans="1:2" x14ac:dyDescent="0.25">
      <c r="A142" s="23" t="e">
        <f>#REF!&amp;"_"&amp;#REF!</f>
        <v>#REF!</v>
      </c>
      <c r="B142">
        <f>ROW()</f>
        <v>142</v>
      </c>
    </row>
    <row r="143" spans="1:2" x14ac:dyDescent="0.25">
      <c r="A143" s="23" t="e">
        <f>#REF!&amp;"_"&amp;#REF!</f>
        <v>#REF!</v>
      </c>
      <c r="B143">
        <f>ROW()</f>
        <v>143</v>
      </c>
    </row>
    <row r="144" spans="1:2" x14ac:dyDescent="0.25">
      <c r="A144" s="23" t="e">
        <f>#REF!&amp;"_"&amp;#REF!</f>
        <v>#REF!</v>
      </c>
      <c r="B144">
        <f>ROW()</f>
        <v>144</v>
      </c>
    </row>
    <row r="145" spans="1:2" x14ac:dyDescent="0.25">
      <c r="A145" s="23" t="e">
        <f>#REF!&amp;"_"&amp;#REF!</f>
        <v>#REF!</v>
      </c>
      <c r="B145">
        <f>ROW()</f>
        <v>145</v>
      </c>
    </row>
    <row r="146" spans="1:2" x14ac:dyDescent="0.25">
      <c r="A146" s="23" t="e">
        <f>#REF!&amp;"_"&amp;#REF!</f>
        <v>#REF!</v>
      </c>
      <c r="B146">
        <f>ROW()</f>
        <v>146</v>
      </c>
    </row>
    <row r="147" spans="1:2" x14ac:dyDescent="0.25">
      <c r="A147" s="23" t="e">
        <f>#REF!&amp;"_"&amp;#REF!</f>
        <v>#REF!</v>
      </c>
      <c r="B147">
        <f>ROW()</f>
        <v>147</v>
      </c>
    </row>
    <row r="148" spans="1:2" x14ac:dyDescent="0.25">
      <c r="A148" s="23" t="e">
        <f>#REF!&amp;"_"&amp;#REF!</f>
        <v>#REF!</v>
      </c>
      <c r="B148">
        <f>ROW()</f>
        <v>148</v>
      </c>
    </row>
    <row r="149" spans="1:2" x14ac:dyDescent="0.25">
      <c r="A149" s="23" t="e">
        <f>#REF!&amp;"_"&amp;#REF!</f>
        <v>#REF!</v>
      </c>
      <c r="B149">
        <f>ROW()</f>
        <v>149</v>
      </c>
    </row>
    <row r="150" spans="1:2" x14ac:dyDescent="0.25">
      <c r="A150" s="23" t="e">
        <f>#REF!&amp;"_"&amp;#REF!</f>
        <v>#REF!</v>
      </c>
      <c r="B150">
        <f>ROW()</f>
        <v>150</v>
      </c>
    </row>
    <row r="151" spans="1:2" x14ac:dyDescent="0.25">
      <c r="A151" s="23" t="e">
        <f>#REF!&amp;"_"&amp;#REF!</f>
        <v>#REF!</v>
      </c>
      <c r="B151">
        <f>ROW()</f>
        <v>151</v>
      </c>
    </row>
    <row r="152" spans="1:2" x14ac:dyDescent="0.25">
      <c r="A152" s="23" t="e">
        <f>#REF!&amp;"_"&amp;#REF!</f>
        <v>#REF!</v>
      </c>
      <c r="B152">
        <f>ROW()</f>
        <v>152</v>
      </c>
    </row>
    <row r="153" spans="1:2" x14ac:dyDescent="0.25">
      <c r="A153" s="23" t="e">
        <f>#REF!&amp;"_"&amp;#REF!</f>
        <v>#REF!</v>
      </c>
      <c r="B153">
        <f>ROW()</f>
        <v>153</v>
      </c>
    </row>
    <row r="154" spans="1:2" x14ac:dyDescent="0.25">
      <c r="A154" s="23" t="e">
        <f>#REF!&amp;"_"&amp;#REF!</f>
        <v>#REF!</v>
      </c>
      <c r="B154">
        <f>ROW()</f>
        <v>154</v>
      </c>
    </row>
    <row r="155" spans="1:2" x14ac:dyDescent="0.25">
      <c r="A155" s="23" t="e">
        <f>#REF!&amp;"_"&amp;#REF!</f>
        <v>#REF!</v>
      </c>
      <c r="B155">
        <f>ROW()</f>
        <v>155</v>
      </c>
    </row>
    <row r="156" spans="1:2" x14ac:dyDescent="0.25">
      <c r="A156" s="23" t="e">
        <f>#REF!&amp;"_"&amp;#REF!</f>
        <v>#REF!</v>
      </c>
      <c r="B156">
        <f>ROW()</f>
        <v>156</v>
      </c>
    </row>
    <row r="157" spans="1:2" x14ac:dyDescent="0.25">
      <c r="A157" s="23" t="e">
        <f>#REF!&amp;"_"&amp;#REF!</f>
        <v>#REF!</v>
      </c>
      <c r="B157">
        <f>ROW()</f>
        <v>157</v>
      </c>
    </row>
    <row r="158" spans="1:2" x14ac:dyDescent="0.25">
      <c r="A158" s="23" t="e">
        <f>#REF!&amp;"_"&amp;#REF!</f>
        <v>#REF!</v>
      </c>
      <c r="B158">
        <f>ROW()</f>
        <v>158</v>
      </c>
    </row>
    <row r="159" spans="1:2" x14ac:dyDescent="0.25">
      <c r="A159" s="23" t="e">
        <f>#REF!&amp;"_"&amp;#REF!</f>
        <v>#REF!</v>
      </c>
      <c r="B159">
        <f>ROW()</f>
        <v>159</v>
      </c>
    </row>
    <row r="160" spans="1:2" x14ac:dyDescent="0.25">
      <c r="A160" s="23" t="e">
        <f>#REF!&amp;"_"&amp;#REF!</f>
        <v>#REF!</v>
      </c>
      <c r="B160">
        <f>ROW()</f>
        <v>160</v>
      </c>
    </row>
    <row r="161" spans="1:2" x14ac:dyDescent="0.25">
      <c r="A161" s="23" t="e">
        <f>#REF!&amp;"_"&amp;#REF!</f>
        <v>#REF!</v>
      </c>
      <c r="B161">
        <f>ROW()</f>
        <v>161</v>
      </c>
    </row>
    <row r="162" spans="1:2" x14ac:dyDescent="0.25">
      <c r="A162" s="23" t="e">
        <f>#REF!&amp;"_"&amp;#REF!</f>
        <v>#REF!</v>
      </c>
      <c r="B162">
        <f>ROW()</f>
        <v>162</v>
      </c>
    </row>
    <row r="163" spans="1:2" x14ac:dyDescent="0.25">
      <c r="A163" s="23" t="e">
        <f>#REF!&amp;"_"&amp;#REF!</f>
        <v>#REF!</v>
      </c>
      <c r="B163">
        <f>ROW()</f>
        <v>163</v>
      </c>
    </row>
    <row r="164" spans="1:2" x14ac:dyDescent="0.25">
      <c r="A164" s="23" t="e">
        <f>#REF!&amp;"_"&amp;#REF!</f>
        <v>#REF!</v>
      </c>
      <c r="B164">
        <f>ROW()</f>
        <v>164</v>
      </c>
    </row>
    <row r="165" spans="1:2" x14ac:dyDescent="0.25">
      <c r="A165" s="23" t="e">
        <f>#REF!&amp;"_"&amp;#REF!</f>
        <v>#REF!</v>
      </c>
      <c r="B165">
        <f>ROW()</f>
        <v>165</v>
      </c>
    </row>
    <row r="166" spans="1:2" x14ac:dyDescent="0.25">
      <c r="A166" s="23" t="e">
        <f>#REF!&amp;"_"&amp;#REF!</f>
        <v>#REF!</v>
      </c>
      <c r="B166">
        <f>ROW()</f>
        <v>166</v>
      </c>
    </row>
    <row r="167" spans="1:2" x14ac:dyDescent="0.25">
      <c r="A167" s="23" t="e">
        <f>#REF!&amp;"_"&amp;#REF!</f>
        <v>#REF!</v>
      </c>
      <c r="B167">
        <f>ROW()</f>
        <v>167</v>
      </c>
    </row>
    <row r="168" spans="1:2" x14ac:dyDescent="0.25">
      <c r="A168" s="23" t="e">
        <f>#REF!&amp;"_"&amp;#REF!</f>
        <v>#REF!</v>
      </c>
      <c r="B168">
        <f>ROW()</f>
        <v>168</v>
      </c>
    </row>
    <row r="169" spans="1:2" x14ac:dyDescent="0.25">
      <c r="A169" s="23" t="e">
        <f>#REF!&amp;"_"&amp;#REF!</f>
        <v>#REF!</v>
      </c>
      <c r="B169">
        <f>ROW()</f>
        <v>169</v>
      </c>
    </row>
    <row r="170" spans="1:2" x14ac:dyDescent="0.25">
      <c r="A170" s="23" t="e">
        <f>#REF!&amp;"_"&amp;#REF!</f>
        <v>#REF!</v>
      </c>
      <c r="B170">
        <f>ROW()</f>
        <v>170</v>
      </c>
    </row>
    <row r="171" spans="1:2" x14ac:dyDescent="0.25">
      <c r="A171" s="23" t="e">
        <f>#REF!&amp;"_"&amp;#REF!</f>
        <v>#REF!</v>
      </c>
      <c r="B171">
        <f>ROW()</f>
        <v>171</v>
      </c>
    </row>
    <row r="172" spans="1:2" x14ac:dyDescent="0.25">
      <c r="A172" s="23" t="e">
        <f>#REF!&amp;"_"&amp;#REF!</f>
        <v>#REF!</v>
      </c>
      <c r="B172">
        <f>ROW()</f>
        <v>172</v>
      </c>
    </row>
    <row r="173" spans="1:2" x14ac:dyDescent="0.25">
      <c r="A173" s="23" t="e">
        <f>#REF!&amp;"_"&amp;#REF!</f>
        <v>#REF!</v>
      </c>
      <c r="B173">
        <f>ROW()</f>
        <v>173</v>
      </c>
    </row>
    <row r="174" spans="1:2" x14ac:dyDescent="0.25">
      <c r="A174" s="23" t="e">
        <f>#REF!&amp;"_"&amp;#REF!</f>
        <v>#REF!</v>
      </c>
      <c r="B174">
        <f>ROW()</f>
        <v>174</v>
      </c>
    </row>
    <row r="175" spans="1:2" x14ac:dyDescent="0.25">
      <c r="A175" s="23" t="e">
        <f>#REF!&amp;"_"&amp;#REF!</f>
        <v>#REF!</v>
      </c>
      <c r="B175">
        <f>ROW()</f>
        <v>175</v>
      </c>
    </row>
    <row r="176" spans="1:2" x14ac:dyDescent="0.25">
      <c r="A176" s="23" t="e">
        <f>#REF!&amp;"_"&amp;#REF!</f>
        <v>#REF!</v>
      </c>
      <c r="B176">
        <f>ROW()</f>
        <v>176</v>
      </c>
    </row>
    <row r="177" spans="1:2" x14ac:dyDescent="0.25">
      <c r="A177" s="23" t="e">
        <f>#REF!&amp;"_"&amp;#REF!</f>
        <v>#REF!</v>
      </c>
      <c r="B177">
        <f>ROW()</f>
        <v>177</v>
      </c>
    </row>
    <row r="178" spans="1:2" x14ac:dyDescent="0.25">
      <c r="A178" s="23" t="e">
        <f>#REF!&amp;"_"&amp;#REF!</f>
        <v>#REF!</v>
      </c>
      <c r="B178">
        <f>ROW()</f>
        <v>178</v>
      </c>
    </row>
    <row r="179" spans="1:2" x14ac:dyDescent="0.25">
      <c r="A179" s="23" t="e">
        <f>#REF!&amp;"_"&amp;#REF!</f>
        <v>#REF!</v>
      </c>
      <c r="B179">
        <f>ROW()</f>
        <v>179</v>
      </c>
    </row>
    <row r="180" spans="1:2" x14ac:dyDescent="0.25">
      <c r="A180" s="23" t="e">
        <f>#REF!&amp;"_"&amp;#REF!</f>
        <v>#REF!</v>
      </c>
      <c r="B180">
        <f>ROW()</f>
        <v>180</v>
      </c>
    </row>
    <row r="181" spans="1:2" x14ac:dyDescent="0.25">
      <c r="A181" s="23" t="e">
        <f>#REF!&amp;"_"&amp;#REF!</f>
        <v>#REF!</v>
      </c>
      <c r="B181">
        <f>ROW()</f>
        <v>181</v>
      </c>
    </row>
    <row r="182" spans="1:2" x14ac:dyDescent="0.25">
      <c r="A182" s="23" t="e">
        <f>#REF!&amp;"_"&amp;#REF!</f>
        <v>#REF!</v>
      </c>
      <c r="B182">
        <f>ROW()</f>
        <v>182</v>
      </c>
    </row>
    <row r="183" spans="1:2" x14ac:dyDescent="0.25">
      <c r="A183" s="23" t="e">
        <f>#REF!&amp;"_"&amp;#REF!</f>
        <v>#REF!</v>
      </c>
      <c r="B183">
        <f>ROW()</f>
        <v>183</v>
      </c>
    </row>
    <row r="184" spans="1:2" x14ac:dyDescent="0.25">
      <c r="A184" s="23" t="e">
        <f>#REF!&amp;"_"&amp;#REF!</f>
        <v>#REF!</v>
      </c>
      <c r="B184">
        <f>ROW()</f>
        <v>184</v>
      </c>
    </row>
    <row r="185" spans="1:2" x14ac:dyDescent="0.25">
      <c r="A185" s="23" t="e">
        <f>#REF!&amp;"_"&amp;#REF!</f>
        <v>#REF!</v>
      </c>
      <c r="B185">
        <f>ROW()</f>
        <v>185</v>
      </c>
    </row>
    <row r="186" spans="1:2" x14ac:dyDescent="0.25">
      <c r="A186" s="23" t="e">
        <f>#REF!&amp;"_"&amp;#REF!</f>
        <v>#REF!</v>
      </c>
      <c r="B186">
        <f>ROW()</f>
        <v>186</v>
      </c>
    </row>
    <row r="187" spans="1:2" x14ac:dyDescent="0.25">
      <c r="A187" s="23" t="e">
        <f>#REF!&amp;"_"&amp;#REF!</f>
        <v>#REF!</v>
      </c>
      <c r="B187">
        <f>ROW()</f>
        <v>187</v>
      </c>
    </row>
    <row r="188" spans="1:2" x14ac:dyDescent="0.25">
      <c r="A188" s="23" t="e">
        <f>#REF!&amp;"_"&amp;#REF!</f>
        <v>#REF!</v>
      </c>
      <c r="B188">
        <f>ROW()</f>
        <v>188</v>
      </c>
    </row>
    <row r="189" spans="1:2" x14ac:dyDescent="0.25">
      <c r="A189" s="23" t="e">
        <f>#REF!&amp;"_"&amp;#REF!</f>
        <v>#REF!</v>
      </c>
      <c r="B189">
        <f>ROW()</f>
        <v>189</v>
      </c>
    </row>
    <row r="190" spans="1:2" x14ac:dyDescent="0.25">
      <c r="A190" s="23" t="e">
        <f>#REF!&amp;"_"&amp;#REF!</f>
        <v>#REF!</v>
      </c>
      <c r="B190">
        <f>ROW()</f>
        <v>190</v>
      </c>
    </row>
    <row r="191" spans="1:2" x14ac:dyDescent="0.25">
      <c r="A191" s="23" t="e">
        <f>#REF!&amp;"_"&amp;#REF!</f>
        <v>#REF!</v>
      </c>
      <c r="B191">
        <f>ROW()</f>
        <v>191</v>
      </c>
    </row>
    <row r="192" spans="1:2" x14ac:dyDescent="0.25">
      <c r="A192" s="23" t="e">
        <f>#REF!&amp;"_"&amp;#REF!</f>
        <v>#REF!</v>
      </c>
      <c r="B192">
        <f>ROW()</f>
        <v>192</v>
      </c>
    </row>
    <row r="193" spans="1:2" x14ac:dyDescent="0.25">
      <c r="A193" s="23" t="e">
        <f>#REF!&amp;"_"&amp;#REF!</f>
        <v>#REF!</v>
      </c>
      <c r="B193">
        <f>ROW()</f>
        <v>193</v>
      </c>
    </row>
    <row r="194" spans="1:2" x14ac:dyDescent="0.25">
      <c r="A194" s="23" t="e">
        <f>#REF!&amp;"_"&amp;#REF!</f>
        <v>#REF!</v>
      </c>
      <c r="B194">
        <f>ROW()</f>
        <v>194</v>
      </c>
    </row>
    <row r="195" spans="1:2" x14ac:dyDescent="0.25">
      <c r="A195" s="23" t="e">
        <f>#REF!&amp;"_"&amp;#REF!</f>
        <v>#REF!</v>
      </c>
      <c r="B195">
        <f>ROW()</f>
        <v>195</v>
      </c>
    </row>
    <row r="196" spans="1:2" x14ac:dyDescent="0.25">
      <c r="A196" s="23" t="e">
        <f>#REF!&amp;"_"&amp;#REF!</f>
        <v>#REF!</v>
      </c>
      <c r="B196">
        <f>ROW()</f>
        <v>196</v>
      </c>
    </row>
    <row r="197" spans="1:2" x14ac:dyDescent="0.25">
      <c r="A197" s="23" t="e">
        <f>#REF!&amp;"_"&amp;#REF!</f>
        <v>#REF!</v>
      </c>
      <c r="B197">
        <f>ROW()</f>
        <v>197</v>
      </c>
    </row>
    <row r="198" spans="1:2" x14ac:dyDescent="0.25">
      <c r="A198" s="23" t="e">
        <f>#REF!&amp;"_"&amp;#REF!</f>
        <v>#REF!</v>
      </c>
      <c r="B198">
        <f>ROW()</f>
        <v>198</v>
      </c>
    </row>
    <row r="199" spans="1:2" x14ac:dyDescent="0.25">
      <c r="A199" s="23" t="e">
        <f>#REF!&amp;"_"&amp;#REF!</f>
        <v>#REF!</v>
      </c>
      <c r="B199">
        <f>ROW()</f>
        <v>199</v>
      </c>
    </row>
    <row r="200" spans="1:2" x14ac:dyDescent="0.25">
      <c r="A200" s="23" t="e">
        <f>#REF!&amp;"_"&amp;#REF!</f>
        <v>#REF!</v>
      </c>
      <c r="B200">
        <f>ROW()</f>
        <v>200</v>
      </c>
    </row>
    <row r="201" spans="1:2" x14ac:dyDescent="0.25">
      <c r="A201" s="23" t="e">
        <f>#REF!&amp;"_"&amp;#REF!</f>
        <v>#REF!</v>
      </c>
      <c r="B201">
        <f>ROW()</f>
        <v>201</v>
      </c>
    </row>
    <row r="202" spans="1:2" x14ac:dyDescent="0.25">
      <c r="A202" s="23" t="e">
        <f>#REF!&amp;"_"&amp;#REF!</f>
        <v>#REF!</v>
      </c>
      <c r="B202">
        <f>ROW()</f>
        <v>202</v>
      </c>
    </row>
    <row r="203" spans="1:2" x14ac:dyDescent="0.25">
      <c r="A203" s="23" t="e">
        <f>#REF!&amp;"_"&amp;#REF!</f>
        <v>#REF!</v>
      </c>
      <c r="B203">
        <f>ROW()</f>
        <v>203</v>
      </c>
    </row>
    <row r="204" spans="1:2" x14ac:dyDescent="0.25">
      <c r="A204" s="23" t="e">
        <f>#REF!&amp;"_"&amp;#REF!</f>
        <v>#REF!</v>
      </c>
      <c r="B204">
        <f>ROW()</f>
        <v>204</v>
      </c>
    </row>
    <row r="205" spans="1:2" x14ac:dyDescent="0.25">
      <c r="A205" s="23" t="e">
        <f>#REF!&amp;"_"&amp;#REF!</f>
        <v>#REF!</v>
      </c>
      <c r="B205">
        <f>ROW()</f>
        <v>205</v>
      </c>
    </row>
    <row r="206" spans="1:2" x14ac:dyDescent="0.25">
      <c r="A206" s="23" t="e">
        <f>#REF!&amp;"_"&amp;#REF!</f>
        <v>#REF!</v>
      </c>
      <c r="B206">
        <f>ROW()</f>
        <v>206</v>
      </c>
    </row>
    <row r="207" spans="1:2" x14ac:dyDescent="0.25">
      <c r="A207" s="23" t="e">
        <f>#REF!&amp;"_"&amp;#REF!</f>
        <v>#REF!</v>
      </c>
      <c r="B207">
        <f>ROW()</f>
        <v>207</v>
      </c>
    </row>
    <row r="208" spans="1:2" x14ac:dyDescent="0.25">
      <c r="A208" s="23" t="e">
        <f>#REF!&amp;"_"&amp;#REF!</f>
        <v>#REF!</v>
      </c>
      <c r="B208">
        <f>ROW()</f>
        <v>208</v>
      </c>
    </row>
    <row r="209" spans="1:2" x14ac:dyDescent="0.25">
      <c r="A209" s="23" t="e">
        <f>#REF!&amp;"_"&amp;#REF!</f>
        <v>#REF!</v>
      </c>
      <c r="B209">
        <f>ROW()</f>
        <v>209</v>
      </c>
    </row>
    <row r="210" spans="1:2" x14ac:dyDescent="0.25">
      <c r="A210" s="23" t="e">
        <f>#REF!&amp;"_"&amp;#REF!</f>
        <v>#REF!</v>
      </c>
      <c r="B210">
        <f>ROW()</f>
        <v>210</v>
      </c>
    </row>
    <row r="211" spans="1:2" x14ac:dyDescent="0.25">
      <c r="A211" s="23" t="e">
        <f>#REF!&amp;"_"&amp;#REF!</f>
        <v>#REF!</v>
      </c>
      <c r="B211">
        <f>ROW()</f>
        <v>211</v>
      </c>
    </row>
    <row r="212" spans="1:2" x14ac:dyDescent="0.25">
      <c r="A212" s="23" t="e">
        <f>#REF!&amp;"_"&amp;#REF!</f>
        <v>#REF!</v>
      </c>
      <c r="B212">
        <f>ROW()</f>
        <v>212</v>
      </c>
    </row>
    <row r="213" spans="1:2" x14ac:dyDescent="0.25">
      <c r="A213" s="23" t="e">
        <f>#REF!&amp;"_"&amp;#REF!</f>
        <v>#REF!</v>
      </c>
      <c r="B213">
        <f>ROW()</f>
        <v>213</v>
      </c>
    </row>
    <row r="214" spans="1:2" x14ac:dyDescent="0.25">
      <c r="A214" s="23" t="e">
        <f>#REF!&amp;"_"&amp;#REF!</f>
        <v>#REF!</v>
      </c>
      <c r="B214">
        <f>ROW()</f>
        <v>214</v>
      </c>
    </row>
    <row r="215" spans="1:2" x14ac:dyDescent="0.25">
      <c r="A215" s="23" t="e">
        <f>#REF!&amp;"_"&amp;#REF!</f>
        <v>#REF!</v>
      </c>
      <c r="B215">
        <f>ROW()</f>
        <v>215</v>
      </c>
    </row>
    <row r="216" spans="1:2" x14ac:dyDescent="0.25">
      <c r="A216" s="23" t="e">
        <f>#REF!&amp;"_"&amp;#REF!</f>
        <v>#REF!</v>
      </c>
      <c r="B216">
        <f>ROW()</f>
        <v>216</v>
      </c>
    </row>
    <row r="217" spans="1:2" x14ac:dyDescent="0.25">
      <c r="A217" s="23" t="e">
        <f>#REF!&amp;"_"&amp;#REF!</f>
        <v>#REF!</v>
      </c>
      <c r="B217">
        <f>ROW()</f>
        <v>217</v>
      </c>
    </row>
    <row r="218" spans="1:2" x14ac:dyDescent="0.25">
      <c r="A218" s="23" t="e">
        <f>#REF!&amp;"_"&amp;#REF!</f>
        <v>#REF!</v>
      </c>
      <c r="B218">
        <f>ROW()</f>
        <v>218</v>
      </c>
    </row>
    <row r="219" spans="1:2" x14ac:dyDescent="0.25">
      <c r="A219" s="23" t="e">
        <f>#REF!&amp;"_"&amp;#REF!</f>
        <v>#REF!</v>
      </c>
      <c r="B219">
        <f>ROW()</f>
        <v>219</v>
      </c>
    </row>
    <row r="220" spans="1:2" x14ac:dyDescent="0.25">
      <c r="A220" s="23" t="e">
        <f>#REF!&amp;"_"&amp;#REF!</f>
        <v>#REF!</v>
      </c>
      <c r="B220">
        <f>ROW()</f>
        <v>220</v>
      </c>
    </row>
    <row r="221" spans="1:2" x14ac:dyDescent="0.25">
      <c r="A221" s="23" t="e">
        <f>#REF!&amp;"_"&amp;#REF!</f>
        <v>#REF!</v>
      </c>
      <c r="B221">
        <f>ROW()</f>
        <v>221</v>
      </c>
    </row>
    <row r="222" spans="1:2" x14ac:dyDescent="0.25">
      <c r="A222" s="23" t="e">
        <f>#REF!&amp;"_"&amp;#REF!</f>
        <v>#REF!</v>
      </c>
      <c r="B222">
        <f>ROW()</f>
        <v>222</v>
      </c>
    </row>
    <row r="223" spans="1:2" x14ac:dyDescent="0.25">
      <c r="A223" s="23" t="e">
        <f>#REF!&amp;"_"&amp;#REF!</f>
        <v>#REF!</v>
      </c>
      <c r="B223">
        <f>ROW()</f>
        <v>223</v>
      </c>
    </row>
    <row r="224" spans="1:2" x14ac:dyDescent="0.25">
      <c r="A224" s="23" t="e">
        <f>#REF!&amp;"_"&amp;#REF!</f>
        <v>#REF!</v>
      </c>
      <c r="B224">
        <f>ROW()</f>
        <v>224</v>
      </c>
    </row>
    <row r="225" spans="1:2" x14ac:dyDescent="0.25">
      <c r="A225" s="23" t="e">
        <f>#REF!&amp;"_"&amp;#REF!</f>
        <v>#REF!</v>
      </c>
      <c r="B225">
        <f>ROW()</f>
        <v>225</v>
      </c>
    </row>
    <row r="226" spans="1:2" x14ac:dyDescent="0.25">
      <c r="A226" s="23" t="e">
        <f>#REF!&amp;"_"&amp;#REF!</f>
        <v>#REF!</v>
      </c>
      <c r="B226">
        <f>ROW()</f>
        <v>226</v>
      </c>
    </row>
    <row r="227" spans="1:2" x14ac:dyDescent="0.25">
      <c r="A227" s="23" t="e">
        <f>#REF!&amp;"_"&amp;#REF!</f>
        <v>#REF!</v>
      </c>
      <c r="B227">
        <f>ROW()</f>
        <v>227</v>
      </c>
    </row>
    <row r="228" spans="1:2" x14ac:dyDescent="0.25">
      <c r="A228" s="23" t="e">
        <f>#REF!&amp;"_"&amp;#REF!</f>
        <v>#REF!</v>
      </c>
      <c r="B228">
        <f>ROW()</f>
        <v>228</v>
      </c>
    </row>
    <row r="229" spans="1:2" x14ac:dyDescent="0.25">
      <c r="A229" s="23" t="e">
        <f>#REF!&amp;"_"&amp;#REF!</f>
        <v>#REF!</v>
      </c>
      <c r="B229">
        <f>ROW()</f>
        <v>229</v>
      </c>
    </row>
    <row r="230" spans="1:2" x14ac:dyDescent="0.25">
      <c r="A230" s="23" t="e">
        <f>#REF!&amp;"_"&amp;#REF!</f>
        <v>#REF!</v>
      </c>
      <c r="B230">
        <f>ROW()</f>
        <v>230</v>
      </c>
    </row>
    <row r="231" spans="1:2" x14ac:dyDescent="0.25">
      <c r="A231" s="23" t="e">
        <f>#REF!&amp;"_"&amp;#REF!</f>
        <v>#REF!</v>
      </c>
      <c r="B231">
        <f>ROW()</f>
        <v>231</v>
      </c>
    </row>
    <row r="232" spans="1:2" x14ac:dyDescent="0.25">
      <c r="A232" s="23" t="e">
        <f>#REF!&amp;"_"&amp;#REF!</f>
        <v>#REF!</v>
      </c>
      <c r="B232">
        <f>ROW()</f>
        <v>232</v>
      </c>
    </row>
    <row r="233" spans="1:2" x14ac:dyDescent="0.25">
      <c r="A233" s="23" t="e">
        <f>#REF!&amp;"_"&amp;#REF!</f>
        <v>#REF!</v>
      </c>
      <c r="B233">
        <f>ROW()</f>
        <v>233</v>
      </c>
    </row>
    <row r="234" spans="1:2" x14ac:dyDescent="0.25">
      <c r="A234" s="23" t="e">
        <f>#REF!&amp;"_"&amp;#REF!</f>
        <v>#REF!</v>
      </c>
      <c r="B234">
        <f>ROW()</f>
        <v>234</v>
      </c>
    </row>
    <row r="235" spans="1:2" x14ac:dyDescent="0.25">
      <c r="A235" s="23" t="e">
        <f>#REF!&amp;"_"&amp;#REF!</f>
        <v>#REF!</v>
      </c>
      <c r="B235">
        <f>ROW()</f>
        <v>235</v>
      </c>
    </row>
    <row r="236" spans="1:2" x14ac:dyDescent="0.25">
      <c r="A236" s="23" t="e">
        <f>#REF!&amp;"_"&amp;#REF!</f>
        <v>#REF!</v>
      </c>
      <c r="B236">
        <f>ROW()</f>
        <v>236</v>
      </c>
    </row>
    <row r="237" spans="1:2" x14ac:dyDescent="0.25">
      <c r="A237" s="23" t="e">
        <f>#REF!&amp;"_"&amp;#REF!</f>
        <v>#REF!</v>
      </c>
      <c r="B237">
        <f>ROW()</f>
        <v>237</v>
      </c>
    </row>
    <row r="238" spans="1:2" x14ac:dyDescent="0.25">
      <c r="A238" s="23" t="e">
        <f>#REF!&amp;"_"&amp;#REF!</f>
        <v>#REF!</v>
      </c>
      <c r="B238">
        <f>ROW()</f>
        <v>238</v>
      </c>
    </row>
    <row r="239" spans="1:2" x14ac:dyDescent="0.25">
      <c r="A239" s="23" t="e">
        <f>#REF!&amp;"_"&amp;#REF!</f>
        <v>#REF!</v>
      </c>
      <c r="B239">
        <f>ROW()</f>
        <v>239</v>
      </c>
    </row>
    <row r="240" spans="1:2" x14ac:dyDescent="0.25">
      <c r="A240" s="23" t="e">
        <f>#REF!&amp;"_"&amp;#REF!</f>
        <v>#REF!</v>
      </c>
      <c r="B240">
        <f>ROW()</f>
        <v>240</v>
      </c>
    </row>
    <row r="241" spans="1:2" x14ac:dyDescent="0.25">
      <c r="A241" s="23" t="e">
        <f>#REF!&amp;"_"&amp;#REF!</f>
        <v>#REF!</v>
      </c>
      <c r="B241">
        <f>ROW()</f>
        <v>241</v>
      </c>
    </row>
    <row r="242" spans="1:2" x14ac:dyDescent="0.25">
      <c r="A242" s="23" t="e">
        <f>#REF!&amp;"_"&amp;#REF!</f>
        <v>#REF!</v>
      </c>
      <c r="B242">
        <f>ROW()</f>
        <v>242</v>
      </c>
    </row>
    <row r="243" spans="1:2" x14ac:dyDescent="0.25">
      <c r="A243" s="23" t="e">
        <f>#REF!&amp;"_"&amp;#REF!</f>
        <v>#REF!</v>
      </c>
      <c r="B243">
        <f>ROW()</f>
        <v>243</v>
      </c>
    </row>
    <row r="244" spans="1:2" x14ac:dyDescent="0.25">
      <c r="A244" s="23" t="e">
        <f>#REF!&amp;"_"&amp;#REF!</f>
        <v>#REF!</v>
      </c>
      <c r="B244">
        <f>ROW()</f>
        <v>244</v>
      </c>
    </row>
    <row r="245" spans="1:2" x14ac:dyDescent="0.25">
      <c r="A245" s="23" t="e">
        <f>#REF!&amp;"_"&amp;#REF!</f>
        <v>#REF!</v>
      </c>
      <c r="B245">
        <f>ROW()</f>
        <v>245</v>
      </c>
    </row>
    <row r="246" spans="1:2" x14ac:dyDescent="0.25">
      <c r="A246" s="23" t="e">
        <f>#REF!&amp;"_"&amp;#REF!</f>
        <v>#REF!</v>
      </c>
      <c r="B246">
        <f>ROW()</f>
        <v>246</v>
      </c>
    </row>
    <row r="247" spans="1:2" x14ac:dyDescent="0.25">
      <c r="A247" s="23" t="e">
        <f>#REF!&amp;"_"&amp;#REF!</f>
        <v>#REF!</v>
      </c>
      <c r="B247">
        <f>ROW()</f>
        <v>247</v>
      </c>
    </row>
    <row r="248" spans="1:2" x14ac:dyDescent="0.25">
      <c r="A248" s="23" t="e">
        <f>#REF!&amp;"_"&amp;#REF!</f>
        <v>#REF!</v>
      </c>
      <c r="B248">
        <f>ROW()</f>
        <v>248</v>
      </c>
    </row>
    <row r="249" spans="1:2" x14ac:dyDescent="0.25">
      <c r="A249" s="23" t="e">
        <f>#REF!&amp;"_"&amp;#REF!</f>
        <v>#REF!</v>
      </c>
      <c r="B249">
        <f>ROW()</f>
        <v>249</v>
      </c>
    </row>
    <row r="250" spans="1:2" x14ac:dyDescent="0.25">
      <c r="A250" s="23" t="e">
        <f>#REF!&amp;"_"&amp;#REF!</f>
        <v>#REF!</v>
      </c>
      <c r="B250">
        <f>ROW()</f>
        <v>250</v>
      </c>
    </row>
    <row r="251" spans="1:2" x14ac:dyDescent="0.25">
      <c r="A251" s="23" t="e">
        <f>#REF!&amp;"_"&amp;#REF!</f>
        <v>#REF!</v>
      </c>
      <c r="B251">
        <f>ROW()</f>
        <v>251</v>
      </c>
    </row>
    <row r="252" spans="1:2" x14ac:dyDescent="0.25">
      <c r="A252" s="23" t="e">
        <f>#REF!&amp;"_"&amp;#REF!</f>
        <v>#REF!</v>
      </c>
      <c r="B252">
        <f>ROW()</f>
        <v>252</v>
      </c>
    </row>
    <row r="253" spans="1:2" x14ac:dyDescent="0.25">
      <c r="A253" s="23" t="e">
        <f>#REF!&amp;"_"&amp;#REF!</f>
        <v>#REF!</v>
      </c>
      <c r="B253">
        <f>ROW()</f>
        <v>253</v>
      </c>
    </row>
    <row r="254" spans="1:2" x14ac:dyDescent="0.25">
      <c r="A254" s="23" t="e">
        <f>#REF!&amp;"_"&amp;#REF!</f>
        <v>#REF!</v>
      </c>
      <c r="B254">
        <f>ROW()</f>
        <v>254</v>
      </c>
    </row>
    <row r="255" spans="1:2" x14ac:dyDescent="0.25">
      <c r="A255" s="23" t="e">
        <f>#REF!&amp;"_"&amp;#REF!</f>
        <v>#REF!</v>
      </c>
      <c r="B255">
        <f>ROW()</f>
        <v>255</v>
      </c>
    </row>
    <row r="256" spans="1:2" x14ac:dyDescent="0.25">
      <c r="A256" s="23" t="e">
        <f>#REF!&amp;"_"&amp;#REF!</f>
        <v>#REF!</v>
      </c>
      <c r="B256">
        <f>ROW()</f>
        <v>256</v>
      </c>
    </row>
    <row r="257" spans="1:2" x14ac:dyDescent="0.25">
      <c r="A257" s="23" t="e">
        <f>#REF!&amp;"_"&amp;#REF!</f>
        <v>#REF!</v>
      </c>
      <c r="B257">
        <f>ROW()</f>
        <v>257</v>
      </c>
    </row>
    <row r="258" spans="1:2" x14ac:dyDescent="0.25">
      <c r="A258" s="23" t="e">
        <f>#REF!&amp;"_"&amp;#REF!</f>
        <v>#REF!</v>
      </c>
      <c r="B258">
        <f>ROW()</f>
        <v>258</v>
      </c>
    </row>
    <row r="259" spans="1:2" x14ac:dyDescent="0.25">
      <c r="A259" s="23" t="e">
        <f>#REF!&amp;"_"&amp;#REF!</f>
        <v>#REF!</v>
      </c>
      <c r="B259">
        <f>ROW()</f>
        <v>259</v>
      </c>
    </row>
    <row r="260" spans="1:2" x14ac:dyDescent="0.25">
      <c r="A260" s="23" t="e">
        <f>#REF!&amp;"_"&amp;#REF!</f>
        <v>#REF!</v>
      </c>
      <c r="B260">
        <f>ROW()</f>
        <v>260</v>
      </c>
    </row>
    <row r="261" spans="1:2" x14ac:dyDescent="0.25">
      <c r="A261" s="23" t="e">
        <f>#REF!&amp;"_"&amp;#REF!</f>
        <v>#REF!</v>
      </c>
      <c r="B261">
        <f>ROW()</f>
        <v>261</v>
      </c>
    </row>
    <row r="262" spans="1:2" x14ac:dyDescent="0.25">
      <c r="A262" s="23" t="e">
        <f>#REF!&amp;"_"&amp;#REF!</f>
        <v>#REF!</v>
      </c>
      <c r="B262">
        <f>ROW()</f>
        <v>262</v>
      </c>
    </row>
    <row r="263" spans="1:2" x14ac:dyDescent="0.25">
      <c r="A263" s="23" t="e">
        <f>#REF!&amp;"_"&amp;#REF!</f>
        <v>#REF!</v>
      </c>
      <c r="B263">
        <f>ROW()</f>
        <v>263</v>
      </c>
    </row>
    <row r="264" spans="1:2" x14ac:dyDescent="0.25">
      <c r="A264" s="23" t="e">
        <f>#REF!&amp;"_"&amp;#REF!</f>
        <v>#REF!</v>
      </c>
      <c r="B264">
        <f>ROW()</f>
        <v>264</v>
      </c>
    </row>
    <row r="265" spans="1:2" x14ac:dyDescent="0.25">
      <c r="A265" s="23" t="e">
        <f>#REF!&amp;"_"&amp;#REF!</f>
        <v>#REF!</v>
      </c>
      <c r="B265">
        <f>ROW()</f>
        <v>265</v>
      </c>
    </row>
    <row r="266" spans="1:2" x14ac:dyDescent="0.25">
      <c r="A266" s="23" t="e">
        <f>#REF!&amp;"_"&amp;#REF!</f>
        <v>#REF!</v>
      </c>
      <c r="B266">
        <f>ROW()</f>
        <v>266</v>
      </c>
    </row>
    <row r="267" spans="1:2" x14ac:dyDescent="0.25">
      <c r="A267" s="23" t="e">
        <f>#REF!&amp;"_"&amp;#REF!</f>
        <v>#REF!</v>
      </c>
      <c r="B267">
        <f>ROW()</f>
        <v>267</v>
      </c>
    </row>
    <row r="268" spans="1:2" x14ac:dyDescent="0.25">
      <c r="A268" s="23" t="e">
        <f>#REF!&amp;"_"&amp;#REF!</f>
        <v>#REF!</v>
      </c>
      <c r="B268">
        <f>ROW()</f>
        <v>268</v>
      </c>
    </row>
    <row r="269" spans="1:2" x14ac:dyDescent="0.25">
      <c r="A269" s="23" t="e">
        <f>#REF!&amp;"_"&amp;#REF!</f>
        <v>#REF!</v>
      </c>
      <c r="B269">
        <f>ROW()</f>
        <v>269</v>
      </c>
    </row>
    <row r="270" spans="1:2" x14ac:dyDescent="0.25">
      <c r="A270" s="23" t="e">
        <f>#REF!&amp;"_"&amp;#REF!</f>
        <v>#REF!</v>
      </c>
      <c r="B270">
        <f>ROW()</f>
        <v>270</v>
      </c>
    </row>
    <row r="271" spans="1:2" x14ac:dyDescent="0.25">
      <c r="A271" s="23" t="e">
        <f>#REF!&amp;"_"&amp;#REF!</f>
        <v>#REF!</v>
      </c>
      <c r="B271">
        <f>ROW()</f>
        <v>271</v>
      </c>
    </row>
    <row r="272" spans="1:2" x14ac:dyDescent="0.25">
      <c r="A272" s="23" t="e">
        <f>#REF!&amp;"_"&amp;#REF!</f>
        <v>#REF!</v>
      </c>
      <c r="B272">
        <f>ROW()</f>
        <v>272</v>
      </c>
    </row>
    <row r="273" spans="1:2" x14ac:dyDescent="0.25">
      <c r="A273" s="23" t="e">
        <f>#REF!&amp;"_"&amp;#REF!</f>
        <v>#REF!</v>
      </c>
      <c r="B273">
        <f>ROW()</f>
        <v>273</v>
      </c>
    </row>
    <row r="274" spans="1:2" x14ac:dyDescent="0.25">
      <c r="A274" s="23" t="e">
        <f>#REF!&amp;"_"&amp;#REF!</f>
        <v>#REF!</v>
      </c>
      <c r="B274">
        <f>ROW()</f>
        <v>274</v>
      </c>
    </row>
    <row r="275" spans="1:2" x14ac:dyDescent="0.25">
      <c r="A275" s="23" t="e">
        <f>#REF!&amp;"_"&amp;#REF!</f>
        <v>#REF!</v>
      </c>
      <c r="B275">
        <f>ROW()</f>
        <v>275</v>
      </c>
    </row>
    <row r="276" spans="1:2" x14ac:dyDescent="0.25">
      <c r="A276" s="23" t="e">
        <f>#REF!&amp;"_"&amp;#REF!</f>
        <v>#REF!</v>
      </c>
      <c r="B276">
        <f>ROW()</f>
        <v>276</v>
      </c>
    </row>
    <row r="277" spans="1:2" x14ac:dyDescent="0.25">
      <c r="A277" s="23" t="e">
        <f>#REF!&amp;"_"&amp;#REF!</f>
        <v>#REF!</v>
      </c>
      <c r="B277">
        <f>ROW()</f>
        <v>277</v>
      </c>
    </row>
    <row r="278" spans="1:2" x14ac:dyDescent="0.25">
      <c r="A278" s="23" t="e">
        <f>#REF!&amp;"_"&amp;#REF!</f>
        <v>#REF!</v>
      </c>
      <c r="B278">
        <f>ROW()</f>
        <v>278</v>
      </c>
    </row>
    <row r="279" spans="1:2" x14ac:dyDescent="0.25">
      <c r="A279" s="23" t="e">
        <f>#REF!&amp;"_"&amp;#REF!</f>
        <v>#REF!</v>
      </c>
      <c r="B279">
        <f>ROW()</f>
        <v>279</v>
      </c>
    </row>
    <row r="280" spans="1:2" x14ac:dyDescent="0.25">
      <c r="A280" s="23" t="e">
        <f>#REF!&amp;"_"&amp;#REF!</f>
        <v>#REF!</v>
      </c>
      <c r="B280">
        <f>ROW()</f>
        <v>280</v>
      </c>
    </row>
    <row r="281" spans="1:2" x14ac:dyDescent="0.25">
      <c r="A281" s="23" t="e">
        <f>#REF!&amp;"_"&amp;#REF!</f>
        <v>#REF!</v>
      </c>
      <c r="B281">
        <f>ROW()</f>
        <v>281</v>
      </c>
    </row>
    <row r="282" spans="1:2" x14ac:dyDescent="0.25">
      <c r="A282" s="23" t="e">
        <f>#REF!&amp;"_"&amp;#REF!</f>
        <v>#REF!</v>
      </c>
      <c r="B282">
        <f>ROW()</f>
        <v>282</v>
      </c>
    </row>
    <row r="283" spans="1:2" x14ac:dyDescent="0.25">
      <c r="A283" s="23" t="e">
        <f>#REF!&amp;"_"&amp;#REF!</f>
        <v>#REF!</v>
      </c>
      <c r="B283">
        <f>ROW()</f>
        <v>283</v>
      </c>
    </row>
    <row r="284" spans="1:2" x14ac:dyDescent="0.25">
      <c r="A284" s="23" t="e">
        <f>#REF!&amp;"_"&amp;#REF!</f>
        <v>#REF!</v>
      </c>
      <c r="B284">
        <f>ROW()</f>
        <v>284</v>
      </c>
    </row>
    <row r="285" spans="1:2" x14ac:dyDescent="0.25">
      <c r="A285" s="23" t="e">
        <f>#REF!&amp;"_"&amp;#REF!</f>
        <v>#REF!</v>
      </c>
      <c r="B285">
        <f>ROW()</f>
        <v>285</v>
      </c>
    </row>
    <row r="286" spans="1:2" x14ac:dyDescent="0.25">
      <c r="A286" s="23" t="e">
        <f>#REF!&amp;"_"&amp;#REF!</f>
        <v>#REF!</v>
      </c>
      <c r="B286">
        <f>ROW()</f>
        <v>286</v>
      </c>
    </row>
    <row r="287" spans="1:2" x14ac:dyDescent="0.25">
      <c r="A287" s="23" t="e">
        <f>#REF!&amp;"_"&amp;#REF!</f>
        <v>#REF!</v>
      </c>
      <c r="B287">
        <f>ROW()</f>
        <v>287</v>
      </c>
    </row>
    <row r="288" spans="1:2" x14ac:dyDescent="0.25">
      <c r="A288" s="23" t="e">
        <f>#REF!&amp;"_"&amp;#REF!</f>
        <v>#REF!</v>
      </c>
      <c r="B288">
        <f>ROW()</f>
        <v>288</v>
      </c>
    </row>
    <row r="289" spans="1:2" x14ac:dyDescent="0.25">
      <c r="A289" s="23" t="e">
        <f>#REF!&amp;"_"&amp;#REF!</f>
        <v>#REF!</v>
      </c>
      <c r="B289">
        <f>ROW()</f>
        <v>289</v>
      </c>
    </row>
    <row r="290" spans="1:2" x14ac:dyDescent="0.25">
      <c r="A290" s="23" t="e">
        <f>#REF!&amp;"_"&amp;#REF!</f>
        <v>#REF!</v>
      </c>
      <c r="B290">
        <f>ROW()</f>
        <v>290</v>
      </c>
    </row>
    <row r="291" spans="1:2" x14ac:dyDescent="0.25">
      <c r="A291" s="23" t="e">
        <f>#REF!&amp;"_"&amp;#REF!</f>
        <v>#REF!</v>
      </c>
      <c r="B291">
        <f>ROW()</f>
        <v>291</v>
      </c>
    </row>
    <row r="292" spans="1:2" x14ac:dyDescent="0.25">
      <c r="A292" s="23" t="e">
        <f>#REF!&amp;"_"&amp;#REF!</f>
        <v>#REF!</v>
      </c>
      <c r="B292">
        <f>ROW()</f>
        <v>292</v>
      </c>
    </row>
    <row r="293" spans="1:2" x14ac:dyDescent="0.25">
      <c r="A293" s="23" t="e">
        <f>#REF!&amp;"_"&amp;#REF!</f>
        <v>#REF!</v>
      </c>
      <c r="B293">
        <f>ROW()</f>
        <v>293</v>
      </c>
    </row>
    <row r="294" spans="1:2" x14ac:dyDescent="0.25">
      <c r="A294" s="23" t="e">
        <f>#REF!&amp;"_"&amp;#REF!</f>
        <v>#REF!</v>
      </c>
      <c r="B294">
        <f>ROW()</f>
        <v>294</v>
      </c>
    </row>
    <row r="295" spans="1:2" x14ac:dyDescent="0.25">
      <c r="A295" s="23" t="e">
        <f>#REF!&amp;"_"&amp;#REF!</f>
        <v>#REF!</v>
      </c>
      <c r="B295">
        <f>ROW()</f>
        <v>295</v>
      </c>
    </row>
    <row r="296" spans="1:2" x14ac:dyDescent="0.25">
      <c r="A296" s="23" t="e">
        <f>#REF!&amp;"_"&amp;#REF!</f>
        <v>#REF!</v>
      </c>
      <c r="B296">
        <f>ROW()</f>
        <v>296</v>
      </c>
    </row>
    <row r="297" spans="1:2" x14ac:dyDescent="0.25">
      <c r="A297" s="23" t="e">
        <f>#REF!&amp;"_"&amp;#REF!</f>
        <v>#REF!</v>
      </c>
      <c r="B297">
        <f>ROW()</f>
        <v>297</v>
      </c>
    </row>
    <row r="298" spans="1:2" x14ac:dyDescent="0.25">
      <c r="A298" s="23" t="e">
        <f>#REF!&amp;"_"&amp;#REF!</f>
        <v>#REF!</v>
      </c>
      <c r="B298">
        <f>ROW()</f>
        <v>298</v>
      </c>
    </row>
    <row r="299" spans="1:2" x14ac:dyDescent="0.25">
      <c r="A299" s="23" t="e">
        <f>#REF!&amp;"_"&amp;#REF!</f>
        <v>#REF!</v>
      </c>
      <c r="B299">
        <f>ROW()</f>
        <v>299</v>
      </c>
    </row>
    <row r="300" spans="1:2" x14ac:dyDescent="0.25">
      <c r="A300" s="23" t="e">
        <f>#REF!&amp;"_"&amp;#REF!</f>
        <v>#REF!</v>
      </c>
      <c r="B300">
        <f>ROW()</f>
        <v>300</v>
      </c>
    </row>
    <row r="301" spans="1:2" x14ac:dyDescent="0.25">
      <c r="A301" s="23" t="e">
        <f>#REF!&amp;"_"&amp;#REF!</f>
        <v>#REF!</v>
      </c>
      <c r="B301">
        <f>ROW()</f>
        <v>301</v>
      </c>
    </row>
    <row r="302" spans="1:2" x14ac:dyDescent="0.25">
      <c r="A302" s="23" t="e">
        <f>#REF!&amp;"_"&amp;#REF!</f>
        <v>#REF!</v>
      </c>
      <c r="B302">
        <f>ROW()</f>
        <v>302</v>
      </c>
    </row>
    <row r="303" spans="1:2" x14ac:dyDescent="0.25">
      <c r="A303" s="23" t="e">
        <f>#REF!&amp;"_"&amp;#REF!</f>
        <v>#REF!</v>
      </c>
      <c r="B303">
        <f>ROW()</f>
        <v>303</v>
      </c>
    </row>
    <row r="304" spans="1:2" x14ac:dyDescent="0.25">
      <c r="A304" s="23" t="e">
        <f>#REF!&amp;"_"&amp;#REF!</f>
        <v>#REF!</v>
      </c>
      <c r="B304">
        <f>ROW()</f>
        <v>304</v>
      </c>
    </row>
    <row r="305" spans="1:2" x14ac:dyDescent="0.25">
      <c r="A305" s="23" t="e">
        <f>#REF!&amp;"_"&amp;#REF!</f>
        <v>#REF!</v>
      </c>
      <c r="B305">
        <f>ROW()</f>
        <v>305</v>
      </c>
    </row>
    <row r="306" spans="1:2" x14ac:dyDescent="0.25">
      <c r="A306" s="23" t="e">
        <f>#REF!&amp;"_"&amp;#REF!</f>
        <v>#REF!</v>
      </c>
      <c r="B306">
        <f>ROW()</f>
        <v>306</v>
      </c>
    </row>
    <row r="307" spans="1:2" x14ac:dyDescent="0.25">
      <c r="A307" s="23" t="e">
        <f>#REF!&amp;"_"&amp;#REF!</f>
        <v>#REF!</v>
      </c>
      <c r="B307">
        <f>ROW()</f>
        <v>307</v>
      </c>
    </row>
    <row r="308" spans="1:2" x14ac:dyDescent="0.25">
      <c r="A308" s="23" t="e">
        <f>#REF!&amp;"_"&amp;#REF!</f>
        <v>#REF!</v>
      </c>
      <c r="B308">
        <f>ROW()</f>
        <v>308</v>
      </c>
    </row>
    <row r="309" spans="1:2" x14ac:dyDescent="0.25">
      <c r="A309" s="23" t="e">
        <f>#REF!&amp;"_"&amp;#REF!</f>
        <v>#REF!</v>
      </c>
      <c r="B309">
        <f>ROW()</f>
        <v>309</v>
      </c>
    </row>
    <row r="310" spans="1:2" x14ac:dyDescent="0.25">
      <c r="A310" s="23" t="e">
        <f>#REF!&amp;"_"&amp;#REF!</f>
        <v>#REF!</v>
      </c>
      <c r="B310">
        <f>ROW()</f>
        <v>310</v>
      </c>
    </row>
    <row r="311" spans="1:2" x14ac:dyDescent="0.25">
      <c r="A311" s="23" t="e">
        <f>#REF!&amp;"_"&amp;#REF!</f>
        <v>#REF!</v>
      </c>
      <c r="B311">
        <f>ROW()</f>
        <v>311</v>
      </c>
    </row>
    <row r="312" spans="1:2" x14ac:dyDescent="0.25">
      <c r="A312" s="23" t="e">
        <f>#REF!&amp;"_"&amp;#REF!</f>
        <v>#REF!</v>
      </c>
      <c r="B312">
        <f>ROW()</f>
        <v>312</v>
      </c>
    </row>
    <row r="313" spans="1:2" x14ac:dyDescent="0.25">
      <c r="A313" s="23" t="e">
        <f>#REF!&amp;"_"&amp;#REF!</f>
        <v>#REF!</v>
      </c>
      <c r="B313">
        <f>ROW()</f>
        <v>313</v>
      </c>
    </row>
    <row r="314" spans="1:2" x14ac:dyDescent="0.25">
      <c r="A314" s="23" t="e">
        <f>#REF!&amp;"_"&amp;#REF!</f>
        <v>#REF!</v>
      </c>
      <c r="B314">
        <f>ROW()</f>
        <v>314</v>
      </c>
    </row>
    <row r="315" spans="1:2" x14ac:dyDescent="0.25">
      <c r="A315" s="23" t="e">
        <f>#REF!&amp;"_"&amp;#REF!</f>
        <v>#REF!</v>
      </c>
      <c r="B315">
        <f>ROW()</f>
        <v>315</v>
      </c>
    </row>
    <row r="316" spans="1:2" x14ac:dyDescent="0.25">
      <c r="A316" s="23" t="e">
        <f>#REF!&amp;"_"&amp;#REF!</f>
        <v>#REF!</v>
      </c>
      <c r="B316">
        <f>ROW()</f>
        <v>316</v>
      </c>
    </row>
    <row r="317" spans="1:2" x14ac:dyDescent="0.25">
      <c r="A317" s="23" t="e">
        <f>#REF!&amp;"_"&amp;#REF!</f>
        <v>#REF!</v>
      </c>
      <c r="B317">
        <f>ROW()</f>
        <v>317</v>
      </c>
    </row>
    <row r="318" spans="1:2" x14ac:dyDescent="0.25">
      <c r="A318" s="23" t="e">
        <f>#REF!&amp;"_"&amp;#REF!</f>
        <v>#REF!</v>
      </c>
      <c r="B318">
        <f>ROW()</f>
        <v>318</v>
      </c>
    </row>
    <row r="319" spans="1:2" x14ac:dyDescent="0.25">
      <c r="A319" s="23" t="e">
        <f>#REF!&amp;"_"&amp;#REF!</f>
        <v>#REF!</v>
      </c>
      <c r="B319">
        <f>ROW()</f>
        <v>319</v>
      </c>
    </row>
    <row r="320" spans="1:2" x14ac:dyDescent="0.25">
      <c r="A320" s="23" t="e">
        <f>#REF!&amp;"_"&amp;#REF!</f>
        <v>#REF!</v>
      </c>
      <c r="B320">
        <f>ROW()</f>
        <v>320</v>
      </c>
    </row>
    <row r="321" spans="1:2" x14ac:dyDescent="0.25">
      <c r="A321" s="23" t="e">
        <f>#REF!&amp;"_"&amp;#REF!</f>
        <v>#REF!</v>
      </c>
      <c r="B321">
        <f>ROW()</f>
        <v>321</v>
      </c>
    </row>
    <row r="322" spans="1:2" x14ac:dyDescent="0.25">
      <c r="A322" s="23" t="e">
        <f>#REF!&amp;"_"&amp;#REF!</f>
        <v>#REF!</v>
      </c>
      <c r="B322">
        <f>ROW()</f>
        <v>322</v>
      </c>
    </row>
    <row r="323" spans="1:2" x14ac:dyDescent="0.25">
      <c r="A323" s="23" t="e">
        <f>#REF!&amp;"_"&amp;#REF!</f>
        <v>#REF!</v>
      </c>
      <c r="B323">
        <f>ROW()</f>
        <v>323</v>
      </c>
    </row>
    <row r="324" spans="1:2" x14ac:dyDescent="0.25">
      <c r="A324" s="23" t="e">
        <f>#REF!&amp;"_"&amp;#REF!</f>
        <v>#REF!</v>
      </c>
      <c r="B324">
        <f>ROW()</f>
        <v>324</v>
      </c>
    </row>
    <row r="325" spans="1:2" x14ac:dyDescent="0.25">
      <c r="A325" s="23" t="e">
        <f>#REF!&amp;"_"&amp;#REF!</f>
        <v>#REF!</v>
      </c>
      <c r="B325">
        <f>ROW()</f>
        <v>325</v>
      </c>
    </row>
    <row r="326" spans="1:2" x14ac:dyDescent="0.25">
      <c r="A326" s="23" t="e">
        <f>#REF!&amp;"_"&amp;#REF!</f>
        <v>#REF!</v>
      </c>
      <c r="B326">
        <f>ROW()</f>
        <v>326</v>
      </c>
    </row>
    <row r="327" spans="1:2" x14ac:dyDescent="0.25">
      <c r="A327" s="23" t="e">
        <f>#REF!&amp;"_"&amp;#REF!</f>
        <v>#REF!</v>
      </c>
      <c r="B327">
        <f>ROW()</f>
        <v>327</v>
      </c>
    </row>
    <row r="328" spans="1:2" x14ac:dyDescent="0.25">
      <c r="A328" s="23" t="e">
        <f>#REF!&amp;"_"&amp;#REF!</f>
        <v>#REF!</v>
      </c>
      <c r="B328">
        <f>ROW()</f>
        <v>328</v>
      </c>
    </row>
    <row r="329" spans="1:2" x14ac:dyDescent="0.25">
      <c r="A329" s="23" t="e">
        <f>#REF!&amp;"_"&amp;#REF!</f>
        <v>#REF!</v>
      </c>
      <c r="B329">
        <f>ROW()</f>
        <v>329</v>
      </c>
    </row>
    <row r="330" spans="1:2" x14ac:dyDescent="0.25">
      <c r="A330" s="23" t="e">
        <f>#REF!&amp;"_"&amp;#REF!</f>
        <v>#REF!</v>
      </c>
      <c r="B330">
        <f>ROW()</f>
        <v>330</v>
      </c>
    </row>
    <row r="331" spans="1:2" x14ac:dyDescent="0.25">
      <c r="A331" s="23" t="e">
        <f>#REF!&amp;"_"&amp;#REF!</f>
        <v>#REF!</v>
      </c>
      <c r="B331">
        <f>ROW()</f>
        <v>331</v>
      </c>
    </row>
    <row r="332" spans="1:2" x14ac:dyDescent="0.25">
      <c r="A332" s="23" t="e">
        <f>#REF!&amp;"_"&amp;#REF!</f>
        <v>#REF!</v>
      </c>
      <c r="B332">
        <f>ROW()</f>
        <v>332</v>
      </c>
    </row>
    <row r="333" spans="1:2" x14ac:dyDescent="0.25">
      <c r="A333" s="23" t="e">
        <f>#REF!&amp;"_"&amp;#REF!</f>
        <v>#REF!</v>
      </c>
      <c r="B333">
        <f>ROW()</f>
        <v>333</v>
      </c>
    </row>
    <row r="334" spans="1:2" x14ac:dyDescent="0.25">
      <c r="A334" s="23" t="e">
        <f>#REF!&amp;"_"&amp;#REF!</f>
        <v>#REF!</v>
      </c>
      <c r="B334">
        <f>ROW()</f>
        <v>334</v>
      </c>
    </row>
    <row r="335" spans="1:2" x14ac:dyDescent="0.25">
      <c r="A335" s="23" t="e">
        <f>#REF!&amp;"_"&amp;#REF!</f>
        <v>#REF!</v>
      </c>
      <c r="B335">
        <f>ROW()</f>
        <v>335</v>
      </c>
    </row>
    <row r="336" spans="1:2" x14ac:dyDescent="0.25">
      <c r="A336" s="23" t="e">
        <f>#REF!&amp;"_"&amp;#REF!</f>
        <v>#REF!</v>
      </c>
      <c r="B336">
        <f>ROW()</f>
        <v>336</v>
      </c>
    </row>
    <row r="337" spans="1:2" x14ac:dyDescent="0.25">
      <c r="A337" s="23" t="e">
        <f>#REF!&amp;"_"&amp;#REF!</f>
        <v>#REF!</v>
      </c>
      <c r="B337">
        <f>ROW()</f>
        <v>337</v>
      </c>
    </row>
    <row r="338" spans="1:2" x14ac:dyDescent="0.25">
      <c r="A338" s="23" t="e">
        <f>#REF!&amp;"_"&amp;#REF!</f>
        <v>#REF!</v>
      </c>
      <c r="B338">
        <f>ROW()</f>
        <v>338</v>
      </c>
    </row>
    <row r="339" spans="1:2" x14ac:dyDescent="0.25">
      <c r="A339" s="23" t="e">
        <f>#REF!&amp;"_"&amp;#REF!</f>
        <v>#REF!</v>
      </c>
      <c r="B339">
        <f>ROW()</f>
        <v>339</v>
      </c>
    </row>
    <row r="340" spans="1:2" x14ac:dyDescent="0.25">
      <c r="A340" s="23" t="e">
        <f>#REF!&amp;"_"&amp;#REF!</f>
        <v>#REF!</v>
      </c>
      <c r="B340">
        <f>ROW()</f>
        <v>340</v>
      </c>
    </row>
    <row r="341" spans="1:2" x14ac:dyDescent="0.25">
      <c r="A341" s="23" t="e">
        <f>#REF!&amp;"_"&amp;#REF!</f>
        <v>#REF!</v>
      </c>
      <c r="B341">
        <f>ROW()</f>
        <v>341</v>
      </c>
    </row>
    <row r="342" spans="1:2" x14ac:dyDescent="0.25">
      <c r="A342" s="23" t="e">
        <f>#REF!&amp;"_"&amp;#REF!</f>
        <v>#REF!</v>
      </c>
      <c r="B342">
        <f>ROW()</f>
        <v>342</v>
      </c>
    </row>
    <row r="343" spans="1:2" x14ac:dyDescent="0.25">
      <c r="A343" s="23" t="e">
        <f>#REF!&amp;"_"&amp;#REF!</f>
        <v>#REF!</v>
      </c>
      <c r="B343">
        <f>ROW()</f>
        <v>343</v>
      </c>
    </row>
    <row r="344" spans="1:2" x14ac:dyDescent="0.25">
      <c r="A344" s="23" t="e">
        <f>#REF!&amp;"_"&amp;#REF!</f>
        <v>#REF!</v>
      </c>
      <c r="B344">
        <f>ROW()</f>
        <v>344</v>
      </c>
    </row>
    <row r="345" spans="1:2" x14ac:dyDescent="0.25">
      <c r="A345" s="23" t="e">
        <f>#REF!&amp;"_"&amp;#REF!</f>
        <v>#REF!</v>
      </c>
      <c r="B345">
        <f>ROW()</f>
        <v>345</v>
      </c>
    </row>
    <row r="346" spans="1:2" x14ac:dyDescent="0.25">
      <c r="A346" s="23" t="e">
        <f>#REF!&amp;"_"&amp;#REF!</f>
        <v>#REF!</v>
      </c>
      <c r="B346">
        <f>ROW()</f>
        <v>346</v>
      </c>
    </row>
    <row r="347" spans="1:2" x14ac:dyDescent="0.25">
      <c r="A347" s="23" t="e">
        <f>#REF!&amp;"_"&amp;#REF!</f>
        <v>#REF!</v>
      </c>
      <c r="B347">
        <f>ROW()</f>
        <v>347</v>
      </c>
    </row>
    <row r="348" spans="1:2" x14ac:dyDescent="0.25">
      <c r="A348" s="23" t="e">
        <f>#REF!&amp;"_"&amp;#REF!</f>
        <v>#REF!</v>
      </c>
      <c r="B348">
        <f>ROW()</f>
        <v>348</v>
      </c>
    </row>
    <row r="349" spans="1:2" x14ac:dyDescent="0.25">
      <c r="A349" s="23" t="e">
        <f>#REF!&amp;"_"&amp;#REF!</f>
        <v>#REF!</v>
      </c>
      <c r="B349">
        <f>ROW()</f>
        <v>349</v>
      </c>
    </row>
    <row r="350" spans="1:2" x14ac:dyDescent="0.25">
      <c r="A350" s="23" t="e">
        <f>#REF!&amp;"_"&amp;#REF!</f>
        <v>#REF!</v>
      </c>
      <c r="B350">
        <f>ROW()</f>
        <v>350</v>
      </c>
    </row>
    <row r="351" spans="1:2" x14ac:dyDescent="0.25">
      <c r="A351" s="23" t="e">
        <f>#REF!&amp;"_"&amp;#REF!</f>
        <v>#REF!</v>
      </c>
      <c r="B351">
        <f>ROW()</f>
        <v>351</v>
      </c>
    </row>
    <row r="352" spans="1:2" x14ac:dyDescent="0.25">
      <c r="A352" s="23" t="e">
        <f>#REF!&amp;"_"&amp;#REF!</f>
        <v>#REF!</v>
      </c>
      <c r="B352">
        <f>ROW()</f>
        <v>352</v>
      </c>
    </row>
    <row r="353" spans="1:2" x14ac:dyDescent="0.25">
      <c r="A353" s="23" t="e">
        <f>#REF!&amp;"_"&amp;#REF!</f>
        <v>#REF!</v>
      </c>
      <c r="B353">
        <f>ROW()</f>
        <v>353</v>
      </c>
    </row>
    <row r="354" spans="1:2" x14ac:dyDescent="0.25">
      <c r="A354" s="23" t="e">
        <f>#REF!&amp;"_"&amp;#REF!</f>
        <v>#REF!</v>
      </c>
      <c r="B354">
        <f>ROW()</f>
        <v>354</v>
      </c>
    </row>
    <row r="355" spans="1:2" x14ac:dyDescent="0.25">
      <c r="A355" s="23" t="e">
        <f>#REF!&amp;"_"&amp;#REF!</f>
        <v>#REF!</v>
      </c>
      <c r="B355">
        <f>ROW()</f>
        <v>355</v>
      </c>
    </row>
    <row r="356" spans="1:2" x14ac:dyDescent="0.25">
      <c r="A356" s="23" t="e">
        <f>#REF!&amp;"_"&amp;#REF!</f>
        <v>#REF!</v>
      </c>
      <c r="B356">
        <f>ROW()</f>
        <v>356</v>
      </c>
    </row>
    <row r="357" spans="1:2" x14ac:dyDescent="0.25">
      <c r="A357" s="23" t="e">
        <f>#REF!&amp;"_"&amp;#REF!</f>
        <v>#REF!</v>
      </c>
      <c r="B357">
        <f>ROW()</f>
        <v>357</v>
      </c>
    </row>
    <row r="358" spans="1:2" x14ac:dyDescent="0.25">
      <c r="A358" s="23" t="e">
        <f>#REF!&amp;"_"&amp;#REF!</f>
        <v>#REF!</v>
      </c>
      <c r="B358">
        <f>ROW()</f>
        <v>358</v>
      </c>
    </row>
    <row r="359" spans="1:2" x14ac:dyDescent="0.25">
      <c r="A359" s="23" t="e">
        <f>#REF!&amp;"_"&amp;#REF!</f>
        <v>#REF!</v>
      </c>
      <c r="B359">
        <f>ROW()</f>
        <v>359</v>
      </c>
    </row>
    <row r="360" spans="1:2" x14ac:dyDescent="0.25">
      <c r="A360" s="23" t="e">
        <f>#REF!&amp;"_"&amp;#REF!</f>
        <v>#REF!</v>
      </c>
      <c r="B360">
        <f>ROW()</f>
        <v>360</v>
      </c>
    </row>
    <row r="361" spans="1:2" x14ac:dyDescent="0.25">
      <c r="A361" s="23" t="e">
        <f>#REF!&amp;"_"&amp;#REF!</f>
        <v>#REF!</v>
      </c>
      <c r="B361">
        <f>ROW()</f>
        <v>361</v>
      </c>
    </row>
    <row r="362" spans="1:2" x14ac:dyDescent="0.25">
      <c r="A362" s="23" t="e">
        <f>#REF!&amp;"_"&amp;#REF!</f>
        <v>#REF!</v>
      </c>
      <c r="B362">
        <f>ROW()</f>
        <v>362</v>
      </c>
    </row>
    <row r="363" spans="1:2" x14ac:dyDescent="0.25">
      <c r="A363" s="23" t="e">
        <f>#REF!&amp;"_"&amp;#REF!</f>
        <v>#REF!</v>
      </c>
      <c r="B363">
        <f>ROW()</f>
        <v>363</v>
      </c>
    </row>
    <row r="364" spans="1:2" x14ac:dyDescent="0.25">
      <c r="A364" s="23" t="e">
        <f>#REF!&amp;"_"&amp;#REF!</f>
        <v>#REF!</v>
      </c>
      <c r="B364">
        <f>ROW()</f>
        <v>364</v>
      </c>
    </row>
    <row r="365" spans="1:2" x14ac:dyDescent="0.25">
      <c r="A365" s="23" t="e">
        <f>#REF!&amp;"_"&amp;#REF!</f>
        <v>#REF!</v>
      </c>
      <c r="B365">
        <f>ROW()</f>
        <v>365</v>
      </c>
    </row>
    <row r="366" spans="1:2" x14ac:dyDescent="0.25">
      <c r="A366" s="23" t="e">
        <f>#REF!&amp;"_"&amp;#REF!</f>
        <v>#REF!</v>
      </c>
      <c r="B366">
        <f>ROW()</f>
        <v>366</v>
      </c>
    </row>
    <row r="367" spans="1:2" x14ac:dyDescent="0.25">
      <c r="A367" s="23" t="e">
        <f>#REF!&amp;"_"&amp;#REF!</f>
        <v>#REF!</v>
      </c>
      <c r="B367">
        <f>ROW()</f>
        <v>367</v>
      </c>
    </row>
    <row r="368" spans="1:2" x14ac:dyDescent="0.25">
      <c r="A368" s="23" t="e">
        <f>#REF!&amp;"_"&amp;#REF!</f>
        <v>#REF!</v>
      </c>
      <c r="B368">
        <f>ROW()</f>
        <v>368</v>
      </c>
    </row>
    <row r="369" spans="1:2" x14ac:dyDescent="0.25">
      <c r="A369" s="23" t="e">
        <f>#REF!&amp;"_"&amp;#REF!</f>
        <v>#REF!</v>
      </c>
      <c r="B369">
        <f>ROW()</f>
        <v>369</v>
      </c>
    </row>
    <row r="370" spans="1:2" x14ac:dyDescent="0.25">
      <c r="A370" s="23" t="e">
        <f>#REF!&amp;"_"&amp;#REF!</f>
        <v>#REF!</v>
      </c>
      <c r="B370">
        <f>ROW()</f>
        <v>370</v>
      </c>
    </row>
    <row r="371" spans="1:2" x14ac:dyDescent="0.25">
      <c r="A371" s="23" t="e">
        <f>#REF!&amp;"_"&amp;#REF!</f>
        <v>#REF!</v>
      </c>
      <c r="B371">
        <f>ROW()</f>
        <v>371</v>
      </c>
    </row>
    <row r="372" spans="1:2" x14ac:dyDescent="0.25">
      <c r="A372" s="23" t="e">
        <f>#REF!&amp;"_"&amp;#REF!</f>
        <v>#REF!</v>
      </c>
      <c r="B372">
        <f>ROW()</f>
        <v>372</v>
      </c>
    </row>
    <row r="373" spans="1:2" x14ac:dyDescent="0.25">
      <c r="A373" s="23" t="e">
        <f>#REF!&amp;"_"&amp;#REF!</f>
        <v>#REF!</v>
      </c>
      <c r="B373">
        <f>ROW()</f>
        <v>373</v>
      </c>
    </row>
    <row r="374" spans="1:2" x14ac:dyDescent="0.25">
      <c r="A374" s="23" t="e">
        <f>#REF!&amp;"_"&amp;#REF!</f>
        <v>#REF!</v>
      </c>
      <c r="B374">
        <f>ROW()</f>
        <v>374</v>
      </c>
    </row>
    <row r="375" spans="1:2" x14ac:dyDescent="0.25">
      <c r="A375" s="23" t="e">
        <f>#REF!&amp;"_"&amp;#REF!</f>
        <v>#REF!</v>
      </c>
      <c r="B375">
        <f>ROW()</f>
        <v>375</v>
      </c>
    </row>
    <row r="376" spans="1:2" x14ac:dyDescent="0.25">
      <c r="A376" s="23" t="e">
        <f>#REF!&amp;"_"&amp;#REF!</f>
        <v>#REF!</v>
      </c>
      <c r="B376">
        <f>ROW()</f>
        <v>376</v>
      </c>
    </row>
    <row r="377" spans="1:2" x14ac:dyDescent="0.25">
      <c r="A377" s="23" t="e">
        <f>#REF!&amp;"_"&amp;#REF!</f>
        <v>#REF!</v>
      </c>
      <c r="B377">
        <f>ROW()</f>
        <v>377</v>
      </c>
    </row>
    <row r="378" spans="1:2" x14ac:dyDescent="0.25">
      <c r="A378" s="23" t="e">
        <f>#REF!&amp;"_"&amp;#REF!</f>
        <v>#REF!</v>
      </c>
      <c r="B378">
        <f>ROW()</f>
        <v>378</v>
      </c>
    </row>
    <row r="379" spans="1:2" x14ac:dyDescent="0.25">
      <c r="A379" s="23" t="e">
        <f>#REF!&amp;"_"&amp;#REF!</f>
        <v>#REF!</v>
      </c>
      <c r="B379">
        <f>ROW()</f>
        <v>379</v>
      </c>
    </row>
    <row r="380" spans="1:2" x14ac:dyDescent="0.25">
      <c r="A380" s="23" t="e">
        <f>#REF!&amp;"_"&amp;#REF!</f>
        <v>#REF!</v>
      </c>
      <c r="B380">
        <f>ROW()</f>
        <v>380</v>
      </c>
    </row>
    <row r="381" spans="1:2" x14ac:dyDescent="0.25">
      <c r="A381" s="23" t="e">
        <f>#REF!&amp;"_"&amp;#REF!</f>
        <v>#REF!</v>
      </c>
      <c r="B381">
        <f>ROW()</f>
        <v>381</v>
      </c>
    </row>
    <row r="382" spans="1:2" x14ac:dyDescent="0.25">
      <c r="A382" s="23" t="e">
        <f>#REF!&amp;"_"&amp;#REF!</f>
        <v>#REF!</v>
      </c>
      <c r="B382">
        <f>ROW()</f>
        <v>382</v>
      </c>
    </row>
    <row r="383" spans="1:2" x14ac:dyDescent="0.25">
      <c r="A383" s="23" t="e">
        <f>#REF!&amp;"_"&amp;#REF!</f>
        <v>#REF!</v>
      </c>
      <c r="B383">
        <f>ROW()</f>
        <v>383</v>
      </c>
    </row>
    <row r="384" spans="1:2" x14ac:dyDescent="0.25">
      <c r="A384" s="23" t="e">
        <f>#REF!&amp;"_"&amp;#REF!</f>
        <v>#REF!</v>
      </c>
      <c r="B384">
        <f>ROW()</f>
        <v>384</v>
      </c>
    </row>
    <row r="385" spans="1:2" x14ac:dyDescent="0.25">
      <c r="A385" s="23" t="e">
        <f>#REF!&amp;"_"&amp;#REF!</f>
        <v>#REF!</v>
      </c>
      <c r="B385">
        <f>ROW()</f>
        <v>385</v>
      </c>
    </row>
    <row r="386" spans="1:2" x14ac:dyDescent="0.25">
      <c r="A386" s="23" t="e">
        <f>#REF!&amp;"_"&amp;#REF!</f>
        <v>#REF!</v>
      </c>
      <c r="B386">
        <f>ROW()</f>
        <v>386</v>
      </c>
    </row>
    <row r="387" spans="1:2" x14ac:dyDescent="0.25">
      <c r="A387" s="23" t="e">
        <f>#REF!&amp;"_"&amp;#REF!</f>
        <v>#REF!</v>
      </c>
      <c r="B387">
        <f>ROW()</f>
        <v>387</v>
      </c>
    </row>
    <row r="388" spans="1:2" x14ac:dyDescent="0.25">
      <c r="A388" s="23" t="e">
        <f>#REF!&amp;"_"&amp;#REF!</f>
        <v>#REF!</v>
      </c>
      <c r="B388">
        <f>ROW()</f>
        <v>388</v>
      </c>
    </row>
    <row r="389" spans="1:2" x14ac:dyDescent="0.25">
      <c r="A389" s="23" t="e">
        <f>#REF!&amp;"_"&amp;#REF!</f>
        <v>#REF!</v>
      </c>
      <c r="B389">
        <f>ROW()</f>
        <v>389</v>
      </c>
    </row>
    <row r="390" spans="1:2" x14ac:dyDescent="0.25">
      <c r="A390" s="23" t="e">
        <f>#REF!&amp;"_"&amp;#REF!</f>
        <v>#REF!</v>
      </c>
      <c r="B390">
        <f>ROW()</f>
        <v>390</v>
      </c>
    </row>
    <row r="391" spans="1:2" x14ac:dyDescent="0.25">
      <c r="A391" s="23" t="e">
        <f>#REF!&amp;"_"&amp;#REF!</f>
        <v>#REF!</v>
      </c>
      <c r="B391">
        <f>ROW()</f>
        <v>391</v>
      </c>
    </row>
    <row r="392" spans="1:2" x14ac:dyDescent="0.25">
      <c r="A392" s="23" t="e">
        <f>#REF!&amp;"_"&amp;#REF!</f>
        <v>#REF!</v>
      </c>
      <c r="B392">
        <f>ROW()</f>
        <v>392</v>
      </c>
    </row>
    <row r="393" spans="1:2" x14ac:dyDescent="0.25">
      <c r="A393" s="23" t="e">
        <f>#REF!&amp;"_"&amp;#REF!</f>
        <v>#REF!</v>
      </c>
      <c r="B393">
        <f>ROW()</f>
        <v>393</v>
      </c>
    </row>
    <row r="394" spans="1:2" x14ac:dyDescent="0.25">
      <c r="A394" s="23" t="e">
        <f>#REF!&amp;"_"&amp;#REF!</f>
        <v>#REF!</v>
      </c>
      <c r="B394">
        <f>ROW()</f>
        <v>394</v>
      </c>
    </row>
    <row r="395" spans="1:2" x14ac:dyDescent="0.25">
      <c r="A395" s="23" t="e">
        <f>#REF!&amp;"_"&amp;#REF!</f>
        <v>#REF!</v>
      </c>
      <c r="B395">
        <f>ROW()</f>
        <v>395</v>
      </c>
    </row>
    <row r="396" spans="1:2" x14ac:dyDescent="0.25">
      <c r="A396" s="23" t="e">
        <f>#REF!&amp;"_"&amp;#REF!</f>
        <v>#REF!</v>
      </c>
      <c r="B396">
        <f>ROW()</f>
        <v>396</v>
      </c>
    </row>
    <row r="397" spans="1:2" x14ac:dyDescent="0.25">
      <c r="A397" s="23" t="e">
        <f>#REF!&amp;"_"&amp;#REF!</f>
        <v>#REF!</v>
      </c>
      <c r="B397">
        <f>ROW()</f>
        <v>397</v>
      </c>
    </row>
    <row r="398" spans="1:2" x14ac:dyDescent="0.25">
      <c r="A398" s="23" t="e">
        <f>#REF!&amp;"_"&amp;#REF!</f>
        <v>#REF!</v>
      </c>
      <c r="B398">
        <f>ROW()</f>
        <v>398</v>
      </c>
    </row>
    <row r="399" spans="1:2" x14ac:dyDescent="0.25">
      <c r="A399" s="23" t="e">
        <f>#REF!&amp;"_"&amp;#REF!</f>
        <v>#REF!</v>
      </c>
      <c r="B399">
        <f>ROW()</f>
        <v>399</v>
      </c>
    </row>
    <row r="400" spans="1:2" x14ac:dyDescent="0.25">
      <c r="A400" s="23" t="e">
        <f>#REF!&amp;"_"&amp;#REF!</f>
        <v>#REF!</v>
      </c>
      <c r="B400">
        <f>ROW()</f>
        <v>400</v>
      </c>
    </row>
    <row r="401" spans="1:2" x14ac:dyDescent="0.25">
      <c r="A401" s="23" t="e">
        <f>#REF!&amp;"_"&amp;#REF!</f>
        <v>#REF!</v>
      </c>
      <c r="B401">
        <f>ROW()</f>
        <v>401</v>
      </c>
    </row>
    <row r="402" spans="1:2" x14ac:dyDescent="0.25">
      <c r="A402" s="23" t="e">
        <f>#REF!&amp;"_"&amp;#REF!</f>
        <v>#REF!</v>
      </c>
      <c r="B402">
        <f>ROW()</f>
        <v>402</v>
      </c>
    </row>
    <row r="403" spans="1:2" x14ac:dyDescent="0.25">
      <c r="A403" s="23" t="e">
        <f>#REF!&amp;"_"&amp;#REF!</f>
        <v>#REF!</v>
      </c>
      <c r="B403">
        <f>ROW()</f>
        <v>403</v>
      </c>
    </row>
    <row r="404" spans="1:2" x14ac:dyDescent="0.25">
      <c r="A404" s="23" t="e">
        <f>#REF!&amp;"_"&amp;#REF!</f>
        <v>#REF!</v>
      </c>
      <c r="B404">
        <f>ROW()</f>
        <v>404</v>
      </c>
    </row>
    <row r="405" spans="1:2" x14ac:dyDescent="0.25">
      <c r="A405" s="23" t="e">
        <f>#REF!&amp;"_"&amp;#REF!</f>
        <v>#REF!</v>
      </c>
      <c r="B405">
        <f>ROW()</f>
        <v>405</v>
      </c>
    </row>
    <row r="406" spans="1:2" x14ac:dyDescent="0.25">
      <c r="A406" s="23" t="e">
        <f>#REF!&amp;"_"&amp;#REF!</f>
        <v>#REF!</v>
      </c>
      <c r="B406">
        <f>ROW()</f>
        <v>406</v>
      </c>
    </row>
    <row r="407" spans="1:2" x14ac:dyDescent="0.25">
      <c r="A407" s="23" t="e">
        <f>#REF!&amp;"_"&amp;#REF!</f>
        <v>#REF!</v>
      </c>
      <c r="B407">
        <f>ROW()</f>
        <v>407</v>
      </c>
    </row>
    <row r="408" spans="1:2" x14ac:dyDescent="0.25">
      <c r="A408" s="23" t="e">
        <f>#REF!&amp;"_"&amp;#REF!</f>
        <v>#REF!</v>
      </c>
      <c r="B408">
        <f>ROW()</f>
        <v>408</v>
      </c>
    </row>
    <row r="409" spans="1:2" x14ac:dyDescent="0.25">
      <c r="A409" s="23" t="e">
        <f>#REF!&amp;"_"&amp;#REF!</f>
        <v>#REF!</v>
      </c>
      <c r="B409">
        <f>ROW()</f>
        <v>409</v>
      </c>
    </row>
    <row r="410" spans="1:2" x14ac:dyDescent="0.25">
      <c r="A410" s="23" t="e">
        <f>#REF!&amp;"_"&amp;#REF!</f>
        <v>#REF!</v>
      </c>
      <c r="B410">
        <f>ROW()</f>
        <v>410</v>
      </c>
    </row>
    <row r="411" spans="1:2" x14ac:dyDescent="0.25">
      <c r="A411" s="23" t="e">
        <f>#REF!&amp;"_"&amp;#REF!</f>
        <v>#REF!</v>
      </c>
      <c r="B411">
        <f>ROW()</f>
        <v>411</v>
      </c>
    </row>
    <row r="412" spans="1:2" x14ac:dyDescent="0.25">
      <c r="A412" s="23" t="e">
        <f>#REF!&amp;"_"&amp;#REF!</f>
        <v>#REF!</v>
      </c>
      <c r="B412">
        <f>ROW()</f>
        <v>412</v>
      </c>
    </row>
    <row r="413" spans="1:2" x14ac:dyDescent="0.25">
      <c r="A413" s="23" t="e">
        <f>#REF!&amp;"_"&amp;#REF!</f>
        <v>#REF!</v>
      </c>
      <c r="B413">
        <f>ROW()</f>
        <v>413</v>
      </c>
    </row>
    <row r="414" spans="1:2" x14ac:dyDescent="0.25">
      <c r="A414" s="23" t="e">
        <f>#REF!&amp;"_"&amp;#REF!</f>
        <v>#REF!</v>
      </c>
      <c r="B414">
        <f>ROW()</f>
        <v>414</v>
      </c>
    </row>
    <row r="415" spans="1:2" x14ac:dyDescent="0.25">
      <c r="A415" s="23" t="e">
        <f>#REF!&amp;"_"&amp;#REF!</f>
        <v>#REF!</v>
      </c>
      <c r="B415">
        <f>ROW()</f>
        <v>415</v>
      </c>
    </row>
    <row r="416" spans="1:2" x14ac:dyDescent="0.25">
      <c r="A416" s="23" t="e">
        <f>#REF!&amp;"_"&amp;#REF!</f>
        <v>#REF!</v>
      </c>
      <c r="B416">
        <f>ROW()</f>
        <v>416</v>
      </c>
    </row>
    <row r="417" spans="1:2" x14ac:dyDescent="0.25">
      <c r="A417" s="23" t="e">
        <f>#REF!&amp;"_"&amp;#REF!</f>
        <v>#REF!</v>
      </c>
      <c r="B417">
        <f>ROW()</f>
        <v>417</v>
      </c>
    </row>
    <row r="418" spans="1:2" x14ac:dyDescent="0.25">
      <c r="A418" s="23" t="e">
        <f>#REF!&amp;"_"&amp;#REF!</f>
        <v>#REF!</v>
      </c>
      <c r="B418">
        <f>ROW()</f>
        <v>418</v>
      </c>
    </row>
    <row r="419" spans="1:2" x14ac:dyDescent="0.25">
      <c r="A419" s="23" t="e">
        <f>#REF!&amp;"_"&amp;#REF!</f>
        <v>#REF!</v>
      </c>
      <c r="B419">
        <f>ROW()</f>
        <v>419</v>
      </c>
    </row>
    <row r="420" spans="1:2" x14ac:dyDescent="0.25">
      <c r="A420" s="23" t="e">
        <f>#REF!&amp;"_"&amp;#REF!</f>
        <v>#REF!</v>
      </c>
      <c r="B420">
        <f>ROW()</f>
        <v>420</v>
      </c>
    </row>
    <row r="421" spans="1:2" x14ac:dyDescent="0.25">
      <c r="A421" s="23" t="e">
        <f>#REF!&amp;"_"&amp;#REF!</f>
        <v>#REF!</v>
      </c>
      <c r="B421">
        <f>ROW()</f>
        <v>421</v>
      </c>
    </row>
    <row r="422" spans="1:2" x14ac:dyDescent="0.25">
      <c r="A422" s="23" t="e">
        <f>#REF!&amp;"_"&amp;#REF!</f>
        <v>#REF!</v>
      </c>
      <c r="B422">
        <f>ROW()</f>
        <v>422</v>
      </c>
    </row>
    <row r="423" spans="1:2" x14ac:dyDescent="0.25">
      <c r="A423" s="23" t="e">
        <f>#REF!&amp;"_"&amp;#REF!</f>
        <v>#REF!</v>
      </c>
      <c r="B423">
        <f>ROW()</f>
        <v>423</v>
      </c>
    </row>
    <row r="424" spans="1:2" x14ac:dyDescent="0.25">
      <c r="A424" s="23" t="e">
        <f>#REF!&amp;"_"&amp;#REF!</f>
        <v>#REF!</v>
      </c>
      <c r="B424">
        <f>ROW()</f>
        <v>424</v>
      </c>
    </row>
    <row r="425" spans="1:2" x14ac:dyDescent="0.25">
      <c r="A425" s="23" t="e">
        <f>#REF!&amp;"_"&amp;#REF!</f>
        <v>#REF!</v>
      </c>
      <c r="B425">
        <f>ROW()</f>
        <v>425</v>
      </c>
    </row>
    <row r="426" spans="1:2" x14ac:dyDescent="0.25">
      <c r="A426" s="23" t="e">
        <f>#REF!&amp;"_"&amp;#REF!</f>
        <v>#REF!</v>
      </c>
      <c r="B426">
        <f>ROW()</f>
        <v>426</v>
      </c>
    </row>
    <row r="427" spans="1:2" x14ac:dyDescent="0.25">
      <c r="A427" s="23" t="e">
        <f>#REF!&amp;"_"&amp;#REF!</f>
        <v>#REF!</v>
      </c>
      <c r="B427">
        <f>ROW()</f>
        <v>427</v>
      </c>
    </row>
    <row r="428" spans="1:2" x14ac:dyDescent="0.25">
      <c r="A428" s="23" t="e">
        <f>#REF!&amp;"_"&amp;#REF!</f>
        <v>#REF!</v>
      </c>
      <c r="B428">
        <f>ROW()</f>
        <v>428</v>
      </c>
    </row>
    <row r="429" spans="1:2" x14ac:dyDescent="0.25">
      <c r="A429" s="23" t="e">
        <f>#REF!&amp;"_"&amp;#REF!</f>
        <v>#REF!</v>
      </c>
      <c r="B429">
        <f>ROW()</f>
        <v>429</v>
      </c>
    </row>
    <row r="430" spans="1:2" x14ac:dyDescent="0.25">
      <c r="A430" s="23" t="e">
        <f>#REF!&amp;"_"&amp;#REF!</f>
        <v>#REF!</v>
      </c>
      <c r="B430">
        <f>ROW()</f>
        <v>430</v>
      </c>
    </row>
    <row r="431" spans="1:2" x14ac:dyDescent="0.25">
      <c r="A431" s="23" t="e">
        <f>#REF!&amp;"_"&amp;#REF!</f>
        <v>#REF!</v>
      </c>
      <c r="B431">
        <f>ROW()</f>
        <v>431</v>
      </c>
    </row>
    <row r="432" spans="1:2" x14ac:dyDescent="0.25">
      <c r="A432" s="23" t="e">
        <f>#REF!&amp;"_"&amp;#REF!</f>
        <v>#REF!</v>
      </c>
      <c r="B432">
        <f>ROW()</f>
        <v>432</v>
      </c>
    </row>
    <row r="433" spans="1:2" x14ac:dyDescent="0.25">
      <c r="A433" s="23" t="e">
        <f>#REF!&amp;"_"&amp;#REF!</f>
        <v>#REF!</v>
      </c>
      <c r="B433">
        <f>ROW()</f>
        <v>433</v>
      </c>
    </row>
    <row r="434" spans="1:2" x14ac:dyDescent="0.25">
      <c r="A434" s="23" t="e">
        <f>#REF!&amp;"_"&amp;#REF!</f>
        <v>#REF!</v>
      </c>
      <c r="B434">
        <f>ROW()</f>
        <v>434</v>
      </c>
    </row>
    <row r="435" spans="1:2" x14ac:dyDescent="0.25">
      <c r="A435" s="23" t="e">
        <f>#REF!&amp;"_"&amp;#REF!</f>
        <v>#REF!</v>
      </c>
      <c r="B435">
        <f>ROW()</f>
        <v>435</v>
      </c>
    </row>
    <row r="436" spans="1:2" x14ac:dyDescent="0.25">
      <c r="A436" s="23" t="e">
        <f>#REF!&amp;"_"&amp;#REF!</f>
        <v>#REF!</v>
      </c>
      <c r="B436">
        <f>ROW()</f>
        <v>436</v>
      </c>
    </row>
    <row r="437" spans="1:2" x14ac:dyDescent="0.25">
      <c r="A437" s="23" t="e">
        <f>#REF!&amp;"_"&amp;#REF!</f>
        <v>#REF!</v>
      </c>
      <c r="B437">
        <f>ROW()</f>
        <v>437</v>
      </c>
    </row>
    <row r="438" spans="1:2" x14ac:dyDescent="0.25">
      <c r="A438" s="23" t="e">
        <f>#REF!&amp;"_"&amp;#REF!</f>
        <v>#REF!</v>
      </c>
      <c r="B438">
        <f>ROW()</f>
        <v>438</v>
      </c>
    </row>
    <row r="439" spans="1:2" x14ac:dyDescent="0.25">
      <c r="A439" s="23" t="e">
        <f>#REF!&amp;"_"&amp;#REF!</f>
        <v>#REF!</v>
      </c>
      <c r="B439">
        <f>ROW()</f>
        <v>439</v>
      </c>
    </row>
    <row r="440" spans="1:2" x14ac:dyDescent="0.25">
      <c r="A440" s="23" t="e">
        <f>#REF!&amp;"_"&amp;#REF!</f>
        <v>#REF!</v>
      </c>
      <c r="B440">
        <f>ROW()</f>
        <v>440</v>
      </c>
    </row>
    <row r="441" spans="1:2" x14ac:dyDescent="0.25">
      <c r="A441" s="23" t="e">
        <f>#REF!&amp;"_"&amp;#REF!</f>
        <v>#REF!</v>
      </c>
      <c r="B441">
        <f>ROW()</f>
        <v>441</v>
      </c>
    </row>
    <row r="442" spans="1:2" x14ac:dyDescent="0.25">
      <c r="A442" s="23" t="e">
        <f>#REF!&amp;"_"&amp;#REF!</f>
        <v>#REF!</v>
      </c>
      <c r="B442">
        <f>ROW()</f>
        <v>442</v>
      </c>
    </row>
    <row r="443" spans="1:2" x14ac:dyDescent="0.25">
      <c r="A443" s="23" t="e">
        <f>#REF!&amp;"_"&amp;#REF!</f>
        <v>#REF!</v>
      </c>
      <c r="B443">
        <f>ROW()</f>
        <v>443</v>
      </c>
    </row>
    <row r="444" spans="1:2" x14ac:dyDescent="0.25">
      <c r="A444" s="23" t="e">
        <f>#REF!&amp;"_"&amp;#REF!</f>
        <v>#REF!</v>
      </c>
      <c r="B444">
        <f>ROW()</f>
        <v>444</v>
      </c>
    </row>
    <row r="445" spans="1:2" x14ac:dyDescent="0.25">
      <c r="A445" s="23" t="e">
        <f>#REF!&amp;"_"&amp;#REF!</f>
        <v>#REF!</v>
      </c>
      <c r="B445">
        <f>ROW()</f>
        <v>445</v>
      </c>
    </row>
    <row r="446" spans="1:2" x14ac:dyDescent="0.25">
      <c r="A446" s="23" t="e">
        <f>#REF!&amp;"_"&amp;#REF!</f>
        <v>#REF!</v>
      </c>
      <c r="B446">
        <f>ROW()</f>
        <v>446</v>
      </c>
    </row>
    <row r="447" spans="1:2" x14ac:dyDescent="0.25">
      <c r="A447" s="23" t="e">
        <f>#REF!&amp;"_"&amp;#REF!</f>
        <v>#REF!</v>
      </c>
      <c r="B447">
        <f>ROW()</f>
        <v>447</v>
      </c>
    </row>
    <row r="448" spans="1:2" x14ac:dyDescent="0.25">
      <c r="A448" s="23" t="e">
        <f>#REF!&amp;"_"&amp;#REF!</f>
        <v>#REF!</v>
      </c>
      <c r="B448">
        <f>ROW()</f>
        <v>448</v>
      </c>
    </row>
    <row r="449" spans="1:2" x14ac:dyDescent="0.25">
      <c r="A449" s="23" t="e">
        <f>#REF!&amp;"_"&amp;#REF!</f>
        <v>#REF!</v>
      </c>
      <c r="B449">
        <f>ROW()</f>
        <v>449</v>
      </c>
    </row>
    <row r="450" spans="1:2" x14ac:dyDescent="0.25">
      <c r="A450" s="23" t="e">
        <f>#REF!&amp;"_"&amp;#REF!</f>
        <v>#REF!</v>
      </c>
      <c r="B450">
        <f>ROW()</f>
        <v>450</v>
      </c>
    </row>
    <row r="451" spans="1:2" x14ac:dyDescent="0.25">
      <c r="A451" s="23" t="e">
        <f>#REF!&amp;"_"&amp;#REF!</f>
        <v>#REF!</v>
      </c>
      <c r="B451">
        <f>ROW()</f>
        <v>451</v>
      </c>
    </row>
    <row r="452" spans="1:2" x14ac:dyDescent="0.25">
      <c r="A452" s="23" t="e">
        <f>#REF!&amp;"_"&amp;#REF!</f>
        <v>#REF!</v>
      </c>
      <c r="B452">
        <f>ROW()</f>
        <v>452</v>
      </c>
    </row>
    <row r="453" spans="1:2" x14ac:dyDescent="0.25">
      <c r="A453" s="23" t="e">
        <f>#REF!&amp;"_"&amp;#REF!</f>
        <v>#REF!</v>
      </c>
      <c r="B453">
        <f>ROW()</f>
        <v>453</v>
      </c>
    </row>
    <row r="454" spans="1:2" x14ac:dyDescent="0.25">
      <c r="A454" s="23" t="e">
        <f>#REF!&amp;"_"&amp;#REF!</f>
        <v>#REF!</v>
      </c>
      <c r="B454">
        <f>ROW()</f>
        <v>454</v>
      </c>
    </row>
    <row r="455" spans="1:2" x14ac:dyDescent="0.25">
      <c r="A455" s="23" t="e">
        <f>#REF!&amp;"_"&amp;#REF!</f>
        <v>#REF!</v>
      </c>
      <c r="B455">
        <f>ROW()</f>
        <v>455</v>
      </c>
    </row>
    <row r="456" spans="1:2" x14ac:dyDescent="0.25">
      <c r="A456" s="23" t="e">
        <f>#REF!&amp;"_"&amp;#REF!</f>
        <v>#REF!</v>
      </c>
      <c r="B456">
        <f>ROW()</f>
        <v>456</v>
      </c>
    </row>
    <row r="457" spans="1:2" x14ac:dyDescent="0.25">
      <c r="A457" s="23" t="e">
        <f>#REF!&amp;"_"&amp;#REF!</f>
        <v>#REF!</v>
      </c>
      <c r="B457">
        <f>ROW()</f>
        <v>457</v>
      </c>
    </row>
    <row r="458" spans="1:2" x14ac:dyDescent="0.25">
      <c r="A458" s="23" t="e">
        <f>#REF!&amp;"_"&amp;#REF!</f>
        <v>#REF!</v>
      </c>
      <c r="B458">
        <f>ROW()</f>
        <v>458</v>
      </c>
    </row>
    <row r="459" spans="1:2" x14ac:dyDescent="0.25">
      <c r="A459" s="23" t="e">
        <f>#REF!&amp;"_"&amp;#REF!</f>
        <v>#REF!</v>
      </c>
      <c r="B459">
        <f>ROW()</f>
        <v>459</v>
      </c>
    </row>
    <row r="460" spans="1:2" x14ac:dyDescent="0.25">
      <c r="A460" s="23" t="e">
        <f>#REF!&amp;"_"&amp;#REF!</f>
        <v>#REF!</v>
      </c>
      <c r="B460">
        <f>ROW()</f>
        <v>460</v>
      </c>
    </row>
    <row r="461" spans="1:2" x14ac:dyDescent="0.25">
      <c r="A461" s="23" t="e">
        <f>#REF!&amp;"_"&amp;#REF!</f>
        <v>#REF!</v>
      </c>
      <c r="B461">
        <f>ROW()</f>
        <v>461</v>
      </c>
    </row>
    <row r="462" spans="1:2" x14ac:dyDescent="0.25">
      <c r="A462" s="23" t="e">
        <f>#REF!&amp;"_"&amp;#REF!</f>
        <v>#REF!</v>
      </c>
      <c r="B462">
        <f>ROW()</f>
        <v>462</v>
      </c>
    </row>
    <row r="463" spans="1:2" x14ac:dyDescent="0.25">
      <c r="A463" s="23" t="e">
        <f>#REF!&amp;"_"&amp;#REF!</f>
        <v>#REF!</v>
      </c>
      <c r="B463">
        <f>ROW()</f>
        <v>463</v>
      </c>
    </row>
    <row r="464" spans="1:2" x14ac:dyDescent="0.25">
      <c r="A464" s="23" t="e">
        <f>#REF!&amp;"_"&amp;#REF!</f>
        <v>#REF!</v>
      </c>
      <c r="B464">
        <f>ROW()</f>
        <v>464</v>
      </c>
    </row>
    <row r="465" spans="1:2" x14ac:dyDescent="0.25">
      <c r="A465" s="23" t="e">
        <f>#REF!&amp;"_"&amp;#REF!</f>
        <v>#REF!</v>
      </c>
      <c r="B465">
        <f>ROW()</f>
        <v>465</v>
      </c>
    </row>
    <row r="466" spans="1:2" x14ac:dyDescent="0.25">
      <c r="A466" s="23" t="e">
        <f>#REF!&amp;"_"&amp;#REF!</f>
        <v>#REF!</v>
      </c>
      <c r="B466">
        <f>ROW()</f>
        <v>466</v>
      </c>
    </row>
    <row r="467" spans="1:2" x14ac:dyDescent="0.25">
      <c r="A467" s="23" t="e">
        <f>#REF!&amp;"_"&amp;#REF!</f>
        <v>#REF!</v>
      </c>
      <c r="B467">
        <f>ROW()</f>
        <v>467</v>
      </c>
    </row>
    <row r="468" spans="1:2" x14ac:dyDescent="0.25">
      <c r="A468" s="23" t="e">
        <f>#REF!&amp;"_"&amp;#REF!</f>
        <v>#REF!</v>
      </c>
      <c r="B468">
        <f>ROW()</f>
        <v>468</v>
      </c>
    </row>
    <row r="469" spans="1:2" x14ac:dyDescent="0.25">
      <c r="A469" s="23" t="e">
        <f>#REF!&amp;"_"&amp;#REF!</f>
        <v>#REF!</v>
      </c>
      <c r="B469">
        <f>ROW()</f>
        <v>469</v>
      </c>
    </row>
    <row r="470" spans="1:2" x14ac:dyDescent="0.25">
      <c r="A470" s="23" t="e">
        <f>#REF!&amp;"_"&amp;#REF!</f>
        <v>#REF!</v>
      </c>
      <c r="B470">
        <f>ROW()</f>
        <v>470</v>
      </c>
    </row>
    <row r="471" spans="1:2" x14ac:dyDescent="0.25">
      <c r="A471" s="23" t="e">
        <f>#REF!&amp;"_"&amp;#REF!</f>
        <v>#REF!</v>
      </c>
      <c r="B471">
        <f>ROW()</f>
        <v>471</v>
      </c>
    </row>
    <row r="472" spans="1:2" x14ac:dyDescent="0.25">
      <c r="A472" s="23" t="e">
        <f>#REF!&amp;"_"&amp;#REF!</f>
        <v>#REF!</v>
      </c>
      <c r="B472">
        <f>ROW()</f>
        <v>472</v>
      </c>
    </row>
    <row r="473" spans="1:2" x14ac:dyDescent="0.25">
      <c r="A473" s="23" t="e">
        <f>#REF!&amp;"_"&amp;#REF!</f>
        <v>#REF!</v>
      </c>
      <c r="B473">
        <f>ROW()</f>
        <v>473</v>
      </c>
    </row>
    <row r="474" spans="1:2" x14ac:dyDescent="0.25">
      <c r="A474" s="23" t="e">
        <f>#REF!&amp;"_"&amp;#REF!</f>
        <v>#REF!</v>
      </c>
      <c r="B474">
        <f>ROW()</f>
        <v>474</v>
      </c>
    </row>
    <row r="475" spans="1:2" x14ac:dyDescent="0.25">
      <c r="A475" s="23" t="e">
        <f>#REF!&amp;"_"&amp;#REF!</f>
        <v>#REF!</v>
      </c>
      <c r="B475">
        <f>ROW()</f>
        <v>475</v>
      </c>
    </row>
    <row r="476" spans="1:2" x14ac:dyDescent="0.25">
      <c r="A476" s="23" t="e">
        <f>#REF!&amp;"_"&amp;#REF!</f>
        <v>#REF!</v>
      </c>
      <c r="B476">
        <f>ROW()</f>
        <v>476</v>
      </c>
    </row>
    <row r="477" spans="1:2" x14ac:dyDescent="0.25">
      <c r="A477" s="23" t="e">
        <f>#REF!&amp;"_"&amp;#REF!</f>
        <v>#REF!</v>
      </c>
      <c r="B477">
        <f>ROW()</f>
        <v>477</v>
      </c>
    </row>
    <row r="478" spans="1:2" x14ac:dyDescent="0.25">
      <c r="A478" s="23" t="e">
        <f>#REF!&amp;"_"&amp;#REF!</f>
        <v>#REF!</v>
      </c>
      <c r="B478">
        <f>ROW()</f>
        <v>478</v>
      </c>
    </row>
    <row r="479" spans="1:2" x14ac:dyDescent="0.25">
      <c r="A479" s="23" t="e">
        <f>#REF!&amp;"_"&amp;#REF!</f>
        <v>#REF!</v>
      </c>
      <c r="B479">
        <f>ROW()</f>
        <v>479</v>
      </c>
    </row>
    <row r="480" spans="1:2" x14ac:dyDescent="0.25">
      <c r="A480" s="23" t="e">
        <f>#REF!&amp;"_"&amp;#REF!</f>
        <v>#REF!</v>
      </c>
      <c r="B480">
        <f>ROW()</f>
        <v>480</v>
      </c>
    </row>
    <row r="481" spans="1:2" x14ac:dyDescent="0.25">
      <c r="A481" s="23" t="e">
        <f>#REF!&amp;"_"&amp;#REF!</f>
        <v>#REF!</v>
      </c>
      <c r="B481">
        <f>ROW()</f>
        <v>481</v>
      </c>
    </row>
    <row r="482" spans="1:2" x14ac:dyDescent="0.25">
      <c r="A482" s="23" t="e">
        <f>#REF!&amp;"_"&amp;#REF!</f>
        <v>#REF!</v>
      </c>
      <c r="B482">
        <f>ROW()</f>
        <v>482</v>
      </c>
    </row>
    <row r="483" spans="1:2" x14ac:dyDescent="0.25">
      <c r="A483" s="23" t="e">
        <f>#REF!&amp;"_"&amp;#REF!</f>
        <v>#REF!</v>
      </c>
      <c r="B483">
        <f>ROW()</f>
        <v>483</v>
      </c>
    </row>
    <row r="484" spans="1:2" x14ac:dyDescent="0.25">
      <c r="A484" s="23" t="e">
        <f>#REF!&amp;"_"&amp;#REF!</f>
        <v>#REF!</v>
      </c>
      <c r="B484">
        <f>ROW()</f>
        <v>484</v>
      </c>
    </row>
    <row r="485" spans="1:2" x14ac:dyDescent="0.25">
      <c r="A485" s="23" t="e">
        <f>#REF!&amp;"_"&amp;#REF!</f>
        <v>#REF!</v>
      </c>
      <c r="B485">
        <f>ROW()</f>
        <v>485</v>
      </c>
    </row>
    <row r="486" spans="1:2" x14ac:dyDescent="0.25">
      <c r="A486" s="23" t="e">
        <f>#REF!&amp;"_"&amp;#REF!</f>
        <v>#REF!</v>
      </c>
      <c r="B486">
        <f>ROW()</f>
        <v>486</v>
      </c>
    </row>
    <row r="487" spans="1:2" x14ac:dyDescent="0.25">
      <c r="A487" s="23" t="e">
        <f>#REF!&amp;"_"&amp;#REF!</f>
        <v>#REF!</v>
      </c>
      <c r="B487">
        <f>ROW()</f>
        <v>487</v>
      </c>
    </row>
    <row r="488" spans="1:2" x14ac:dyDescent="0.25">
      <c r="A488" s="23" t="e">
        <f>#REF!&amp;"_"&amp;#REF!</f>
        <v>#REF!</v>
      </c>
      <c r="B488">
        <f>ROW()</f>
        <v>488</v>
      </c>
    </row>
    <row r="489" spans="1:2" x14ac:dyDescent="0.25">
      <c r="A489" s="23" t="e">
        <f>#REF!&amp;"_"&amp;#REF!</f>
        <v>#REF!</v>
      </c>
      <c r="B489">
        <f>ROW()</f>
        <v>489</v>
      </c>
    </row>
    <row r="490" spans="1:2" x14ac:dyDescent="0.25">
      <c r="A490" s="23" t="e">
        <f>#REF!&amp;"_"&amp;#REF!</f>
        <v>#REF!</v>
      </c>
      <c r="B490">
        <f>ROW()</f>
        <v>490</v>
      </c>
    </row>
    <row r="491" spans="1:2" x14ac:dyDescent="0.25">
      <c r="A491" s="23" t="e">
        <f>#REF!&amp;"_"&amp;#REF!</f>
        <v>#REF!</v>
      </c>
      <c r="B491">
        <f>ROW()</f>
        <v>491</v>
      </c>
    </row>
    <row r="492" spans="1:2" x14ac:dyDescent="0.25">
      <c r="A492" s="23" t="e">
        <f>#REF!&amp;"_"&amp;#REF!</f>
        <v>#REF!</v>
      </c>
      <c r="B492">
        <f>ROW()</f>
        <v>492</v>
      </c>
    </row>
    <row r="493" spans="1:2" x14ac:dyDescent="0.25">
      <c r="A493" s="23" t="e">
        <f>#REF!&amp;"_"&amp;#REF!</f>
        <v>#REF!</v>
      </c>
      <c r="B493">
        <f>ROW()</f>
        <v>493</v>
      </c>
    </row>
    <row r="494" spans="1:2" x14ac:dyDescent="0.25">
      <c r="A494" s="23" t="e">
        <f>#REF!&amp;"_"&amp;#REF!</f>
        <v>#REF!</v>
      </c>
      <c r="B494">
        <f>ROW()</f>
        <v>494</v>
      </c>
    </row>
    <row r="495" spans="1:2" x14ac:dyDescent="0.25">
      <c r="A495" s="23" t="e">
        <f>#REF!&amp;"_"&amp;#REF!</f>
        <v>#REF!</v>
      </c>
      <c r="B495">
        <f>ROW()</f>
        <v>495</v>
      </c>
    </row>
    <row r="496" spans="1:2" x14ac:dyDescent="0.25">
      <c r="A496" s="23" t="e">
        <f>#REF!&amp;"_"&amp;#REF!</f>
        <v>#REF!</v>
      </c>
      <c r="B496">
        <f>ROW()</f>
        <v>496</v>
      </c>
    </row>
    <row r="497" spans="1:2" x14ac:dyDescent="0.25">
      <c r="A497" s="23" t="e">
        <f>#REF!&amp;"_"&amp;#REF!</f>
        <v>#REF!</v>
      </c>
      <c r="B497">
        <f>ROW()</f>
        <v>497</v>
      </c>
    </row>
    <row r="498" spans="1:2" x14ac:dyDescent="0.25">
      <c r="A498" s="23" t="e">
        <f>#REF!&amp;"_"&amp;#REF!</f>
        <v>#REF!</v>
      </c>
      <c r="B498">
        <f>ROW()</f>
        <v>498</v>
      </c>
    </row>
    <row r="499" spans="1:2" x14ac:dyDescent="0.25">
      <c r="A499" s="23" t="e">
        <f>#REF!&amp;"_"&amp;#REF!</f>
        <v>#REF!</v>
      </c>
      <c r="B499">
        <f>ROW()</f>
        <v>499</v>
      </c>
    </row>
    <row r="500" spans="1:2" x14ac:dyDescent="0.25">
      <c r="A500" s="23" t="e">
        <f>#REF!&amp;"_"&amp;#REF!</f>
        <v>#REF!</v>
      </c>
      <c r="B500">
        <f>ROW()</f>
        <v>500</v>
      </c>
    </row>
    <row r="501" spans="1:2" x14ac:dyDescent="0.25">
      <c r="A501" s="23" t="e">
        <f>#REF!&amp;"_"&amp;#REF!</f>
        <v>#REF!</v>
      </c>
      <c r="B501">
        <f>ROW()</f>
        <v>501</v>
      </c>
    </row>
    <row r="502" spans="1:2" x14ac:dyDescent="0.25">
      <c r="A502" s="23" t="e">
        <f>#REF!&amp;"_"&amp;#REF!</f>
        <v>#REF!</v>
      </c>
      <c r="B502">
        <f>ROW()</f>
        <v>502</v>
      </c>
    </row>
    <row r="503" spans="1:2" x14ac:dyDescent="0.25">
      <c r="A503" s="23" t="e">
        <f>#REF!&amp;"_"&amp;#REF!</f>
        <v>#REF!</v>
      </c>
      <c r="B503">
        <f>ROW()</f>
        <v>503</v>
      </c>
    </row>
    <row r="504" spans="1:2" x14ac:dyDescent="0.25">
      <c r="A504" s="23" t="e">
        <f>#REF!&amp;"_"&amp;#REF!</f>
        <v>#REF!</v>
      </c>
      <c r="B504">
        <f>ROW()</f>
        <v>504</v>
      </c>
    </row>
    <row r="505" spans="1:2" x14ac:dyDescent="0.25">
      <c r="A505" s="23" t="e">
        <f>#REF!&amp;"_"&amp;#REF!</f>
        <v>#REF!</v>
      </c>
      <c r="B505">
        <f>ROW()</f>
        <v>505</v>
      </c>
    </row>
    <row r="506" spans="1:2" x14ac:dyDescent="0.25">
      <c r="A506" s="23" t="e">
        <f>#REF!&amp;"_"&amp;#REF!</f>
        <v>#REF!</v>
      </c>
      <c r="B506">
        <f>ROW()</f>
        <v>506</v>
      </c>
    </row>
    <row r="507" spans="1:2" x14ac:dyDescent="0.25">
      <c r="A507" s="23" t="e">
        <f>#REF!&amp;"_"&amp;#REF!</f>
        <v>#REF!</v>
      </c>
      <c r="B507">
        <f>ROW()</f>
        <v>507</v>
      </c>
    </row>
    <row r="508" spans="1:2" x14ac:dyDescent="0.25">
      <c r="A508" s="23" t="e">
        <f>#REF!&amp;"_"&amp;#REF!</f>
        <v>#REF!</v>
      </c>
      <c r="B508">
        <f>ROW()</f>
        <v>508</v>
      </c>
    </row>
    <row r="509" spans="1:2" x14ac:dyDescent="0.25">
      <c r="A509" s="23" t="e">
        <f>#REF!&amp;"_"&amp;#REF!</f>
        <v>#REF!</v>
      </c>
      <c r="B509">
        <f>ROW()</f>
        <v>509</v>
      </c>
    </row>
    <row r="510" spans="1:2" x14ac:dyDescent="0.25">
      <c r="A510" s="23" t="e">
        <f>#REF!&amp;"_"&amp;#REF!</f>
        <v>#REF!</v>
      </c>
      <c r="B510">
        <f>ROW()</f>
        <v>510</v>
      </c>
    </row>
    <row r="511" spans="1:2" x14ac:dyDescent="0.25">
      <c r="A511" s="23" t="e">
        <f>#REF!&amp;"_"&amp;#REF!</f>
        <v>#REF!</v>
      </c>
      <c r="B511">
        <f>ROW()</f>
        <v>511</v>
      </c>
    </row>
    <row r="512" spans="1:2" x14ac:dyDescent="0.25">
      <c r="A512" s="23" t="e">
        <f>#REF!&amp;"_"&amp;#REF!</f>
        <v>#REF!</v>
      </c>
      <c r="B512">
        <f>ROW()</f>
        <v>512</v>
      </c>
    </row>
    <row r="513" spans="1:2" x14ac:dyDescent="0.25">
      <c r="A513" s="23" t="e">
        <f>#REF!&amp;"_"&amp;#REF!</f>
        <v>#REF!</v>
      </c>
      <c r="B513">
        <f>ROW()</f>
        <v>513</v>
      </c>
    </row>
    <row r="514" spans="1:2" x14ac:dyDescent="0.25">
      <c r="A514" s="23" t="e">
        <f>#REF!&amp;"_"&amp;#REF!</f>
        <v>#REF!</v>
      </c>
      <c r="B514">
        <f>ROW()</f>
        <v>514</v>
      </c>
    </row>
    <row r="515" spans="1:2" x14ac:dyDescent="0.25">
      <c r="A515" s="23" t="e">
        <f>#REF!&amp;"_"&amp;#REF!</f>
        <v>#REF!</v>
      </c>
      <c r="B515">
        <f>ROW()</f>
        <v>515</v>
      </c>
    </row>
    <row r="516" spans="1:2" x14ac:dyDescent="0.25">
      <c r="A516" s="23" t="e">
        <f>#REF!&amp;"_"&amp;#REF!</f>
        <v>#REF!</v>
      </c>
      <c r="B516">
        <f>ROW()</f>
        <v>516</v>
      </c>
    </row>
    <row r="517" spans="1:2" x14ac:dyDescent="0.25">
      <c r="A517" s="23" t="e">
        <f>#REF!&amp;"_"&amp;#REF!</f>
        <v>#REF!</v>
      </c>
      <c r="B517">
        <f>ROW()</f>
        <v>517</v>
      </c>
    </row>
    <row r="518" spans="1:2" x14ac:dyDescent="0.25">
      <c r="A518" s="23" t="e">
        <f>#REF!&amp;"_"&amp;#REF!</f>
        <v>#REF!</v>
      </c>
      <c r="B518">
        <f>ROW()</f>
        <v>518</v>
      </c>
    </row>
    <row r="519" spans="1:2" x14ac:dyDescent="0.25">
      <c r="A519" s="23" t="e">
        <f>#REF!&amp;"_"&amp;#REF!</f>
        <v>#REF!</v>
      </c>
      <c r="B519">
        <f>ROW()</f>
        <v>519</v>
      </c>
    </row>
    <row r="520" spans="1:2" x14ac:dyDescent="0.25">
      <c r="A520" s="23" t="e">
        <f>#REF!&amp;"_"&amp;#REF!</f>
        <v>#REF!</v>
      </c>
      <c r="B520">
        <f>ROW()</f>
        <v>520</v>
      </c>
    </row>
    <row r="521" spans="1:2" x14ac:dyDescent="0.25">
      <c r="A521" s="23" t="e">
        <f>#REF!&amp;"_"&amp;#REF!</f>
        <v>#REF!</v>
      </c>
      <c r="B521">
        <f>ROW()</f>
        <v>521</v>
      </c>
    </row>
    <row r="522" spans="1:2" x14ac:dyDescent="0.25">
      <c r="A522" s="23" t="e">
        <f>#REF!&amp;"_"&amp;#REF!</f>
        <v>#REF!</v>
      </c>
      <c r="B522">
        <f>ROW()</f>
        <v>522</v>
      </c>
    </row>
    <row r="523" spans="1:2" x14ac:dyDescent="0.25">
      <c r="A523" s="23" t="e">
        <f>#REF!&amp;"_"&amp;#REF!</f>
        <v>#REF!</v>
      </c>
      <c r="B523">
        <f>ROW()</f>
        <v>523</v>
      </c>
    </row>
    <row r="524" spans="1:2" x14ac:dyDescent="0.25">
      <c r="A524" s="23" t="e">
        <f>#REF!&amp;"_"&amp;#REF!</f>
        <v>#REF!</v>
      </c>
      <c r="B524">
        <f>ROW()</f>
        <v>524</v>
      </c>
    </row>
    <row r="525" spans="1:2" x14ac:dyDescent="0.25">
      <c r="A525" s="23" t="e">
        <f>#REF!&amp;"_"&amp;#REF!</f>
        <v>#REF!</v>
      </c>
      <c r="B525">
        <f>ROW()</f>
        <v>525</v>
      </c>
    </row>
    <row r="526" spans="1:2" x14ac:dyDescent="0.25">
      <c r="A526" s="23" t="e">
        <f>#REF!&amp;"_"&amp;#REF!</f>
        <v>#REF!</v>
      </c>
      <c r="B526">
        <f>ROW()</f>
        <v>526</v>
      </c>
    </row>
    <row r="527" spans="1:2" x14ac:dyDescent="0.25">
      <c r="A527" s="23" t="e">
        <f>#REF!&amp;"_"&amp;#REF!</f>
        <v>#REF!</v>
      </c>
      <c r="B527">
        <f>ROW()</f>
        <v>527</v>
      </c>
    </row>
    <row r="528" spans="1:2" x14ac:dyDescent="0.25">
      <c r="A528" s="23" t="e">
        <f>#REF!&amp;"_"&amp;#REF!</f>
        <v>#REF!</v>
      </c>
      <c r="B528">
        <f>ROW()</f>
        <v>528</v>
      </c>
    </row>
    <row r="529" spans="1:2" x14ac:dyDescent="0.25">
      <c r="A529" s="23" t="e">
        <f>#REF!&amp;"_"&amp;#REF!</f>
        <v>#REF!</v>
      </c>
      <c r="B529">
        <f>ROW()</f>
        <v>529</v>
      </c>
    </row>
    <row r="530" spans="1:2" x14ac:dyDescent="0.25">
      <c r="A530" s="23" t="e">
        <f>#REF!&amp;"_"&amp;#REF!</f>
        <v>#REF!</v>
      </c>
      <c r="B530">
        <f>ROW()</f>
        <v>530</v>
      </c>
    </row>
    <row r="531" spans="1:2" x14ac:dyDescent="0.25">
      <c r="A531" s="23" t="e">
        <f>#REF!&amp;"_"&amp;#REF!</f>
        <v>#REF!</v>
      </c>
      <c r="B531">
        <f>ROW()</f>
        <v>531</v>
      </c>
    </row>
    <row r="532" spans="1:2" x14ac:dyDescent="0.25">
      <c r="A532" s="23" t="e">
        <f>#REF!&amp;"_"&amp;#REF!</f>
        <v>#REF!</v>
      </c>
      <c r="B532">
        <f>ROW()</f>
        <v>532</v>
      </c>
    </row>
    <row r="533" spans="1:2" x14ac:dyDescent="0.25">
      <c r="A533" s="23" t="e">
        <f>#REF!&amp;"_"&amp;#REF!</f>
        <v>#REF!</v>
      </c>
      <c r="B533">
        <f>ROW()</f>
        <v>533</v>
      </c>
    </row>
    <row r="534" spans="1:2" x14ac:dyDescent="0.25">
      <c r="A534" s="23" t="e">
        <f>#REF!&amp;"_"&amp;#REF!</f>
        <v>#REF!</v>
      </c>
      <c r="B534">
        <f>ROW()</f>
        <v>534</v>
      </c>
    </row>
    <row r="535" spans="1:2" x14ac:dyDescent="0.25">
      <c r="A535" s="23" t="e">
        <f>#REF!&amp;"_"&amp;#REF!</f>
        <v>#REF!</v>
      </c>
      <c r="B535">
        <f>ROW()</f>
        <v>535</v>
      </c>
    </row>
    <row r="536" spans="1:2" x14ac:dyDescent="0.25">
      <c r="A536" s="23" t="e">
        <f>#REF!&amp;"_"&amp;#REF!</f>
        <v>#REF!</v>
      </c>
      <c r="B536">
        <f>ROW()</f>
        <v>536</v>
      </c>
    </row>
    <row r="537" spans="1:2" x14ac:dyDescent="0.25">
      <c r="A537" s="23" t="e">
        <f>#REF!&amp;"_"&amp;#REF!</f>
        <v>#REF!</v>
      </c>
      <c r="B537">
        <f>ROW()</f>
        <v>537</v>
      </c>
    </row>
    <row r="538" spans="1:2" x14ac:dyDescent="0.25">
      <c r="A538" s="23" t="e">
        <f>#REF!&amp;"_"&amp;#REF!</f>
        <v>#REF!</v>
      </c>
      <c r="B538">
        <f>ROW()</f>
        <v>538</v>
      </c>
    </row>
    <row r="539" spans="1:2" x14ac:dyDescent="0.25">
      <c r="A539" s="23" t="e">
        <f>#REF!&amp;"_"&amp;#REF!</f>
        <v>#REF!</v>
      </c>
      <c r="B539">
        <f>ROW()</f>
        <v>539</v>
      </c>
    </row>
    <row r="540" spans="1:2" x14ac:dyDescent="0.25">
      <c r="A540" s="23" t="e">
        <f>#REF!&amp;"_"&amp;#REF!</f>
        <v>#REF!</v>
      </c>
      <c r="B540">
        <f>ROW()</f>
        <v>540</v>
      </c>
    </row>
    <row r="541" spans="1:2" x14ac:dyDescent="0.25">
      <c r="A541" s="23" t="e">
        <f>#REF!&amp;"_"&amp;#REF!</f>
        <v>#REF!</v>
      </c>
      <c r="B541">
        <f>ROW()</f>
        <v>541</v>
      </c>
    </row>
    <row r="542" spans="1:2" x14ac:dyDescent="0.25">
      <c r="A542" s="23" t="e">
        <f>#REF!&amp;"_"&amp;#REF!</f>
        <v>#REF!</v>
      </c>
      <c r="B542">
        <f>ROW()</f>
        <v>542</v>
      </c>
    </row>
    <row r="543" spans="1:2" x14ac:dyDescent="0.25">
      <c r="A543" s="23" t="e">
        <f>#REF!&amp;"_"&amp;#REF!</f>
        <v>#REF!</v>
      </c>
      <c r="B543">
        <f>ROW()</f>
        <v>543</v>
      </c>
    </row>
    <row r="544" spans="1:2" x14ac:dyDescent="0.25">
      <c r="A544" s="23" t="e">
        <f>#REF!&amp;"_"&amp;#REF!</f>
        <v>#REF!</v>
      </c>
      <c r="B544">
        <f>ROW()</f>
        <v>544</v>
      </c>
    </row>
    <row r="545" spans="1:2" x14ac:dyDescent="0.25">
      <c r="A545" s="23" t="e">
        <f>#REF!&amp;"_"&amp;#REF!</f>
        <v>#REF!</v>
      </c>
      <c r="B545">
        <f>ROW()</f>
        <v>545</v>
      </c>
    </row>
    <row r="546" spans="1:2" x14ac:dyDescent="0.25">
      <c r="A546" s="23" t="e">
        <f>#REF!&amp;"_"&amp;#REF!</f>
        <v>#REF!</v>
      </c>
      <c r="B546">
        <f>ROW()</f>
        <v>546</v>
      </c>
    </row>
    <row r="547" spans="1:2" x14ac:dyDescent="0.25">
      <c r="A547" s="23" t="e">
        <f>#REF!&amp;"_"&amp;#REF!</f>
        <v>#REF!</v>
      </c>
      <c r="B547">
        <f>ROW()</f>
        <v>547</v>
      </c>
    </row>
    <row r="548" spans="1:2" x14ac:dyDescent="0.25">
      <c r="A548" s="23" t="e">
        <f>#REF!&amp;"_"&amp;#REF!</f>
        <v>#REF!</v>
      </c>
      <c r="B548">
        <f>ROW()</f>
        <v>548</v>
      </c>
    </row>
    <row r="549" spans="1:2" x14ac:dyDescent="0.25">
      <c r="A549" s="23" t="e">
        <f>#REF!&amp;"_"&amp;#REF!</f>
        <v>#REF!</v>
      </c>
      <c r="B549">
        <f>ROW()</f>
        <v>549</v>
      </c>
    </row>
    <row r="550" spans="1:2" x14ac:dyDescent="0.25">
      <c r="A550" s="23" t="e">
        <f>#REF!&amp;"_"&amp;#REF!</f>
        <v>#REF!</v>
      </c>
      <c r="B550">
        <f>ROW()</f>
        <v>550</v>
      </c>
    </row>
    <row r="551" spans="1:2" x14ac:dyDescent="0.25">
      <c r="A551" s="23" t="e">
        <f>#REF!&amp;"_"&amp;#REF!</f>
        <v>#REF!</v>
      </c>
      <c r="B551">
        <f>ROW()</f>
        <v>551</v>
      </c>
    </row>
    <row r="552" spans="1:2" x14ac:dyDescent="0.25">
      <c r="A552" s="23" t="e">
        <f>#REF!&amp;"_"&amp;#REF!</f>
        <v>#REF!</v>
      </c>
      <c r="B552">
        <f>ROW()</f>
        <v>552</v>
      </c>
    </row>
    <row r="553" spans="1:2" x14ac:dyDescent="0.25">
      <c r="A553" s="23" t="e">
        <f>#REF!&amp;"_"&amp;#REF!</f>
        <v>#REF!</v>
      </c>
      <c r="B553">
        <f>ROW()</f>
        <v>553</v>
      </c>
    </row>
    <row r="554" spans="1:2" x14ac:dyDescent="0.25">
      <c r="A554" s="23" t="e">
        <f>#REF!&amp;"_"&amp;#REF!</f>
        <v>#REF!</v>
      </c>
      <c r="B554">
        <f>ROW()</f>
        <v>554</v>
      </c>
    </row>
    <row r="555" spans="1:2" x14ac:dyDescent="0.25">
      <c r="A555" s="23" t="e">
        <f>#REF!&amp;"_"&amp;#REF!</f>
        <v>#REF!</v>
      </c>
      <c r="B555">
        <f>ROW()</f>
        <v>555</v>
      </c>
    </row>
    <row r="556" spans="1:2" x14ac:dyDescent="0.25">
      <c r="A556" s="23" t="e">
        <f>#REF!&amp;"_"&amp;#REF!</f>
        <v>#REF!</v>
      </c>
      <c r="B556">
        <f>ROW()</f>
        <v>556</v>
      </c>
    </row>
    <row r="557" spans="1:2" x14ac:dyDescent="0.25">
      <c r="A557" s="23" t="e">
        <f>#REF!&amp;"_"&amp;#REF!</f>
        <v>#REF!</v>
      </c>
      <c r="B557">
        <f>ROW()</f>
        <v>557</v>
      </c>
    </row>
    <row r="558" spans="1:2" x14ac:dyDescent="0.25">
      <c r="A558" s="23" t="e">
        <f>#REF!&amp;"_"&amp;#REF!</f>
        <v>#REF!</v>
      </c>
      <c r="B558">
        <f>ROW()</f>
        <v>558</v>
      </c>
    </row>
    <row r="559" spans="1:2" x14ac:dyDescent="0.25">
      <c r="A559" s="23" t="e">
        <f>#REF!&amp;"_"&amp;#REF!</f>
        <v>#REF!</v>
      </c>
      <c r="B559">
        <f>ROW()</f>
        <v>559</v>
      </c>
    </row>
    <row r="560" spans="1:2" x14ac:dyDescent="0.25">
      <c r="A560" s="23" t="e">
        <f>#REF!&amp;"_"&amp;#REF!</f>
        <v>#REF!</v>
      </c>
      <c r="B560">
        <f>ROW()</f>
        <v>560</v>
      </c>
    </row>
    <row r="561" spans="1:2" x14ac:dyDescent="0.25">
      <c r="A561" s="23" t="e">
        <f>#REF!&amp;"_"&amp;#REF!</f>
        <v>#REF!</v>
      </c>
      <c r="B561">
        <f>ROW()</f>
        <v>561</v>
      </c>
    </row>
    <row r="562" spans="1:2" x14ac:dyDescent="0.25">
      <c r="A562" s="23" t="e">
        <f>#REF!&amp;"_"&amp;#REF!</f>
        <v>#REF!</v>
      </c>
      <c r="B562">
        <f>ROW()</f>
        <v>562</v>
      </c>
    </row>
    <row r="563" spans="1:2" x14ac:dyDescent="0.25">
      <c r="A563" s="23" t="e">
        <f>#REF!&amp;"_"&amp;#REF!</f>
        <v>#REF!</v>
      </c>
      <c r="B563">
        <f>ROW()</f>
        <v>563</v>
      </c>
    </row>
    <row r="564" spans="1:2" x14ac:dyDescent="0.25">
      <c r="A564" s="23" t="e">
        <f>#REF!&amp;"_"&amp;#REF!</f>
        <v>#REF!</v>
      </c>
      <c r="B564">
        <f>ROW()</f>
        <v>564</v>
      </c>
    </row>
    <row r="565" spans="1:2" x14ac:dyDescent="0.25">
      <c r="A565" s="23" t="e">
        <f>#REF!&amp;"_"&amp;#REF!</f>
        <v>#REF!</v>
      </c>
      <c r="B565">
        <f>ROW()</f>
        <v>565</v>
      </c>
    </row>
    <row r="566" spans="1:2" x14ac:dyDescent="0.25">
      <c r="A566" s="23" t="e">
        <f>#REF!&amp;"_"&amp;#REF!</f>
        <v>#REF!</v>
      </c>
      <c r="B566">
        <f>ROW()</f>
        <v>566</v>
      </c>
    </row>
    <row r="567" spans="1:2" x14ac:dyDescent="0.25">
      <c r="A567" s="23" t="e">
        <f>#REF!&amp;"_"&amp;#REF!</f>
        <v>#REF!</v>
      </c>
      <c r="B567">
        <f>ROW()</f>
        <v>567</v>
      </c>
    </row>
    <row r="568" spans="1:2" x14ac:dyDescent="0.25">
      <c r="A568" s="23" t="e">
        <f>#REF!&amp;"_"&amp;#REF!</f>
        <v>#REF!</v>
      </c>
      <c r="B568">
        <f>ROW()</f>
        <v>568</v>
      </c>
    </row>
    <row r="569" spans="1:2" x14ac:dyDescent="0.25">
      <c r="A569" s="23" t="e">
        <f>#REF!&amp;"_"&amp;#REF!</f>
        <v>#REF!</v>
      </c>
      <c r="B569">
        <f>ROW()</f>
        <v>569</v>
      </c>
    </row>
    <row r="570" spans="1:2" x14ac:dyDescent="0.25">
      <c r="A570" s="23" t="e">
        <f>#REF!&amp;"_"&amp;#REF!</f>
        <v>#REF!</v>
      </c>
      <c r="B570">
        <f>ROW()</f>
        <v>570</v>
      </c>
    </row>
    <row r="571" spans="1:2" x14ac:dyDescent="0.25">
      <c r="A571" s="23" t="e">
        <f>#REF!&amp;"_"&amp;#REF!</f>
        <v>#REF!</v>
      </c>
      <c r="B571">
        <f>ROW()</f>
        <v>571</v>
      </c>
    </row>
    <row r="572" spans="1:2" x14ac:dyDescent="0.25">
      <c r="A572" s="23" t="e">
        <f>#REF!&amp;"_"&amp;#REF!</f>
        <v>#REF!</v>
      </c>
      <c r="B572">
        <f>ROW()</f>
        <v>572</v>
      </c>
    </row>
    <row r="573" spans="1:2" x14ac:dyDescent="0.25">
      <c r="A573" s="23" t="e">
        <f>#REF!&amp;"_"&amp;#REF!</f>
        <v>#REF!</v>
      </c>
      <c r="B573">
        <f>ROW()</f>
        <v>573</v>
      </c>
    </row>
    <row r="574" spans="1:2" x14ac:dyDescent="0.25">
      <c r="A574" s="23" t="e">
        <f>#REF!&amp;"_"&amp;#REF!</f>
        <v>#REF!</v>
      </c>
      <c r="B574">
        <f>ROW()</f>
        <v>574</v>
      </c>
    </row>
    <row r="575" spans="1:2" x14ac:dyDescent="0.25">
      <c r="A575" s="23" t="e">
        <f>#REF!&amp;"_"&amp;#REF!</f>
        <v>#REF!</v>
      </c>
      <c r="B575">
        <f>ROW()</f>
        <v>575</v>
      </c>
    </row>
    <row r="576" spans="1:2" x14ac:dyDescent="0.25">
      <c r="A576" s="23" t="e">
        <f>#REF!&amp;"_"&amp;#REF!</f>
        <v>#REF!</v>
      </c>
      <c r="B576">
        <f>ROW()</f>
        <v>576</v>
      </c>
    </row>
    <row r="577" spans="1:2" x14ac:dyDescent="0.25">
      <c r="A577" s="23" t="e">
        <f>#REF!&amp;"_"&amp;#REF!</f>
        <v>#REF!</v>
      </c>
      <c r="B577">
        <f>ROW()</f>
        <v>577</v>
      </c>
    </row>
    <row r="578" spans="1:2" x14ac:dyDescent="0.25">
      <c r="A578" s="23" t="e">
        <f>#REF!&amp;"_"&amp;#REF!</f>
        <v>#REF!</v>
      </c>
      <c r="B578">
        <f>ROW()</f>
        <v>578</v>
      </c>
    </row>
    <row r="579" spans="1:2" x14ac:dyDescent="0.25">
      <c r="A579" s="23" t="e">
        <f>#REF!&amp;"_"&amp;#REF!</f>
        <v>#REF!</v>
      </c>
      <c r="B579">
        <f>ROW()</f>
        <v>579</v>
      </c>
    </row>
    <row r="580" spans="1:2" x14ac:dyDescent="0.25">
      <c r="A580" s="23" t="e">
        <f>#REF!&amp;"_"&amp;#REF!</f>
        <v>#REF!</v>
      </c>
      <c r="B580">
        <f>ROW()</f>
        <v>580</v>
      </c>
    </row>
    <row r="581" spans="1:2" x14ac:dyDescent="0.25">
      <c r="A581" s="23" t="e">
        <f>#REF!&amp;"_"&amp;#REF!</f>
        <v>#REF!</v>
      </c>
      <c r="B581">
        <f>ROW()</f>
        <v>581</v>
      </c>
    </row>
    <row r="582" spans="1:2" x14ac:dyDescent="0.25">
      <c r="A582" s="23" t="e">
        <f>#REF!&amp;"_"&amp;#REF!</f>
        <v>#REF!</v>
      </c>
      <c r="B582">
        <f>ROW()</f>
        <v>582</v>
      </c>
    </row>
    <row r="583" spans="1:2" x14ac:dyDescent="0.25">
      <c r="A583" s="23" t="e">
        <f>#REF!&amp;"_"&amp;#REF!</f>
        <v>#REF!</v>
      </c>
      <c r="B583">
        <f>ROW()</f>
        <v>583</v>
      </c>
    </row>
    <row r="584" spans="1:2" x14ac:dyDescent="0.25">
      <c r="A584" s="23" t="e">
        <f>#REF!&amp;"_"&amp;#REF!</f>
        <v>#REF!</v>
      </c>
      <c r="B584">
        <f>ROW()</f>
        <v>584</v>
      </c>
    </row>
    <row r="585" spans="1:2" x14ac:dyDescent="0.25">
      <c r="A585" s="23" t="e">
        <f>#REF!&amp;"_"&amp;#REF!</f>
        <v>#REF!</v>
      </c>
      <c r="B585">
        <f>ROW()</f>
        <v>585</v>
      </c>
    </row>
    <row r="586" spans="1:2" x14ac:dyDescent="0.25">
      <c r="A586" s="23" t="e">
        <f>#REF!&amp;"_"&amp;#REF!</f>
        <v>#REF!</v>
      </c>
      <c r="B586">
        <f>ROW()</f>
        <v>586</v>
      </c>
    </row>
    <row r="587" spans="1:2" x14ac:dyDescent="0.25">
      <c r="A587" s="23" t="e">
        <f>#REF!&amp;"_"&amp;#REF!</f>
        <v>#REF!</v>
      </c>
      <c r="B587">
        <f>ROW()</f>
        <v>587</v>
      </c>
    </row>
    <row r="588" spans="1:2" x14ac:dyDescent="0.25">
      <c r="A588" s="23" t="e">
        <f>#REF!&amp;"_"&amp;#REF!</f>
        <v>#REF!</v>
      </c>
      <c r="B588">
        <f>ROW()</f>
        <v>588</v>
      </c>
    </row>
    <row r="589" spans="1:2" x14ac:dyDescent="0.25">
      <c r="A589" s="23" t="e">
        <f>#REF!&amp;"_"&amp;#REF!</f>
        <v>#REF!</v>
      </c>
      <c r="B589">
        <f>ROW()</f>
        <v>589</v>
      </c>
    </row>
    <row r="590" spans="1:2" x14ac:dyDescent="0.25">
      <c r="A590" s="23" t="e">
        <f>#REF!&amp;"_"&amp;#REF!</f>
        <v>#REF!</v>
      </c>
      <c r="B590">
        <f>ROW()</f>
        <v>590</v>
      </c>
    </row>
    <row r="591" spans="1:2" x14ac:dyDescent="0.25">
      <c r="A591" s="23" t="e">
        <f>#REF!&amp;"_"&amp;#REF!</f>
        <v>#REF!</v>
      </c>
      <c r="B591">
        <f>ROW()</f>
        <v>591</v>
      </c>
    </row>
    <row r="592" spans="1:2" x14ac:dyDescent="0.25">
      <c r="A592" s="23" t="e">
        <f>#REF!&amp;"_"&amp;#REF!</f>
        <v>#REF!</v>
      </c>
      <c r="B592">
        <f>ROW()</f>
        <v>592</v>
      </c>
    </row>
    <row r="593" spans="1:2" x14ac:dyDescent="0.25">
      <c r="A593" s="23" t="e">
        <f>#REF!&amp;"_"&amp;#REF!</f>
        <v>#REF!</v>
      </c>
      <c r="B593">
        <f>ROW()</f>
        <v>593</v>
      </c>
    </row>
    <row r="594" spans="1:2" x14ac:dyDescent="0.25">
      <c r="A594" s="23" t="e">
        <f>#REF!&amp;"_"&amp;#REF!</f>
        <v>#REF!</v>
      </c>
      <c r="B594">
        <f>ROW()</f>
        <v>594</v>
      </c>
    </row>
    <row r="595" spans="1:2" x14ac:dyDescent="0.25">
      <c r="A595" s="23" t="e">
        <f>#REF!&amp;"_"&amp;#REF!</f>
        <v>#REF!</v>
      </c>
      <c r="B595">
        <f>ROW()</f>
        <v>595</v>
      </c>
    </row>
    <row r="596" spans="1:2" x14ac:dyDescent="0.25">
      <c r="A596" s="23" t="e">
        <f>#REF!&amp;"_"&amp;#REF!</f>
        <v>#REF!</v>
      </c>
      <c r="B596">
        <f>ROW()</f>
        <v>596</v>
      </c>
    </row>
    <row r="597" spans="1:2" x14ac:dyDescent="0.25">
      <c r="A597" s="23" t="e">
        <f>#REF!&amp;"_"&amp;#REF!</f>
        <v>#REF!</v>
      </c>
      <c r="B597">
        <f>ROW()</f>
        <v>597</v>
      </c>
    </row>
    <row r="598" spans="1:2" x14ac:dyDescent="0.25">
      <c r="A598" s="23" t="e">
        <f>#REF!&amp;"_"&amp;#REF!</f>
        <v>#REF!</v>
      </c>
      <c r="B598">
        <f>ROW()</f>
        <v>598</v>
      </c>
    </row>
    <row r="599" spans="1:2" x14ac:dyDescent="0.25">
      <c r="A599" s="23" t="e">
        <f>#REF!&amp;"_"&amp;#REF!</f>
        <v>#REF!</v>
      </c>
      <c r="B599">
        <f>ROW()</f>
        <v>599</v>
      </c>
    </row>
    <row r="600" spans="1:2" x14ac:dyDescent="0.25">
      <c r="A600" s="23" t="e">
        <f>#REF!&amp;"_"&amp;#REF!</f>
        <v>#REF!</v>
      </c>
      <c r="B600">
        <f>ROW()</f>
        <v>600</v>
      </c>
    </row>
    <row r="601" spans="1:2" x14ac:dyDescent="0.25">
      <c r="A601" s="23" t="e">
        <f>#REF!&amp;"_"&amp;#REF!</f>
        <v>#REF!</v>
      </c>
      <c r="B601">
        <f>ROW()</f>
        <v>601</v>
      </c>
    </row>
    <row r="602" spans="1:2" x14ac:dyDescent="0.25">
      <c r="A602" s="23" t="e">
        <f>#REF!&amp;"_"&amp;#REF!</f>
        <v>#REF!</v>
      </c>
      <c r="B602">
        <f>ROW()</f>
        <v>602</v>
      </c>
    </row>
    <row r="603" spans="1:2" x14ac:dyDescent="0.25">
      <c r="A603" s="23" t="e">
        <f>#REF!&amp;"_"&amp;#REF!</f>
        <v>#REF!</v>
      </c>
      <c r="B603">
        <f>ROW()</f>
        <v>603</v>
      </c>
    </row>
    <row r="604" spans="1:2" x14ac:dyDescent="0.25">
      <c r="A604" s="23" t="e">
        <f>#REF!&amp;"_"&amp;#REF!</f>
        <v>#REF!</v>
      </c>
      <c r="B604">
        <f>ROW()</f>
        <v>604</v>
      </c>
    </row>
    <row r="605" spans="1:2" x14ac:dyDescent="0.25">
      <c r="A605" s="23" t="e">
        <f>#REF!&amp;"_"&amp;#REF!</f>
        <v>#REF!</v>
      </c>
      <c r="B605">
        <f>ROW()</f>
        <v>605</v>
      </c>
    </row>
    <row r="606" spans="1:2" x14ac:dyDescent="0.25">
      <c r="A606" s="23" t="e">
        <f>#REF!&amp;"_"&amp;#REF!</f>
        <v>#REF!</v>
      </c>
      <c r="B606">
        <f>ROW()</f>
        <v>606</v>
      </c>
    </row>
    <row r="607" spans="1:2" x14ac:dyDescent="0.25">
      <c r="A607" s="23" t="e">
        <f>#REF!&amp;"_"&amp;#REF!</f>
        <v>#REF!</v>
      </c>
      <c r="B607">
        <f>ROW()</f>
        <v>607</v>
      </c>
    </row>
    <row r="608" spans="1:2" x14ac:dyDescent="0.25">
      <c r="A608" s="23" t="e">
        <f>#REF!&amp;"_"&amp;#REF!</f>
        <v>#REF!</v>
      </c>
      <c r="B608">
        <f>ROW()</f>
        <v>608</v>
      </c>
    </row>
    <row r="609" spans="1:2" x14ac:dyDescent="0.25">
      <c r="A609" s="23" t="e">
        <f>#REF!&amp;"_"&amp;#REF!</f>
        <v>#REF!</v>
      </c>
      <c r="B609">
        <f>ROW()</f>
        <v>609</v>
      </c>
    </row>
    <row r="610" spans="1:2" x14ac:dyDescent="0.25">
      <c r="A610" s="23" t="e">
        <f>#REF!&amp;"_"&amp;#REF!</f>
        <v>#REF!</v>
      </c>
      <c r="B610">
        <f>ROW()</f>
        <v>610</v>
      </c>
    </row>
    <row r="611" spans="1:2" x14ac:dyDescent="0.25">
      <c r="A611" s="23" t="e">
        <f>#REF!&amp;"_"&amp;#REF!</f>
        <v>#REF!</v>
      </c>
      <c r="B611">
        <f>ROW()</f>
        <v>611</v>
      </c>
    </row>
    <row r="612" spans="1:2" x14ac:dyDescent="0.25">
      <c r="A612" s="23" t="e">
        <f>#REF!&amp;"_"&amp;#REF!</f>
        <v>#REF!</v>
      </c>
      <c r="B612">
        <f>ROW()</f>
        <v>612</v>
      </c>
    </row>
    <row r="613" spans="1:2" x14ac:dyDescent="0.25">
      <c r="A613" s="23" t="e">
        <f>#REF!&amp;"_"&amp;#REF!</f>
        <v>#REF!</v>
      </c>
      <c r="B613">
        <f>ROW()</f>
        <v>613</v>
      </c>
    </row>
    <row r="614" spans="1:2" x14ac:dyDescent="0.25">
      <c r="A614" s="23" t="e">
        <f>#REF!&amp;"_"&amp;#REF!</f>
        <v>#REF!</v>
      </c>
      <c r="B614">
        <f>ROW()</f>
        <v>614</v>
      </c>
    </row>
    <row r="615" spans="1:2" x14ac:dyDescent="0.25">
      <c r="A615" s="23" t="e">
        <f>#REF!&amp;"_"&amp;#REF!</f>
        <v>#REF!</v>
      </c>
      <c r="B615">
        <f>ROW()</f>
        <v>615</v>
      </c>
    </row>
    <row r="616" spans="1:2" x14ac:dyDescent="0.25">
      <c r="A616" s="23" t="e">
        <f>#REF!&amp;"_"&amp;#REF!</f>
        <v>#REF!</v>
      </c>
      <c r="B616">
        <f>ROW()</f>
        <v>616</v>
      </c>
    </row>
    <row r="617" spans="1:2" x14ac:dyDescent="0.25">
      <c r="A617" s="23" t="e">
        <f>#REF!&amp;"_"&amp;#REF!</f>
        <v>#REF!</v>
      </c>
      <c r="B617">
        <f>ROW()</f>
        <v>617</v>
      </c>
    </row>
    <row r="618" spans="1:2" x14ac:dyDescent="0.25">
      <c r="A618" s="23" t="e">
        <f>#REF!&amp;"_"&amp;#REF!</f>
        <v>#REF!</v>
      </c>
      <c r="B618">
        <f>ROW()</f>
        <v>618</v>
      </c>
    </row>
    <row r="619" spans="1:2" x14ac:dyDescent="0.25">
      <c r="A619" s="23" t="e">
        <f>#REF!&amp;"_"&amp;#REF!</f>
        <v>#REF!</v>
      </c>
      <c r="B619">
        <f>ROW()</f>
        <v>619</v>
      </c>
    </row>
    <row r="620" spans="1:2" x14ac:dyDescent="0.25">
      <c r="A620" s="23" t="e">
        <f>#REF!&amp;"_"&amp;#REF!</f>
        <v>#REF!</v>
      </c>
      <c r="B620">
        <f>ROW()</f>
        <v>620</v>
      </c>
    </row>
    <row r="621" spans="1:2" x14ac:dyDescent="0.25">
      <c r="A621" s="23" t="e">
        <f>#REF!&amp;"_"&amp;#REF!</f>
        <v>#REF!</v>
      </c>
      <c r="B621">
        <f>ROW()</f>
        <v>621</v>
      </c>
    </row>
    <row r="622" spans="1:2" x14ac:dyDescent="0.25">
      <c r="A622" s="23" t="e">
        <f>#REF!&amp;"_"&amp;#REF!</f>
        <v>#REF!</v>
      </c>
      <c r="B622">
        <f>ROW()</f>
        <v>622</v>
      </c>
    </row>
    <row r="623" spans="1:2" x14ac:dyDescent="0.25">
      <c r="A623" s="23" t="e">
        <f>#REF!&amp;"_"&amp;#REF!</f>
        <v>#REF!</v>
      </c>
      <c r="B623">
        <f>ROW()</f>
        <v>623</v>
      </c>
    </row>
    <row r="624" spans="1:2" x14ac:dyDescent="0.25">
      <c r="A624" s="23" t="e">
        <f>#REF!&amp;"_"&amp;#REF!</f>
        <v>#REF!</v>
      </c>
      <c r="B624">
        <f>ROW()</f>
        <v>624</v>
      </c>
    </row>
    <row r="625" spans="1:2" x14ac:dyDescent="0.25">
      <c r="A625" s="23" t="e">
        <f>#REF!&amp;"_"&amp;#REF!</f>
        <v>#REF!</v>
      </c>
      <c r="B625">
        <f>ROW()</f>
        <v>625</v>
      </c>
    </row>
    <row r="626" spans="1:2" x14ac:dyDescent="0.25">
      <c r="A626" s="23" t="e">
        <f>#REF!&amp;"_"&amp;#REF!</f>
        <v>#REF!</v>
      </c>
      <c r="B626">
        <f>ROW()</f>
        <v>626</v>
      </c>
    </row>
    <row r="627" spans="1:2" x14ac:dyDescent="0.25">
      <c r="A627" s="23" t="e">
        <f>#REF!&amp;"_"&amp;#REF!</f>
        <v>#REF!</v>
      </c>
      <c r="B627">
        <f>ROW()</f>
        <v>627</v>
      </c>
    </row>
    <row r="628" spans="1:2" x14ac:dyDescent="0.25">
      <c r="A628" s="23" t="e">
        <f>#REF!&amp;"_"&amp;#REF!</f>
        <v>#REF!</v>
      </c>
      <c r="B628">
        <f>ROW()</f>
        <v>628</v>
      </c>
    </row>
    <row r="629" spans="1:2" x14ac:dyDescent="0.25">
      <c r="A629" s="23" t="e">
        <f>#REF!&amp;"_"&amp;#REF!</f>
        <v>#REF!</v>
      </c>
      <c r="B629">
        <f>ROW()</f>
        <v>629</v>
      </c>
    </row>
    <row r="630" spans="1:2" x14ac:dyDescent="0.25">
      <c r="A630" s="23" t="e">
        <f>#REF!&amp;"_"&amp;#REF!</f>
        <v>#REF!</v>
      </c>
      <c r="B630">
        <f>ROW()</f>
        <v>630</v>
      </c>
    </row>
    <row r="631" spans="1:2" x14ac:dyDescent="0.25">
      <c r="A631" s="23" t="e">
        <f>#REF!&amp;"_"&amp;#REF!</f>
        <v>#REF!</v>
      </c>
      <c r="B631">
        <f>ROW()</f>
        <v>631</v>
      </c>
    </row>
    <row r="632" spans="1:2" x14ac:dyDescent="0.25">
      <c r="A632" s="23" t="e">
        <f>#REF!&amp;"_"&amp;#REF!</f>
        <v>#REF!</v>
      </c>
      <c r="B632">
        <f>ROW()</f>
        <v>632</v>
      </c>
    </row>
    <row r="633" spans="1:2" x14ac:dyDescent="0.25">
      <c r="A633" s="23" t="e">
        <f>#REF!&amp;"_"&amp;#REF!</f>
        <v>#REF!</v>
      </c>
      <c r="B633">
        <f>ROW()</f>
        <v>633</v>
      </c>
    </row>
    <row r="634" spans="1:2" x14ac:dyDescent="0.25">
      <c r="A634" s="23" t="e">
        <f>#REF!&amp;"_"&amp;#REF!</f>
        <v>#REF!</v>
      </c>
      <c r="B634">
        <f>ROW()</f>
        <v>634</v>
      </c>
    </row>
    <row r="635" spans="1:2" x14ac:dyDescent="0.25">
      <c r="A635" s="23" t="e">
        <f>#REF!&amp;"_"&amp;#REF!</f>
        <v>#REF!</v>
      </c>
      <c r="B635">
        <f>ROW()</f>
        <v>635</v>
      </c>
    </row>
    <row r="636" spans="1:2" x14ac:dyDescent="0.25">
      <c r="A636" s="23" t="e">
        <f>#REF!&amp;"_"&amp;#REF!</f>
        <v>#REF!</v>
      </c>
      <c r="B636">
        <f>ROW()</f>
        <v>636</v>
      </c>
    </row>
    <row r="637" spans="1:2" x14ac:dyDescent="0.25">
      <c r="A637" s="23" t="e">
        <f>#REF!&amp;"_"&amp;#REF!</f>
        <v>#REF!</v>
      </c>
      <c r="B637">
        <f>ROW()</f>
        <v>637</v>
      </c>
    </row>
    <row r="638" spans="1:2" x14ac:dyDescent="0.25">
      <c r="A638" s="23" t="e">
        <f>#REF!&amp;"_"&amp;#REF!</f>
        <v>#REF!</v>
      </c>
      <c r="B638">
        <f>ROW()</f>
        <v>638</v>
      </c>
    </row>
    <row r="639" spans="1:2" x14ac:dyDescent="0.25">
      <c r="A639" s="23" t="e">
        <f>#REF!&amp;"_"&amp;#REF!</f>
        <v>#REF!</v>
      </c>
      <c r="B639">
        <f>ROW()</f>
        <v>639</v>
      </c>
    </row>
    <row r="640" spans="1:2" x14ac:dyDescent="0.25">
      <c r="A640" s="23" t="e">
        <f>#REF!&amp;"_"&amp;#REF!</f>
        <v>#REF!</v>
      </c>
      <c r="B640">
        <f>ROW()</f>
        <v>640</v>
      </c>
    </row>
    <row r="641" spans="1:2" x14ac:dyDescent="0.25">
      <c r="A641" s="23" t="e">
        <f>#REF!&amp;"_"&amp;#REF!</f>
        <v>#REF!</v>
      </c>
      <c r="B641">
        <f>ROW()</f>
        <v>641</v>
      </c>
    </row>
    <row r="642" spans="1:2" x14ac:dyDescent="0.25">
      <c r="A642" s="23" t="e">
        <f>#REF!&amp;"_"&amp;#REF!</f>
        <v>#REF!</v>
      </c>
      <c r="B642">
        <f>ROW()</f>
        <v>642</v>
      </c>
    </row>
    <row r="643" spans="1:2" x14ac:dyDescent="0.25">
      <c r="A643" s="23" t="e">
        <f>#REF!&amp;"_"&amp;#REF!</f>
        <v>#REF!</v>
      </c>
      <c r="B643">
        <f>ROW()</f>
        <v>643</v>
      </c>
    </row>
    <row r="644" spans="1:2" x14ac:dyDescent="0.25">
      <c r="A644" s="23" t="e">
        <f>#REF!&amp;"_"&amp;#REF!</f>
        <v>#REF!</v>
      </c>
      <c r="B644">
        <f>ROW()</f>
        <v>644</v>
      </c>
    </row>
    <row r="645" spans="1:2" x14ac:dyDescent="0.25">
      <c r="A645" s="23" t="e">
        <f>#REF!&amp;"_"&amp;#REF!</f>
        <v>#REF!</v>
      </c>
      <c r="B645">
        <f>ROW()</f>
        <v>645</v>
      </c>
    </row>
    <row r="646" spans="1:2" x14ac:dyDescent="0.25">
      <c r="A646" s="23" t="e">
        <f>#REF!&amp;"_"&amp;#REF!</f>
        <v>#REF!</v>
      </c>
      <c r="B646">
        <f>ROW()</f>
        <v>646</v>
      </c>
    </row>
    <row r="647" spans="1:2" x14ac:dyDescent="0.25">
      <c r="A647" s="23" t="e">
        <f>#REF!&amp;"_"&amp;#REF!</f>
        <v>#REF!</v>
      </c>
      <c r="B647">
        <f>ROW()</f>
        <v>647</v>
      </c>
    </row>
    <row r="648" spans="1:2" x14ac:dyDescent="0.25">
      <c r="A648" s="23" t="e">
        <f>#REF!&amp;"_"&amp;#REF!</f>
        <v>#REF!</v>
      </c>
      <c r="B648">
        <f>ROW()</f>
        <v>648</v>
      </c>
    </row>
    <row r="649" spans="1:2" x14ac:dyDescent="0.25">
      <c r="A649" s="23" t="e">
        <f>#REF!&amp;"_"&amp;#REF!</f>
        <v>#REF!</v>
      </c>
      <c r="B649">
        <f>ROW()</f>
        <v>649</v>
      </c>
    </row>
    <row r="650" spans="1:2" x14ac:dyDescent="0.25">
      <c r="A650" s="23" t="e">
        <f>#REF!&amp;"_"&amp;#REF!</f>
        <v>#REF!</v>
      </c>
      <c r="B650">
        <f>ROW()</f>
        <v>650</v>
      </c>
    </row>
    <row r="651" spans="1:2" x14ac:dyDescent="0.25">
      <c r="A651" s="23" t="e">
        <f>#REF!&amp;"_"&amp;#REF!</f>
        <v>#REF!</v>
      </c>
      <c r="B651">
        <f>ROW()</f>
        <v>651</v>
      </c>
    </row>
    <row r="652" spans="1:2" x14ac:dyDescent="0.25">
      <c r="A652" s="23" t="e">
        <f>#REF!&amp;"_"&amp;#REF!</f>
        <v>#REF!</v>
      </c>
      <c r="B652">
        <f>ROW()</f>
        <v>652</v>
      </c>
    </row>
    <row r="653" spans="1:2" x14ac:dyDescent="0.25">
      <c r="A653" s="23" t="e">
        <f>#REF!&amp;"_"&amp;#REF!</f>
        <v>#REF!</v>
      </c>
      <c r="B653">
        <f>ROW()</f>
        <v>653</v>
      </c>
    </row>
    <row r="654" spans="1:2" x14ac:dyDescent="0.25">
      <c r="A654" s="23" t="e">
        <f>#REF!&amp;"_"&amp;#REF!</f>
        <v>#REF!</v>
      </c>
      <c r="B654">
        <f>ROW()</f>
        <v>654</v>
      </c>
    </row>
    <row r="655" spans="1:2" x14ac:dyDescent="0.25">
      <c r="A655" s="23" t="e">
        <f>#REF!&amp;"_"&amp;#REF!</f>
        <v>#REF!</v>
      </c>
      <c r="B655">
        <f>ROW()</f>
        <v>655</v>
      </c>
    </row>
    <row r="656" spans="1:2" x14ac:dyDescent="0.25">
      <c r="A656" s="23" t="e">
        <f>#REF!&amp;"_"&amp;#REF!</f>
        <v>#REF!</v>
      </c>
      <c r="B656">
        <f>ROW()</f>
        <v>656</v>
      </c>
    </row>
    <row r="657" spans="1:2" x14ac:dyDescent="0.25">
      <c r="A657" s="23" t="e">
        <f>#REF!&amp;"_"&amp;#REF!</f>
        <v>#REF!</v>
      </c>
      <c r="B657">
        <f>ROW()</f>
        <v>657</v>
      </c>
    </row>
    <row r="658" spans="1:2" x14ac:dyDescent="0.25">
      <c r="A658" s="23" t="e">
        <f>#REF!&amp;"_"&amp;#REF!</f>
        <v>#REF!</v>
      </c>
      <c r="B658">
        <f>ROW()</f>
        <v>658</v>
      </c>
    </row>
    <row r="659" spans="1:2" x14ac:dyDescent="0.25">
      <c r="A659" s="23" t="e">
        <f>#REF!&amp;"_"&amp;#REF!</f>
        <v>#REF!</v>
      </c>
      <c r="B659">
        <f>ROW()</f>
        <v>659</v>
      </c>
    </row>
    <row r="660" spans="1:2" x14ac:dyDescent="0.25">
      <c r="A660" s="23" t="e">
        <f>#REF!&amp;"_"&amp;#REF!</f>
        <v>#REF!</v>
      </c>
      <c r="B660">
        <f>ROW()</f>
        <v>660</v>
      </c>
    </row>
    <row r="661" spans="1:2" x14ac:dyDescent="0.25">
      <c r="A661" s="23" t="e">
        <f>#REF!&amp;"_"&amp;#REF!</f>
        <v>#REF!</v>
      </c>
      <c r="B661">
        <f>ROW()</f>
        <v>661</v>
      </c>
    </row>
    <row r="662" spans="1:2" x14ac:dyDescent="0.25">
      <c r="A662" s="23" t="e">
        <f>#REF!&amp;"_"&amp;#REF!</f>
        <v>#REF!</v>
      </c>
      <c r="B662">
        <f>ROW()</f>
        <v>662</v>
      </c>
    </row>
    <row r="663" spans="1:2" x14ac:dyDescent="0.25">
      <c r="A663" s="23" t="e">
        <f>#REF!&amp;"_"&amp;#REF!</f>
        <v>#REF!</v>
      </c>
      <c r="B663">
        <f>ROW()</f>
        <v>663</v>
      </c>
    </row>
    <row r="664" spans="1:2" x14ac:dyDescent="0.25">
      <c r="A664" s="23" t="e">
        <f>#REF!&amp;"_"&amp;#REF!</f>
        <v>#REF!</v>
      </c>
      <c r="B664">
        <f>ROW()</f>
        <v>664</v>
      </c>
    </row>
    <row r="665" spans="1:2" x14ac:dyDescent="0.25">
      <c r="A665" s="23" t="e">
        <f>#REF!&amp;"_"&amp;#REF!</f>
        <v>#REF!</v>
      </c>
      <c r="B665">
        <f>ROW()</f>
        <v>665</v>
      </c>
    </row>
    <row r="666" spans="1:2" x14ac:dyDescent="0.25">
      <c r="A666" s="23" t="e">
        <f>#REF!&amp;"_"&amp;#REF!</f>
        <v>#REF!</v>
      </c>
      <c r="B666">
        <f>ROW()</f>
        <v>666</v>
      </c>
    </row>
    <row r="667" spans="1:2" x14ac:dyDescent="0.25">
      <c r="A667" s="23" t="e">
        <f>#REF!&amp;"_"&amp;#REF!</f>
        <v>#REF!</v>
      </c>
      <c r="B667">
        <f>ROW()</f>
        <v>667</v>
      </c>
    </row>
    <row r="668" spans="1:2" x14ac:dyDescent="0.25">
      <c r="A668" s="23" t="e">
        <f>#REF!&amp;"_"&amp;#REF!</f>
        <v>#REF!</v>
      </c>
      <c r="B668">
        <f>ROW()</f>
        <v>668</v>
      </c>
    </row>
    <row r="669" spans="1:2" x14ac:dyDescent="0.25">
      <c r="A669" s="23" t="e">
        <f>#REF!&amp;"_"&amp;#REF!</f>
        <v>#REF!</v>
      </c>
      <c r="B669">
        <f>ROW()</f>
        <v>669</v>
      </c>
    </row>
    <row r="670" spans="1:2" x14ac:dyDescent="0.25">
      <c r="A670" s="23" t="e">
        <f>#REF!&amp;"_"&amp;#REF!</f>
        <v>#REF!</v>
      </c>
      <c r="B670">
        <f>ROW()</f>
        <v>670</v>
      </c>
    </row>
    <row r="671" spans="1:2" x14ac:dyDescent="0.25">
      <c r="A671" s="23" t="e">
        <f>#REF!&amp;"_"&amp;#REF!</f>
        <v>#REF!</v>
      </c>
      <c r="B671">
        <f>ROW()</f>
        <v>671</v>
      </c>
    </row>
    <row r="672" spans="1:2" x14ac:dyDescent="0.25">
      <c r="A672" s="23" t="e">
        <f>#REF!&amp;"_"&amp;#REF!</f>
        <v>#REF!</v>
      </c>
      <c r="B672">
        <f>ROW()</f>
        <v>672</v>
      </c>
    </row>
    <row r="673" spans="1:2" x14ac:dyDescent="0.25">
      <c r="A673" s="23" t="e">
        <f>#REF!&amp;"_"&amp;#REF!</f>
        <v>#REF!</v>
      </c>
      <c r="B673">
        <f>ROW()</f>
        <v>673</v>
      </c>
    </row>
    <row r="674" spans="1:2" x14ac:dyDescent="0.25">
      <c r="A674" s="23" t="e">
        <f>#REF!&amp;"_"&amp;#REF!</f>
        <v>#REF!</v>
      </c>
      <c r="B674">
        <f>ROW()</f>
        <v>674</v>
      </c>
    </row>
    <row r="675" spans="1:2" x14ac:dyDescent="0.25">
      <c r="A675" s="23" t="e">
        <f>#REF!&amp;"_"&amp;#REF!</f>
        <v>#REF!</v>
      </c>
      <c r="B675">
        <f>ROW()</f>
        <v>675</v>
      </c>
    </row>
    <row r="676" spans="1:2" x14ac:dyDescent="0.25">
      <c r="A676" s="23" t="e">
        <f>#REF!&amp;"_"&amp;#REF!</f>
        <v>#REF!</v>
      </c>
      <c r="B676">
        <f>ROW()</f>
        <v>676</v>
      </c>
    </row>
    <row r="677" spans="1:2" x14ac:dyDescent="0.25">
      <c r="A677" s="23" t="e">
        <f>#REF!&amp;"_"&amp;#REF!</f>
        <v>#REF!</v>
      </c>
      <c r="B677">
        <f>ROW()</f>
        <v>677</v>
      </c>
    </row>
    <row r="678" spans="1:2" x14ac:dyDescent="0.25">
      <c r="A678" s="23" t="e">
        <f>#REF!&amp;"_"&amp;#REF!</f>
        <v>#REF!</v>
      </c>
      <c r="B678">
        <f>ROW()</f>
        <v>678</v>
      </c>
    </row>
    <row r="679" spans="1:2" x14ac:dyDescent="0.25">
      <c r="A679" s="23" t="e">
        <f>#REF!&amp;"_"&amp;#REF!</f>
        <v>#REF!</v>
      </c>
      <c r="B679">
        <f>ROW()</f>
        <v>679</v>
      </c>
    </row>
    <row r="680" spans="1:2" x14ac:dyDescent="0.25">
      <c r="A680" s="23" t="e">
        <f>#REF!&amp;"_"&amp;#REF!</f>
        <v>#REF!</v>
      </c>
      <c r="B680">
        <f>ROW()</f>
        <v>680</v>
      </c>
    </row>
    <row r="681" spans="1:2" x14ac:dyDescent="0.25">
      <c r="A681" s="23" t="e">
        <f>#REF!&amp;"_"&amp;#REF!</f>
        <v>#REF!</v>
      </c>
      <c r="B681">
        <f>ROW()</f>
        <v>681</v>
      </c>
    </row>
    <row r="682" spans="1:2" x14ac:dyDescent="0.25">
      <c r="A682" s="23" t="e">
        <f>#REF!&amp;"_"&amp;#REF!</f>
        <v>#REF!</v>
      </c>
      <c r="B682">
        <f>ROW()</f>
        <v>682</v>
      </c>
    </row>
    <row r="683" spans="1:2" x14ac:dyDescent="0.25">
      <c r="A683" s="23" t="e">
        <f>#REF!&amp;"_"&amp;#REF!</f>
        <v>#REF!</v>
      </c>
      <c r="B683">
        <f>ROW()</f>
        <v>683</v>
      </c>
    </row>
    <row r="684" spans="1:2" x14ac:dyDescent="0.25">
      <c r="A684" s="23" t="e">
        <f>#REF!&amp;"_"&amp;#REF!</f>
        <v>#REF!</v>
      </c>
      <c r="B684">
        <f>ROW()</f>
        <v>684</v>
      </c>
    </row>
    <row r="685" spans="1:2" x14ac:dyDescent="0.25">
      <c r="A685" s="23" t="e">
        <f>#REF!&amp;"_"&amp;#REF!</f>
        <v>#REF!</v>
      </c>
      <c r="B685">
        <f>ROW()</f>
        <v>685</v>
      </c>
    </row>
    <row r="686" spans="1:2" x14ac:dyDescent="0.25">
      <c r="A686" s="23" t="e">
        <f>#REF!&amp;"_"&amp;#REF!</f>
        <v>#REF!</v>
      </c>
      <c r="B686">
        <f>ROW()</f>
        <v>686</v>
      </c>
    </row>
    <row r="687" spans="1:2" x14ac:dyDescent="0.25">
      <c r="A687" s="23" t="e">
        <f>#REF!&amp;"_"&amp;#REF!</f>
        <v>#REF!</v>
      </c>
      <c r="B687">
        <f>ROW()</f>
        <v>687</v>
      </c>
    </row>
    <row r="688" spans="1:2" x14ac:dyDescent="0.25">
      <c r="A688" s="23" t="e">
        <f>#REF!&amp;"_"&amp;#REF!</f>
        <v>#REF!</v>
      </c>
      <c r="B688">
        <f>ROW()</f>
        <v>688</v>
      </c>
    </row>
    <row r="689" spans="1:2" x14ac:dyDescent="0.25">
      <c r="A689" s="23" t="e">
        <f>#REF!&amp;"_"&amp;#REF!</f>
        <v>#REF!</v>
      </c>
      <c r="B689">
        <f>ROW()</f>
        <v>689</v>
      </c>
    </row>
    <row r="690" spans="1:2" x14ac:dyDescent="0.25">
      <c r="A690" s="23" t="e">
        <f>#REF!&amp;"_"&amp;#REF!</f>
        <v>#REF!</v>
      </c>
      <c r="B690">
        <f>ROW()</f>
        <v>690</v>
      </c>
    </row>
    <row r="691" spans="1:2" x14ac:dyDescent="0.25">
      <c r="A691" s="23" t="e">
        <f>#REF!&amp;"_"&amp;#REF!</f>
        <v>#REF!</v>
      </c>
      <c r="B691">
        <f>ROW()</f>
        <v>691</v>
      </c>
    </row>
    <row r="692" spans="1:2" x14ac:dyDescent="0.25">
      <c r="A692" s="23" t="e">
        <f>#REF!&amp;"_"&amp;#REF!</f>
        <v>#REF!</v>
      </c>
      <c r="B692">
        <f>ROW()</f>
        <v>692</v>
      </c>
    </row>
    <row r="693" spans="1:2" x14ac:dyDescent="0.25">
      <c r="A693" s="23" t="e">
        <f>#REF!&amp;"_"&amp;#REF!</f>
        <v>#REF!</v>
      </c>
      <c r="B693">
        <f>ROW()</f>
        <v>693</v>
      </c>
    </row>
    <row r="694" spans="1:2" x14ac:dyDescent="0.25">
      <c r="A694" s="23" t="e">
        <f>#REF!&amp;"_"&amp;#REF!</f>
        <v>#REF!</v>
      </c>
      <c r="B694">
        <f>ROW()</f>
        <v>694</v>
      </c>
    </row>
    <row r="695" spans="1:2" x14ac:dyDescent="0.25">
      <c r="A695" s="23" t="e">
        <f>#REF!&amp;"_"&amp;#REF!</f>
        <v>#REF!</v>
      </c>
      <c r="B695">
        <f>ROW()</f>
        <v>695</v>
      </c>
    </row>
    <row r="696" spans="1:2" x14ac:dyDescent="0.25">
      <c r="A696" s="23" t="e">
        <f>#REF!&amp;"_"&amp;#REF!</f>
        <v>#REF!</v>
      </c>
      <c r="B696">
        <f>ROW()</f>
        <v>696</v>
      </c>
    </row>
    <row r="697" spans="1:2" x14ac:dyDescent="0.25">
      <c r="A697" s="23" t="e">
        <f>#REF!&amp;"_"&amp;#REF!</f>
        <v>#REF!</v>
      </c>
      <c r="B697">
        <f>ROW()</f>
        <v>697</v>
      </c>
    </row>
    <row r="698" spans="1:2" x14ac:dyDescent="0.25">
      <c r="A698" s="23" t="e">
        <f>#REF!&amp;"_"&amp;#REF!</f>
        <v>#REF!</v>
      </c>
      <c r="B698">
        <f>ROW()</f>
        <v>698</v>
      </c>
    </row>
    <row r="699" spans="1:2" x14ac:dyDescent="0.25">
      <c r="A699" s="23" t="e">
        <f>#REF!&amp;"_"&amp;#REF!</f>
        <v>#REF!</v>
      </c>
      <c r="B699">
        <f>ROW()</f>
        <v>699</v>
      </c>
    </row>
    <row r="700" spans="1:2" x14ac:dyDescent="0.25">
      <c r="A700" s="23" t="e">
        <f>#REF!&amp;"_"&amp;#REF!</f>
        <v>#REF!</v>
      </c>
      <c r="B700">
        <f>ROW()</f>
        <v>700</v>
      </c>
    </row>
    <row r="701" spans="1:2" x14ac:dyDescent="0.25">
      <c r="A701" s="23" t="e">
        <f>#REF!&amp;"_"&amp;#REF!</f>
        <v>#REF!</v>
      </c>
      <c r="B701">
        <f>ROW()</f>
        <v>701</v>
      </c>
    </row>
    <row r="702" spans="1:2" x14ac:dyDescent="0.25">
      <c r="A702" s="23" t="e">
        <f>#REF!&amp;"_"&amp;#REF!</f>
        <v>#REF!</v>
      </c>
      <c r="B702">
        <f>ROW()</f>
        <v>702</v>
      </c>
    </row>
    <row r="703" spans="1:2" x14ac:dyDescent="0.25">
      <c r="A703" s="23" t="e">
        <f>#REF!&amp;"_"&amp;#REF!</f>
        <v>#REF!</v>
      </c>
      <c r="B703">
        <f>ROW()</f>
        <v>703</v>
      </c>
    </row>
    <row r="704" spans="1:2" x14ac:dyDescent="0.25">
      <c r="A704" s="23" t="e">
        <f>#REF!&amp;"_"&amp;#REF!</f>
        <v>#REF!</v>
      </c>
      <c r="B704">
        <f>ROW()</f>
        <v>704</v>
      </c>
    </row>
    <row r="705" spans="1:2" x14ac:dyDescent="0.25">
      <c r="A705" s="23" t="e">
        <f>#REF!&amp;"_"&amp;#REF!</f>
        <v>#REF!</v>
      </c>
      <c r="B705">
        <f>ROW()</f>
        <v>705</v>
      </c>
    </row>
    <row r="706" spans="1:2" x14ac:dyDescent="0.25">
      <c r="A706" s="23" t="e">
        <f>#REF!&amp;"_"&amp;#REF!</f>
        <v>#REF!</v>
      </c>
      <c r="B706">
        <f>ROW()</f>
        <v>706</v>
      </c>
    </row>
    <row r="707" spans="1:2" x14ac:dyDescent="0.25">
      <c r="A707" s="23" t="e">
        <f>#REF!&amp;"_"&amp;#REF!</f>
        <v>#REF!</v>
      </c>
      <c r="B707">
        <f>ROW()</f>
        <v>707</v>
      </c>
    </row>
    <row r="708" spans="1:2" x14ac:dyDescent="0.25">
      <c r="A708" s="23" t="e">
        <f>#REF!&amp;"_"&amp;#REF!</f>
        <v>#REF!</v>
      </c>
      <c r="B708">
        <f>ROW()</f>
        <v>708</v>
      </c>
    </row>
    <row r="709" spans="1:2" x14ac:dyDescent="0.25">
      <c r="A709" s="23" t="e">
        <f>#REF!&amp;"_"&amp;#REF!</f>
        <v>#REF!</v>
      </c>
      <c r="B709">
        <f>ROW()</f>
        <v>709</v>
      </c>
    </row>
    <row r="710" spans="1:2" x14ac:dyDescent="0.25">
      <c r="A710" s="23" t="e">
        <f>#REF!&amp;"_"&amp;#REF!</f>
        <v>#REF!</v>
      </c>
      <c r="B710">
        <f>ROW()</f>
        <v>710</v>
      </c>
    </row>
    <row r="711" spans="1:2" x14ac:dyDescent="0.25">
      <c r="A711" s="23" t="e">
        <f>#REF!&amp;"_"&amp;#REF!</f>
        <v>#REF!</v>
      </c>
      <c r="B711">
        <f>ROW()</f>
        <v>711</v>
      </c>
    </row>
    <row r="712" spans="1:2" x14ac:dyDescent="0.25">
      <c r="A712" s="23" t="e">
        <f>#REF!&amp;"_"&amp;#REF!</f>
        <v>#REF!</v>
      </c>
      <c r="B712">
        <f>ROW()</f>
        <v>712</v>
      </c>
    </row>
    <row r="713" spans="1:2" x14ac:dyDescent="0.25">
      <c r="A713" s="23" t="e">
        <f>#REF!&amp;"_"&amp;#REF!</f>
        <v>#REF!</v>
      </c>
      <c r="B713">
        <f>ROW()</f>
        <v>713</v>
      </c>
    </row>
    <row r="714" spans="1:2" x14ac:dyDescent="0.25">
      <c r="A714" s="23" t="e">
        <f>#REF!&amp;"_"&amp;#REF!</f>
        <v>#REF!</v>
      </c>
      <c r="B714">
        <f>ROW()</f>
        <v>714</v>
      </c>
    </row>
    <row r="715" spans="1:2" x14ac:dyDescent="0.25">
      <c r="A715" s="23" t="e">
        <f>#REF!&amp;"_"&amp;#REF!</f>
        <v>#REF!</v>
      </c>
      <c r="B715">
        <f>ROW()</f>
        <v>715</v>
      </c>
    </row>
    <row r="716" spans="1:2" x14ac:dyDescent="0.25">
      <c r="A716" s="23" t="e">
        <f>#REF!&amp;"_"&amp;#REF!</f>
        <v>#REF!</v>
      </c>
      <c r="B716">
        <f>ROW()</f>
        <v>716</v>
      </c>
    </row>
    <row r="717" spans="1:2" x14ac:dyDescent="0.25">
      <c r="A717" s="23" t="e">
        <f>#REF!&amp;"_"&amp;#REF!</f>
        <v>#REF!</v>
      </c>
      <c r="B717">
        <f>ROW()</f>
        <v>717</v>
      </c>
    </row>
    <row r="718" spans="1:2" x14ac:dyDescent="0.25">
      <c r="A718" s="23" t="e">
        <f>#REF!&amp;"_"&amp;#REF!</f>
        <v>#REF!</v>
      </c>
      <c r="B718">
        <f>ROW()</f>
        <v>718</v>
      </c>
    </row>
    <row r="719" spans="1:2" x14ac:dyDescent="0.25">
      <c r="A719" s="23" t="e">
        <f>#REF!&amp;"_"&amp;#REF!</f>
        <v>#REF!</v>
      </c>
      <c r="B719">
        <f>ROW()</f>
        <v>719</v>
      </c>
    </row>
    <row r="720" spans="1:2" x14ac:dyDescent="0.25">
      <c r="A720" s="23" t="e">
        <f>#REF!&amp;"_"&amp;#REF!</f>
        <v>#REF!</v>
      </c>
      <c r="B720">
        <f>ROW()</f>
        <v>720</v>
      </c>
    </row>
    <row r="721" spans="1:2" x14ac:dyDescent="0.25">
      <c r="A721" s="23" t="e">
        <f>#REF!&amp;"_"&amp;#REF!</f>
        <v>#REF!</v>
      </c>
      <c r="B721">
        <f>ROW()</f>
        <v>721</v>
      </c>
    </row>
    <row r="722" spans="1:2" x14ac:dyDescent="0.25">
      <c r="A722" s="23" t="e">
        <f>#REF!&amp;"_"&amp;#REF!</f>
        <v>#REF!</v>
      </c>
      <c r="B722">
        <f>ROW()</f>
        <v>722</v>
      </c>
    </row>
    <row r="723" spans="1:2" x14ac:dyDescent="0.25">
      <c r="A723" s="23" t="e">
        <f>#REF!&amp;"_"&amp;#REF!</f>
        <v>#REF!</v>
      </c>
      <c r="B723">
        <f>ROW()</f>
        <v>723</v>
      </c>
    </row>
    <row r="724" spans="1:2" x14ac:dyDescent="0.25">
      <c r="A724" s="23" t="e">
        <f>#REF!&amp;"_"&amp;#REF!</f>
        <v>#REF!</v>
      </c>
      <c r="B724">
        <f>ROW()</f>
        <v>724</v>
      </c>
    </row>
    <row r="725" spans="1:2" x14ac:dyDescent="0.25">
      <c r="A725" s="23" t="e">
        <f>#REF!&amp;"_"&amp;#REF!</f>
        <v>#REF!</v>
      </c>
      <c r="B725">
        <f>ROW()</f>
        <v>725</v>
      </c>
    </row>
    <row r="726" spans="1:2" x14ac:dyDescent="0.25">
      <c r="A726" s="23" t="e">
        <f>#REF!&amp;"_"&amp;#REF!</f>
        <v>#REF!</v>
      </c>
      <c r="B726">
        <f>ROW()</f>
        <v>726</v>
      </c>
    </row>
    <row r="727" spans="1:2" x14ac:dyDescent="0.25">
      <c r="A727" s="23" t="e">
        <f>#REF!&amp;"_"&amp;#REF!</f>
        <v>#REF!</v>
      </c>
      <c r="B727">
        <f>ROW()</f>
        <v>727</v>
      </c>
    </row>
    <row r="728" spans="1:2" x14ac:dyDescent="0.25">
      <c r="A728" s="23" t="e">
        <f>#REF!&amp;"_"&amp;#REF!</f>
        <v>#REF!</v>
      </c>
      <c r="B728">
        <f>ROW()</f>
        <v>728</v>
      </c>
    </row>
    <row r="729" spans="1:2" x14ac:dyDescent="0.25">
      <c r="A729" s="23" t="e">
        <f>#REF!&amp;"_"&amp;#REF!</f>
        <v>#REF!</v>
      </c>
      <c r="B729">
        <f>ROW()</f>
        <v>729</v>
      </c>
    </row>
    <row r="730" spans="1:2" x14ac:dyDescent="0.25">
      <c r="A730" s="23" t="e">
        <f>#REF!&amp;"_"&amp;#REF!</f>
        <v>#REF!</v>
      </c>
      <c r="B730">
        <f>ROW()</f>
        <v>730</v>
      </c>
    </row>
    <row r="731" spans="1:2" x14ac:dyDescent="0.25">
      <c r="A731" s="23" t="e">
        <f>#REF!&amp;"_"&amp;#REF!</f>
        <v>#REF!</v>
      </c>
      <c r="B731">
        <f>ROW()</f>
        <v>731</v>
      </c>
    </row>
    <row r="732" spans="1:2" x14ac:dyDescent="0.25">
      <c r="A732" s="23" t="e">
        <f>#REF!&amp;"_"&amp;#REF!</f>
        <v>#REF!</v>
      </c>
      <c r="B732">
        <f>ROW()</f>
        <v>732</v>
      </c>
    </row>
    <row r="733" spans="1:2" x14ac:dyDescent="0.25">
      <c r="A733" s="23" t="e">
        <f>#REF!&amp;"_"&amp;#REF!</f>
        <v>#REF!</v>
      </c>
      <c r="B733">
        <f>ROW()</f>
        <v>733</v>
      </c>
    </row>
    <row r="734" spans="1:2" x14ac:dyDescent="0.25">
      <c r="A734" s="23" t="e">
        <f>#REF!&amp;"_"&amp;#REF!</f>
        <v>#REF!</v>
      </c>
      <c r="B734">
        <f>ROW()</f>
        <v>734</v>
      </c>
    </row>
    <row r="735" spans="1:2" x14ac:dyDescent="0.25">
      <c r="A735" s="23" t="e">
        <f>#REF!&amp;"_"&amp;#REF!</f>
        <v>#REF!</v>
      </c>
      <c r="B735">
        <f>ROW()</f>
        <v>735</v>
      </c>
    </row>
    <row r="736" spans="1:2" x14ac:dyDescent="0.25">
      <c r="A736" s="23" t="e">
        <f>#REF!&amp;"_"&amp;#REF!</f>
        <v>#REF!</v>
      </c>
      <c r="B736">
        <f>ROW()</f>
        <v>736</v>
      </c>
    </row>
    <row r="737" spans="1:2" x14ac:dyDescent="0.25">
      <c r="A737" s="23" t="e">
        <f>#REF!&amp;"_"&amp;#REF!</f>
        <v>#REF!</v>
      </c>
      <c r="B737">
        <f>ROW()</f>
        <v>737</v>
      </c>
    </row>
    <row r="738" spans="1:2" x14ac:dyDescent="0.25">
      <c r="A738" s="23" t="e">
        <f>#REF!&amp;"_"&amp;#REF!</f>
        <v>#REF!</v>
      </c>
      <c r="B738">
        <f>ROW()</f>
        <v>738</v>
      </c>
    </row>
    <row r="739" spans="1:2" x14ac:dyDescent="0.25">
      <c r="A739" s="23" t="e">
        <f>#REF!&amp;"_"&amp;#REF!</f>
        <v>#REF!</v>
      </c>
      <c r="B739">
        <f>ROW()</f>
        <v>739</v>
      </c>
    </row>
    <row r="740" spans="1:2" x14ac:dyDescent="0.25">
      <c r="A740" s="23" t="e">
        <f>#REF!&amp;"_"&amp;#REF!</f>
        <v>#REF!</v>
      </c>
      <c r="B740">
        <f>ROW()</f>
        <v>740</v>
      </c>
    </row>
    <row r="741" spans="1:2" x14ac:dyDescent="0.25">
      <c r="A741" s="23" t="e">
        <f>#REF!&amp;"_"&amp;#REF!</f>
        <v>#REF!</v>
      </c>
      <c r="B741">
        <f>ROW()</f>
        <v>741</v>
      </c>
    </row>
    <row r="742" spans="1:2" x14ac:dyDescent="0.25">
      <c r="A742" s="23" t="e">
        <f>#REF!&amp;"_"&amp;#REF!</f>
        <v>#REF!</v>
      </c>
      <c r="B742">
        <f>ROW()</f>
        <v>742</v>
      </c>
    </row>
    <row r="743" spans="1:2" x14ac:dyDescent="0.25">
      <c r="A743" s="23" t="e">
        <f>#REF!&amp;"_"&amp;#REF!</f>
        <v>#REF!</v>
      </c>
      <c r="B743">
        <f>ROW()</f>
        <v>743</v>
      </c>
    </row>
    <row r="744" spans="1:2" x14ac:dyDescent="0.25">
      <c r="A744" s="23" t="e">
        <f>#REF!&amp;"_"&amp;#REF!</f>
        <v>#REF!</v>
      </c>
      <c r="B744">
        <f>ROW()</f>
        <v>744</v>
      </c>
    </row>
    <row r="745" spans="1:2" x14ac:dyDescent="0.25">
      <c r="A745" s="23" t="e">
        <f>#REF!&amp;"_"&amp;#REF!</f>
        <v>#REF!</v>
      </c>
      <c r="B745">
        <f>ROW()</f>
        <v>745</v>
      </c>
    </row>
    <row r="746" spans="1:2" x14ac:dyDescent="0.25">
      <c r="A746" s="23" t="e">
        <f>#REF!&amp;"_"&amp;#REF!</f>
        <v>#REF!</v>
      </c>
      <c r="B746">
        <f>ROW()</f>
        <v>746</v>
      </c>
    </row>
    <row r="747" spans="1:2" x14ac:dyDescent="0.25">
      <c r="A747" s="23" t="e">
        <f>#REF!&amp;"_"&amp;#REF!</f>
        <v>#REF!</v>
      </c>
      <c r="B747">
        <f>ROW()</f>
        <v>747</v>
      </c>
    </row>
    <row r="748" spans="1:2" x14ac:dyDescent="0.25">
      <c r="A748" s="23" t="e">
        <f>#REF!&amp;"_"&amp;#REF!</f>
        <v>#REF!</v>
      </c>
      <c r="B748">
        <f>ROW()</f>
        <v>748</v>
      </c>
    </row>
    <row r="749" spans="1:2" x14ac:dyDescent="0.25">
      <c r="A749" s="23" t="e">
        <f>#REF!&amp;"_"&amp;#REF!</f>
        <v>#REF!</v>
      </c>
      <c r="B749">
        <f>ROW()</f>
        <v>749</v>
      </c>
    </row>
    <row r="750" spans="1:2" x14ac:dyDescent="0.25">
      <c r="A750" s="23" t="e">
        <f>#REF!&amp;"_"&amp;#REF!</f>
        <v>#REF!</v>
      </c>
      <c r="B750">
        <f>ROW()</f>
        <v>750</v>
      </c>
    </row>
    <row r="751" spans="1:2" x14ac:dyDescent="0.25">
      <c r="A751" s="23" t="e">
        <f>#REF!&amp;"_"&amp;#REF!</f>
        <v>#REF!</v>
      </c>
      <c r="B751">
        <f>ROW()</f>
        <v>751</v>
      </c>
    </row>
    <row r="752" spans="1:2" x14ac:dyDescent="0.25">
      <c r="A752" s="23" t="e">
        <f>#REF!&amp;"_"&amp;#REF!</f>
        <v>#REF!</v>
      </c>
      <c r="B752">
        <f>ROW()</f>
        <v>752</v>
      </c>
    </row>
    <row r="753" spans="1:2" x14ac:dyDescent="0.25">
      <c r="A753" s="23" t="e">
        <f>#REF!&amp;"_"&amp;#REF!</f>
        <v>#REF!</v>
      </c>
      <c r="B753">
        <f>ROW()</f>
        <v>753</v>
      </c>
    </row>
    <row r="754" spans="1:2" x14ac:dyDescent="0.25">
      <c r="A754" s="23" t="e">
        <f>#REF!&amp;"_"&amp;#REF!</f>
        <v>#REF!</v>
      </c>
      <c r="B754">
        <f>ROW()</f>
        <v>754</v>
      </c>
    </row>
    <row r="755" spans="1:2" x14ac:dyDescent="0.25">
      <c r="A755" s="23" t="e">
        <f>#REF!&amp;"_"&amp;#REF!</f>
        <v>#REF!</v>
      </c>
      <c r="B755">
        <f>ROW()</f>
        <v>755</v>
      </c>
    </row>
    <row r="756" spans="1:2" x14ac:dyDescent="0.25">
      <c r="A756" s="23" t="e">
        <f>#REF!&amp;"_"&amp;#REF!</f>
        <v>#REF!</v>
      </c>
      <c r="B756">
        <f>ROW()</f>
        <v>756</v>
      </c>
    </row>
    <row r="757" spans="1:2" x14ac:dyDescent="0.25">
      <c r="A757" s="23" t="e">
        <f>#REF!&amp;"_"&amp;#REF!</f>
        <v>#REF!</v>
      </c>
      <c r="B757">
        <f>ROW()</f>
        <v>757</v>
      </c>
    </row>
    <row r="758" spans="1:2" x14ac:dyDescent="0.25">
      <c r="A758" s="23" t="e">
        <f>#REF!&amp;"_"&amp;#REF!</f>
        <v>#REF!</v>
      </c>
      <c r="B758">
        <f>ROW()</f>
        <v>758</v>
      </c>
    </row>
    <row r="759" spans="1:2" x14ac:dyDescent="0.25">
      <c r="A759" s="23" t="e">
        <f>#REF!&amp;"_"&amp;#REF!</f>
        <v>#REF!</v>
      </c>
      <c r="B759">
        <f>ROW()</f>
        <v>759</v>
      </c>
    </row>
    <row r="760" spans="1:2" x14ac:dyDescent="0.25">
      <c r="A760" s="23" t="e">
        <f>#REF!&amp;"_"&amp;#REF!</f>
        <v>#REF!</v>
      </c>
      <c r="B760">
        <f>ROW()</f>
        <v>760</v>
      </c>
    </row>
    <row r="761" spans="1:2" x14ac:dyDescent="0.25">
      <c r="A761" s="23" t="e">
        <f>#REF!&amp;"_"&amp;#REF!</f>
        <v>#REF!</v>
      </c>
      <c r="B761">
        <f>ROW()</f>
        <v>761</v>
      </c>
    </row>
    <row r="762" spans="1:2" x14ac:dyDescent="0.25">
      <c r="A762" s="23" t="e">
        <f>#REF!&amp;"_"&amp;#REF!</f>
        <v>#REF!</v>
      </c>
      <c r="B762">
        <f>ROW()</f>
        <v>762</v>
      </c>
    </row>
    <row r="763" spans="1:2" x14ac:dyDescent="0.25">
      <c r="A763" s="23" t="e">
        <f>#REF!&amp;"_"&amp;#REF!</f>
        <v>#REF!</v>
      </c>
      <c r="B763">
        <f>ROW()</f>
        <v>763</v>
      </c>
    </row>
    <row r="764" spans="1:2" x14ac:dyDescent="0.25">
      <c r="A764" s="23" t="e">
        <f>#REF!&amp;"_"&amp;#REF!</f>
        <v>#REF!</v>
      </c>
      <c r="B764">
        <f>ROW()</f>
        <v>764</v>
      </c>
    </row>
    <row r="765" spans="1:2" x14ac:dyDescent="0.25">
      <c r="A765" s="23" t="e">
        <f>#REF!&amp;"_"&amp;#REF!</f>
        <v>#REF!</v>
      </c>
      <c r="B765">
        <f>ROW()</f>
        <v>765</v>
      </c>
    </row>
    <row r="766" spans="1:2" x14ac:dyDescent="0.25">
      <c r="A766" s="23" t="e">
        <f>#REF!&amp;"_"&amp;#REF!</f>
        <v>#REF!</v>
      </c>
      <c r="B766">
        <f>ROW()</f>
        <v>766</v>
      </c>
    </row>
    <row r="767" spans="1:2" x14ac:dyDescent="0.25">
      <c r="A767" s="23" t="e">
        <f>#REF!&amp;"_"&amp;#REF!</f>
        <v>#REF!</v>
      </c>
      <c r="B767">
        <f>ROW()</f>
        <v>767</v>
      </c>
    </row>
    <row r="768" spans="1:2" x14ac:dyDescent="0.25">
      <c r="A768" s="23" t="e">
        <f>#REF!&amp;"_"&amp;#REF!</f>
        <v>#REF!</v>
      </c>
      <c r="B768">
        <f>ROW()</f>
        <v>768</v>
      </c>
    </row>
    <row r="769" spans="1:2" x14ac:dyDescent="0.25">
      <c r="A769" s="23" t="e">
        <f>#REF!&amp;"_"&amp;#REF!</f>
        <v>#REF!</v>
      </c>
      <c r="B769">
        <f>ROW()</f>
        <v>769</v>
      </c>
    </row>
    <row r="770" spans="1:2" x14ac:dyDescent="0.25">
      <c r="A770" s="23" t="e">
        <f>#REF!&amp;"_"&amp;#REF!</f>
        <v>#REF!</v>
      </c>
      <c r="B770">
        <f>ROW()</f>
        <v>770</v>
      </c>
    </row>
    <row r="771" spans="1:2" x14ac:dyDescent="0.25">
      <c r="A771" s="23" t="e">
        <f>#REF!&amp;"_"&amp;#REF!</f>
        <v>#REF!</v>
      </c>
      <c r="B771">
        <f>ROW()</f>
        <v>771</v>
      </c>
    </row>
    <row r="772" spans="1:2" x14ac:dyDescent="0.25">
      <c r="A772" s="23" t="e">
        <f>#REF!&amp;"_"&amp;#REF!</f>
        <v>#REF!</v>
      </c>
      <c r="B772">
        <f>ROW()</f>
        <v>772</v>
      </c>
    </row>
    <row r="773" spans="1:2" x14ac:dyDescent="0.25">
      <c r="A773" s="23" t="e">
        <f>#REF!&amp;"_"&amp;#REF!</f>
        <v>#REF!</v>
      </c>
      <c r="B773">
        <f>ROW()</f>
        <v>773</v>
      </c>
    </row>
    <row r="774" spans="1:2" x14ac:dyDescent="0.25">
      <c r="A774" s="23" t="e">
        <f>#REF!&amp;"_"&amp;#REF!</f>
        <v>#REF!</v>
      </c>
      <c r="B774">
        <f>ROW()</f>
        <v>774</v>
      </c>
    </row>
    <row r="775" spans="1:2" x14ac:dyDescent="0.25">
      <c r="A775" s="23" t="e">
        <f>#REF!&amp;"_"&amp;#REF!</f>
        <v>#REF!</v>
      </c>
      <c r="B775">
        <f>ROW()</f>
        <v>775</v>
      </c>
    </row>
    <row r="776" spans="1:2" x14ac:dyDescent="0.25">
      <c r="A776" s="23" t="e">
        <f>#REF!&amp;"_"&amp;#REF!</f>
        <v>#REF!</v>
      </c>
      <c r="B776">
        <f>ROW()</f>
        <v>776</v>
      </c>
    </row>
    <row r="777" spans="1:2" x14ac:dyDescent="0.25">
      <c r="A777" s="23" t="e">
        <f>#REF!&amp;"_"&amp;#REF!</f>
        <v>#REF!</v>
      </c>
      <c r="B777">
        <f>ROW()</f>
        <v>777</v>
      </c>
    </row>
    <row r="778" spans="1:2" x14ac:dyDescent="0.25">
      <c r="A778" s="23" t="e">
        <f>#REF!&amp;"_"&amp;#REF!</f>
        <v>#REF!</v>
      </c>
      <c r="B778">
        <f>ROW()</f>
        <v>778</v>
      </c>
    </row>
    <row r="779" spans="1:2" x14ac:dyDescent="0.25">
      <c r="A779" s="23" t="e">
        <f>#REF!&amp;"_"&amp;#REF!</f>
        <v>#REF!</v>
      </c>
      <c r="B779">
        <f>ROW()</f>
        <v>779</v>
      </c>
    </row>
    <row r="780" spans="1:2" x14ac:dyDescent="0.25">
      <c r="A780" s="23" t="e">
        <f>#REF!&amp;"_"&amp;#REF!</f>
        <v>#REF!</v>
      </c>
      <c r="B780">
        <f>ROW()</f>
        <v>780</v>
      </c>
    </row>
    <row r="781" spans="1:2" x14ac:dyDescent="0.25">
      <c r="A781" s="23" t="e">
        <f>#REF!&amp;"_"&amp;#REF!</f>
        <v>#REF!</v>
      </c>
      <c r="B781">
        <f>ROW()</f>
        <v>781</v>
      </c>
    </row>
    <row r="782" spans="1:2" x14ac:dyDescent="0.25">
      <c r="A782" s="23" t="e">
        <f>#REF!&amp;"_"&amp;#REF!</f>
        <v>#REF!</v>
      </c>
      <c r="B782">
        <f>ROW()</f>
        <v>782</v>
      </c>
    </row>
    <row r="783" spans="1:2" x14ac:dyDescent="0.25">
      <c r="A783" s="23" t="e">
        <f>#REF!&amp;"_"&amp;#REF!</f>
        <v>#REF!</v>
      </c>
      <c r="B783">
        <f>ROW()</f>
        <v>783</v>
      </c>
    </row>
    <row r="784" spans="1:2" x14ac:dyDescent="0.25">
      <c r="A784" s="23" t="e">
        <f>#REF!&amp;"_"&amp;#REF!</f>
        <v>#REF!</v>
      </c>
      <c r="B784">
        <f>ROW()</f>
        <v>784</v>
      </c>
    </row>
    <row r="785" spans="1:2" x14ac:dyDescent="0.25">
      <c r="A785" s="23" t="e">
        <f>#REF!&amp;"_"&amp;#REF!</f>
        <v>#REF!</v>
      </c>
      <c r="B785">
        <f>ROW()</f>
        <v>785</v>
      </c>
    </row>
    <row r="786" spans="1:2" x14ac:dyDescent="0.25">
      <c r="A786" s="23" t="e">
        <f>#REF!&amp;"_"&amp;#REF!</f>
        <v>#REF!</v>
      </c>
      <c r="B786">
        <f>ROW()</f>
        <v>786</v>
      </c>
    </row>
    <row r="787" spans="1:2" x14ac:dyDescent="0.25">
      <c r="A787" s="23" t="e">
        <f>#REF!&amp;"_"&amp;#REF!</f>
        <v>#REF!</v>
      </c>
      <c r="B787">
        <f>ROW()</f>
        <v>787</v>
      </c>
    </row>
    <row r="788" spans="1:2" x14ac:dyDescent="0.25">
      <c r="A788" s="23" t="e">
        <f>#REF!&amp;"_"&amp;#REF!</f>
        <v>#REF!</v>
      </c>
      <c r="B788">
        <f>ROW()</f>
        <v>788</v>
      </c>
    </row>
    <row r="789" spans="1:2" x14ac:dyDescent="0.25">
      <c r="A789" s="23" t="e">
        <f>#REF!&amp;"_"&amp;#REF!</f>
        <v>#REF!</v>
      </c>
      <c r="B789">
        <f>ROW()</f>
        <v>789</v>
      </c>
    </row>
    <row r="790" spans="1:2" x14ac:dyDescent="0.25">
      <c r="A790" s="23" t="e">
        <f>#REF!&amp;"_"&amp;#REF!</f>
        <v>#REF!</v>
      </c>
      <c r="B790">
        <f>ROW()</f>
        <v>790</v>
      </c>
    </row>
    <row r="791" spans="1:2" x14ac:dyDescent="0.25">
      <c r="A791" s="23" t="e">
        <f>#REF!&amp;"_"&amp;#REF!</f>
        <v>#REF!</v>
      </c>
      <c r="B791">
        <f>ROW()</f>
        <v>791</v>
      </c>
    </row>
    <row r="792" spans="1:2" x14ac:dyDescent="0.25">
      <c r="A792" s="23" t="e">
        <f>#REF!&amp;"_"&amp;#REF!</f>
        <v>#REF!</v>
      </c>
      <c r="B792">
        <f>ROW()</f>
        <v>792</v>
      </c>
    </row>
    <row r="793" spans="1:2" x14ac:dyDescent="0.25">
      <c r="A793" s="23" t="e">
        <f>#REF!&amp;"_"&amp;#REF!</f>
        <v>#REF!</v>
      </c>
      <c r="B793">
        <f>ROW()</f>
        <v>793</v>
      </c>
    </row>
    <row r="794" spans="1:2" x14ac:dyDescent="0.25">
      <c r="A794" s="23" t="e">
        <f>#REF!&amp;"_"&amp;#REF!</f>
        <v>#REF!</v>
      </c>
      <c r="B794">
        <f>ROW()</f>
        <v>794</v>
      </c>
    </row>
    <row r="795" spans="1:2" x14ac:dyDescent="0.25">
      <c r="A795" s="23" t="e">
        <f>#REF!&amp;"_"&amp;#REF!</f>
        <v>#REF!</v>
      </c>
      <c r="B795">
        <f>ROW()</f>
        <v>795</v>
      </c>
    </row>
    <row r="796" spans="1:2" x14ac:dyDescent="0.25">
      <c r="A796" s="23" t="e">
        <f>#REF!&amp;"_"&amp;#REF!</f>
        <v>#REF!</v>
      </c>
      <c r="B796">
        <f>ROW()</f>
        <v>796</v>
      </c>
    </row>
    <row r="797" spans="1:2" x14ac:dyDescent="0.25">
      <c r="A797" s="23" t="e">
        <f>#REF!&amp;"_"&amp;#REF!</f>
        <v>#REF!</v>
      </c>
      <c r="B797">
        <f>ROW()</f>
        <v>797</v>
      </c>
    </row>
    <row r="798" spans="1:2" x14ac:dyDescent="0.25">
      <c r="A798" s="23" t="e">
        <f>#REF!&amp;"_"&amp;#REF!</f>
        <v>#REF!</v>
      </c>
      <c r="B798">
        <f>ROW()</f>
        <v>798</v>
      </c>
    </row>
    <row r="799" spans="1:2" x14ac:dyDescent="0.25">
      <c r="A799" s="23" t="e">
        <f>#REF!&amp;"_"&amp;#REF!</f>
        <v>#REF!</v>
      </c>
      <c r="B799">
        <f>ROW()</f>
        <v>799</v>
      </c>
    </row>
    <row r="800" spans="1:2" x14ac:dyDescent="0.25">
      <c r="A800" s="23" t="e">
        <f>#REF!&amp;"_"&amp;#REF!</f>
        <v>#REF!</v>
      </c>
      <c r="B800">
        <f>ROW()</f>
        <v>800</v>
      </c>
    </row>
    <row r="801" spans="1:2" x14ac:dyDescent="0.25">
      <c r="A801" s="23" t="e">
        <f>#REF!&amp;"_"&amp;#REF!</f>
        <v>#REF!</v>
      </c>
      <c r="B801">
        <f>ROW()</f>
        <v>801</v>
      </c>
    </row>
    <row r="802" spans="1:2" x14ac:dyDescent="0.25">
      <c r="A802" s="23" t="e">
        <f>#REF!&amp;"_"&amp;#REF!</f>
        <v>#REF!</v>
      </c>
      <c r="B802">
        <f>ROW()</f>
        <v>802</v>
      </c>
    </row>
    <row r="803" spans="1:2" x14ac:dyDescent="0.25">
      <c r="A803" s="23" t="e">
        <f>#REF!&amp;"_"&amp;#REF!</f>
        <v>#REF!</v>
      </c>
      <c r="B803">
        <f>ROW()</f>
        <v>803</v>
      </c>
    </row>
    <row r="804" spans="1:2" x14ac:dyDescent="0.25">
      <c r="A804" s="23" t="e">
        <f>#REF!&amp;"_"&amp;#REF!</f>
        <v>#REF!</v>
      </c>
      <c r="B804">
        <f>ROW()</f>
        <v>804</v>
      </c>
    </row>
    <row r="805" spans="1:2" x14ac:dyDescent="0.25">
      <c r="A805" s="23" t="e">
        <f>#REF!&amp;"_"&amp;#REF!</f>
        <v>#REF!</v>
      </c>
      <c r="B805">
        <f>ROW()</f>
        <v>805</v>
      </c>
    </row>
    <row r="806" spans="1:2" x14ac:dyDescent="0.25">
      <c r="A806" s="23" t="e">
        <f>#REF!&amp;"_"&amp;#REF!</f>
        <v>#REF!</v>
      </c>
      <c r="B806">
        <f>ROW()</f>
        <v>806</v>
      </c>
    </row>
    <row r="807" spans="1:2" x14ac:dyDescent="0.25">
      <c r="A807" s="23" t="e">
        <f>#REF!&amp;"_"&amp;#REF!</f>
        <v>#REF!</v>
      </c>
      <c r="B807">
        <f>ROW()</f>
        <v>807</v>
      </c>
    </row>
    <row r="808" spans="1:2" x14ac:dyDescent="0.25">
      <c r="A808" s="23" t="e">
        <f>#REF!&amp;"_"&amp;#REF!</f>
        <v>#REF!</v>
      </c>
      <c r="B808">
        <f>ROW()</f>
        <v>808</v>
      </c>
    </row>
    <row r="809" spans="1:2" x14ac:dyDescent="0.25">
      <c r="A809" s="23" t="e">
        <f>#REF!&amp;"_"&amp;#REF!</f>
        <v>#REF!</v>
      </c>
      <c r="B809">
        <f>ROW()</f>
        <v>809</v>
      </c>
    </row>
    <row r="810" spans="1:2" x14ac:dyDescent="0.25">
      <c r="A810" s="23" t="e">
        <f>#REF!&amp;"_"&amp;#REF!</f>
        <v>#REF!</v>
      </c>
      <c r="B810">
        <f>ROW()</f>
        <v>810</v>
      </c>
    </row>
    <row r="811" spans="1:2" x14ac:dyDescent="0.25">
      <c r="A811" s="23" t="e">
        <f>#REF!&amp;"_"&amp;#REF!</f>
        <v>#REF!</v>
      </c>
      <c r="B811">
        <f>ROW()</f>
        <v>811</v>
      </c>
    </row>
    <row r="812" spans="1:2" x14ac:dyDescent="0.25">
      <c r="A812" s="23" t="e">
        <f>#REF!&amp;"_"&amp;#REF!</f>
        <v>#REF!</v>
      </c>
      <c r="B812">
        <f>ROW()</f>
        <v>812</v>
      </c>
    </row>
    <row r="813" spans="1:2" x14ac:dyDescent="0.25">
      <c r="A813" s="23" t="e">
        <f>#REF!&amp;"_"&amp;#REF!</f>
        <v>#REF!</v>
      </c>
      <c r="B813">
        <f>ROW()</f>
        <v>813</v>
      </c>
    </row>
    <row r="814" spans="1:2" x14ac:dyDescent="0.25">
      <c r="A814" s="23" t="e">
        <f>#REF!&amp;"_"&amp;#REF!</f>
        <v>#REF!</v>
      </c>
      <c r="B814">
        <f>ROW()</f>
        <v>814</v>
      </c>
    </row>
    <row r="815" spans="1:2" x14ac:dyDescent="0.25">
      <c r="A815" s="23" t="e">
        <f>#REF!&amp;"_"&amp;#REF!</f>
        <v>#REF!</v>
      </c>
      <c r="B815">
        <f>ROW()</f>
        <v>815</v>
      </c>
    </row>
    <row r="816" spans="1:2" x14ac:dyDescent="0.25">
      <c r="A816" s="23" t="e">
        <f>#REF!&amp;"_"&amp;#REF!</f>
        <v>#REF!</v>
      </c>
      <c r="B816">
        <f>ROW()</f>
        <v>816</v>
      </c>
    </row>
    <row r="817" spans="1:2" x14ac:dyDescent="0.25">
      <c r="A817" s="23" t="e">
        <f>#REF!&amp;"_"&amp;#REF!</f>
        <v>#REF!</v>
      </c>
      <c r="B817">
        <f>ROW()</f>
        <v>817</v>
      </c>
    </row>
    <row r="818" spans="1:2" x14ac:dyDescent="0.25">
      <c r="A818" s="23" t="e">
        <f>#REF!&amp;"_"&amp;#REF!</f>
        <v>#REF!</v>
      </c>
      <c r="B818">
        <f>ROW()</f>
        <v>818</v>
      </c>
    </row>
    <row r="819" spans="1:2" x14ac:dyDescent="0.25">
      <c r="A819" s="23" t="e">
        <f>#REF!&amp;"_"&amp;#REF!</f>
        <v>#REF!</v>
      </c>
      <c r="B819">
        <f>ROW()</f>
        <v>819</v>
      </c>
    </row>
    <row r="820" spans="1:2" x14ac:dyDescent="0.25">
      <c r="A820" s="23" t="e">
        <f>#REF!&amp;"_"&amp;#REF!</f>
        <v>#REF!</v>
      </c>
      <c r="B820">
        <f>ROW()</f>
        <v>820</v>
      </c>
    </row>
    <row r="821" spans="1:2" x14ac:dyDescent="0.25">
      <c r="A821" s="23" t="e">
        <f>#REF!&amp;"_"&amp;#REF!</f>
        <v>#REF!</v>
      </c>
      <c r="B821">
        <f>ROW()</f>
        <v>821</v>
      </c>
    </row>
    <row r="822" spans="1:2" x14ac:dyDescent="0.25">
      <c r="A822" s="23" t="e">
        <f>#REF!&amp;"_"&amp;#REF!</f>
        <v>#REF!</v>
      </c>
      <c r="B822">
        <f>ROW()</f>
        <v>822</v>
      </c>
    </row>
    <row r="823" spans="1:2" x14ac:dyDescent="0.25">
      <c r="A823" s="23" t="e">
        <f>#REF!&amp;"_"&amp;#REF!</f>
        <v>#REF!</v>
      </c>
      <c r="B823">
        <f>ROW()</f>
        <v>823</v>
      </c>
    </row>
    <row r="824" spans="1:2" x14ac:dyDescent="0.25">
      <c r="A824" s="23" t="e">
        <f>#REF!&amp;"_"&amp;#REF!</f>
        <v>#REF!</v>
      </c>
      <c r="B824">
        <f>ROW()</f>
        <v>824</v>
      </c>
    </row>
    <row r="825" spans="1:2" x14ac:dyDescent="0.25">
      <c r="A825" s="23" t="e">
        <f>#REF!&amp;"_"&amp;#REF!</f>
        <v>#REF!</v>
      </c>
      <c r="B825">
        <f>ROW()</f>
        <v>825</v>
      </c>
    </row>
    <row r="826" spans="1:2" x14ac:dyDescent="0.25">
      <c r="A826" s="23" t="e">
        <f>#REF!&amp;"_"&amp;#REF!</f>
        <v>#REF!</v>
      </c>
      <c r="B826">
        <f>ROW()</f>
        <v>826</v>
      </c>
    </row>
    <row r="827" spans="1:2" x14ac:dyDescent="0.25">
      <c r="A827" s="23" t="e">
        <f>#REF!&amp;"_"&amp;#REF!</f>
        <v>#REF!</v>
      </c>
      <c r="B827">
        <f>ROW()</f>
        <v>827</v>
      </c>
    </row>
    <row r="828" spans="1:2" x14ac:dyDescent="0.25">
      <c r="A828" s="23" t="e">
        <f>#REF!&amp;"_"&amp;#REF!</f>
        <v>#REF!</v>
      </c>
      <c r="B828">
        <f>ROW()</f>
        <v>828</v>
      </c>
    </row>
    <row r="829" spans="1:2" x14ac:dyDescent="0.25">
      <c r="A829" s="23" t="e">
        <f>#REF!&amp;"_"&amp;#REF!</f>
        <v>#REF!</v>
      </c>
      <c r="B829">
        <f>ROW()</f>
        <v>829</v>
      </c>
    </row>
    <row r="830" spans="1:2" x14ac:dyDescent="0.25">
      <c r="A830" s="23" t="e">
        <f>#REF!&amp;"_"&amp;#REF!</f>
        <v>#REF!</v>
      </c>
      <c r="B830">
        <f>ROW()</f>
        <v>830</v>
      </c>
    </row>
    <row r="831" spans="1:2" x14ac:dyDescent="0.25">
      <c r="A831" s="23" t="e">
        <f>#REF!&amp;"_"&amp;#REF!</f>
        <v>#REF!</v>
      </c>
      <c r="B831">
        <f>ROW()</f>
        <v>831</v>
      </c>
    </row>
    <row r="832" spans="1:2" x14ac:dyDescent="0.25">
      <c r="A832" s="23" t="e">
        <f>#REF!&amp;"_"&amp;#REF!</f>
        <v>#REF!</v>
      </c>
      <c r="B832">
        <f>ROW()</f>
        <v>832</v>
      </c>
    </row>
    <row r="833" spans="1:2" x14ac:dyDescent="0.25">
      <c r="A833" s="23" t="e">
        <f>#REF!&amp;"_"&amp;#REF!</f>
        <v>#REF!</v>
      </c>
      <c r="B833">
        <f>ROW()</f>
        <v>833</v>
      </c>
    </row>
    <row r="834" spans="1:2" x14ac:dyDescent="0.25">
      <c r="A834" s="23" t="e">
        <f>#REF!&amp;"_"&amp;#REF!</f>
        <v>#REF!</v>
      </c>
      <c r="B834">
        <f>ROW()</f>
        <v>834</v>
      </c>
    </row>
    <row r="835" spans="1:2" x14ac:dyDescent="0.25">
      <c r="A835" s="23" t="e">
        <f>#REF!&amp;"_"&amp;#REF!</f>
        <v>#REF!</v>
      </c>
      <c r="B835">
        <f>ROW()</f>
        <v>835</v>
      </c>
    </row>
    <row r="836" spans="1:2" x14ac:dyDescent="0.25">
      <c r="A836" s="23" t="e">
        <f>#REF!&amp;"_"&amp;#REF!</f>
        <v>#REF!</v>
      </c>
      <c r="B836">
        <f>ROW()</f>
        <v>836</v>
      </c>
    </row>
    <row r="837" spans="1:2" x14ac:dyDescent="0.25">
      <c r="A837" s="23" t="e">
        <f>#REF!&amp;"_"&amp;#REF!</f>
        <v>#REF!</v>
      </c>
      <c r="B837">
        <f>ROW()</f>
        <v>837</v>
      </c>
    </row>
    <row r="838" spans="1:2" x14ac:dyDescent="0.25">
      <c r="A838" s="23" t="e">
        <f>#REF!&amp;"_"&amp;#REF!</f>
        <v>#REF!</v>
      </c>
      <c r="B838">
        <f>ROW()</f>
        <v>838</v>
      </c>
    </row>
    <row r="839" spans="1:2" x14ac:dyDescent="0.25">
      <c r="A839" s="23" t="e">
        <f>#REF!&amp;"_"&amp;#REF!</f>
        <v>#REF!</v>
      </c>
      <c r="B839">
        <f>ROW()</f>
        <v>839</v>
      </c>
    </row>
    <row r="840" spans="1:2" x14ac:dyDescent="0.25">
      <c r="A840" s="23" t="e">
        <f>#REF!&amp;"_"&amp;#REF!</f>
        <v>#REF!</v>
      </c>
      <c r="B840">
        <f>ROW()</f>
        <v>840</v>
      </c>
    </row>
    <row r="841" spans="1:2" x14ac:dyDescent="0.25">
      <c r="A841" s="23" t="e">
        <f>#REF!&amp;"_"&amp;#REF!</f>
        <v>#REF!</v>
      </c>
      <c r="B841">
        <f>ROW()</f>
        <v>841</v>
      </c>
    </row>
    <row r="842" spans="1:2" x14ac:dyDescent="0.25">
      <c r="A842" s="23" t="e">
        <f>#REF!&amp;"_"&amp;#REF!</f>
        <v>#REF!</v>
      </c>
      <c r="B842">
        <f>ROW()</f>
        <v>842</v>
      </c>
    </row>
    <row r="843" spans="1:2" x14ac:dyDescent="0.25">
      <c r="A843" s="23" t="e">
        <f>#REF!&amp;"_"&amp;#REF!</f>
        <v>#REF!</v>
      </c>
      <c r="B843">
        <f>ROW()</f>
        <v>843</v>
      </c>
    </row>
    <row r="844" spans="1:2" x14ac:dyDescent="0.25">
      <c r="A844" s="23" t="e">
        <f>#REF!&amp;"_"&amp;#REF!</f>
        <v>#REF!</v>
      </c>
      <c r="B844">
        <f>ROW()</f>
        <v>844</v>
      </c>
    </row>
    <row r="845" spans="1:2" x14ac:dyDescent="0.25">
      <c r="A845" s="23" t="e">
        <f>#REF!&amp;"_"&amp;#REF!</f>
        <v>#REF!</v>
      </c>
      <c r="B845">
        <f>ROW()</f>
        <v>845</v>
      </c>
    </row>
    <row r="846" spans="1:2" x14ac:dyDescent="0.25">
      <c r="A846" s="23" t="e">
        <f>#REF!&amp;"_"&amp;#REF!</f>
        <v>#REF!</v>
      </c>
      <c r="B846">
        <f>ROW()</f>
        <v>846</v>
      </c>
    </row>
    <row r="847" spans="1:2" x14ac:dyDescent="0.25">
      <c r="A847" s="23" t="e">
        <f>#REF!&amp;"_"&amp;#REF!</f>
        <v>#REF!</v>
      </c>
      <c r="B847">
        <f>ROW()</f>
        <v>847</v>
      </c>
    </row>
    <row r="848" spans="1:2" x14ac:dyDescent="0.25">
      <c r="A848" s="23" t="e">
        <f>#REF!&amp;"_"&amp;#REF!</f>
        <v>#REF!</v>
      </c>
      <c r="B848">
        <f>ROW()</f>
        <v>848</v>
      </c>
    </row>
    <row r="849" spans="1:2" x14ac:dyDescent="0.25">
      <c r="A849" s="23" t="e">
        <f>#REF!&amp;"_"&amp;#REF!</f>
        <v>#REF!</v>
      </c>
      <c r="B849">
        <f>ROW()</f>
        <v>849</v>
      </c>
    </row>
    <row r="850" spans="1:2" x14ac:dyDescent="0.25">
      <c r="A850" s="23" t="e">
        <f>#REF!&amp;"_"&amp;#REF!</f>
        <v>#REF!</v>
      </c>
      <c r="B850">
        <f>ROW()</f>
        <v>850</v>
      </c>
    </row>
    <row r="851" spans="1:2" x14ac:dyDescent="0.25">
      <c r="A851" s="23" t="e">
        <f>#REF!&amp;"_"&amp;#REF!</f>
        <v>#REF!</v>
      </c>
      <c r="B851">
        <f>ROW()</f>
        <v>851</v>
      </c>
    </row>
    <row r="852" spans="1:2" x14ac:dyDescent="0.25">
      <c r="A852" s="23" t="e">
        <f>#REF!&amp;"_"&amp;#REF!</f>
        <v>#REF!</v>
      </c>
      <c r="B852">
        <f>ROW()</f>
        <v>852</v>
      </c>
    </row>
    <row r="853" spans="1:2" x14ac:dyDescent="0.25">
      <c r="A853" s="23" t="e">
        <f>#REF!&amp;"_"&amp;#REF!</f>
        <v>#REF!</v>
      </c>
      <c r="B853">
        <f>ROW()</f>
        <v>853</v>
      </c>
    </row>
    <row r="854" spans="1:2" x14ac:dyDescent="0.25">
      <c r="A854" s="23" t="e">
        <f>#REF!&amp;"_"&amp;#REF!</f>
        <v>#REF!</v>
      </c>
      <c r="B854">
        <f>ROW()</f>
        <v>854</v>
      </c>
    </row>
    <row r="855" spans="1:2" x14ac:dyDescent="0.25">
      <c r="A855" s="23" t="e">
        <f>#REF!&amp;"_"&amp;#REF!</f>
        <v>#REF!</v>
      </c>
      <c r="B855">
        <f>ROW()</f>
        <v>855</v>
      </c>
    </row>
    <row r="856" spans="1:2" x14ac:dyDescent="0.25">
      <c r="A856" s="23" t="e">
        <f>#REF!&amp;"_"&amp;#REF!</f>
        <v>#REF!</v>
      </c>
      <c r="B856">
        <f>ROW()</f>
        <v>856</v>
      </c>
    </row>
    <row r="857" spans="1:2" x14ac:dyDescent="0.25">
      <c r="A857" s="23" t="e">
        <f>#REF!&amp;"_"&amp;#REF!</f>
        <v>#REF!</v>
      </c>
      <c r="B857">
        <f>ROW()</f>
        <v>857</v>
      </c>
    </row>
    <row r="858" spans="1:2" x14ac:dyDescent="0.25">
      <c r="A858" s="23" t="e">
        <f>#REF!&amp;"_"&amp;#REF!</f>
        <v>#REF!</v>
      </c>
      <c r="B858">
        <f>ROW()</f>
        <v>858</v>
      </c>
    </row>
    <row r="859" spans="1:2" x14ac:dyDescent="0.25">
      <c r="A859" s="23" t="e">
        <f>#REF!&amp;"_"&amp;#REF!</f>
        <v>#REF!</v>
      </c>
      <c r="B859">
        <f>ROW()</f>
        <v>859</v>
      </c>
    </row>
    <row r="860" spans="1:2" x14ac:dyDescent="0.25">
      <c r="A860" s="23" t="e">
        <f>#REF!&amp;"_"&amp;#REF!</f>
        <v>#REF!</v>
      </c>
      <c r="B860">
        <f>ROW()</f>
        <v>860</v>
      </c>
    </row>
    <row r="861" spans="1:2" x14ac:dyDescent="0.25">
      <c r="A861" s="23" t="e">
        <f>#REF!&amp;"_"&amp;#REF!</f>
        <v>#REF!</v>
      </c>
      <c r="B861">
        <f>ROW()</f>
        <v>861</v>
      </c>
    </row>
    <row r="862" spans="1:2" x14ac:dyDescent="0.25">
      <c r="A862" s="23" t="e">
        <f>#REF!&amp;"_"&amp;#REF!</f>
        <v>#REF!</v>
      </c>
      <c r="B862">
        <f>ROW()</f>
        <v>862</v>
      </c>
    </row>
    <row r="863" spans="1:2" x14ac:dyDescent="0.25">
      <c r="A863" s="23" t="e">
        <f>#REF!&amp;"_"&amp;#REF!</f>
        <v>#REF!</v>
      </c>
      <c r="B863">
        <f>ROW()</f>
        <v>863</v>
      </c>
    </row>
    <row r="864" spans="1:2" x14ac:dyDescent="0.25">
      <c r="A864" s="23" t="e">
        <f>#REF!&amp;"_"&amp;#REF!</f>
        <v>#REF!</v>
      </c>
      <c r="B864">
        <f>ROW()</f>
        <v>864</v>
      </c>
    </row>
    <row r="865" spans="1:2" x14ac:dyDescent="0.25">
      <c r="A865" s="23" t="e">
        <f>#REF!&amp;"_"&amp;#REF!</f>
        <v>#REF!</v>
      </c>
      <c r="B865">
        <f>ROW()</f>
        <v>865</v>
      </c>
    </row>
    <row r="866" spans="1:2" x14ac:dyDescent="0.25">
      <c r="A866" s="23" t="e">
        <f>#REF!&amp;"_"&amp;#REF!</f>
        <v>#REF!</v>
      </c>
      <c r="B866">
        <f>ROW()</f>
        <v>866</v>
      </c>
    </row>
    <row r="867" spans="1:2" x14ac:dyDescent="0.25">
      <c r="A867" s="23" t="e">
        <f>#REF!&amp;"_"&amp;#REF!</f>
        <v>#REF!</v>
      </c>
      <c r="B867">
        <f>ROW()</f>
        <v>867</v>
      </c>
    </row>
    <row r="868" spans="1:2" x14ac:dyDescent="0.25">
      <c r="A868" s="23" t="e">
        <f>#REF!&amp;"_"&amp;#REF!</f>
        <v>#REF!</v>
      </c>
      <c r="B868">
        <f>ROW()</f>
        <v>868</v>
      </c>
    </row>
    <row r="869" spans="1:2" x14ac:dyDescent="0.25">
      <c r="A869" s="23" t="e">
        <f>#REF!&amp;"_"&amp;#REF!</f>
        <v>#REF!</v>
      </c>
      <c r="B869">
        <f>ROW()</f>
        <v>869</v>
      </c>
    </row>
    <row r="870" spans="1:2" x14ac:dyDescent="0.25">
      <c r="A870" s="23" t="e">
        <f>#REF!&amp;"_"&amp;#REF!</f>
        <v>#REF!</v>
      </c>
      <c r="B870">
        <f>ROW()</f>
        <v>870</v>
      </c>
    </row>
    <row r="871" spans="1:2" x14ac:dyDescent="0.25">
      <c r="A871" s="23" t="e">
        <f>#REF!&amp;"_"&amp;#REF!</f>
        <v>#REF!</v>
      </c>
      <c r="B871">
        <f>ROW()</f>
        <v>871</v>
      </c>
    </row>
    <row r="872" spans="1:2" x14ac:dyDescent="0.25">
      <c r="A872" s="23" t="e">
        <f>#REF!&amp;"_"&amp;#REF!</f>
        <v>#REF!</v>
      </c>
      <c r="B872">
        <f>ROW()</f>
        <v>872</v>
      </c>
    </row>
    <row r="873" spans="1:2" x14ac:dyDescent="0.25">
      <c r="A873" s="23" t="e">
        <f>#REF!&amp;"_"&amp;#REF!</f>
        <v>#REF!</v>
      </c>
      <c r="B873">
        <f>ROW()</f>
        <v>873</v>
      </c>
    </row>
    <row r="874" spans="1:2" x14ac:dyDescent="0.25">
      <c r="A874" s="23" t="e">
        <f>#REF!&amp;"_"&amp;#REF!</f>
        <v>#REF!</v>
      </c>
      <c r="B874">
        <f>ROW()</f>
        <v>874</v>
      </c>
    </row>
    <row r="875" spans="1:2" x14ac:dyDescent="0.25">
      <c r="A875" s="23" t="e">
        <f>#REF!&amp;"_"&amp;#REF!</f>
        <v>#REF!</v>
      </c>
      <c r="B875">
        <f>ROW()</f>
        <v>875</v>
      </c>
    </row>
    <row r="876" spans="1:2" x14ac:dyDescent="0.25">
      <c r="A876" s="23" t="e">
        <f>#REF!&amp;"_"&amp;#REF!</f>
        <v>#REF!</v>
      </c>
      <c r="B876">
        <f>ROW()</f>
        <v>876</v>
      </c>
    </row>
    <row r="877" spans="1:2" x14ac:dyDescent="0.25">
      <c r="A877" s="23" t="e">
        <f>#REF!&amp;"_"&amp;#REF!</f>
        <v>#REF!</v>
      </c>
      <c r="B877">
        <f>ROW()</f>
        <v>877</v>
      </c>
    </row>
    <row r="878" spans="1:2" x14ac:dyDescent="0.25">
      <c r="A878" s="23" t="e">
        <f>#REF!&amp;"_"&amp;#REF!</f>
        <v>#REF!</v>
      </c>
      <c r="B878">
        <f>ROW()</f>
        <v>878</v>
      </c>
    </row>
    <row r="879" spans="1:2" x14ac:dyDescent="0.25">
      <c r="A879" s="23" t="e">
        <f>#REF!&amp;"_"&amp;#REF!</f>
        <v>#REF!</v>
      </c>
      <c r="B879">
        <f>ROW()</f>
        <v>879</v>
      </c>
    </row>
    <row r="880" spans="1:2" x14ac:dyDescent="0.25">
      <c r="A880" s="23" t="e">
        <f>#REF!&amp;"_"&amp;#REF!</f>
        <v>#REF!</v>
      </c>
      <c r="B880">
        <f>ROW()</f>
        <v>880</v>
      </c>
    </row>
    <row r="881" spans="1:2" x14ac:dyDescent="0.25">
      <c r="A881" s="23" t="e">
        <f>#REF!&amp;"_"&amp;#REF!</f>
        <v>#REF!</v>
      </c>
      <c r="B881">
        <f>ROW()</f>
        <v>881</v>
      </c>
    </row>
    <row r="882" spans="1:2" x14ac:dyDescent="0.25">
      <c r="A882" s="23" t="e">
        <f>#REF!&amp;"_"&amp;#REF!</f>
        <v>#REF!</v>
      </c>
      <c r="B882">
        <f>ROW()</f>
        <v>882</v>
      </c>
    </row>
    <row r="883" spans="1:2" x14ac:dyDescent="0.25">
      <c r="A883" s="23" t="e">
        <f>#REF!&amp;"_"&amp;#REF!</f>
        <v>#REF!</v>
      </c>
      <c r="B883">
        <f>ROW()</f>
        <v>883</v>
      </c>
    </row>
    <row r="884" spans="1:2" x14ac:dyDescent="0.25">
      <c r="A884" s="23" t="e">
        <f>#REF!&amp;"_"&amp;#REF!</f>
        <v>#REF!</v>
      </c>
      <c r="B884">
        <f>ROW()</f>
        <v>884</v>
      </c>
    </row>
    <row r="885" spans="1:2" x14ac:dyDescent="0.25">
      <c r="A885" s="23" t="e">
        <f>#REF!&amp;"_"&amp;#REF!</f>
        <v>#REF!</v>
      </c>
      <c r="B885">
        <f>ROW()</f>
        <v>885</v>
      </c>
    </row>
    <row r="886" spans="1:2" x14ac:dyDescent="0.25">
      <c r="A886" s="23" t="e">
        <f>#REF!&amp;"_"&amp;#REF!</f>
        <v>#REF!</v>
      </c>
      <c r="B886">
        <f>ROW()</f>
        <v>886</v>
      </c>
    </row>
    <row r="887" spans="1:2" x14ac:dyDescent="0.25">
      <c r="A887" s="23" t="e">
        <f>#REF!&amp;"_"&amp;#REF!</f>
        <v>#REF!</v>
      </c>
      <c r="B887">
        <f>ROW()</f>
        <v>887</v>
      </c>
    </row>
    <row r="888" spans="1:2" x14ac:dyDescent="0.25">
      <c r="A888" s="23" t="e">
        <f>#REF!&amp;"_"&amp;#REF!</f>
        <v>#REF!</v>
      </c>
      <c r="B888">
        <f>ROW()</f>
        <v>888</v>
      </c>
    </row>
    <row r="889" spans="1:2" x14ac:dyDescent="0.25">
      <c r="A889" s="23" t="e">
        <f>#REF!&amp;"_"&amp;#REF!</f>
        <v>#REF!</v>
      </c>
      <c r="B889">
        <f>ROW()</f>
        <v>889</v>
      </c>
    </row>
    <row r="890" spans="1:2" x14ac:dyDescent="0.25">
      <c r="A890" s="23" t="e">
        <f>#REF!&amp;"_"&amp;#REF!</f>
        <v>#REF!</v>
      </c>
      <c r="B890">
        <f>ROW()</f>
        <v>890</v>
      </c>
    </row>
    <row r="891" spans="1:2" x14ac:dyDescent="0.25">
      <c r="A891" s="23" t="e">
        <f>#REF!&amp;"_"&amp;#REF!</f>
        <v>#REF!</v>
      </c>
      <c r="B891">
        <f>ROW()</f>
        <v>891</v>
      </c>
    </row>
    <row r="892" spans="1:2" x14ac:dyDescent="0.25">
      <c r="A892" s="23" t="e">
        <f>#REF!&amp;"_"&amp;#REF!</f>
        <v>#REF!</v>
      </c>
      <c r="B892">
        <f>ROW()</f>
        <v>892</v>
      </c>
    </row>
    <row r="893" spans="1:2" x14ac:dyDescent="0.25">
      <c r="A893" s="23" t="e">
        <f>#REF!&amp;"_"&amp;#REF!</f>
        <v>#REF!</v>
      </c>
      <c r="B893">
        <f>ROW()</f>
        <v>893</v>
      </c>
    </row>
    <row r="894" spans="1:2" x14ac:dyDescent="0.25">
      <c r="A894" s="23" t="e">
        <f>#REF!&amp;"_"&amp;#REF!</f>
        <v>#REF!</v>
      </c>
      <c r="B894">
        <f>ROW()</f>
        <v>894</v>
      </c>
    </row>
    <row r="895" spans="1:2" x14ac:dyDescent="0.25">
      <c r="A895" s="23" t="e">
        <f>#REF!&amp;"_"&amp;#REF!</f>
        <v>#REF!</v>
      </c>
      <c r="B895">
        <f>ROW()</f>
        <v>895</v>
      </c>
    </row>
    <row r="896" spans="1:2" x14ac:dyDescent="0.25">
      <c r="A896" s="23" t="e">
        <f>#REF!&amp;"_"&amp;#REF!</f>
        <v>#REF!</v>
      </c>
      <c r="B896">
        <f>ROW()</f>
        <v>896</v>
      </c>
    </row>
    <row r="897" spans="1:2" x14ac:dyDescent="0.25">
      <c r="A897" s="23" t="e">
        <f>#REF!&amp;"_"&amp;#REF!</f>
        <v>#REF!</v>
      </c>
      <c r="B897">
        <f>ROW()</f>
        <v>897</v>
      </c>
    </row>
    <row r="898" spans="1:2" x14ac:dyDescent="0.25">
      <c r="A898" s="23" t="e">
        <f>#REF!&amp;"_"&amp;#REF!</f>
        <v>#REF!</v>
      </c>
      <c r="B898">
        <f>ROW()</f>
        <v>898</v>
      </c>
    </row>
    <row r="899" spans="1:2" x14ac:dyDescent="0.25">
      <c r="A899" s="23" t="e">
        <f>#REF!&amp;"_"&amp;#REF!</f>
        <v>#REF!</v>
      </c>
      <c r="B899">
        <f>ROW()</f>
        <v>899</v>
      </c>
    </row>
    <row r="900" spans="1:2" x14ac:dyDescent="0.25">
      <c r="A900" s="23" t="e">
        <f>#REF!&amp;"_"&amp;#REF!</f>
        <v>#REF!</v>
      </c>
      <c r="B900">
        <f>ROW()</f>
        <v>900</v>
      </c>
    </row>
    <row r="901" spans="1:2" x14ac:dyDescent="0.25">
      <c r="A901" s="23" t="e">
        <f>#REF!&amp;"_"&amp;#REF!</f>
        <v>#REF!</v>
      </c>
      <c r="B901">
        <f>ROW()</f>
        <v>901</v>
      </c>
    </row>
    <row r="902" spans="1:2" x14ac:dyDescent="0.25">
      <c r="A902" s="23" t="e">
        <f>#REF!&amp;"_"&amp;#REF!</f>
        <v>#REF!</v>
      </c>
      <c r="B902">
        <f>ROW()</f>
        <v>902</v>
      </c>
    </row>
    <row r="903" spans="1:2" x14ac:dyDescent="0.25">
      <c r="A903" s="23" t="e">
        <f>#REF!&amp;"_"&amp;#REF!</f>
        <v>#REF!</v>
      </c>
      <c r="B903">
        <f>ROW()</f>
        <v>903</v>
      </c>
    </row>
    <row r="904" spans="1:2" x14ac:dyDescent="0.25">
      <c r="A904" s="23" t="e">
        <f>#REF!&amp;"_"&amp;#REF!</f>
        <v>#REF!</v>
      </c>
      <c r="B904">
        <f>ROW()</f>
        <v>904</v>
      </c>
    </row>
    <row r="905" spans="1:2" x14ac:dyDescent="0.25">
      <c r="A905" s="23" t="e">
        <f>#REF!&amp;"_"&amp;#REF!</f>
        <v>#REF!</v>
      </c>
      <c r="B905">
        <f>ROW()</f>
        <v>905</v>
      </c>
    </row>
    <row r="906" spans="1:2" x14ac:dyDescent="0.25">
      <c r="A906" s="23" t="e">
        <f>#REF!&amp;"_"&amp;#REF!</f>
        <v>#REF!</v>
      </c>
      <c r="B906">
        <f>ROW()</f>
        <v>906</v>
      </c>
    </row>
    <row r="907" spans="1:2" x14ac:dyDescent="0.25">
      <c r="A907" s="23" t="e">
        <f>#REF!&amp;"_"&amp;#REF!</f>
        <v>#REF!</v>
      </c>
      <c r="B907">
        <f>ROW()</f>
        <v>907</v>
      </c>
    </row>
    <row r="908" spans="1:2" x14ac:dyDescent="0.25">
      <c r="A908" s="23" t="e">
        <f>#REF!&amp;"_"&amp;#REF!</f>
        <v>#REF!</v>
      </c>
      <c r="B908">
        <f>ROW()</f>
        <v>908</v>
      </c>
    </row>
    <row r="909" spans="1:2" x14ac:dyDescent="0.25">
      <c r="A909" s="23" t="e">
        <f>#REF!&amp;"_"&amp;#REF!</f>
        <v>#REF!</v>
      </c>
      <c r="B909">
        <f>ROW()</f>
        <v>909</v>
      </c>
    </row>
    <row r="910" spans="1:2" x14ac:dyDescent="0.25">
      <c r="A910" s="23" t="e">
        <f>#REF!&amp;"_"&amp;#REF!</f>
        <v>#REF!</v>
      </c>
      <c r="B910">
        <f>ROW()</f>
        <v>910</v>
      </c>
    </row>
    <row r="911" spans="1:2" x14ac:dyDescent="0.25">
      <c r="A911" s="23" t="e">
        <f>#REF!&amp;"_"&amp;#REF!</f>
        <v>#REF!</v>
      </c>
      <c r="B911">
        <f>ROW()</f>
        <v>911</v>
      </c>
    </row>
    <row r="912" spans="1:2" x14ac:dyDescent="0.25">
      <c r="A912" s="23" t="e">
        <f>#REF!&amp;"_"&amp;#REF!</f>
        <v>#REF!</v>
      </c>
      <c r="B912">
        <f>ROW()</f>
        <v>912</v>
      </c>
    </row>
    <row r="913" spans="1:2" x14ac:dyDescent="0.25">
      <c r="A913" s="23" t="e">
        <f>#REF!&amp;"_"&amp;#REF!</f>
        <v>#REF!</v>
      </c>
      <c r="B913">
        <f>ROW()</f>
        <v>913</v>
      </c>
    </row>
    <row r="914" spans="1:2" x14ac:dyDescent="0.25">
      <c r="A914" s="23" t="e">
        <f>#REF!&amp;"_"&amp;#REF!</f>
        <v>#REF!</v>
      </c>
      <c r="B914">
        <f>ROW()</f>
        <v>914</v>
      </c>
    </row>
    <row r="915" spans="1:2" x14ac:dyDescent="0.25">
      <c r="A915" s="23" t="e">
        <f>#REF!&amp;"_"&amp;#REF!</f>
        <v>#REF!</v>
      </c>
      <c r="B915">
        <f>ROW()</f>
        <v>915</v>
      </c>
    </row>
    <row r="916" spans="1:2" x14ac:dyDescent="0.25">
      <c r="A916" s="23" t="e">
        <f>#REF!&amp;"_"&amp;#REF!</f>
        <v>#REF!</v>
      </c>
      <c r="B916">
        <f>ROW()</f>
        <v>916</v>
      </c>
    </row>
    <row r="917" spans="1:2" x14ac:dyDescent="0.25">
      <c r="A917" s="23" t="e">
        <f>#REF!&amp;"_"&amp;#REF!</f>
        <v>#REF!</v>
      </c>
      <c r="B917">
        <f>ROW()</f>
        <v>917</v>
      </c>
    </row>
    <row r="918" spans="1:2" x14ac:dyDescent="0.25">
      <c r="A918" s="23" t="e">
        <f>#REF!&amp;"_"&amp;#REF!</f>
        <v>#REF!</v>
      </c>
      <c r="B918">
        <f>ROW()</f>
        <v>918</v>
      </c>
    </row>
    <row r="919" spans="1:2" x14ac:dyDescent="0.25">
      <c r="A919" s="23" t="e">
        <f>#REF!&amp;"_"&amp;#REF!</f>
        <v>#REF!</v>
      </c>
      <c r="B919">
        <f>ROW()</f>
        <v>919</v>
      </c>
    </row>
    <row r="920" spans="1:2" x14ac:dyDescent="0.25">
      <c r="A920" s="23" t="e">
        <f>#REF!&amp;"_"&amp;#REF!</f>
        <v>#REF!</v>
      </c>
      <c r="B920">
        <f>ROW()</f>
        <v>920</v>
      </c>
    </row>
    <row r="921" spans="1:2" x14ac:dyDescent="0.25">
      <c r="A921" s="23" t="e">
        <f>#REF!&amp;"_"&amp;#REF!</f>
        <v>#REF!</v>
      </c>
      <c r="B921">
        <f>ROW()</f>
        <v>921</v>
      </c>
    </row>
    <row r="922" spans="1:2" x14ac:dyDescent="0.25">
      <c r="A922" s="23" t="e">
        <f>#REF!&amp;"_"&amp;#REF!</f>
        <v>#REF!</v>
      </c>
      <c r="B922">
        <f>ROW()</f>
        <v>922</v>
      </c>
    </row>
    <row r="923" spans="1:2" x14ac:dyDescent="0.25">
      <c r="A923" s="23" t="e">
        <f>#REF!&amp;"_"&amp;#REF!</f>
        <v>#REF!</v>
      </c>
      <c r="B923">
        <f>ROW()</f>
        <v>923</v>
      </c>
    </row>
    <row r="924" spans="1:2" x14ac:dyDescent="0.25">
      <c r="A924" s="23" t="e">
        <f>#REF!&amp;"_"&amp;#REF!</f>
        <v>#REF!</v>
      </c>
      <c r="B924">
        <f>ROW()</f>
        <v>924</v>
      </c>
    </row>
    <row r="925" spans="1:2" x14ac:dyDescent="0.25">
      <c r="A925" s="23" t="e">
        <f>#REF!&amp;"_"&amp;#REF!</f>
        <v>#REF!</v>
      </c>
      <c r="B925">
        <f>ROW()</f>
        <v>925</v>
      </c>
    </row>
    <row r="926" spans="1:2" x14ac:dyDescent="0.25">
      <c r="A926" s="23" t="e">
        <f>#REF!&amp;"_"&amp;#REF!</f>
        <v>#REF!</v>
      </c>
      <c r="B926">
        <f>ROW()</f>
        <v>926</v>
      </c>
    </row>
    <row r="927" spans="1:2" x14ac:dyDescent="0.25">
      <c r="A927" s="23" t="e">
        <f>#REF!&amp;"_"&amp;#REF!</f>
        <v>#REF!</v>
      </c>
      <c r="B927">
        <f>ROW()</f>
        <v>927</v>
      </c>
    </row>
    <row r="928" spans="1:2" x14ac:dyDescent="0.25">
      <c r="A928" s="23" t="e">
        <f>#REF!&amp;"_"&amp;#REF!</f>
        <v>#REF!</v>
      </c>
      <c r="B928">
        <f>ROW()</f>
        <v>928</v>
      </c>
    </row>
    <row r="929" spans="1:2" x14ac:dyDescent="0.25">
      <c r="A929" s="23" t="e">
        <f>#REF!&amp;"_"&amp;#REF!</f>
        <v>#REF!</v>
      </c>
      <c r="B929">
        <f>ROW()</f>
        <v>929</v>
      </c>
    </row>
    <row r="930" spans="1:2" x14ac:dyDescent="0.25">
      <c r="A930" s="23" t="e">
        <f>#REF!&amp;"_"&amp;#REF!</f>
        <v>#REF!</v>
      </c>
      <c r="B930">
        <f>ROW()</f>
        <v>930</v>
      </c>
    </row>
    <row r="931" spans="1:2" x14ac:dyDescent="0.25">
      <c r="A931" s="23" t="e">
        <f>#REF!&amp;"_"&amp;#REF!</f>
        <v>#REF!</v>
      </c>
      <c r="B931">
        <f>ROW()</f>
        <v>931</v>
      </c>
    </row>
    <row r="932" spans="1:2" x14ac:dyDescent="0.25">
      <c r="A932" s="23" t="e">
        <f>#REF!&amp;"_"&amp;#REF!</f>
        <v>#REF!</v>
      </c>
      <c r="B932">
        <f>ROW()</f>
        <v>932</v>
      </c>
    </row>
    <row r="933" spans="1:2" x14ac:dyDescent="0.25">
      <c r="A933" s="23" t="e">
        <f>#REF!&amp;"_"&amp;#REF!</f>
        <v>#REF!</v>
      </c>
      <c r="B933">
        <f>ROW()</f>
        <v>933</v>
      </c>
    </row>
    <row r="934" spans="1:2" x14ac:dyDescent="0.25">
      <c r="A934" s="23" t="e">
        <f>#REF!&amp;"_"&amp;#REF!</f>
        <v>#REF!</v>
      </c>
      <c r="B934">
        <f>ROW()</f>
        <v>934</v>
      </c>
    </row>
    <row r="935" spans="1:2" x14ac:dyDescent="0.25">
      <c r="A935" s="23" t="e">
        <f>#REF!&amp;"_"&amp;#REF!</f>
        <v>#REF!</v>
      </c>
      <c r="B935">
        <f>ROW()</f>
        <v>935</v>
      </c>
    </row>
    <row r="936" spans="1:2" x14ac:dyDescent="0.25">
      <c r="A936" s="23" t="e">
        <f>#REF!&amp;"_"&amp;#REF!</f>
        <v>#REF!</v>
      </c>
      <c r="B936">
        <f>ROW()</f>
        <v>936</v>
      </c>
    </row>
    <row r="937" spans="1:2" x14ac:dyDescent="0.25">
      <c r="A937" s="23" t="e">
        <f>#REF!&amp;"_"&amp;#REF!</f>
        <v>#REF!</v>
      </c>
      <c r="B937">
        <f>ROW()</f>
        <v>937</v>
      </c>
    </row>
    <row r="938" spans="1:2" x14ac:dyDescent="0.25">
      <c r="A938" s="23" t="e">
        <f>#REF!&amp;"_"&amp;#REF!</f>
        <v>#REF!</v>
      </c>
      <c r="B938">
        <f>ROW()</f>
        <v>938</v>
      </c>
    </row>
    <row r="939" spans="1:2" x14ac:dyDescent="0.25">
      <c r="A939" s="23" t="e">
        <f>#REF!&amp;"_"&amp;#REF!</f>
        <v>#REF!</v>
      </c>
      <c r="B939">
        <f>ROW()</f>
        <v>939</v>
      </c>
    </row>
    <row r="940" spans="1:2" x14ac:dyDescent="0.25">
      <c r="A940" s="23" t="e">
        <f>#REF!&amp;"_"&amp;#REF!</f>
        <v>#REF!</v>
      </c>
      <c r="B940">
        <f>ROW()</f>
        <v>940</v>
      </c>
    </row>
    <row r="941" spans="1:2" x14ac:dyDescent="0.25">
      <c r="A941" s="23" t="e">
        <f>#REF!&amp;"_"&amp;#REF!</f>
        <v>#REF!</v>
      </c>
      <c r="B941">
        <f>ROW()</f>
        <v>941</v>
      </c>
    </row>
    <row r="942" spans="1:2" x14ac:dyDescent="0.25">
      <c r="A942" s="23" t="e">
        <f>#REF!&amp;"_"&amp;#REF!</f>
        <v>#REF!</v>
      </c>
      <c r="B942">
        <f>ROW()</f>
        <v>942</v>
      </c>
    </row>
    <row r="943" spans="1:2" x14ac:dyDescent="0.25">
      <c r="A943" s="23" t="e">
        <f>#REF!&amp;"_"&amp;#REF!</f>
        <v>#REF!</v>
      </c>
      <c r="B943">
        <f>ROW()</f>
        <v>943</v>
      </c>
    </row>
    <row r="944" spans="1:2" x14ac:dyDescent="0.25">
      <c r="A944" s="23" t="e">
        <f>#REF!&amp;"_"&amp;#REF!</f>
        <v>#REF!</v>
      </c>
      <c r="B944">
        <f>ROW()</f>
        <v>944</v>
      </c>
    </row>
    <row r="945" spans="1:2" x14ac:dyDescent="0.25">
      <c r="A945" s="23" t="e">
        <f>#REF!&amp;"_"&amp;#REF!</f>
        <v>#REF!</v>
      </c>
      <c r="B945">
        <f>ROW()</f>
        <v>945</v>
      </c>
    </row>
    <row r="946" spans="1:2" x14ac:dyDescent="0.25">
      <c r="A946" s="23" t="e">
        <f>#REF!&amp;"_"&amp;#REF!</f>
        <v>#REF!</v>
      </c>
      <c r="B946">
        <f>ROW()</f>
        <v>946</v>
      </c>
    </row>
    <row r="947" spans="1:2" x14ac:dyDescent="0.25">
      <c r="A947" s="23" t="e">
        <f>#REF!&amp;"_"&amp;#REF!</f>
        <v>#REF!</v>
      </c>
      <c r="B947">
        <f>ROW()</f>
        <v>947</v>
      </c>
    </row>
    <row r="948" spans="1:2" x14ac:dyDescent="0.25">
      <c r="A948" s="23" t="e">
        <f>#REF!&amp;"_"&amp;#REF!</f>
        <v>#REF!</v>
      </c>
      <c r="B948">
        <f>ROW()</f>
        <v>948</v>
      </c>
    </row>
    <row r="949" spans="1:2" x14ac:dyDescent="0.25">
      <c r="A949" s="23" t="e">
        <f>#REF!&amp;"_"&amp;#REF!</f>
        <v>#REF!</v>
      </c>
      <c r="B949">
        <f>ROW()</f>
        <v>949</v>
      </c>
    </row>
    <row r="950" spans="1:2" x14ac:dyDescent="0.25">
      <c r="A950" s="23" t="e">
        <f>#REF!&amp;"_"&amp;#REF!</f>
        <v>#REF!</v>
      </c>
      <c r="B950">
        <f>ROW()</f>
        <v>950</v>
      </c>
    </row>
    <row r="951" spans="1:2" x14ac:dyDescent="0.25">
      <c r="A951" s="23" t="e">
        <f>#REF!&amp;"_"&amp;#REF!</f>
        <v>#REF!</v>
      </c>
      <c r="B951">
        <f>ROW()</f>
        <v>951</v>
      </c>
    </row>
    <row r="952" spans="1:2" x14ac:dyDescent="0.25">
      <c r="A952" s="23" t="e">
        <f>#REF!&amp;"_"&amp;#REF!</f>
        <v>#REF!</v>
      </c>
      <c r="B952">
        <f>ROW()</f>
        <v>952</v>
      </c>
    </row>
    <row r="953" spans="1:2" x14ac:dyDescent="0.25">
      <c r="A953" s="23" t="e">
        <f>#REF!&amp;"_"&amp;#REF!</f>
        <v>#REF!</v>
      </c>
      <c r="B953">
        <f>ROW()</f>
        <v>953</v>
      </c>
    </row>
    <row r="954" spans="1:2" x14ac:dyDescent="0.25">
      <c r="A954" s="23" t="e">
        <f>#REF!&amp;"_"&amp;#REF!</f>
        <v>#REF!</v>
      </c>
      <c r="B954">
        <f>ROW()</f>
        <v>954</v>
      </c>
    </row>
    <row r="955" spans="1:2" x14ac:dyDescent="0.25">
      <c r="A955" s="23" t="e">
        <f>#REF!&amp;"_"&amp;#REF!</f>
        <v>#REF!</v>
      </c>
      <c r="B955">
        <f>ROW()</f>
        <v>955</v>
      </c>
    </row>
    <row r="956" spans="1:2" x14ac:dyDescent="0.25">
      <c r="A956" s="23" t="e">
        <f>#REF!&amp;"_"&amp;#REF!</f>
        <v>#REF!</v>
      </c>
      <c r="B956">
        <f>ROW()</f>
        <v>956</v>
      </c>
    </row>
    <row r="957" spans="1:2" x14ac:dyDescent="0.25">
      <c r="A957" s="23" t="e">
        <f>#REF!&amp;"_"&amp;#REF!</f>
        <v>#REF!</v>
      </c>
      <c r="B957">
        <f>ROW()</f>
        <v>957</v>
      </c>
    </row>
    <row r="958" spans="1:2" x14ac:dyDescent="0.25">
      <c r="A958" s="23" t="e">
        <f>#REF!&amp;"_"&amp;#REF!</f>
        <v>#REF!</v>
      </c>
      <c r="B958">
        <f>ROW()</f>
        <v>958</v>
      </c>
    </row>
    <row r="959" spans="1:2" x14ac:dyDescent="0.25">
      <c r="A959" s="23" t="e">
        <f>#REF!&amp;"_"&amp;#REF!</f>
        <v>#REF!</v>
      </c>
      <c r="B959">
        <f>ROW()</f>
        <v>959</v>
      </c>
    </row>
    <row r="960" spans="1:2" x14ac:dyDescent="0.25">
      <c r="A960" s="23" t="e">
        <f>#REF!&amp;"_"&amp;#REF!</f>
        <v>#REF!</v>
      </c>
      <c r="B960">
        <f>ROW()</f>
        <v>960</v>
      </c>
    </row>
    <row r="961" spans="1:2" x14ac:dyDescent="0.25">
      <c r="A961" s="23" t="e">
        <f>#REF!&amp;"_"&amp;#REF!</f>
        <v>#REF!</v>
      </c>
      <c r="B961">
        <f>ROW()</f>
        <v>961</v>
      </c>
    </row>
    <row r="962" spans="1:2" x14ac:dyDescent="0.25">
      <c r="A962" s="23" t="e">
        <f>#REF!&amp;"_"&amp;#REF!</f>
        <v>#REF!</v>
      </c>
      <c r="B962">
        <f>ROW()</f>
        <v>962</v>
      </c>
    </row>
    <row r="963" spans="1:2" x14ac:dyDescent="0.25">
      <c r="A963" s="23" t="e">
        <f>#REF!&amp;"_"&amp;#REF!</f>
        <v>#REF!</v>
      </c>
      <c r="B963">
        <f>ROW()</f>
        <v>963</v>
      </c>
    </row>
    <row r="964" spans="1:2" x14ac:dyDescent="0.25">
      <c r="A964" s="23" t="e">
        <f>#REF!&amp;"_"&amp;#REF!</f>
        <v>#REF!</v>
      </c>
      <c r="B964">
        <f>ROW()</f>
        <v>964</v>
      </c>
    </row>
    <row r="965" spans="1:2" x14ac:dyDescent="0.25">
      <c r="A965" s="23" t="e">
        <f>#REF!&amp;"_"&amp;#REF!</f>
        <v>#REF!</v>
      </c>
      <c r="B965">
        <f>ROW()</f>
        <v>965</v>
      </c>
    </row>
    <row r="966" spans="1:2" x14ac:dyDescent="0.25">
      <c r="A966" s="23" t="e">
        <f>#REF!&amp;"_"&amp;#REF!</f>
        <v>#REF!</v>
      </c>
      <c r="B966">
        <f>ROW()</f>
        <v>966</v>
      </c>
    </row>
    <row r="967" spans="1:2" x14ac:dyDescent="0.25">
      <c r="A967" s="23" t="e">
        <f>#REF!&amp;"_"&amp;#REF!</f>
        <v>#REF!</v>
      </c>
      <c r="B967">
        <f>ROW()</f>
        <v>967</v>
      </c>
    </row>
    <row r="968" spans="1:2" x14ac:dyDescent="0.25">
      <c r="A968" s="23" t="e">
        <f>#REF!&amp;"_"&amp;#REF!</f>
        <v>#REF!</v>
      </c>
      <c r="B968">
        <f>ROW()</f>
        <v>968</v>
      </c>
    </row>
    <row r="969" spans="1:2" x14ac:dyDescent="0.25">
      <c r="A969" s="23" t="e">
        <f>#REF!&amp;"_"&amp;#REF!</f>
        <v>#REF!</v>
      </c>
      <c r="B969">
        <f>ROW()</f>
        <v>969</v>
      </c>
    </row>
    <row r="970" spans="1:2" x14ac:dyDescent="0.25">
      <c r="A970" s="23" t="e">
        <f>#REF!&amp;"_"&amp;#REF!</f>
        <v>#REF!</v>
      </c>
      <c r="B970">
        <f>ROW()</f>
        <v>970</v>
      </c>
    </row>
    <row r="971" spans="1:2" x14ac:dyDescent="0.25">
      <c r="A971" s="23" t="e">
        <f>#REF!&amp;"_"&amp;#REF!</f>
        <v>#REF!</v>
      </c>
      <c r="B971">
        <f>ROW()</f>
        <v>971</v>
      </c>
    </row>
    <row r="972" spans="1:2" x14ac:dyDescent="0.25">
      <c r="A972" s="23" t="e">
        <f>#REF!&amp;"_"&amp;#REF!</f>
        <v>#REF!</v>
      </c>
      <c r="B972">
        <f>ROW()</f>
        <v>972</v>
      </c>
    </row>
    <row r="973" spans="1:2" x14ac:dyDescent="0.25">
      <c r="A973" s="23" t="e">
        <f>#REF!&amp;"_"&amp;#REF!</f>
        <v>#REF!</v>
      </c>
      <c r="B973">
        <f>ROW()</f>
        <v>973</v>
      </c>
    </row>
    <row r="974" spans="1:2" x14ac:dyDescent="0.25">
      <c r="A974" s="23" t="e">
        <f>#REF!&amp;"_"&amp;#REF!</f>
        <v>#REF!</v>
      </c>
      <c r="B974">
        <f>ROW()</f>
        <v>974</v>
      </c>
    </row>
    <row r="975" spans="1:2" x14ac:dyDescent="0.25">
      <c r="A975" s="23" t="e">
        <f>#REF!&amp;"_"&amp;#REF!</f>
        <v>#REF!</v>
      </c>
      <c r="B975">
        <f>ROW()</f>
        <v>975</v>
      </c>
    </row>
    <row r="976" spans="1:2" x14ac:dyDescent="0.25">
      <c r="A976" s="23" t="e">
        <f>#REF!&amp;"_"&amp;#REF!</f>
        <v>#REF!</v>
      </c>
      <c r="B976">
        <f>ROW()</f>
        <v>976</v>
      </c>
    </row>
    <row r="977" spans="1:2" x14ac:dyDescent="0.25">
      <c r="A977" s="23" t="e">
        <f>#REF!&amp;"_"&amp;#REF!</f>
        <v>#REF!</v>
      </c>
      <c r="B977">
        <f>ROW()</f>
        <v>977</v>
      </c>
    </row>
    <row r="978" spans="1:2" x14ac:dyDescent="0.25">
      <c r="A978" s="23" t="e">
        <f>#REF!&amp;"_"&amp;#REF!</f>
        <v>#REF!</v>
      </c>
      <c r="B978">
        <f>ROW()</f>
        <v>978</v>
      </c>
    </row>
    <row r="979" spans="1:2" x14ac:dyDescent="0.25">
      <c r="A979" s="23" t="e">
        <f>#REF!&amp;"_"&amp;#REF!</f>
        <v>#REF!</v>
      </c>
      <c r="B979">
        <f>ROW()</f>
        <v>979</v>
      </c>
    </row>
    <row r="980" spans="1:2" x14ac:dyDescent="0.25">
      <c r="A980" s="23" t="e">
        <f>#REF!&amp;"_"&amp;#REF!</f>
        <v>#REF!</v>
      </c>
      <c r="B980">
        <f>ROW()</f>
        <v>980</v>
      </c>
    </row>
    <row r="981" spans="1:2" x14ac:dyDescent="0.25">
      <c r="A981" s="23" t="e">
        <f>#REF!&amp;"_"&amp;#REF!</f>
        <v>#REF!</v>
      </c>
      <c r="B981">
        <f>ROW()</f>
        <v>981</v>
      </c>
    </row>
    <row r="982" spans="1:2" x14ac:dyDescent="0.25">
      <c r="A982" s="23" t="e">
        <f>#REF!&amp;"_"&amp;#REF!</f>
        <v>#REF!</v>
      </c>
      <c r="B982">
        <f>ROW()</f>
        <v>982</v>
      </c>
    </row>
    <row r="983" spans="1:2" x14ac:dyDescent="0.25">
      <c r="A983" s="23" t="e">
        <f>#REF!&amp;"_"&amp;#REF!</f>
        <v>#REF!</v>
      </c>
      <c r="B983">
        <f>ROW()</f>
        <v>983</v>
      </c>
    </row>
    <row r="984" spans="1:2" x14ac:dyDescent="0.25">
      <c r="A984" s="23" t="e">
        <f>#REF!&amp;"_"&amp;#REF!</f>
        <v>#REF!</v>
      </c>
      <c r="B984">
        <f>ROW()</f>
        <v>984</v>
      </c>
    </row>
    <row r="985" spans="1:2" x14ac:dyDescent="0.25">
      <c r="A985" s="23" t="e">
        <f>#REF!&amp;"_"&amp;#REF!</f>
        <v>#REF!</v>
      </c>
      <c r="B985">
        <f>ROW()</f>
        <v>985</v>
      </c>
    </row>
    <row r="986" spans="1:2" x14ac:dyDescent="0.25">
      <c r="A986" s="23" t="e">
        <f>#REF!&amp;"_"&amp;#REF!</f>
        <v>#REF!</v>
      </c>
      <c r="B986">
        <f>ROW()</f>
        <v>986</v>
      </c>
    </row>
    <row r="987" spans="1:2" x14ac:dyDescent="0.25">
      <c r="A987" s="23" t="e">
        <f>#REF!&amp;"_"&amp;#REF!</f>
        <v>#REF!</v>
      </c>
      <c r="B987">
        <f>ROW()</f>
        <v>987</v>
      </c>
    </row>
    <row r="988" spans="1:2" x14ac:dyDescent="0.25">
      <c r="A988" s="23" t="e">
        <f>#REF!&amp;"_"&amp;#REF!</f>
        <v>#REF!</v>
      </c>
      <c r="B988">
        <f>ROW()</f>
        <v>988</v>
      </c>
    </row>
    <row r="989" spans="1:2" x14ac:dyDescent="0.25">
      <c r="A989" s="23" t="e">
        <f>#REF!&amp;"_"&amp;#REF!</f>
        <v>#REF!</v>
      </c>
      <c r="B989">
        <f>ROW()</f>
        <v>989</v>
      </c>
    </row>
    <row r="990" spans="1:2" x14ac:dyDescent="0.25">
      <c r="A990" s="23" t="e">
        <f>#REF!&amp;"_"&amp;#REF!</f>
        <v>#REF!</v>
      </c>
      <c r="B990">
        <f>ROW()</f>
        <v>990</v>
      </c>
    </row>
    <row r="991" spans="1:2" x14ac:dyDescent="0.25">
      <c r="A991" s="23" t="e">
        <f>#REF!&amp;"_"&amp;#REF!</f>
        <v>#REF!</v>
      </c>
      <c r="B991">
        <f>ROW()</f>
        <v>991</v>
      </c>
    </row>
    <row r="992" spans="1:2" x14ac:dyDescent="0.25">
      <c r="A992" s="23" t="e">
        <f>#REF!&amp;"_"&amp;#REF!</f>
        <v>#REF!</v>
      </c>
      <c r="B992">
        <f>ROW()</f>
        <v>992</v>
      </c>
    </row>
    <row r="993" spans="1:2" x14ac:dyDescent="0.25">
      <c r="A993" s="23" t="e">
        <f>#REF!&amp;"_"&amp;#REF!</f>
        <v>#REF!</v>
      </c>
      <c r="B993">
        <f>ROW()</f>
        <v>993</v>
      </c>
    </row>
    <row r="994" spans="1:2" x14ac:dyDescent="0.25">
      <c r="A994" s="23" t="e">
        <f>#REF!&amp;"_"&amp;#REF!</f>
        <v>#REF!</v>
      </c>
      <c r="B994">
        <f>ROW()</f>
        <v>994</v>
      </c>
    </row>
    <row r="995" spans="1:2" x14ac:dyDescent="0.25">
      <c r="A995" s="23" t="e">
        <f>#REF!&amp;"_"&amp;#REF!</f>
        <v>#REF!</v>
      </c>
      <c r="B995">
        <f>ROW()</f>
        <v>995</v>
      </c>
    </row>
    <row r="996" spans="1:2" x14ac:dyDescent="0.25">
      <c r="A996" s="23" t="e">
        <f>#REF!&amp;"_"&amp;#REF!</f>
        <v>#REF!</v>
      </c>
      <c r="B996">
        <f>ROW()</f>
        <v>996</v>
      </c>
    </row>
    <row r="997" spans="1:2" x14ac:dyDescent="0.25">
      <c r="A997" s="23" t="e">
        <f>#REF!&amp;"_"&amp;#REF!</f>
        <v>#REF!</v>
      </c>
      <c r="B997">
        <f>ROW()</f>
        <v>997</v>
      </c>
    </row>
    <row r="998" spans="1:2" x14ac:dyDescent="0.25">
      <c r="A998" s="23" t="e">
        <f>#REF!&amp;"_"&amp;#REF!</f>
        <v>#REF!</v>
      </c>
      <c r="B998">
        <f>ROW()</f>
        <v>998</v>
      </c>
    </row>
    <row r="999" spans="1:2" x14ac:dyDescent="0.25">
      <c r="A999" s="23" t="e">
        <f>#REF!&amp;"_"&amp;#REF!</f>
        <v>#REF!</v>
      </c>
      <c r="B999">
        <f>ROW()</f>
        <v>999</v>
      </c>
    </row>
    <row r="1000" spans="1:2" x14ac:dyDescent="0.25">
      <c r="A1000" s="23" t="e">
        <f>#REF!&amp;"_"&amp;#REF!</f>
        <v>#REF!</v>
      </c>
      <c r="B1000">
        <f>ROW()</f>
        <v>1000</v>
      </c>
    </row>
    <row r="1001" spans="1:2" x14ac:dyDescent="0.25">
      <c r="A1001" s="23" t="e">
        <f>#REF!&amp;"_"&amp;#REF!</f>
        <v>#REF!</v>
      </c>
      <c r="B1001">
        <f>ROW()</f>
        <v>1001</v>
      </c>
    </row>
  </sheetData>
  <phoneticPr fontId="4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K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ColWidth="9.1796875" defaultRowHeight="12.75" customHeight="1" x14ac:dyDescent="0.25"/>
  <cols>
    <col min="1" max="2" width="9.1796875" style="65"/>
    <col min="3" max="19" width="9.1796875" style="98"/>
    <col min="20" max="89" width="9.1796875" style="64"/>
    <col min="90" max="16384" width="9.1796875" style="65"/>
  </cols>
  <sheetData>
    <row r="1" spans="1:89" s="90" customFormat="1" ht="12.75" customHeight="1" x14ac:dyDescent="0.25">
      <c r="A1" s="90" t="s">
        <v>20</v>
      </c>
      <c r="B1" s="90" t="s">
        <v>6</v>
      </c>
      <c r="C1" s="102">
        <v>0</v>
      </c>
      <c r="D1" s="102">
        <v>0.33300000000000002</v>
      </c>
      <c r="E1" s="102">
        <v>0.66700000000000004</v>
      </c>
      <c r="F1" s="102">
        <v>1</v>
      </c>
      <c r="G1" s="102">
        <v>1.5</v>
      </c>
      <c r="H1" s="102">
        <v>2</v>
      </c>
      <c r="I1" s="102">
        <v>2.5</v>
      </c>
      <c r="J1" s="102">
        <v>3</v>
      </c>
      <c r="K1" s="102">
        <v>3.5</v>
      </c>
      <c r="L1" s="102">
        <v>4</v>
      </c>
      <c r="M1" s="102">
        <v>6</v>
      </c>
      <c r="N1" s="102">
        <v>8</v>
      </c>
      <c r="O1" s="102">
        <v>12</v>
      </c>
      <c r="P1" s="102">
        <v>24</v>
      </c>
      <c r="Q1" s="102">
        <v>36</v>
      </c>
      <c r="R1" s="102">
        <v>48</v>
      </c>
      <c r="S1" s="102">
        <v>72</v>
      </c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</row>
    <row r="2" spans="1:89" ht="12.75" customHeight="1" x14ac:dyDescent="0.25">
      <c r="A2" s="101">
        <v>1</v>
      </c>
      <c r="B2" s="97">
        <v>1</v>
      </c>
      <c r="C2" s="98" t="s">
        <v>81</v>
      </c>
      <c r="D2" s="98" t="s">
        <v>81</v>
      </c>
      <c r="E2" s="98">
        <v>2.4</v>
      </c>
      <c r="F2" s="98">
        <v>4.5</v>
      </c>
      <c r="G2" s="98">
        <v>15.4</v>
      </c>
      <c r="H2" s="98">
        <v>13</v>
      </c>
      <c r="I2" s="98">
        <v>10.32</v>
      </c>
      <c r="J2" s="98">
        <v>8.4</v>
      </c>
      <c r="K2" s="98">
        <v>7.53</v>
      </c>
      <c r="L2" s="98" t="s">
        <v>82</v>
      </c>
      <c r="M2" s="98">
        <v>3.88</v>
      </c>
      <c r="N2" s="98">
        <v>2</v>
      </c>
      <c r="O2" s="98">
        <v>1.35</v>
      </c>
      <c r="P2" s="98">
        <v>1.23</v>
      </c>
      <c r="Q2" s="98">
        <v>0.94</v>
      </c>
      <c r="R2" s="98">
        <v>0.21</v>
      </c>
      <c r="S2" s="98">
        <v>0.14000000000000001</v>
      </c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</row>
    <row r="3" spans="1:89" ht="12.75" customHeight="1" x14ac:dyDescent="0.25">
      <c r="A3" s="101">
        <v>1</v>
      </c>
      <c r="B3" s="97">
        <v>2</v>
      </c>
      <c r="C3" s="98" t="s">
        <v>81</v>
      </c>
      <c r="D3" s="98" t="s">
        <v>81</v>
      </c>
      <c r="E3" s="98" t="s">
        <v>81</v>
      </c>
      <c r="F3" s="98" t="s">
        <v>81</v>
      </c>
      <c r="G3" s="98" t="s">
        <v>81</v>
      </c>
      <c r="H3" s="98" t="s">
        <v>81</v>
      </c>
      <c r="I3" s="98">
        <v>0.8</v>
      </c>
      <c r="J3" s="98">
        <v>2.5099999999999998</v>
      </c>
      <c r="K3" s="98">
        <v>4.32</v>
      </c>
      <c r="L3" s="98">
        <v>5.21</v>
      </c>
      <c r="M3" s="98">
        <v>3.61</v>
      </c>
      <c r="N3" s="98">
        <v>9.07</v>
      </c>
      <c r="O3" s="98">
        <v>16.59</v>
      </c>
      <c r="P3" s="98">
        <v>23.32</v>
      </c>
      <c r="Q3" s="98">
        <v>16.11</v>
      </c>
      <c r="R3" s="98">
        <v>16.010000000000002</v>
      </c>
      <c r="S3" s="98">
        <v>15.08</v>
      </c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</row>
    <row r="4" spans="1:89" ht="12.75" customHeight="1" x14ac:dyDescent="0.25">
      <c r="A4" s="101"/>
      <c r="B4" s="97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</row>
    <row r="5" spans="1:89" ht="12.75" customHeight="1" x14ac:dyDescent="0.25">
      <c r="A5" s="101"/>
      <c r="B5" s="97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</row>
    <row r="6" spans="1:89" ht="12.75" customHeight="1" x14ac:dyDescent="0.25">
      <c r="A6" s="101"/>
      <c r="B6" s="97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</row>
    <row r="7" spans="1:89" ht="12.75" customHeight="1" x14ac:dyDescent="0.25">
      <c r="A7" s="101"/>
      <c r="B7" s="97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  <c r="AW7" s="98"/>
      <c r="AX7" s="98"/>
      <c r="AY7" s="98"/>
      <c r="AZ7" s="98"/>
    </row>
    <row r="8" spans="1:89" ht="12.75" customHeight="1" x14ac:dyDescent="0.25">
      <c r="A8" s="101"/>
      <c r="B8" s="97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</row>
    <row r="9" spans="1:89" ht="12.75" customHeight="1" x14ac:dyDescent="0.25">
      <c r="A9" s="101"/>
      <c r="B9" s="97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</row>
    <row r="10" spans="1:89" ht="12.75" customHeight="1" x14ac:dyDescent="0.25">
      <c r="A10" s="101"/>
      <c r="B10" s="97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</row>
    <row r="11" spans="1:89" ht="12.75" customHeight="1" x14ac:dyDescent="0.25">
      <c r="A11" s="101"/>
      <c r="B11" s="97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</row>
    <row r="12" spans="1:89" ht="12.75" customHeight="1" x14ac:dyDescent="0.25">
      <c r="A12" s="101"/>
      <c r="B12" s="97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</row>
    <row r="13" spans="1:89" ht="12.75" customHeight="1" x14ac:dyDescent="0.25">
      <c r="A13" s="101"/>
      <c r="B13" s="97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</row>
    <row r="14" spans="1:89" ht="12.75" customHeight="1" x14ac:dyDescent="0.25">
      <c r="A14" s="101"/>
      <c r="B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</row>
    <row r="15" spans="1:89" ht="12.75" customHeight="1" x14ac:dyDescent="0.25">
      <c r="A15" s="101"/>
      <c r="B15" s="97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</row>
    <row r="16" spans="1:89" ht="12.75" customHeight="1" x14ac:dyDescent="0.25">
      <c r="A16" s="101"/>
      <c r="B16" s="97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</row>
    <row r="17" spans="1:52" ht="12.75" customHeight="1" x14ac:dyDescent="0.25">
      <c r="A17" s="101"/>
      <c r="B17" s="97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</row>
    <row r="18" spans="1:52" ht="12.75" customHeight="1" x14ac:dyDescent="0.25">
      <c r="A18" s="101"/>
      <c r="B18" s="97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</row>
    <row r="19" spans="1:52" ht="12.75" customHeight="1" x14ac:dyDescent="0.25">
      <c r="A19" s="101"/>
      <c r="B19" s="97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  <c r="AH19" s="98"/>
      <c r="AI19" s="98"/>
      <c r="AJ19" s="98"/>
      <c r="AK19" s="98"/>
      <c r="AL19" s="98"/>
      <c r="AM19" s="98"/>
      <c r="AN19" s="98"/>
      <c r="AO19" s="98"/>
      <c r="AP19" s="98"/>
      <c r="AQ19" s="98"/>
      <c r="AR19" s="98"/>
      <c r="AS19" s="98"/>
      <c r="AT19" s="98"/>
      <c r="AU19" s="98"/>
      <c r="AV19" s="98"/>
      <c r="AW19" s="98"/>
      <c r="AX19" s="98"/>
      <c r="AY19" s="98"/>
      <c r="AZ19" s="98"/>
    </row>
    <row r="20" spans="1:52" ht="12.75" customHeight="1" x14ac:dyDescent="0.25">
      <c r="A20" s="101"/>
      <c r="B20" s="97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  <c r="AH20" s="98"/>
      <c r="AI20" s="98"/>
      <c r="AJ20" s="98"/>
      <c r="AK20" s="98"/>
      <c r="AL20" s="98"/>
      <c r="AM20" s="98"/>
      <c r="AN20" s="98"/>
      <c r="AO20" s="98"/>
      <c r="AP20" s="98"/>
      <c r="AQ20" s="98"/>
      <c r="AR20" s="98"/>
      <c r="AS20" s="98"/>
      <c r="AT20" s="98"/>
      <c r="AU20" s="98"/>
      <c r="AV20" s="98"/>
      <c r="AW20" s="98"/>
      <c r="AX20" s="98"/>
      <c r="AY20" s="98"/>
      <c r="AZ20" s="98"/>
    </row>
    <row r="21" spans="1:52" ht="12.75" customHeight="1" x14ac:dyDescent="0.25">
      <c r="A21" s="101"/>
      <c r="B21" s="97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</row>
    <row r="22" spans="1:52" ht="12.75" customHeight="1" x14ac:dyDescent="0.25">
      <c r="A22" s="101"/>
      <c r="B22" s="97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</row>
    <row r="23" spans="1:52" ht="12.75" customHeight="1" x14ac:dyDescent="0.25">
      <c r="A23" s="101"/>
      <c r="B23" s="97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</row>
    <row r="24" spans="1:52" ht="12.75" customHeight="1" x14ac:dyDescent="0.25">
      <c r="A24" s="101"/>
      <c r="B24" s="97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</row>
    <row r="25" spans="1:52" ht="12.75" customHeight="1" x14ac:dyDescent="0.25">
      <c r="A25" s="101"/>
      <c r="B25" s="97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</row>
    <row r="26" spans="1:52" ht="12.75" customHeight="1" x14ac:dyDescent="0.25">
      <c r="A26" s="101"/>
      <c r="B26" s="97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</row>
    <row r="27" spans="1:52" ht="12.75" customHeight="1" x14ac:dyDescent="0.25">
      <c r="A27" s="101"/>
      <c r="B27" s="97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</row>
    <row r="28" spans="1:52" ht="12.75" customHeight="1" x14ac:dyDescent="0.25">
      <c r="A28" s="101"/>
      <c r="B28" s="97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</row>
    <row r="29" spans="1:52" ht="12.75" customHeight="1" x14ac:dyDescent="0.25">
      <c r="A29" s="101"/>
      <c r="B29" s="97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</row>
    <row r="30" spans="1:52" ht="12.75" customHeight="1" x14ac:dyDescent="0.25">
      <c r="A30" s="101"/>
      <c r="B30" s="97"/>
      <c r="T30" s="98"/>
      <c r="U30" s="98"/>
      <c r="V30" s="98"/>
      <c r="W30" s="98"/>
      <c r="X30" s="98"/>
      <c r="Y30" s="98"/>
      <c r="Z30" s="98"/>
      <c r="AA30" s="98"/>
      <c r="AB30" s="98"/>
      <c r="AC30" s="98"/>
      <c r="AD30" s="98"/>
      <c r="AE30" s="98"/>
      <c r="AF30" s="98"/>
      <c r="AG30" s="98"/>
      <c r="AH30" s="98"/>
      <c r="AI30" s="98"/>
      <c r="AJ30" s="98"/>
      <c r="AK30" s="98"/>
      <c r="AL30" s="98"/>
      <c r="AM30" s="98"/>
      <c r="AN30" s="98"/>
      <c r="AO30" s="98"/>
      <c r="AP30" s="98"/>
      <c r="AQ30" s="98"/>
      <c r="AR30" s="98"/>
      <c r="AS30" s="98"/>
      <c r="AT30" s="98"/>
      <c r="AU30" s="98"/>
      <c r="AV30" s="98"/>
      <c r="AW30" s="98"/>
      <c r="AX30" s="98"/>
      <c r="AY30" s="98"/>
      <c r="AZ30" s="98"/>
    </row>
    <row r="31" spans="1:52" ht="12.75" customHeight="1" x14ac:dyDescent="0.25">
      <c r="A31" s="101"/>
      <c r="B31" s="97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</row>
    <row r="32" spans="1:52" ht="12.75" customHeight="1" x14ac:dyDescent="0.25">
      <c r="A32" s="101"/>
      <c r="B32" s="97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</row>
    <row r="33" spans="1:52" ht="12.75" customHeight="1" x14ac:dyDescent="0.25">
      <c r="A33" s="101"/>
      <c r="B33" s="97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</row>
    <row r="34" spans="1:52" ht="12.75" customHeight="1" x14ac:dyDescent="0.25">
      <c r="A34" s="101"/>
      <c r="B34" s="97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</row>
    <row r="35" spans="1:52" ht="12.75" customHeight="1" x14ac:dyDescent="0.25">
      <c r="A35" s="101"/>
      <c r="B35" s="97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8"/>
      <c r="AL35" s="98"/>
      <c r="AM35" s="98"/>
      <c r="AN35" s="98"/>
      <c r="AO35" s="98"/>
      <c r="AP35" s="98"/>
      <c r="AQ35" s="98"/>
      <c r="AR35" s="98"/>
      <c r="AS35" s="98"/>
      <c r="AT35" s="98"/>
      <c r="AU35" s="98"/>
      <c r="AV35" s="98"/>
      <c r="AW35" s="98"/>
      <c r="AX35" s="98"/>
      <c r="AY35" s="98"/>
      <c r="AZ35" s="98"/>
    </row>
    <row r="36" spans="1:52" ht="12.75" customHeight="1" x14ac:dyDescent="0.25">
      <c r="A36" s="101"/>
      <c r="B36" s="97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8"/>
      <c r="AL36" s="98"/>
      <c r="AM36" s="98"/>
      <c r="AN36" s="98"/>
      <c r="AO36" s="98"/>
      <c r="AP36" s="98"/>
      <c r="AQ36" s="98"/>
      <c r="AR36" s="98"/>
      <c r="AS36" s="98"/>
      <c r="AT36" s="98"/>
      <c r="AU36" s="98"/>
      <c r="AV36" s="98"/>
      <c r="AW36" s="98"/>
      <c r="AX36" s="98"/>
      <c r="AY36" s="98"/>
      <c r="AZ36" s="98"/>
    </row>
    <row r="37" spans="1:52" ht="12.75" customHeight="1" x14ac:dyDescent="0.25">
      <c r="A37" s="101"/>
      <c r="B37" s="97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</row>
    <row r="38" spans="1:52" ht="12.75" customHeight="1" x14ac:dyDescent="0.25">
      <c r="A38" s="101"/>
      <c r="B38" s="97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</row>
    <row r="39" spans="1:52" ht="12.75" customHeight="1" x14ac:dyDescent="0.25">
      <c r="A39" s="101"/>
      <c r="B39" s="97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</row>
    <row r="40" spans="1:52" ht="12.75" customHeight="1" x14ac:dyDescent="0.25">
      <c r="A40" s="101"/>
      <c r="B40" s="97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</row>
    <row r="41" spans="1:52" ht="12.75" customHeight="1" x14ac:dyDescent="0.25">
      <c r="A41" s="101"/>
      <c r="B41" s="97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98"/>
      <c r="AO41" s="98"/>
      <c r="AP41" s="98"/>
      <c r="AQ41" s="98"/>
      <c r="AR41" s="98"/>
      <c r="AS41" s="98"/>
      <c r="AT41" s="98"/>
      <c r="AU41" s="98"/>
      <c r="AV41" s="98"/>
      <c r="AW41" s="98"/>
      <c r="AX41" s="98"/>
      <c r="AY41" s="98"/>
      <c r="AZ41" s="98"/>
    </row>
    <row r="42" spans="1:52" ht="12.75" customHeight="1" x14ac:dyDescent="0.25">
      <c r="A42" s="101"/>
      <c r="B42" s="97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</row>
    <row r="43" spans="1:52" ht="12.75" customHeight="1" x14ac:dyDescent="0.25">
      <c r="A43" s="101"/>
      <c r="B43" s="97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</row>
    <row r="44" spans="1:52" ht="12.75" customHeight="1" x14ac:dyDescent="0.25">
      <c r="A44" s="101"/>
      <c r="B44" s="97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</row>
    <row r="45" spans="1:52" ht="12.75" customHeight="1" x14ac:dyDescent="0.25">
      <c r="A45" s="101"/>
      <c r="B45" s="97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</row>
    <row r="46" spans="1:52" ht="12.75" customHeight="1" x14ac:dyDescent="0.25">
      <c r="A46" s="101"/>
      <c r="B46" s="97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</row>
    <row r="47" spans="1:52" ht="12.75" customHeight="1" x14ac:dyDescent="0.25">
      <c r="A47" s="101"/>
      <c r="B47" s="97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</row>
    <row r="48" spans="1:52" ht="12.75" customHeight="1" x14ac:dyDescent="0.25">
      <c r="A48" s="101"/>
      <c r="B48" s="97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</row>
    <row r="49" spans="1:52" ht="12.75" customHeight="1" x14ac:dyDescent="0.25">
      <c r="A49" s="101"/>
      <c r="B49" s="97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</row>
    <row r="50" spans="1:52" ht="12.75" customHeight="1" x14ac:dyDescent="0.25">
      <c r="A50" s="101"/>
      <c r="B50" s="97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</row>
    <row r="51" spans="1:52" ht="12.75" customHeight="1" x14ac:dyDescent="0.25">
      <c r="A51" s="101"/>
      <c r="B51" s="97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98"/>
      <c r="AU51" s="98"/>
      <c r="AV51" s="98"/>
      <c r="AW51" s="98"/>
      <c r="AX51" s="98"/>
      <c r="AY51" s="98"/>
      <c r="AZ51" s="98"/>
    </row>
    <row r="52" spans="1:52" ht="12.75" customHeight="1" x14ac:dyDescent="0.25">
      <c r="A52" s="101"/>
      <c r="B52" s="97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</row>
    <row r="53" spans="1:52" ht="12.75" customHeight="1" x14ac:dyDescent="0.25">
      <c r="A53" s="101"/>
      <c r="B53" s="97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</row>
    <row r="54" spans="1:52" ht="12.75" customHeight="1" x14ac:dyDescent="0.25">
      <c r="A54" s="101"/>
      <c r="B54" s="97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</row>
    <row r="55" spans="1:52" ht="12.75" customHeight="1" x14ac:dyDescent="0.25">
      <c r="A55" s="101"/>
      <c r="B55" s="97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</row>
    <row r="56" spans="1:52" ht="12.75" customHeight="1" x14ac:dyDescent="0.25">
      <c r="A56" s="101"/>
      <c r="B56" s="97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</row>
    <row r="57" spans="1:52" ht="12.75" customHeight="1" x14ac:dyDescent="0.25">
      <c r="A57" s="101"/>
      <c r="B57" s="97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8"/>
      <c r="AL57" s="98"/>
      <c r="AM57" s="98"/>
      <c r="AN57" s="98"/>
      <c r="AO57" s="98"/>
      <c r="AP57" s="98"/>
      <c r="AQ57" s="98"/>
      <c r="AR57" s="98"/>
      <c r="AS57" s="98"/>
      <c r="AT57" s="98"/>
      <c r="AU57" s="98"/>
      <c r="AV57" s="98"/>
      <c r="AW57" s="98"/>
      <c r="AX57" s="98"/>
      <c r="AY57" s="98"/>
      <c r="AZ57" s="98"/>
    </row>
    <row r="58" spans="1:52" ht="12.75" customHeight="1" x14ac:dyDescent="0.25">
      <c r="A58" s="101"/>
      <c r="B58" s="97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</row>
    <row r="59" spans="1:52" ht="12.75" customHeight="1" x14ac:dyDescent="0.25">
      <c r="A59" s="101"/>
      <c r="B59" s="97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</row>
    <row r="60" spans="1:52" ht="12.75" customHeight="1" x14ac:dyDescent="0.25">
      <c r="A60" s="101"/>
      <c r="B60" s="97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</row>
    <row r="61" spans="1:52" ht="12.75" customHeight="1" x14ac:dyDescent="0.25">
      <c r="A61" s="101"/>
      <c r="B61" s="97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</row>
    <row r="62" spans="1:52" ht="12.75" customHeight="1" x14ac:dyDescent="0.25">
      <c r="A62" s="101"/>
      <c r="B62" s="97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  <c r="AR62" s="98"/>
      <c r="AS62" s="98"/>
      <c r="AT62" s="98"/>
      <c r="AU62" s="98"/>
      <c r="AV62" s="98"/>
      <c r="AW62" s="98"/>
      <c r="AX62" s="98"/>
      <c r="AY62" s="98"/>
      <c r="AZ62" s="98"/>
    </row>
    <row r="63" spans="1:52" ht="12.75" customHeight="1" x14ac:dyDescent="0.25">
      <c r="A63" s="101"/>
      <c r="B63" s="97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</row>
    <row r="64" spans="1:52" ht="12.75" customHeight="1" x14ac:dyDescent="0.25">
      <c r="A64" s="101"/>
      <c r="B64" s="97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</row>
    <row r="65" spans="1:52" ht="12.75" customHeight="1" x14ac:dyDescent="0.25">
      <c r="A65" s="101"/>
      <c r="B65" s="97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</row>
    <row r="66" spans="1:52" ht="12.75" customHeight="1" x14ac:dyDescent="0.25">
      <c r="A66" s="101"/>
      <c r="B66" s="97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</row>
    <row r="67" spans="1:52" ht="12.75" customHeight="1" x14ac:dyDescent="0.25">
      <c r="A67" s="101"/>
      <c r="B67" s="97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  <c r="AR67" s="98"/>
      <c r="AS67" s="98"/>
      <c r="AT67" s="98"/>
      <c r="AU67" s="98"/>
      <c r="AV67" s="98"/>
      <c r="AW67" s="98"/>
      <c r="AX67" s="98"/>
      <c r="AY67" s="98"/>
      <c r="AZ67" s="98"/>
    </row>
    <row r="68" spans="1:52" ht="12.75" customHeight="1" x14ac:dyDescent="0.25">
      <c r="A68" s="101"/>
      <c r="B68" s="97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</row>
    <row r="69" spans="1:52" ht="12.75" customHeight="1" x14ac:dyDescent="0.25">
      <c r="A69" s="101"/>
      <c r="B69" s="97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</row>
    <row r="70" spans="1:52" ht="12.75" customHeight="1" x14ac:dyDescent="0.25">
      <c r="A70" s="101"/>
      <c r="B70" s="97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</row>
    <row r="71" spans="1:52" ht="12.75" customHeight="1" x14ac:dyDescent="0.25">
      <c r="A71" s="101"/>
      <c r="B71" s="97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  <c r="AR71" s="98"/>
      <c r="AS71" s="98"/>
      <c r="AT71" s="98"/>
      <c r="AU71" s="98"/>
      <c r="AV71" s="98"/>
      <c r="AW71" s="98"/>
      <c r="AX71" s="98"/>
      <c r="AY71" s="98"/>
      <c r="AZ71" s="98"/>
    </row>
    <row r="72" spans="1:52" ht="12.75" customHeight="1" x14ac:dyDescent="0.25">
      <c r="A72" s="101"/>
      <c r="B72" s="97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</row>
    <row r="73" spans="1:52" ht="12.75" customHeight="1" x14ac:dyDescent="0.25">
      <c r="A73" s="101"/>
      <c r="B73" s="97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</row>
    <row r="74" spans="1:52" ht="12.75" customHeight="1" x14ac:dyDescent="0.25">
      <c r="A74" s="101"/>
      <c r="B74" s="97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</row>
    <row r="75" spans="1:52" ht="12.75" customHeight="1" x14ac:dyDescent="0.25">
      <c r="A75" s="101"/>
      <c r="B75" s="97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</row>
    <row r="76" spans="1:52" ht="12.75" customHeight="1" x14ac:dyDescent="0.25">
      <c r="A76" s="101"/>
      <c r="B76" s="97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</row>
    <row r="77" spans="1:52" ht="12.75" customHeight="1" x14ac:dyDescent="0.25">
      <c r="A77" s="101"/>
      <c r="B77" s="97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</row>
    <row r="78" spans="1:52" ht="12.75" customHeight="1" x14ac:dyDescent="0.25">
      <c r="A78" s="101"/>
      <c r="B78" s="97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  <c r="AR78" s="98"/>
      <c r="AS78" s="98"/>
      <c r="AT78" s="98"/>
      <c r="AU78" s="98"/>
      <c r="AV78" s="98"/>
      <c r="AW78" s="98"/>
      <c r="AX78" s="98"/>
      <c r="AY78" s="98"/>
      <c r="AZ78" s="98"/>
    </row>
    <row r="79" spans="1:52" ht="12.75" customHeight="1" x14ac:dyDescent="0.25">
      <c r="A79" s="101"/>
      <c r="B79" s="97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</row>
    <row r="80" spans="1:52" ht="12.75" customHeight="1" x14ac:dyDescent="0.25">
      <c r="A80" s="101"/>
      <c r="B80" s="97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</row>
    <row r="81" spans="1:52" ht="12.75" customHeight="1" x14ac:dyDescent="0.25">
      <c r="A81" s="101"/>
      <c r="B81" s="97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</row>
    <row r="82" spans="1:52" ht="12.75" customHeight="1" x14ac:dyDescent="0.25">
      <c r="A82" s="101"/>
      <c r="B82" s="97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</row>
    <row r="83" spans="1:52" ht="12.75" customHeight="1" x14ac:dyDescent="0.25">
      <c r="A83" s="101"/>
      <c r="B83" s="97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  <c r="AR83" s="98"/>
      <c r="AS83" s="98"/>
      <c r="AT83" s="98"/>
      <c r="AU83" s="98"/>
      <c r="AV83" s="98"/>
      <c r="AW83" s="98"/>
      <c r="AX83" s="98"/>
      <c r="AY83" s="98"/>
      <c r="AZ83" s="98"/>
    </row>
    <row r="84" spans="1:52" ht="12.75" customHeight="1" x14ac:dyDescent="0.25">
      <c r="A84" s="101"/>
      <c r="B84" s="97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</row>
    <row r="85" spans="1:52" ht="12.75" customHeight="1" x14ac:dyDescent="0.25">
      <c r="A85" s="101"/>
      <c r="B85" s="97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</row>
    <row r="86" spans="1:52" ht="12.75" customHeight="1" x14ac:dyDescent="0.25">
      <c r="A86" s="101"/>
      <c r="B86" s="97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</row>
    <row r="87" spans="1:52" ht="12.75" customHeight="1" x14ac:dyDescent="0.25">
      <c r="A87" s="101"/>
      <c r="B87" s="97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</row>
    <row r="88" spans="1:52" ht="12.75" customHeight="1" x14ac:dyDescent="0.25">
      <c r="A88" s="101"/>
      <c r="B88" s="97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</row>
    <row r="89" spans="1:52" ht="12.75" customHeight="1" x14ac:dyDescent="0.25">
      <c r="A89" s="101"/>
      <c r="B89" s="97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  <c r="AH89" s="98"/>
      <c r="AI89" s="98"/>
      <c r="AJ89" s="98"/>
      <c r="AK89" s="98"/>
      <c r="AL89" s="98"/>
      <c r="AM89" s="98"/>
      <c r="AN89" s="98"/>
      <c r="AO89" s="98"/>
      <c r="AP89" s="98"/>
      <c r="AQ89" s="98"/>
      <c r="AR89" s="98"/>
      <c r="AS89" s="98"/>
      <c r="AT89" s="98"/>
      <c r="AU89" s="98"/>
      <c r="AV89" s="98"/>
      <c r="AW89" s="98"/>
      <c r="AX89" s="98"/>
      <c r="AY89" s="98"/>
      <c r="AZ89" s="98"/>
    </row>
    <row r="90" spans="1:52" ht="12.75" customHeight="1" x14ac:dyDescent="0.25">
      <c r="A90" s="101"/>
      <c r="B90" s="97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98"/>
      <c r="AT90" s="98"/>
      <c r="AU90" s="98"/>
      <c r="AV90" s="98"/>
      <c r="AW90" s="98"/>
      <c r="AX90" s="98"/>
      <c r="AY90" s="98"/>
      <c r="AZ90" s="98"/>
    </row>
    <row r="91" spans="1:52" ht="12.75" customHeight="1" x14ac:dyDescent="0.25">
      <c r="A91" s="101"/>
      <c r="B91" s="97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</row>
    <row r="92" spans="1:52" ht="12.75" customHeight="1" x14ac:dyDescent="0.25">
      <c r="A92" s="101"/>
      <c r="B92" s="97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</row>
    <row r="93" spans="1:52" ht="12.75" customHeight="1" x14ac:dyDescent="0.25">
      <c r="A93" s="101"/>
      <c r="B93" s="97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</row>
    <row r="94" spans="1:52" ht="12.75" customHeight="1" x14ac:dyDescent="0.25">
      <c r="A94" s="101"/>
      <c r="B94" s="97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  <c r="AH94" s="98"/>
      <c r="AI94" s="98"/>
      <c r="AJ94" s="98"/>
      <c r="AK94" s="98"/>
      <c r="AL94" s="98"/>
      <c r="AM94" s="98"/>
      <c r="AN94" s="98"/>
      <c r="AO94" s="98"/>
      <c r="AP94" s="98"/>
      <c r="AQ94" s="98"/>
      <c r="AR94" s="98"/>
      <c r="AS94" s="98"/>
      <c r="AT94" s="98"/>
      <c r="AU94" s="98"/>
      <c r="AV94" s="98"/>
      <c r="AW94" s="98"/>
      <c r="AX94" s="98"/>
      <c r="AY94" s="98"/>
      <c r="AZ94" s="98"/>
    </row>
    <row r="95" spans="1:52" ht="12.75" customHeight="1" x14ac:dyDescent="0.25">
      <c r="A95" s="101"/>
      <c r="B95" s="97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</row>
    <row r="96" spans="1:52" ht="12.75" customHeight="1" x14ac:dyDescent="0.25">
      <c r="A96" s="101"/>
      <c r="B96" s="97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</row>
    <row r="97" spans="1:52" ht="12.75" customHeight="1" x14ac:dyDescent="0.25">
      <c r="A97" s="101"/>
      <c r="B97" s="97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</row>
    <row r="98" spans="1:52" ht="12.75" customHeight="1" x14ac:dyDescent="0.25">
      <c r="A98" s="101"/>
      <c r="B98" s="97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</row>
    <row r="99" spans="1:52" ht="12.75" customHeight="1" x14ac:dyDescent="0.25">
      <c r="A99" s="101"/>
      <c r="B99" s="97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  <c r="AH99" s="98"/>
      <c r="AI99" s="98"/>
      <c r="AJ99" s="98"/>
      <c r="AK99" s="98"/>
      <c r="AL99" s="98"/>
      <c r="AM99" s="98"/>
      <c r="AN99" s="98"/>
      <c r="AO99" s="98"/>
      <c r="AP99" s="98"/>
      <c r="AQ99" s="98"/>
      <c r="AR99" s="98"/>
      <c r="AS99" s="98"/>
      <c r="AT99" s="98"/>
      <c r="AU99" s="98"/>
      <c r="AV99" s="98"/>
      <c r="AW99" s="98"/>
      <c r="AX99" s="98"/>
      <c r="AY99" s="98"/>
      <c r="AZ99" s="98"/>
    </row>
    <row r="100" spans="1:52" ht="12.75" customHeight="1" x14ac:dyDescent="0.25">
      <c r="A100" s="101"/>
      <c r="B100" s="97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</row>
    <row r="101" spans="1:52" ht="12.75" customHeight="1" x14ac:dyDescent="0.25">
      <c r="A101" s="101"/>
      <c r="B101" s="97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</row>
    <row r="102" spans="1:52" ht="12.75" customHeight="1" x14ac:dyDescent="0.25">
      <c r="A102" s="101"/>
      <c r="B102" s="97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</row>
    <row r="103" spans="1:52" ht="12.75" customHeight="1" x14ac:dyDescent="0.25">
      <c r="A103" s="101"/>
      <c r="B103" s="97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</row>
    <row r="104" spans="1:52" ht="12.75" customHeight="1" x14ac:dyDescent="0.25">
      <c r="A104" s="101"/>
      <c r="B104" s="97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</row>
    <row r="105" spans="1:52" ht="12.75" customHeight="1" x14ac:dyDescent="0.25">
      <c r="A105" s="101"/>
      <c r="B105" s="97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  <c r="AH105" s="98"/>
      <c r="AI105" s="98"/>
      <c r="AJ105" s="98"/>
      <c r="AK105" s="98"/>
      <c r="AL105" s="98"/>
      <c r="AM105" s="98"/>
      <c r="AN105" s="98"/>
      <c r="AO105" s="98"/>
      <c r="AP105" s="98"/>
      <c r="AQ105" s="98"/>
      <c r="AR105" s="98"/>
      <c r="AS105" s="98"/>
      <c r="AT105" s="98"/>
      <c r="AU105" s="98"/>
      <c r="AV105" s="98"/>
      <c r="AW105" s="98"/>
      <c r="AX105" s="98"/>
      <c r="AY105" s="98"/>
      <c r="AZ105" s="98"/>
    </row>
    <row r="106" spans="1:52" ht="12.75" customHeight="1" x14ac:dyDescent="0.25">
      <c r="A106" s="101"/>
      <c r="B106" s="97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</row>
    <row r="107" spans="1:52" ht="12.75" customHeight="1" x14ac:dyDescent="0.25">
      <c r="A107" s="101"/>
      <c r="B107" s="97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</row>
    <row r="108" spans="1:52" ht="12.75" customHeight="1" x14ac:dyDescent="0.25">
      <c r="A108" s="101"/>
      <c r="B108" s="97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</row>
    <row r="109" spans="1:52" ht="12.75" customHeight="1" x14ac:dyDescent="0.25">
      <c r="A109" s="101"/>
      <c r="B109" s="97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</row>
    <row r="110" spans="1:52" ht="12.75" customHeight="1" x14ac:dyDescent="0.25">
      <c r="A110" s="101"/>
      <c r="B110" s="97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</row>
    <row r="111" spans="1:52" ht="12.75" customHeight="1" x14ac:dyDescent="0.25">
      <c r="A111" s="101"/>
      <c r="B111" s="97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</row>
    <row r="112" spans="1:52" ht="12.75" customHeight="1" x14ac:dyDescent="0.25">
      <c r="A112" s="101"/>
      <c r="B112" s="97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</row>
    <row r="113" spans="1:52" ht="12.75" customHeight="1" x14ac:dyDescent="0.25">
      <c r="A113" s="101"/>
      <c r="B113" s="97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</row>
    <row r="114" spans="1:52" ht="12.75" customHeight="1" x14ac:dyDescent="0.25">
      <c r="A114" s="101"/>
      <c r="B114" s="97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</row>
    <row r="115" spans="1:52" ht="12.75" customHeight="1" x14ac:dyDescent="0.25">
      <c r="A115" s="101"/>
      <c r="B115" s="97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  <c r="AP115" s="98"/>
      <c r="AQ115" s="98"/>
      <c r="AR115" s="98"/>
      <c r="AS115" s="98"/>
      <c r="AT115" s="98"/>
      <c r="AU115" s="98"/>
      <c r="AV115" s="98"/>
      <c r="AW115" s="98"/>
      <c r="AX115" s="98"/>
      <c r="AY115" s="98"/>
      <c r="AZ115" s="98"/>
    </row>
    <row r="116" spans="1:52" ht="12.75" customHeight="1" x14ac:dyDescent="0.25">
      <c r="A116" s="101"/>
      <c r="B116" s="97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</row>
    <row r="117" spans="1:52" ht="12.75" customHeight="1" x14ac:dyDescent="0.25">
      <c r="A117" s="101"/>
      <c r="B117" s="97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</row>
    <row r="118" spans="1:52" ht="12.75" customHeight="1" x14ac:dyDescent="0.25">
      <c r="A118" s="101"/>
      <c r="B118" s="97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</row>
    <row r="119" spans="1:52" ht="12.75" customHeight="1" x14ac:dyDescent="0.25">
      <c r="A119" s="101"/>
      <c r="B119" s="97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  <c r="AH119" s="98"/>
      <c r="AI119" s="98"/>
      <c r="AJ119" s="98"/>
      <c r="AK119" s="98"/>
      <c r="AL119" s="98"/>
      <c r="AM119" s="98"/>
      <c r="AN119" s="98"/>
      <c r="AO119" s="98"/>
      <c r="AP119" s="98"/>
      <c r="AQ119" s="98"/>
      <c r="AR119" s="98"/>
      <c r="AS119" s="98"/>
      <c r="AT119" s="98"/>
      <c r="AU119" s="98"/>
      <c r="AV119" s="98"/>
      <c r="AW119" s="98"/>
      <c r="AX119" s="98"/>
      <c r="AY119" s="98"/>
      <c r="AZ119" s="98"/>
    </row>
    <row r="120" spans="1:52" ht="12.75" customHeight="1" x14ac:dyDescent="0.25">
      <c r="A120" s="101"/>
      <c r="B120" s="97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</row>
    <row r="121" spans="1:52" ht="12.75" customHeight="1" x14ac:dyDescent="0.25">
      <c r="A121" s="101"/>
      <c r="B121" s="97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  <c r="AH121" s="98"/>
      <c r="AI121" s="98"/>
      <c r="AJ121" s="98"/>
      <c r="AK121" s="98"/>
      <c r="AL121" s="98"/>
      <c r="AM121" s="98"/>
      <c r="AN121" s="98"/>
      <c r="AO121" s="98"/>
      <c r="AP121" s="98"/>
      <c r="AQ121" s="98"/>
      <c r="AR121" s="98"/>
      <c r="AS121" s="98"/>
      <c r="AT121" s="98"/>
      <c r="AU121" s="98"/>
      <c r="AV121" s="98"/>
      <c r="AW121" s="98"/>
      <c r="AX121" s="98"/>
      <c r="AY121" s="98"/>
      <c r="AZ121" s="98"/>
    </row>
    <row r="122" spans="1:52" ht="12.75" customHeight="1" x14ac:dyDescent="0.25">
      <c r="A122" s="101"/>
      <c r="B122" s="97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</row>
    <row r="123" spans="1:52" ht="12.75" customHeight="1" x14ac:dyDescent="0.25">
      <c r="A123" s="101"/>
      <c r="B123" s="97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</row>
    <row r="124" spans="1:52" ht="12.75" customHeight="1" x14ac:dyDescent="0.25">
      <c r="A124" s="101"/>
      <c r="B124" s="97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</row>
    <row r="125" spans="1:52" ht="12.75" customHeight="1" x14ac:dyDescent="0.25">
      <c r="A125" s="101"/>
      <c r="B125" s="97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</row>
    <row r="126" spans="1:52" ht="12.75" customHeight="1" x14ac:dyDescent="0.25">
      <c r="A126" s="101"/>
      <c r="B126" s="97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  <c r="AH126" s="98"/>
      <c r="AI126" s="98"/>
      <c r="AJ126" s="98"/>
      <c r="AK126" s="98"/>
      <c r="AL126" s="98"/>
      <c r="AM126" s="98"/>
      <c r="AN126" s="98"/>
      <c r="AO126" s="98"/>
      <c r="AP126" s="98"/>
      <c r="AQ126" s="98"/>
      <c r="AR126" s="98"/>
      <c r="AS126" s="98"/>
      <c r="AT126" s="98"/>
      <c r="AU126" s="98"/>
      <c r="AV126" s="98"/>
      <c r="AW126" s="98"/>
      <c r="AX126" s="98"/>
      <c r="AY126" s="98"/>
      <c r="AZ126" s="98"/>
    </row>
    <row r="127" spans="1:52" ht="12.75" customHeight="1" x14ac:dyDescent="0.25">
      <c r="A127" s="101"/>
      <c r="B127" s="97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</row>
    <row r="128" spans="1:52" ht="12.75" customHeight="1" x14ac:dyDescent="0.25">
      <c r="A128" s="101"/>
      <c r="B128" s="97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</row>
    <row r="129" spans="1:52" ht="12.75" customHeight="1" x14ac:dyDescent="0.25">
      <c r="A129" s="101"/>
      <c r="B129" s="97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</row>
    <row r="130" spans="1:52" ht="12.75" customHeight="1" x14ac:dyDescent="0.25">
      <c r="A130" s="101"/>
      <c r="B130" s="97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</row>
    <row r="131" spans="1:52" ht="12.75" customHeight="1" x14ac:dyDescent="0.25">
      <c r="A131" s="101"/>
      <c r="B131" s="97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  <c r="AH131" s="98"/>
      <c r="AI131" s="98"/>
      <c r="AJ131" s="98"/>
      <c r="AK131" s="98"/>
      <c r="AL131" s="98"/>
      <c r="AM131" s="98"/>
      <c r="AN131" s="98"/>
      <c r="AO131" s="98"/>
      <c r="AP131" s="98"/>
      <c r="AQ131" s="98"/>
      <c r="AR131" s="98"/>
      <c r="AS131" s="98"/>
      <c r="AT131" s="98"/>
      <c r="AU131" s="98"/>
      <c r="AV131" s="98"/>
      <c r="AW131" s="98"/>
      <c r="AX131" s="98"/>
      <c r="AY131" s="98"/>
      <c r="AZ131" s="98"/>
    </row>
    <row r="132" spans="1:52" ht="12.75" customHeight="1" x14ac:dyDescent="0.25">
      <c r="A132" s="101"/>
      <c r="B132" s="97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</row>
    <row r="133" spans="1:52" ht="12.75" customHeight="1" x14ac:dyDescent="0.25">
      <c r="A133" s="101"/>
      <c r="B133" s="97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</row>
    <row r="134" spans="1:52" ht="12.75" customHeight="1" x14ac:dyDescent="0.25">
      <c r="A134" s="101"/>
      <c r="B134" s="97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  <c r="AH134" s="98"/>
      <c r="AI134" s="98"/>
      <c r="AJ134" s="98"/>
      <c r="AK134" s="98"/>
      <c r="AL134" s="98"/>
      <c r="AM134" s="98"/>
      <c r="AN134" s="98"/>
      <c r="AO134" s="98"/>
      <c r="AP134" s="98"/>
      <c r="AQ134" s="98"/>
      <c r="AR134" s="98"/>
      <c r="AS134" s="98"/>
      <c r="AT134" s="98"/>
      <c r="AU134" s="98"/>
      <c r="AV134" s="98"/>
      <c r="AW134" s="98"/>
      <c r="AX134" s="98"/>
      <c r="AY134" s="98"/>
      <c r="AZ134" s="98"/>
    </row>
    <row r="135" spans="1:52" ht="12.75" customHeight="1" x14ac:dyDescent="0.25">
      <c r="A135" s="101"/>
      <c r="B135" s="97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</row>
    <row r="136" spans="1:52" ht="12.75" customHeight="1" x14ac:dyDescent="0.25">
      <c r="A136" s="101"/>
      <c r="B136" s="97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</row>
    <row r="137" spans="1:52" ht="12.75" customHeight="1" x14ac:dyDescent="0.25">
      <c r="A137" s="101"/>
      <c r="B137" s="97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  <c r="AH137" s="98"/>
      <c r="AI137" s="98"/>
      <c r="AJ137" s="98"/>
      <c r="AK137" s="98"/>
      <c r="AL137" s="98"/>
      <c r="AM137" s="98"/>
      <c r="AN137" s="98"/>
      <c r="AO137" s="98"/>
      <c r="AP137" s="98"/>
      <c r="AQ137" s="98"/>
      <c r="AR137" s="98"/>
      <c r="AS137" s="98"/>
      <c r="AT137" s="98"/>
      <c r="AU137" s="98"/>
      <c r="AV137" s="98"/>
      <c r="AW137" s="98"/>
      <c r="AX137" s="98"/>
      <c r="AY137" s="98"/>
      <c r="AZ137" s="98"/>
    </row>
    <row r="138" spans="1:52" ht="12.75" customHeight="1" x14ac:dyDescent="0.25">
      <c r="A138" s="101"/>
      <c r="B138" s="97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</row>
    <row r="139" spans="1:52" ht="12.75" customHeight="1" x14ac:dyDescent="0.25">
      <c r="A139" s="101"/>
      <c r="B139" s="97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</row>
    <row r="140" spans="1:52" ht="12.75" customHeight="1" x14ac:dyDescent="0.25">
      <c r="A140" s="101"/>
      <c r="B140" s="97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</row>
    <row r="141" spans="1:52" ht="12.75" customHeight="1" x14ac:dyDescent="0.25">
      <c r="A141" s="101"/>
      <c r="B141" s="97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</row>
    <row r="142" spans="1:52" ht="12.75" customHeight="1" x14ac:dyDescent="0.25">
      <c r="A142" s="101"/>
      <c r="B142" s="97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  <c r="AH142" s="98"/>
      <c r="AI142" s="98"/>
      <c r="AJ142" s="98"/>
      <c r="AK142" s="98"/>
      <c r="AL142" s="98"/>
      <c r="AM142" s="98"/>
      <c r="AN142" s="98"/>
      <c r="AO142" s="98"/>
      <c r="AP142" s="98"/>
      <c r="AQ142" s="98"/>
      <c r="AR142" s="98"/>
      <c r="AS142" s="98"/>
      <c r="AT142" s="98"/>
      <c r="AU142" s="98"/>
      <c r="AV142" s="98"/>
      <c r="AW142" s="98"/>
      <c r="AX142" s="98"/>
      <c r="AY142" s="98"/>
      <c r="AZ142" s="98"/>
    </row>
    <row r="143" spans="1:52" ht="12.75" customHeight="1" x14ac:dyDescent="0.25">
      <c r="A143" s="101"/>
      <c r="B143" s="97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</row>
    <row r="144" spans="1:52" ht="12.75" customHeight="1" x14ac:dyDescent="0.25">
      <c r="A144" s="101"/>
      <c r="B144" s="97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</row>
    <row r="145" spans="1:52" ht="12.75" customHeight="1" x14ac:dyDescent="0.25">
      <c r="A145" s="101"/>
      <c r="B145" s="97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</row>
    <row r="146" spans="1:52" ht="12.75" customHeight="1" x14ac:dyDescent="0.25">
      <c r="A146" s="101"/>
      <c r="B146" s="97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</row>
    <row r="147" spans="1:52" ht="12.75" customHeight="1" x14ac:dyDescent="0.25">
      <c r="A147" s="101"/>
      <c r="B147" s="97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  <c r="AH147" s="98"/>
      <c r="AI147" s="98"/>
      <c r="AJ147" s="98"/>
      <c r="AK147" s="98"/>
      <c r="AL147" s="98"/>
      <c r="AM147" s="98"/>
      <c r="AN147" s="98"/>
      <c r="AO147" s="98"/>
      <c r="AP147" s="98"/>
      <c r="AQ147" s="98"/>
      <c r="AR147" s="98"/>
      <c r="AS147" s="98"/>
      <c r="AT147" s="98"/>
      <c r="AU147" s="98"/>
      <c r="AV147" s="98"/>
      <c r="AW147" s="98"/>
      <c r="AX147" s="98"/>
      <c r="AY147" s="98"/>
      <c r="AZ147" s="98"/>
    </row>
    <row r="148" spans="1:52" ht="12.75" customHeight="1" x14ac:dyDescent="0.25">
      <c r="A148" s="101"/>
      <c r="B148" s="97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98"/>
      <c r="AR148" s="98"/>
      <c r="AS148" s="98"/>
      <c r="AT148" s="98"/>
      <c r="AU148" s="98"/>
      <c r="AV148" s="98"/>
      <c r="AW148" s="98"/>
      <c r="AX148" s="98"/>
      <c r="AY148" s="98"/>
      <c r="AZ148" s="98"/>
    </row>
    <row r="149" spans="1:52" ht="12.75" customHeight="1" x14ac:dyDescent="0.25">
      <c r="A149" s="101"/>
      <c r="B149" s="97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</row>
    <row r="150" spans="1:52" ht="12.75" customHeight="1" x14ac:dyDescent="0.25">
      <c r="A150" s="101"/>
      <c r="B150" s="97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98"/>
      <c r="AR150" s="98"/>
      <c r="AS150" s="98"/>
      <c r="AT150" s="98"/>
      <c r="AU150" s="98"/>
      <c r="AV150" s="98"/>
      <c r="AW150" s="98"/>
      <c r="AX150" s="98"/>
      <c r="AY150" s="98"/>
      <c r="AZ150" s="98"/>
    </row>
    <row r="151" spans="1:52" ht="12.75" customHeight="1" x14ac:dyDescent="0.25">
      <c r="A151" s="101"/>
      <c r="B151" s="97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</row>
    <row r="152" spans="1:52" ht="12.75" customHeight="1" x14ac:dyDescent="0.25">
      <c r="A152" s="101"/>
      <c r="B152" s="97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</row>
    <row r="153" spans="1:52" ht="12.75" customHeight="1" x14ac:dyDescent="0.25">
      <c r="A153" s="101"/>
      <c r="B153" s="97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  <c r="AP153" s="9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</row>
    <row r="154" spans="1:52" ht="12.75" customHeight="1" x14ac:dyDescent="0.25">
      <c r="A154" s="101"/>
      <c r="B154" s="97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  <c r="AP154" s="98"/>
      <c r="AQ154" s="98"/>
      <c r="AR154" s="98"/>
      <c r="AS154" s="98"/>
      <c r="AT154" s="98"/>
      <c r="AU154" s="98"/>
      <c r="AV154" s="98"/>
      <c r="AW154" s="98"/>
      <c r="AX154" s="98"/>
      <c r="AY154" s="98"/>
      <c r="AZ154" s="98"/>
    </row>
    <row r="155" spans="1:52" ht="12.75" customHeight="1" x14ac:dyDescent="0.25">
      <c r="A155" s="101"/>
      <c r="B155" s="97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</row>
    <row r="156" spans="1:52" ht="12.75" customHeight="1" x14ac:dyDescent="0.25">
      <c r="A156" s="101"/>
      <c r="B156" s="97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</row>
    <row r="157" spans="1:52" ht="12.75" customHeight="1" x14ac:dyDescent="0.25">
      <c r="A157" s="101"/>
      <c r="B157" s="97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</row>
    <row r="158" spans="1:52" ht="12.75" customHeight="1" x14ac:dyDescent="0.25">
      <c r="A158" s="101"/>
      <c r="B158" s="97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</row>
    <row r="159" spans="1:52" ht="12.75" customHeight="1" x14ac:dyDescent="0.25">
      <c r="A159" s="101"/>
      <c r="B159" s="97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</row>
    <row r="160" spans="1:52" ht="12.75" customHeight="1" x14ac:dyDescent="0.25">
      <c r="A160" s="101"/>
      <c r="B160" s="97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</row>
    <row r="161" spans="1:52" ht="12.75" customHeight="1" x14ac:dyDescent="0.25">
      <c r="A161" s="101"/>
      <c r="B161" s="97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</row>
    <row r="162" spans="1:52" ht="12.75" customHeight="1" x14ac:dyDescent="0.25">
      <c r="A162" s="101"/>
      <c r="B162" s="97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</row>
    <row r="163" spans="1:52" ht="12.75" customHeight="1" x14ac:dyDescent="0.25">
      <c r="A163" s="101"/>
      <c r="B163" s="97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  <c r="AH163" s="98"/>
      <c r="AI163" s="98"/>
      <c r="AJ163" s="98"/>
      <c r="AK163" s="98"/>
      <c r="AL163" s="98"/>
      <c r="AM163" s="98"/>
      <c r="AN163" s="98"/>
      <c r="AO163" s="98"/>
      <c r="AP163" s="98"/>
      <c r="AQ163" s="98"/>
      <c r="AR163" s="98"/>
      <c r="AS163" s="98"/>
      <c r="AT163" s="98"/>
      <c r="AU163" s="98"/>
      <c r="AV163" s="98"/>
      <c r="AW163" s="98"/>
      <c r="AX163" s="98"/>
      <c r="AY163" s="98"/>
      <c r="AZ163" s="98"/>
    </row>
    <row r="164" spans="1:52" ht="12.75" customHeight="1" x14ac:dyDescent="0.25">
      <c r="A164" s="101"/>
      <c r="B164" s="97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</row>
    <row r="165" spans="1:52" ht="12.75" customHeight="1" x14ac:dyDescent="0.25">
      <c r="A165" s="101"/>
      <c r="B165" s="97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</row>
    <row r="166" spans="1:52" ht="12.75" customHeight="1" x14ac:dyDescent="0.25">
      <c r="A166" s="101"/>
      <c r="B166" s="97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  <c r="AH166" s="98"/>
      <c r="AI166" s="98"/>
      <c r="AJ166" s="98"/>
      <c r="AK166" s="98"/>
      <c r="AL166" s="98"/>
      <c r="AM166" s="98"/>
      <c r="AN166" s="98"/>
      <c r="AO166" s="98"/>
      <c r="AP166" s="98"/>
      <c r="AQ166" s="98"/>
      <c r="AR166" s="98"/>
      <c r="AS166" s="98"/>
      <c r="AT166" s="98"/>
      <c r="AU166" s="98"/>
      <c r="AV166" s="98"/>
      <c r="AW166" s="98"/>
      <c r="AX166" s="98"/>
      <c r="AY166" s="98"/>
      <c r="AZ166" s="98"/>
    </row>
    <row r="167" spans="1:52" ht="12.75" customHeight="1" x14ac:dyDescent="0.25">
      <c r="A167" s="101"/>
      <c r="B167" s="97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</row>
    <row r="168" spans="1:52" ht="12.75" customHeight="1" x14ac:dyDescent="0.25">
      <c r="A168" s="101"/>
      <c r="B168" s="97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</row>
    <row r="169" spans="1:52" ht="12.75" customHeight="1" x14ac:dyDescent="0.25">
      <c r="A169" s="101"/>
      <c r="B169" s="97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  <c r="AH169" s="98"/>
      <c r="AI169" s="98"/>
      <c r="AJ169" s="98"/>
      <c r="AK169" s="98"/>
      <c r="AL169" s="98"/>
      <c r="AM169" s="98"/>
      <c r="AN169" s="98"/>
      <c r="AO169" s="98"/>
      <c r="AP169" s="98"/>
      <c r="AQ169" s="98"/>
      <c r="AR169" s="98"/>
      <c r="AS169" s="98"/>
      <c r="AT169" s="98"/>
      <c r="AU169" s="98"/>
      <c r="AV169" s="98"/>
      <c r="AW169" s="98"/>
      <c r="AX169" s="98"/>
      <c r="AY169" s="98"/>
      <c r="AZ169" s="98"/>
    </row>
    <row r="170" spans="1:52" ht="12.75" customHeight="1" x14ac:dyDescent="0.25">
      <c r="A170" s="101"/>
      <c r="B170" s="97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</row>
    <row r="171" spans="1:52" ht="12.75" customHeight="1" x14ac:dyDescent="0.25">
      <c r="A171" s="101"/>
      <c r="B171" s="97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</row>
    <row r="172" spans="1:52" ht="12.75" customHeight="1" x14ac:dyDescent="0.25">
      <c r="A172" s="101"/>
      <c r="B172" s="97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</row>
    <row r="173" spans="1:52" ht="12.75" customHeight="1" x14ac:dyDescent="0.25">
      <c r="A173" s="101"/>
      <c r="B173" s="97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</row>
    <row r="174" spans="1:52" ht="12.75" customHeight="1" x14ac:dyDescent="0.25">
      <c r="A174" s="101"/>
      <c r="B174" s="97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</row>
    <row r="175" spans="1:52" ht="12.75" customHeight="1" x14ac:dyDescent="0.25">
      <c r="A175" s="101"/>
      <c r="B175" s="97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</row>
    <row r="176" spans="1:52" ht="12.75" customHeight="1" x14ac:dyDescent="0.25">
      <c r="A176" s="101"/>
      <c r="B176" s="97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</row>
    <row r="177" spans="1:52" ht="12.75" customHeight="1" x14ac:dyDescent="0.25">
      <c r="A177" s="101"/>
      <c r="B177" s="97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</row>
    <row r="178" spans="1:52" ht="12.75" customHeight="1" x14ac:dyDescent="0.25">
      <c r="A178" s="101"/>
      <c r="B178" s="97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</row>
    <row r="179" spans="1:52" ht="12.75" customHeight="1" x14ac:dyDescent="0.25">
      <c r="A179" s="101"/>
      <c r="B179" s="97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  <c r="AH179" s="98"/>
      <c r="AI179" s="98"/>
      <c r="AJ179" s="98"/>
      <c r="AK179" s="98"/>
      <c r="AL179" s="98"/>
      <c r="AM179" s="98"/>
      <c r="AN179" s="98"/>
      <c r="AO179" s="98"/>
      <c r="AP179" s="98"/>
      <c r="AQ179" s="98"/>
      <c r="AR179" s="98"/>
      <c r="AS179" s="98"/>
      <c r="AT179" s="98"/>
      <c r="AU179" s="98"/>
      <c r="AV179" s="98"/>
      <c r="AW179" s="98"/>
      <c r="AX179" s="98"/>
      <c r="AY179" s="98"/>
      <c r="AZ179" s="98"/>
    </row>
    <row r="180" spans="1:52" ht="12.75" customHeight="1" x14ac:dyDescent="0.25">
      <c r="A180" s="101"/>
      <c r="B180" s="97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  <c r="AH180" s="98"/>
      <c r="AI180" s="98"/>
      <c r="AJ180" s="98"/>
      <c r="AK180" s="98"/>
      <c r="AL180" s="98"/>
      <c r="AM180" s="98"/>
      <c r="AN180" s="98"/>
      <c r="AO180" s="98"/>
      <c r="AP180" s="98"/>
      <c r="AQ180" s="98"/>
      <c r="AR180" s="98"/>
      <c r="AS180" s="98"/>
      <c r="AT180" s="98"/>
      <c r="AU180" s="98"/>
      <c r="AV180" s="98"/>
      <c r="AW180" s="98"/>
      <c r="AX180" s="98"/>
      <c r="AY180" s="98"/>
      <c r="AZ180" s="98"/>
    </row>
    <row r="181" spans="1:52" ht="12.75" customHeight="1" x14ac:dyDescent="0.25">
      <c r="A181" s="101"/>
      <c r="B181" s="97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</row>
    <row r="182" spans="1:52" ht="12.75" customHeight="1" x14ac:dyDescent="0.25">
      <c r="A182" s="101"/>
      <c r="B182" s="97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  <c r="AH182" s="98"/>
      <c r="AI182" s="98"/>
      <c r="AJ182" s="98"/>
      <c r="AK182" s="98"/>
      <c r="AL182" s="98"/>
      <c r="AM182" s="98"/>
      <c r="AN182" s="98"/>
      <c r="AO182" s="98"/>
      <c r="AP182" s="98"/>
      <c r="AQ182" s="98"/>
      <c r="AR182" s="98"/>
      <c r="AS182" s="98"/>
      <c r="AT182" s="98"/>
      <c r="AU182" s="98"/>
      <c r="AV182" s="98"/>
      <c r="AW182" s="98"/>
      <c r="AX182" s="98"/>
      <c r="AY182" s="98"/>
      <c r="AZ182" s="98"/>
    </row>
    <row r="183" spans="1:52" ht="12.75" customHeight="1" x14ac:dyDescent="0.25">
      <c r="A183" s="101"/>
      <c r="B183" s="97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</row>
    <row r="184" spans="1:52" ht="12.75" customHeight="1" x14ac:dyDescent="0.25">
      <c r="A184" s="101"/>
      <c r="B184" s="97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</row>
    <row r="185" spans="1:52" ht="12.75" customHeight="1" x14ac:dyDescent="0.25">
      <c r="A185" s="101"/>
      <c r="B185" s="97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</row>
    <row r="186" spans="1:52" ht="12.75" customHeight="1" x14ac:dyDescent="0.25">
      <c r="A186" s="101"/>
      <c r="B186" s="97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</row>
    <row r="187" spans="1:52" ht="12.75" customHeight="1" x14ac:dyDescent="0.25">
      <c r="A187" s="101"/>
      <c r="B187" s="97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</row>
    <row r="188" spans="1:52" ht="12.75" customHeight="1" x14ac:dyDescent="0.25">
      <c r="A188" s="101"/>
      <c r="B188" s="97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</row>
    <row r="189" spans="1:52" ht="12.75" customHeight="1" x14ac:dyDescent="0.25">
      <c r="A189" s="101"/>
      <c r="B189" s="97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</row>
    <row r="190" spans="1:52" ht="12.75" customHeight="1" x14ac:dyDescent="0.25">
      <c r="A190" s="101"/>
      <c r="B190" s="97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</row>
    <row r="191" spans="1:52" ht="12.75" customHeight="1" x14ac:dyDescent="0.25">
      <c r="A191" s="101"/>
      <c r="B191" s="97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</row>
    <row r="192" spans="1:52" ht="12.75" customHeight="1" x14ac:dyDescent="0.25">
      <c r="A192" s="101"/>
      <c r="B192" s="97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</row>
    <row r="193" spans="1:52" ht="12.75" customHeight="1" x14ac:dyDescent="0.25">
      <c r="A193" s="101"/>
      <c r="B193" s="97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</row>
    <row r="194" spans="1:52" ht="12.75" customHeight="1" x14ac:dyDescent="0.25">
      <c r="A194" s="101"/>
      <c r="B194" s="97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</row>
    <row r="195" spans="1:52" ht="12.75" customHeight="1" x14ac:dyDescent="0.25">
      <c r="A195" s="101"/>
      <c r="B195" s="97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  <c r="AH195" s="98"/>
      <c r="AI195" s="98"/>
      <c r="AJ195" s="98"/>
      <c r="AK195" s="98"/>
      <c r="AL195" s="98"/>
      <c r="AM195" s="98"/>
      <c r="AN195" s="98"/>
      <c r="AO195" s="98"/>
      <c r="AP195" s="98"/>
      <c r="AQ195" s="98"/>
      <c r="AR195" s="98"/>
      <c r="AS195" s="98"/>
      <c r="AT195" s="98"/>
      <c r="AU195" s="98"/>
      <c r="AV195" s="98"/>
      <c r="AW195" s="98"/>
      <c r="AX195" s="98"/>
      <c r="AY195" s="98"/>
      <c r="AZ195" s="98"/>
    </row>
    <row r="196" spans="1:52" ht="12.75" customHeight="1" x14ac:dyDescent="0.25">
      <c r="A196" s="101"/>
      <c r="B196" s="97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  <c r="AH196" s="98"/>
      <c r="AI196" s="98"/>
      <c r="AJ196" s="98"/>
      <c r="AK196" s="98"/>
      <c r="AL196" s="98"/>
      <c r="AM196" s="98"/>
      <c r="AN196" s="98"/>
      <c r="AO196" s="98"/>
      <c r="AP196" s="98"/>
      <c r="AQ196" s="98"/>
      <c r="AR196" s="98"/>
      <c r="AS196" s="98"/>
      <c r="AT196" s="98"/>
      <c r="AU196" s="98"/>
      <c r="AV196" s="98"/>
      <c r="AW196" s="98"/>
      <c r="AX196" s="98"/>
      <c r="AY196" s="98"/>
      <c r="AZ196" s="98"/>
    </row>
    <row r="197" spans="1:52" ht="12.75" customHeight="1" x14ac:dyDescent="0.25">
      <c r="A197" s="101"/>
      <c r="B197" s="97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</row>
    <row r="198" spans="1:52" ht="12.75" customHeight="1" x14ac:dyDescent="0.25">
      <c r="A198" s="101"/>
      <c r="B198" s="97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  <c r="AH198" s="98"/>
      <c r="AI198" s="98"/>
      <c r="AJ198" s="98"/>
      <c r="AK198" s="98"/>
      <c r="AL198" s="98"/>
      <c r="AM198" s="98"/>
      <c r="AN198" s="98"/>
      <c r="AO198" s="98"/>
      <c r="AP198" s="98"/>
      <c r="AQ198" s="98"/>
      <c r="AR198" s="98"/>
      <c r="AS198" s="98"/>
      <c r="AT198" s="98"/>
      <c r="AU198" s="98"/>
      <c r="AV198" s="98"/>
      <c r="AW198" s="98"/>
      <c r="AX198" s="98"/>
      <c r="AY198" s="98"/>
      <c r="AZ198" s="98"/>
    </row>
    <row r="199" spans="1:52" ht="12.75" customHeight="1" x14ac:dyDescent="0.25">
      <c r="A199" s="101"/>
      <c r="B199" s="97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</row>
    <row r="200" spans="1:52" ht="12.75" customHeight="1" x14ac:dyDescent="0.25">
      <c r="A200" s="101"/>
      <c r="B200" s="97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</row>
    <row r="201" spans="1:52" ht="12.75" customHeight="1" x14ac:dyDescent="0.25">
      <c r="A201" s="101"/>
      <c r="B201" s="97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</row>
    <row r="202" spans="1:52" ht="12.75" customHeight="1" x14ac:dyDescent="0.25">
      <c r="A202" s="101"/>
      <c r="B202" s="97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</row>
    <row r="203" spans="1:52" ht="12.75" customHeight="1" x14ac:dyDescent="0.25">
      <c r="A203" s="101"/>
      <c r="B203" s="97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</row>
    <row r="204" spans="1:52" ht="12.75" customHeight="1" x14ac:dyDescent="0.25">
      <c r="A204" s="101"/>
      <c r="B204" s="97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</row>
    <row r="205" spans="1:52" ht="12.75" customHeight="1" x14ac:dyDescent="0.25">
      <c r="A205" s="101"/>
      <c r="B205" s="97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</row>
    <row r="206" spans="1:52" ht="12.75" customHeight="1" x14ac:dyDescent="0.25">
      <c r="A206" s="101"/>
      <c r="B206" s="97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/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98"/>
      <c r="AZ206" s="98"/>
    </row>
    <row r="207" spans="1:52" ht="12.75" customHeight="1" x14ac:dyDescent="0.25">
      <c r="A207" s="101"/>
      <c r="B207" s="97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</row>
    <row r="208" spans="1:52" ht="12.75" customHeight="1" x14ac:dyDescent="0.25">
      <c r="A208" s="101"/>
      <c r="B208" s="97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</row>
    <row r="209" spans="1:52" ht="12.75" customHeight="1" x14ac:dyDescent="0.25">
      <c r="A209" s="101"/>
      <c r="B209" s="97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</row>
    <row r="210" spans="1:52" ht="12.75" customHeight="1" x14ac:dyDescent="0.25">
      <c r="A210" s="101"/>
      <c r="B210" s="97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</row>
    <row r="211" spans="1:52" ht="12.75" customHeight="1" x14ac:dyDescent="0.25">
      <c r="A211" s="101"/>
      <c r="B211" s="97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  <c r="AH211" s="98"/>
      <c r="AI211" s="98"/>
      <c r="AJ211" s="98"/>
      <c r="AK211" s="98"/>
      <c r="AL211" s="98"/>
      <c r="AM211" s="98"/>
      <c r="AN211" s="98"/>
      <c r="AO211" s="98"/>
      <c r="AP211" s="98"/>
      <c r="AQ211" s="98"/>
      <c r="AR211" s="98"/>
      <c r="AS211" s="98"/>
      <c r="AT211" s="98"/>
      <c r="AU211" s="98"/>
      <c r="AV211" s="98"/>
      <c r="AW211" s="98"/>
      <c r="AX211" s="98"/>
      <c r="AY211" s="98"/>
      <c r="AZ211" s="98"/>
    </row>
    <row r="212" spans="1:52" ht="12.75" customHeight="1" x14ac:dyDescent="0.25">
      <c r="A212" s="101"/>
      <c r="B212" s="97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  <c r="AH212" s="98"/>
      <c r="AI212" s="98"/>
      <c r="AJ212" s="98"/>
      <c r="AK212" s="98"/>
      <c r="AL212" s="98"/>
      <c r="AM212" s="98"/>
      <c r="AN212" s="98"/>
      <c r="AO212" s="98"/>
      <c r="AP212" s="98"/>
      <c r="AQ212" s="98"/>
      <c r="AR212" s="98"/>
      <c r="AS212" s="98"/>
      <c r="AT212" s="98"/>
      <c r="AU212" s="98"/>
      <c r="AV212" s="98"/>
      <c r="AW212" s="98"/>
      <c r="AX212" s="98"/>
      <c r="AY212" s="98"/>
      <c r="AZ212" s="98"/>
    </row>
    <row r="213" spans="1:52" ht="12.75" customHeight="1" x14ac:dyDescent="0.25">
      <c r="A213" s="101"/>
      <c r="B213" s="97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</row>
    <row r="214" spans="1:52" ht="12.75" customHeight="1" x14ac:dyDescent="0.25">
      <c r="A214" s="101"/>
      <c r="B214" s="97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  <c r="AH214" s="98"/>
      <c r="AI214" s="98"/>
      <c r="AJ214" s="98"/>
      <c r="AK214" s="98"/>
      <c r="AL214" s="98"/>
      <c r="AM214" s="98"/>
      <c r="AN214" s="98"/>
      <c r="AO214" s="98"/>
      <c r="AP214" s="98"/>
      <c r="AQ214" s="98"/>
      <c r="AR214" s="98"/>
      <c r="AS214" s="98"/>
      <c r="AT214" s="98"/>
      <c r="AU214" s="98"/>
      <c r="AV214" s="98"/>
      <c r="AW214" s="98"/>
      <c r="AX214" s="98"/>
      <c r="AY214" s="98"/>
      <c r="AZ214" s="98"/>
    </row>
    <row r="215" spans="1:52" ht="12.75" customHeight="1" x14ac:dyDescent="0.25">
      <c r="A215" s="101"/>
      <c r="B215" s="97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</row>
    <row r="216" spans="1:52" ht="12.75" customHeight="1" x14ac:dyDescent="0.25">
      <c r="A216" s="101"/>
      <c r="B216" s="97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</row>
    <row r="217" spans="1:52" ht="12.75" customHeight="1" x14ac:dyDescent="0.25">
      <c r="A217" s="101"/>
      <c r="B217" s="97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98"/>
      <c r="AM217" s="98"/>
      <c r="AN217" s="98"/>
      <c r="AO217" s="98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</row>
    <row r="218" spans="1:52" ht="12.75" customHeight="1" x14ac:dyDescent="0.25">
      <c r="A218" s="101"/>
      <c r="B218" s="97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</row>
    <row r="219" spans="1:52" ht="12.75" customHeight="1" x14ac:dyDescent="0.25">
      <c r="A219" s="101"/>
      <c r="B219" s="97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</row>
    <row r="220" spans="1:52" ht="12.75" customHeight="1" x14ac:dyDescent="0.25">
      <c r="A220" s="101"/>
      <c r="B220" s="97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</row>
    <row r="221" spans="1:52" ht="12.75" customHeight="1" x14ac:dyDescent="0.25">
      <c r="A221" s="101"/>
      <c r="B221" s="97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</row>
    <row r="222" spans="1:52" ht="12.75" customHeight="1" x14ac:dyDescent="0.25">
      <c r="A222" s="101"/>
      <c r="B222" s="97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  <c r="AH222" s="98"/>
      <c r="AI222" s="98"/>
      <c r="AJ222" s="98"/>
      <c r="AK222" s="98"/>
      <c r="AL222" s="98"/>
      <c r="AM222" s="98"/>
      <c r="AN222" s="98"/>
      <c r="AO222" s="98"/>
      <c r="AP222" s="98"/>
      <c r="AQ222" s="98"/>
      <c r="AR222" s="98"/>
      <c r="AS222" s="98"/>
      <c r="AT222" s="98"/>
      <c r="AU222" s="98"/>
      <c r="AV222" s="98"/>
      <c r="AW222" s="98"/>
      <c r="AX222" s="98"/>
      <c r="AY222" s="98"/>
      <c r="AZ222" s="98"/>
    </row>
    <row r="223" spans="1:52" ht="12.75" customHeight="1" x14ac:dyDescent="0.25">
      <c r="A223" s="101"/>
      <c r="B223" s="97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</row>
    <row r="224" spans="1:52" ht="12.75" customHeight="1" x14ac:dyDescent="0.25">
      <c r="A224" s="101"/>
      <c r="B224" s="97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</row>
    <row r="225" spans="1:52" ht="12.75" customHeight="1" x14ac:dyDescent="0.25">
      <c r="A225" s="101"/>
      <c r="B225" s="97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</row>
    <row r="226" spans="1:52" ht="12.75" customHeight="1" x14ac:dyDescent="0.25">
      <c r="A226" s="101"/>
      <c r="B226" s="97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</row>
    <row r="227" spans="1:52" ht="12.75" customHeight="1" x14ac:dyDescent="0.25">
      <c r="A227" s="101"/>
      <c r="B227" s="97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  <c r="AH227" s="98"/>
      <c r="AI227" s="98"/>
      <c r="AJ227" s="98"/>
      <c r="AK227" s="98"/>
      <c r="AL227" s="98"/>
      <c r="AM227" s="98"/>
      <c r="AN227" s="98"/>
      <c r="AO227" s="98"/>
      <c r="AP227" s="98"/>
      <c r="AQ227" s="98"/>
      <c r="AR227" s="98"/>
      <c r="AS227" s="98"/>
      <c r="AT227" s="98"/>
      <c r="AU227" s="98"/>
      <c r="AV227" s="98"/>
      <c r="AW227" s="98"/>
      <c r="AX227" s="98"/>
      <c r="AY227" s="98"/>
      <c r="AZ227" s="98"/>
    </row>
    <row r="228" spans="1:52" ht="12.75" customHeight="1" x14ac:dyDescent="0.25">
      <c r="A228" s="101"/>
      <c r="B228" s="97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</row>
    <row r="229" spans="1:52" ht="12.75" customHeight="1" x14ac:dyDescent="0.25">
      <c r="A229" s="101"/>
      <c r="B229" s="97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</row>
    <row r="230" spans="1:52" ht="12.75" customHeight="1" x14ac:dyDescent="0.25">
      <c r="A230" s="101"/>
      <c r="B230" s="97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  <c r="AP230" s="98"/>
      <c r="AQ230" s="98"/>
      <c r="AR230" s="98"/>
      <c r="AS230" s="98"/>
      <c r="AT230" s="98"/>
      <c r="AU230" s="98"/>
      <c r="AV230" s="98"/>
      <c r="AW230" s="98"/>
      <c r="AX230" s="98"/>
      <c r="AY230" s="98"/>
      <c r="AZ230" s="98"/>
    </row>
    <row r="231" spans="1:52" ht="12.75" customHeight="1" x14ac:dyDescent="0.25">
      <c r="A231" s="101"/>
      <c r="B231" s="97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</row>
    <row r="232" spans="1:52" ht="12.75" customHeight="1" x14ac:dyDescent="0.25">
      <c r="A232" s="101"/>
      <c r="B232" s="97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</row>
    <row r="233" spans="1:52" ht="12.75" customHeight="1" x14ac:dyDescent="0.25">
      <c r="A233" s="101"/>
      <c r="B233" s="97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  <c r="AJ233" s="98"/>
      <c r="AK233" s="98"/>
      <c r="AL233" s="98"/>
      <c r="AM233" s="98"/>
      <c r="AN233" s="98"/>
      <c r="AO233" s="98"/>
      <c r="AP233" s="98"/>
      <c r="AQ233" s="98"/>
      <c r="AR233" s="98"/>
      <c r="AS233" s="98"/>
      <c r="AT233" s="98"/>
      <c r="AU233" s="98"/>
      <c r="AV233" s="98"/>
      <c r="AW233" s="98"/>
      <c r="AX233" s="98"/>
      <c r="AY233" s="98"/>
      <c r="AZ233" s="98"/>
    </row>
    <row r="234" spans="1:52" ht="12.75" customHeight="1" x14ac:dyDescent="0.25">
      <c r="A234" s="101"/>
      <c r="B234" s="97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</row>
    <row r="235" spans="1:52" ht="12.75" customHeight="1" x14ac:dyDescent="0.25">
      <c r="A235" s="101"/>
      <c r="B235" s="97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</row>
    <row r="236" spans="1:52" ht="12.75" customHeight="1" x14ac:dyDescent="0.25">
      <c r="A236" s="101"/>
      <c r="B236" s="97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</row>
    <row r="237" spans="1:52" ht="12.75" customHeight="1" x14ac:dyDescent="0.25">
      <c r="A237" s="101"/>
      <c r="B237" s="97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</row>
    <row r="238" spans="1:52" ht="12.75" customHeight="1" x14ac:dyDescent="0.25">
      <c r="A238" s="101"/>
      <c r="B238" s="97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  <c r="AH238" s="98"/>
      <c r="AI238" s="98"/>
      <c r="AJ238" s="98"/>
      <c r="AK238" s="98"/>
      <c r="AL238" s="98"/>
      <c r="AM238" s="98"/>
      <c r="AN238" s="98"/>
      <c r="AO238" s="98"/>
      <c r="AP238" s="98"/>
      <c r="AQ238" s="98"/>
      <c r="AR238" s="98"/>
      <c r="AS238" s="98"/>
      <c r="AT238" s="98"/>
      <c r="AU238" s="98"/>
      <c r="AV238" s="98"/>
      <c r="AW238" s="98"/>
      <c r="AX238" s="98"/>
      <c r="AY238" s="98"/>
      <c r="AZ238" s="98"/>
    </row>
    <row r="239" spans="1:52" ht="12.75" customHeight="1" x14ac:dyDescent="0.25">
      <c r="A239" s="101"/>
      <c r="B239" s="97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</row>
    <row r="240" spans="1:52" ht="12.75" customHeight="1" x14ac:dyDescent="0.25">
      <c r="A240" s="101"/>
      <c r="B240" s="97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</row>
    <row r="241" spans="1:52" ht="12.75" customHeight="1" x14ac:dyDescent="0.25">
      <c r="A241" s="101"/>
      <c r="B241" s="97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</row>
    <row r="242" spans="1:52" ht="12.75" customHeight="1" x14ac:dyDescent="0.25">
      <c r="A242" s="101"/>
      <c r="B242" s="97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</row>
    <row r="243" spans="1:52" ht="12.75" customHeight="1" x14ac:dyDescent="0.25">
      <c r="A243" s="101"/>
      <c r="B243" s="97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  <c r="AH243" s="98"/>
      <c r="AI243" s="98"/>
      <c r="AJ243" s="98"/>
      <c r="AK243" s="98"/>
      <c r="AL243" s="98"/>
      <c r="AM243" s="98"/>
      <c r="AN243" s="98"/>
      <c r="AO243" s="98"/>
      <c r="AP243" s="98"/>
      <c r="AQ243" s="98"/>
      <c r="AR243" s="98"/>
      <c r="AS243" s="98"/>
      <c r="AT243" s="98"/>
      <c r="AU243" s="98"/>
      <c r="AV243" s="98"/>
      <c r="AW243" s="98"/>
      <c r="AX243" s="98"/>
      <c r="AY243" s="98"/>
      <c r="AZ243" s="98"/>
    </row>
    <row r="244" spans="1:52" ht="12.75" customHeight="1" x14ac:dyDescent="0.25">
      <c r="A244" s="101"/>
      <c r="B244" s="97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</row>
    <row r="245" spans="1:52" ht="12.75" customHeight="1" x14ac:dyDescent="0.25">
      <c r="A245" s="101"/>
      <c r="B245" s="97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</row>
    <row r="246" spans="1:52" ht="12.75" customHeight="1" x14ac:dyDescent="0.25">
      <c r="A246" s="101"/>
      <c r="B246" s="97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  <c r="AH246" s="98"/>
      <c r="AI246" s="98"/>
      <c r="AJ246" s="98"/>
      <c r="AK246" s="98"/>
      <c r="AL246" s="98"/>
      <c r="AM246" s="98"/>
      <c r="AN246" s="98"/>
      <c r="AO246" s="98"/>
      <c r="AP246" s="98"/>
      <c r="AQ246" s="98"/>
      <c r="AR246" s="98"/>
      <c r="AS246" s="98"/>
      <c r="AT246" s="98"/>
      <c r="AU246" s="98"/>
      <c r="AV246" s="98"/>
      <c r="AW246" s="98"/>
      <c r="AX246" s="98"/>
      <c r="AY246" s="98"/>
      <c r="AZ246" s="98"/>
    </row>
    <row r="247" spans="1:52" ht="12.75" customHeight="1" x14ac:dyDescent="0.25">
      <c r="A247" s="101"/>
      <c r="B247" s="97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</row>
    <row r="248" spans="1:52" ht="12.75" customHeight="1" x14ac:dyDescent="0.25">
      <c r="A248" s="101"/>
      <c r="B248" s="97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</row>
    <row r="249" spans="1:52" ht="12.75" customHeight="1" x14ac:dyDescent="0.25">
      <c r="A249" s="101"/>
      <c r="B249" s="97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</row>
    <row r="250" spans="1:52" ht="12.75" customHeight="1" x14ac:dyDescent="0.25">
      <c r="A250" s="101"/>
      <c r="B250" s="97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</row>
    <row r="251" spans="1:52" ht="12.75" customHeight="1" x14ac:dyDescent="0.25">
      <c r="A251" s="101"/>
      <c r="B251" s="97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</row>
    <row r="252" spans="1:52" ht="12.75" customHeight="1" x14ac:dyDescent="0.25">
      <c r="A252" s="101"/>
      <c r="B252" s="97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</row>
    <row r="253" spans="1:52" ht="12.75" customHeight="1" x14ac:dyDescent="0.25">
      <c r="A253" s="101"/>
      <c r="B253" s="97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</row>
    <row r="254" spans="1:52" ht="12.75" customHeight="1" x14ac:dyDescent="0.25">
      <c r="A254" s="101"/>
      <c r="B254" s="97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</row>
    <row r="255" spans="1:52" ht="12.75" customHeight="1" x14ac:dyDescent="0.25">
      <c r="A255" s="101"/>
      <c r="B255" s="97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</row>
    <row r="256" spans="1:52" ht="12.75" customHeight="1" x14ac:dyDescent="0.25">
      <c r="A256" s="101"/>
      <c r="B256" s="97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</row>
    <row r="257" spans="1:52" ht="12.75" customHeight="1" x14ac:dyDescent="0.25">
      <c r="A257" s="101"/>
      <c r="B257" s="97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</row>
    <row r="258" spans="1:52" ht="12.75" customHeight="1" x14ac:dyDescent="0.25">
      <c r="A258" s="101"/>
      <c r="B258" s="97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</row>
    <row r="259" spans="1:52" ht="12.75" customHeight="1" x14ac:dyDescent="0.25">
      <c r="A259" s="101"/>
      <c r="B259" s="97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  <c r="AH259" s="98"/>
      <c r="AI259" s="98"/>
      <c r="AJ259" s="98"/>
      <c r="AK259" s="98"/>
      <c r="AL259" s="98"/>
      <c r="AM259" s="98"/>
      <c r="AN259" s="98"/>
      <c r="AO259" s="98"/>
      <c r="AP259" s="98"/>
      <c r="AQ259" s="98"/>
      <c r="AR259" s="98"/>
      <c r="AS259" s="98"/>
      <c r="AT259" s="98"/>
      <c r="AU259" s="98"/>
      <c r="AV259" s="98"/>
      <c r="AW259" s="98"/>
      <c r="AX259" s="98"/>
      <c r="AY259" s="98"/>
      <c r="AZ259" s="98"/>
    </row>
    <row r="260" spans="1:52" ht="12.75" customHeight="1" x14ac:dyDescent="0.25">
      <c r="A260" s="101"/>
      <c r="B260" s="97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</row>
    <row r="261" spans="1:52" ht="12.75" customHeight="1" x14ac:dyDescent="0.25">
      <c r="A261" s="101"/>
      <c r="B261" s="97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</row>
    <row r="262" spans="1:52" ht="12.75" customHeight="1" x14ac:dyDescent="0.25">
      <c r="A262" s="101"/>
      <c r="B262" s="97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  <c r="AH262" s="98"/>
      <c r="AI262" s="98"/>
      <c r="AJ262" s="98"/>
      <c r="AK262" s="98"/>
      <c r="AL262" s="98"/>
      <c r="AM262" s="98"/>
      <c r="AN262" s="98"/>
      <c r="AO262" s="98"/>
      <c r="AP262" s="98"/>
      <c r="AQ262" s="98"/>
      <c r="AR262" s="98"/>
      <c r="AS262" s="98"/>
      <c r="AT262" s="98"/>
      <c r="AU262" s="98"/>
      <c r="AV262" s="98"/>
      <c r="AW262" s="98"/>
      <c r="AX262" s="98"/>
      <c r="AY262" s="98"/>
      <c r="AZ262" s="98"/>
    </row>
    <row r="263" spans="1:52" ht="12.75" customHeight="1" x14ac:dyDescent="0.25">
      <c r="A263" s="101"/>
      <c r="B263" s="97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</row>
    <row r="264" spans="1:52" ht="12.75" customHeight="1" x14ac:dyDescent="0.25">
      <c r="A264" s="101"/>
      <c r="B264" s="97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</row>
    <row r="265" spans="1:52" ht="12.75" customHeight="1" x14ac:dyDescent="0.25">
      <c r="A265" s="101"/>
      <c r="B265" s="97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</row>
    <row r="266" spans="1:52" ht="12.75" customHeight="1" x14ac:dyDescent="0.25">
      <c r="A266" s="101"/>
      <c r="B266" s="97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</row>
    <row r="267" spans="1:52" ht="12.75" customHeight="1" x14ac:dyDescent="0.25">
      <c r="A267" s="101"/>
      <c r="B267" s="97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</row>
    <row r="268" spans="1:52" ht="12.75" customHeight="1" x14ac:dyDescent="0.25">
      <c r="A268" s="101"/>
      <c r="B268" s="97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</row>
    <row r="269" spans="1:52" ht="12.75" customHeight="1" x14ac:dyDescent="0.25">
      <c r="A269" s="101"/>
      <c r="B269" s="97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</row>
    <row r="270" spans="1:52" ht="12.75" customHeight="1" x14ac:dyDescent="0.25">
      <c r="A270" s="101"/>
      <c r="B270" s="97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</row>
    <row r="271" spans="1:52" ht="12.75" customHeight="1" x14ac:dyDescent="0.25">
      <c r="A271" s="101"/>
      <c r="B271" s="97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</row>
    <row r="272" spans="1:52" ht="12.75" customHeight="1" x14ac:dyDescent="0.25">
      <c r="A272" s="101"/>
      <c r="B272" s="97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</row>
    <row r="273" spans="1:52" ht="12.75" customHeight="1" x14ac:dyDescent="0.25">
      <c r="A273" s="101"/>
      <c r="B273" s="97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</row>
    <row r="274" spans="1:52" ht="12.75" customHeight="1" x14ac:dyDescent="0.25">
      <c r="A274" s="101"/>
      <c r="B274" s="97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</row>
    <row r="275" spans="1:52" ht="12.75" customHeight="1" x14ac:dyDescent="0.25">
      <c r="A275" s="101"/>
      <c r="B275" s="97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  <c r="AH275" s="98"/>
      <c r="AI275" s="98"/>
      <c r="AJ275" s="98"/>
      <c r="AK275" s="98"/>
      <c r="AL275" s="98"/>
      <c r="AM275" s="98"/>
      <c r="AN275" s="98"/>
      <c r="AO275" s="98"/>
      <c r="AP275" s="98"/>
      <c r="AQ275" s="98"/>
      <c r="AR275" s="98"/>
      <c r="AS275" s="98"/>
      <c r="AT275" s="98"/>
      <c r="AU275" s="98"/>
      <c r="AV275" s="98"/>
      <c r="AW275" s="98"/>
      <c r="AX275" s="98"/>
      <c r="AY275" s="98"/>
      <c r="AZ275" s="98"/>
    </row>
    <row r="276" spans="1:52" ht="12.75" customHeight="1" x14ac:dyDescent="0.25">
      <c r="A276" s="101"/>
      <c r="B276" s="97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</row>
    <row r="277" spans="1:52" ht="12.75" customHeight="1" x14ac:dyDescent="0.25">
      <c r="A277" s="101"/>
      <c r="B277" s="97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</row>
    <row r="278" spans="1:52" ht="12.75" customHeight="1" x14ac:dyDescent="0.25">
      <c r="A278" s="101"/>
      <c r="B278" s="97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  <c r="AH278" s="98"/>
      <c r="AI278" s="98"/>
      <c r="AJ278" s="98"/>
      <c r="AK278" s="98"/>
      <c r="AL278" s="98"/>
      <c r="AM278" s="98"/>
      <c r="AN278" s="98"/>
      <c r="AO278" s="98"/>
      <c r="AP278" s="98"/>
      <c r="AQ278" s="98"/>
      <c r="AR278" s="98"/>
      <c r="AS278" s="98"/>
      <c r="AT278" s="98"/>
      <c r="AU278" s="98"/>
      <c r="AV278" s="98"/>
      <c r="AW278" s="98"/>
      <c r="AX278" s="98"/>
      <c r="AY278" s="98"/>
      <c r="AZ278" s="98"/>
    </row>
    <row r="279" spans="1:52" ht="12.75" customHeight="1" x14ac:dyDescent="0.25">
      <c r="A279" s="101"/>
      <c r="B279" s="97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</row>
    <row r="280" spans="1:52" ht="12.75" customHeight="1" x14ac:dyDescent="0.25">
      <c r="A280" s="101"/>
      <c r="B280" s="97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</row>
    <row r="281" spans="1:52" ht="12.75" customHeight="1" x14ac:dyDescent="0.25">
      <c r="A281" s="101"/>
      <c r="B281" s="97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</row>
    <row r="282" spans="1:52" ht="12.75" customHeight="1" x14ac:dyDescent="0.25">
      <c r="A282" s="101"/>
      <c r="B282" s="97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</row>
    <row r="283" spans="1:52" ht="12.75" customHeight="1" x14ac:dyDescent="0.25">
      <c r="A283" s="101"/>
      <c r="B283" s="97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</row>
    <row r="284" spans="1:52" ht="12.75" customHeight="1" x14ac:dyDescent="0.25">
      <c r="A284" s="101"/>
      <c r="B284" s="97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</row>
    <row r="285" spans="1:52" ht="12.75" customHeight="1" x14ac:dyDescent="0.25">
      <c r="A285" s="101"/>
      <c r="B285" s="97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</row>
    <row r="286" spans="1:52" ht="12.75" customHeight="1" x14ac:dyDescent="0.25">
      <c r="A286" s="101"/>
      <c r="B286" s="97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</row>
    <row r="287" spans="1:52" ht="12.75" customHeight="1" x14ac:dyDescent="0.25">
      <c r="A287" s="101"/>
      <c r="B287" s="97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</row>
    <row r="288" spans="1:52" ht="12.75" customHeight="1" x14ac:dyDescent="0.25">
      <c r="A288" s="101"/>
      <c r="B288" s="97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</row>
    <row r="289" spans="1:52" ht="12.75" customHeight="1" x14ac:dyDescent="0.25">
      <c r="A289" s="101"/>
      <c r="B289" s="97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</row>
    <row r="290" spans="1:52" ht="12.75" customHeight="1" x14ac:dyDescent="0.25">
      <c r="A290" s="101"/>
      <c r="B290" s="97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</row>
    <row r="291" spans="1:52" ht="12.75" customHeight="1" x14ac:dyDescent="0.25">
      <c r="A291" s="101"/>
      <c r="B291" s="97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  <c r="AH291" s="98"/>
      <c r="AI291" s="98"/>
      <c r="AJ291" s="98"/>
      <c r="AK291" s="98"/>
      <c r="AL291" s="98"/>
      <c r="AM291" s="98"/>
      <c r="AN291" s="98"/>
      <c r="AO291" s="98"/>
      <c r="AP291" s="98"/>
      <c r="AQ291" s="98"/>
      <c r="AR291" s="98"/>
      <c r="AS291" s="98"/>
      <c r="AT291" s="98"/>
      <c r="AU291" s="98"/>
      <c r="AV291" s="98"/>
      <c r="AW291" s="98"/>
      <c r="AX291" s="98"/>
      <c r="AY291" s="98"/>
      <c r="AZ291" s="98"/>
    </row>
    <row r="292" spans="1:52" ht="12.75" customHeight="1" x14ac:dyDescent="0.25">
      <c r="A292" s="101"/>
      <c r="B292" s="97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</row>
    <row r="293" spans="1:52" ht="12.75" customHeight="1" x14ac:dyDescent="0.25">
      <c r="A293" s="101"/>
      <c r="B293" s="97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</row>
    <row r="294" spans="1:52" ht="12.75" customHeight="1" x14ac:dyDescent="0.25">
      <c r="A294" s="101"/>
      <c r="B294" s="97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</row>
    <row r="295" spans="1:52" ht="12.75" customHeight="1" x14ac:dyDescent="0.25">
      <c r="A295" s="101"/>
      <c r="B295" s="97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</row>
    <row r="296" spans="1:52" ht="12.75" customHeight="1" x14ac:dyDescent="0.25">
      <c r="A296" s="101"/>
      <c r="B296" s="97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</row>
    <row r="297" spans="1:52" ht="12.75" customHeight="1" x14ac:dyDescent="0.25">
      <c r="A297" s="101"/>
      <c r="B297" s="97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</row>
    <row r="298" spans="1:52" ht="12.75" customHeight="1" x14ac:dyDescent="0.25">
      <c r="A298" s="101"/>
      <c r="B298" s="97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</row>
    <row r="299" spans="1:52" ht="12.75" customHeight="1" x14ac:dyDescent="0.25">
      <c r="A299" s="101"/>
      <c r="B299" s="97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</row>
    <row r="300" spans="1:52" ht="12.75" customHeight="1" x14ac:dyDescent="0.25">
      <c r="A300" s="101"/>
      <c r="B300" s="97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</row>
    <row r="301" spans="1:52" ht="12.75" customHeight="1" x14ac:dyDescent="0.25">
      <c r="A301" s="101"/>
      <c r="B301" s="97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</row>
    <row r="302" spans="1:52" ht="12.75" customHeight="1" x14ac:dyDescent="0.25">
      <c r="A302" s="101"/>
      <c r="B302" s="97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</row>
    <row r="303" spans="1:52" ht="12.75" customHeight="1" x14ac:dyDescent="0.25">
      <c r="A303" s="101"/>
      <c r="B303" s="97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</row>
    <row r="304" spans="1:52" ht="12.75" customHeight="1" x14ac:dyDescent="0.25">
      <c r="A304" s="101"/>
      <c r="B304" s="97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</row>
    <row r="305" spans="1:52" ht="12.75" customHeight="1" x14ac:dyDescent="0.25">
      <c r="A305" s="101"/>
      <c r="B305" s="97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</row>
    <row r="306" spans="1:52" ht="12.75" customHeight="1" x14ac:dyDescent="0.25">
      <c r="A306" s="101"/>
      <c r="B306" s="97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</row>
    <row r="307" spans="1:52" ht="12.75" customHeight="1" x14ac:dyDescent="0.25">
      <c r="A307" s="101"/>
      <c r="B307" s="97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  <c r="AH307" s="98"/>
      <c r="AI307" s="98"/>
      <c r="AJ307" s="98"/>
      <c r="AK307" s="98"/>
      <c r="AL307" s="98"/>
      <c r="AM307" s="98"/>
      <c r="AN307" s="98"/>
      <c r="AO307" s="98"/>
      <c r="AP307" s="98"/>
      <c r="AQ307" s="98"/>
      <c r="AR307" s="98"/>
      <c r="AS307" s="98"/>
      <c r="AT307" s="98"/>
      <c r="AU307" s="98"/>
      <c r="AV307" s="98"/>
      <c r="AW307" s="98"/>
      <c r="AX307" s="98"/>
      <c r="AY307" s="98"/>
      <c r="AZ307" s="98"/>
    </row>
    <row r="308" spans="1:52" ht="12.75" customHeight="1" x14ac:dyDescent="0.25">
      <c r="A308" s="101"/>
      <c r="B308" s="97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</row>
    <row r="309" spans="1:52" ht="12.75" customHeight="1" x14ac:dyDescent="0.25">
      <c r="A309" s="101"/>
      <c r="B309" s="97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</row>
    <row r="310" spans="1:52" ht="12.75" customHeight="1" x14ac:dyDescent="0.25">
      <c r="A310" s="101"/>
      <c r="B310" s="97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</row>
    <row r="311" spans="1:52" ht="12.75" customHeight="1" x14ac:dyDescent="0.25">
      <c r="A311" s="101"/>
      <c r="B311" s="97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</row>
    <row r="312" spans="1:52" ht="12.75" customHeight="1" x14ac:dyDescent="0.25">
      <c r="A312" s="101"/>
      <c r="B312" s="97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</row>
    <row r="313" spans="1:52" ht="12.75" customHeight="1" x14ac:dyDescent="0.25">
      <c r="A313" s="101"/>
      <c r="B313" s="97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</row>
    <row r="314" spans="1:52" ht="12.75" customHeight="1" x14ac:dyDescent="0.25">
      <c r="A314" s="101"/>
      <c r="B314" s="97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</row>
    <row r="315" spans="1:52" ht="12.75" customHeight="1" x14ac:dyDescent="0.25">
      <c r="A315" s="101"/>
      <c r="B315" s="97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</row>
    <row r="316" spans="1:52" ht="12.75" customHeight="1" x14ac:dyDescent="0.25">
      <c r="A316" s="101"/>
      <c r="B316" s="97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</row>
    <row r="317" spans="1:52" ht="12.75" customHeight="1" x14ac:dyDescent="0.25">
      <c r="A317" s="101"/>
      <c r="B317" s="97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</row>
    <row r="318" spans="1:52" ht="12.75" customHeight="1" x14ac:dyDescent="0.25">
      <c r="A318" s="101"/>
      <c r="B318" s="97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</row>
    <row r="319" spans="1:52" ht="12.75" customHeight="1" x14ac:dyDescent="0.25">
      <c r="A319" s="101"/>
      <c r="B319" s="97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</row>
    <row r="320" spans="1:52" ht="12.75" customHeight="1" x14ac:dyDescent="0.25">
      <c r="A320" s="101"/>
      <c r="B320" s="97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</row>
    <row r="321" spans="1:52" ht="12.75" customHeight="1" x14ac:dyDescent="0.25">
      <c r="A321" s="101"/>
      <c r="B321" s="97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</row>
    <row r="322" spans="1:52" ht="12.75" customHeight="1" x14ac:dyDescent="0.25">
      <c r="A322" s="101"/>
      <c r="B322" s="97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</row>
    <row r="323" spans="1:52" ht="12.75" customHeight="1" x14ac:dyDescent="0.25">
      <c r="A323" s="101"/>
      <c r="B323" s="97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  <c r="AH323" s="98"/>
      <c r="AI323" s="98"/>
      <c r="AJ323" s="98"/>
      <c r="AK323" s="98"/>
      <c r="AL323" s="98"/>
      <c r="AM323" s="98"/>
      <c r="AN323" s="98"/>
      <c r="AO323" s="98"/>
      <c r="AP323" s="98"/>
      <c r="AQ323" s="98"/>
      <c r="AR323" s="98"/>
      <c r="AS323" s="98"/>
      <c r="AT323" s="98"/>
      <c r="AU323" s="98"/>
      <c r="AV323" s="98"/>
      <c r="AW323" s="98"/>
      <c r="AX323" s="98"/>
      <c r="AY323" s="98"/>
      <c r="AZ323" s="98"/>
    </row>
    <row r="324" spans="1:52" ht="12.75" customHeight="1" x14ac:dyDescent="0.25">
      <c r="A324" s="101"/>
      <c r="B324" s="97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</row>
    <row r="325" spans="1:52" ht="12.75" customHeight="1" x14ac:dyDescent="0.25">
      <c r="A325" s="101"/>
      <c r="B325" s="97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</row>
    <row r="326" spans="1:52" ht="12.75" customHeight="1" x14ac:dyDescent="0.25">
      <c r="A326" s="101"/>
      <c r="B326" s="97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</row>
    <row r="327" spans="1:52" ht="12.75" customHeight="1" x14ac:dyDescent="0.25">
      <c r="A327" s="101"/>
      <c r="B327" s="97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</row>
    <row r="328" spans="1:52" ht="12.75" customHeight="1" x14ac:dyDescent="0.25">
      <c r="A328" s="101"/>
      <c r="B328" s="97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</row>
    <row r="329" spans="1:52" ht="12.75" customHeight="1" x14ac:dyDescent="0.25">
      <c r="A329" s="101"/>
      <c r="B329" s="97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</row>
    <row r="330" spans="1:52" ht="12.75" customHeight="1" x14ac:dyDescent="0.25">
      <c r="A330" s="101"/>
      <c r="B330" s="97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</row>
    <row r="331" spans="1:52" ht="12.75" customHeight="1" x14ac:dyDescent="0.25">
      <c r="A331" s="101"/>
      <c r="B331" s="97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</row>
    <row r="332" spans="1:52" ht="12.75" customHeight="1" x14ac:dyDescent="0.25">
      <c r="A332" s="101"/>
      <c r="B332" s="97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</row>
    <row r="333" spans="1:52" ht="12.75" customHeight="1" x14ac:dyDescent="0.25">
      <c r="A333" s="101"/>
      <c r="B333" s="97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</row>
    <row r="334" spans="1:52" ht="12.75" customHeight="1" x14ac:dyDescent="0.25">
      <c r="A334" s="101"/>
      <c r="B334" s="97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</row>
    <row r="335" spans="1:52" ht="12.75" customHeight="1" x14ac:dyDescent="0.25">
      <c r="A335" s="101"/>
      <c r="B335" s="97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</row>
    <row r="336" spans="1:52" ht="12.75" customHeight="1" x14ac:dyDescent="0.25">
      <c r="A336" s="101"/>
      <c r="B336" s="97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</row>
    <row r="337" spans="1:52" ht="12.75" customHeight="1" x14ac:dyDescent="0.25">
      <c r="A337" s="101"/>
      <c r="B337" s="97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</row>
    <row r="338" spans="1:52" ht="12.75" customHeight="1" x14ac:dyDescent="0.25">
      <c r="A338" s="101"/>
      <c r="B338" s="97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</row>
    <row r="339" spans="1:52" ht="12.75" customHeight="1" x14ac:dyDescent="0.25">
      <c r="A339" s="101"/>
      <c r="B339" s="97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  <c r="AH339" s="98"/>
      <c r="AI339" s="98"/>
      <c r="AJ339" s="98"/>
      <c r="AK339" s="98"/>
      <c r="AL339" s="98"/>
      <c r="AM339" s="98"/>
      <c r="AN339" s="98"/>
      <c r="AO339" s="98"/>
      <c r="AP339" s="98"/>
      <c r="AQ339" s="98"/>
      <c r="AR339" s="98"/>
      <c r="AS339" s="98"/>
      <c r="AT339" s="98"/>
      <c r="AU339" s="98"/>
      <c r="AV339" s="98"/>
      <c r="AW339" s="98"/>
      <c r="AX339" s="98"/>
      <c r="AY339" s="98"/>
      <c r="AZ339" s="98"/>
    </row>
    <row r="340" spans="1:52" ht="12.75" customHeight="1" x14ac:dyDescent="0.25">
      <c r="A340" s="101"/>
      <c r="B340" s="97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</row>
    <row r="341" spans="1:52" ht="12.75" customHeight="1" x14ac:dyDescent="0.25">
      <c r="A341" s="101"/>
      <c r="B341" s="97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</row>
    <row r="342" spans="1:52" ht="12.75" customHeight="1" x14ac:dyDescent="0.25">
      <c r="A342" s="101"/>
      <c r="B342" s="97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</row>
    <row r="343" spans="1:52" ht="12.75" customHeight="1" x14ac:dyDescent="0.25">
      <c r="A343" s="101"/>
      <c r="B343" s="97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</row>
    <row r="344" spans="1:52" ht="12.75" customHeight="1" x14ac:dyDescent="0.25">
      <c r="A344" s="101"/>
      <c r="B344" s="97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</row>
    <row r="345" spans="1:52" ht="12.75" customHeight="1" x14ac:dyDescent="0.25">
      <c r="A345" s="101"/>
      <c r="B345" s="97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</row>
    <row r="346" spans="1:52" ht="12.75" customHeight="1" x14ac:dyDescent="0.25">
      <c r="A346" s="101"/>
      <c r="B346" s="97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</row>
    <row r="347" spans="1:52" ht="12.75" customHeight="1" x14ac:dyDescent="0.25">
      <c r="A347" s="101"/>
      <c r="B347" s="97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</row>
    <row r="348" spans="1:52" ht="12.75" customHeight="1" x14ac:dyDescent="0.25">
      <c r="A348" s="101"/>
      <c r="B348" s="97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</row>
    <row r="349" spans="1:52" ht="12.75" customHeight="1" x14ac:dyDescent="0.25">
      <c r="A349" s="101"/>
      <c r="B349" s="97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</row>
    <row r="350" spans="1:52" ht="12.75" customHeight="1" x14ac:dyDescent="0.25">
      <c r="A350" s="101"/>
      <c r="B350" s="97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</row>
    <row r="351" spans="1:52" ht="12.75" customHeight="1" x14ac:dyDescent="0.25">
      <c r="A351" s="101"/>
      <c r="B351" s="97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</row>
    <row r="352" spans="1:52" ht="12.75" customHeight="1" x14ac:dyDescent="0.25">
      <c r="A352" s="101"/>
      <c r="B352" s="97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</row>
    <row r="353" spans="1:52" ht="12.75" customHeight="1" x14ac:dyDescent="0.25">
      <c r="A353" s="101"/>
      <c r="B353" s="97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</row>
    <row r="354" spans="1:52" ht="12.75" customHeight="1" x14ac:dyDescent="0.25">
      <c r="A354" s="101"/>
      <c r="B354" s="97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</row>
    <row r="355" spans="1:52" ht="12.75" customHeight="1" x14ac:dyDescent="0.25">
      <c r="A355" s="101"/>
      <c r="B355" s="97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  <c r="AH355" s="98"/>
      <c r="AI355" s="98"/>
      <c r="AJ355" s="98"/>
      <c r="AK355" s="98"/>
      <c r="AL355" s="98"/>
      <c r="AM355" s="98"/>
      <c r="AN355" s="98"/>
      <c r="AO355" s="98"/>
      <c r="AP355" s="98"/>
      <c r="AQ355" s="98"/>
      <c r="AR355" s="98"/>
      <c r="AS355" s="98"/>
      <c r="AT355" s="98"/>
      <c r="AU355" s="98"/>
      <c r="AV355" s="98"/>
      <c r="AW355" s="98"/>
      <c r="AX355" s="98"/>
      <c r="AY355" s="98"/>
      <c r="AZ355" s="98"/>
    </row>
    <row r="356" spans="1:52" ht="12.75" customHeight="1" x14ac:dyDescent="0.25">
      <c r="A356" s="101"/>
      <c r="B356" s="97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</row>
    <row r="357" spans="1:52" ht="12.75" customHeight="1" x14ac:dyDescent="0.25">
      <c r="A357" s="101"/>
      <c r="B357" s="97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</row>
    <row r="358" spans="1:52" ht="12.75" customHeight="1" x14ac:dyDescent="0.25">
      <c r="A358" s="101"/>
      <c r="B358" s="97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</row>
    <row r="359" spans="1:52" ht="12.75" customHeight="1" x14ac:dyDescent="0.25">
      <c r="A359" s="101"/>
      <c r="B359" s="97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</row>
    <row r="360" spans="1:52" ht="12.75" customHeight="1" x14ac:dyDescent="0.25">
      <c r="A360" s="101"/>
      <c r="B360" s="97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</row>
    <row r="361" spans="1:52" ht="12.75" customHeight="1" x14ac:dyDescent="0.25">
      <c r="A361" s="101"/>
      <c r="B361" s="97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</row>
    <row r="362" spans="1:52" ht="12.75" customHeight="1" x14ac:dyDescent="0.25">
      <c r="A362" s="101"/>
      <c r="B362" s="97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</row>
    <row r="363" spans="1:52" ht="12.75" customHeight="1" x14ac:dyDescent="0.25">
      <c r="A363" s="101"/>
      <c r="B363" s="97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</row>
    <row r="364" spans="1:52" ht="12.75" customHeight="1" x14ac:dyDescent="0.25">
      <c r="A364" s="101"/>
      <c r="B364" s="97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</row>
    <row r="365" spans="1:52" ht="12.75" customHeight="1" x14ac:dyDescent="0.25">
      <c r="A365" s="101"/>
      <c r="B365" s="97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</row>
    <row r="366" spans="1:52" ht="12.75" customHeight="1" x14ac:dyDescent="0.25">
      <c r="A366" s="101"/>
      <c r="B366" s="97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</row>
    <row r="367" spans="1:52" ht="12.75" customHeight="1" x14ac:dyDescent="0.25">
      <c r="A367" s="101"/>
      <c r="B367" s="97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</row>
    <row r="368" spans="1:52" ht="12.75" customHeight="1" x14ac:dyDescent="0.25">
      <c r="A368" s="101"/>
      <c r="B368" s="97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</row>
    <row r="369" spans="1:52" ht="12.75" customHeight="1" x14ac:dyDescent="0.25">
      <c r="A369" s="101"/>
      <c r="B369" s="97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</row>
    <row r="370" spans="1:52" ht="12.75" customHeight="1" x14ac:dyDescent="0.25">
      <c r="A370" s="101"/>
      <c r="B370" s="97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</row>
    <row r="371" spans="1:52" ht="12.75" customHeight="1" x14ac:dyDescent="0.25">
      <c r="A371" s="101"/>
      <c r="B371" s="97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  <c r="AH371" s="98"/>
      <c r="AI371" s="98"/>
      <c r="AJ371" s="98"/>
      <c r="AK371" s="98"/>
      <c r="AL371" s="98"/>
      <c r="AM371" s="98"/>
      <c r="AN371" s="98"/>
      <c r="AO371" s="98"/>
      <c r="AP371" s="98"/>
      <c r="AQ371" s="98"/>
      <c r="AR371" s="98"/>
      <c r="AS371" s="98"/>
      <c r="AT371" s="98"/>
      <c r="AU371" s="98"/>
      <c r="AV371" s="98"/>
      <c r="AW371" s="98"/>
      <c r="AX371" s="98"/>
      <c r="AY371" s="98"/>
      <c r="AZ371" s="98"/>
    </row>
    <row r="372" spans="1:52" ht="12.75" customHeight="1" x14ac:dyDescent="0.25">
      <c r="A372" s="101"/>
      <c r="B372" s="97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</row>
    <row r="373" spans="1:52" ht="12.75" customHeight="1" x14ac:dyDescent="0.25">
      <c r="A373" s="101"/>
      <c r="B373" s="97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</row>
    <row r="374" spans="1:52" ht="12.75" customHeight="1" x14ac:dyDescent="0.25">
      <c r="A374" s="101"/>
      <c r="B374" s="97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</row>
    <row r="375" spans="1:52" ht="12.75" customHeight="1" x14ac:dyDescent="0.25">
      <c r="A375" s="101"/>
      <c r="B375" s="97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</row>
    <row r="376" spans="1:52" ht="12.75" customHeight="1" x14ac:dyDescent="0.25">
      <c r="A376" s="101"/>
      <c r="B376" s="97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</row>
    <row r="377" spans="1:52" ht="12.75" customHeight="1" x14ac:dyDescent="0.25">
      <c r="A377" s="101"/>
      <c r="B377" s="97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</row>
    <row r="378" spans="1:52" ht="12.75" customHeight="1" x14ac:dyDescent="0.25">
      <c r="A378" s="101"/>
      <c r="B378" s="97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</row>
    <row r="379" spans="1:52" ht="12.75" customHeight="1" x14ac:dyDescent="0.25">
      <c r="A379" s="101"/>
      <c r="B379" s="97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</row>
    <row r="380" spans="1:52" ht="12.75" customHeight="1" x14ac:dyDescent="0.25">
      <c r="A380" s="101"/>
      <c r="B380" s="97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</row>
    <row r="381" spans="1:52" ht="12.75" customHeight="1" x14ac:dyDescent="0.25">
      <c r="A381" s="101"/>
      <c r="B381" s="97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</row>
    <row r="382" spans="1:52" ht="12.75" customHeight="1" x14ac:dyDescent="0.25">
      <c r="A382" s="101"/>
      <c r="B382" s="97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</row>
    <row r="383" spans="1:52" ht="12.75" customHeight="1" x14ac:dyDescent="0.25">
      <c r="A383" s="101"/>
      <c r="B383" s="97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</row>
    <row r="384" spans="1:52" ht="12.75" customHeight="1" x14ac:dyDescent="0.25">
      <c r="A384" s="101"/>
      <c r="B384" s="97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</row>
    <row r="385" spans="1:52" ht="12.75" customHeight="1" x14ac:dyDescent="0.25">
      <c r="A385" s="101"/>
      <c r="B385" s="97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</row>
    <row r="386" spans="1:52" ht="12.75" customHeight="1" x14ac:dyDescent="0.25">
      <c r="A386" s="101"/>
      <c r="B386" s="97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</row>
    <row r="387" spans="1:52" ht="12.75" customHeight="1" x14ac:dyDescent="0.25">
      <c r="A387" s="101"/>
      <c r="B387" s="97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  <c r="AH387" s="98"/>
      <c r="AI387" s="98"/>
      <c r="AJ387" s="98"/>
      <c r="AK387" s="98"/>
      <c r="AL387" s="98"/>
      <c r="AM387" s="98"/>
      <c r="AN387" s="98"/>
      <c r="AO387" s="98"/>
      <c r="AP387" s="98"/>
      <c r="AQ387" s="98"/>
      <c r="AR387" s="98"/>
      <c r="AS387" s="98"/>
      <c r="AT387" s="98"/>
      <c r="AU387" s="98"/>
      <c r="AV387" s="98"/>
      <c r="AW387" s="98"/>
      <c r="AX387" s="98"/>
      <c r="AY387" s="98"/>
      <c r="AZ387" s="98"/>
    </row>
    <row r="388" spans="1:52" ht="12.75" customHeight="1" x14ac:dyDescent="0.25">
      <c r="A388" s="101"/>
      <c r="B388" s="97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</row>
    <row r="389" spans="1:52" ht="12.75" customHeight="1" x14ac:dyDescent="0.25">
      <c r="A389" s="101"/>
      <c r="B389" s="97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</row>
    <row r="390" spans="1:52" ht="12.75" customHeight="1" x14ac:dyDescent="0.25">
      <c r="A390" s="101"/>
      <c r="B390" s="97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</row>
    <row r="391" spans="1:52" ht="12.75" customHeight="1" x14ac:dyDescent="0.25">
      <c r="A391" s="101"/>
      <c r="B391" s="97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</row>
    <row r="392" spans="1:52" ht="12.75" customHeight="1" x14ac:dyDescent="0.25">
      <c r="A392" s="101"/>
      <c r="B392" s="97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</row>
    <row r="393" spans="1:52" ht="12.75" customHeight="1" x14ac:dyDescent="0.25">
      <c r="A393" s="101"/>
      <c r="B393" s="97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</row>
    <row r="394" spans="1:52" ht="12.75" customHeight="1" x14ac:dyDescent="0.25">
      <c r="A394" s="101"/>
      <c r="B394" s="97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</row>
    <row r="395" spans="1:52" ht="12.75" customHeight="1" x14ac:dyDescent="0.25">
      <c r="A395" s="101"/>
      <c r="B395" s="97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</row>
    <row r="396" spans="1:52" ht="12.75" customHeight="1" x14ac:dyDescent="0.25">
      <c r="A396" s="101"/>
      <c r="B396" s="97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</row>
    <row r="397" spans="1:52" ht="12.75" customHeight="1" x14ac:dyDescent="0.25">
      <c r="A397" s="101"/>
      <c r="B397" s="97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</row>
    <row r="398" spans="1:52" ht="12.75" customHeight="1" x14ac:dyDescent="0.25">
      <c r="A398" s="101"/>
      <c r="B398" s="97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</row>
    <row r="399" spans="1:52" ht="12.75" customHeight="1" x14ac:dyDescent="0.25">
      <c r="A399" s="101"/>
      <c r="B399" s="97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</row>
    <row r="400" spans="1:52" ht="12.75" customHeight="1" x14ac:dyDescent="0.25">
      <c r="A400" s="101"/>
      <c r="B400" s="97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</row>
    <row r="401" spans="1:52" ht="12.75" customHeight="1" x14ac:dyDescent="0.25">
      <c r="A401" s="101"/>
      <c r="B401" s="97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</row>
    <row r="402" spans="1:52" ht="12.75" customHeight="1" x14ac:dyDescent="0.25">
      <c r="A402" s="101"/>
      <c r="B402" s="97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</row>
    <row r="403" spans="1:52" ht="12.75" customHeight="1" x14ac:dyDescent="0.25">
      <c r="A403" s="101"/>
      <c r="B403" s="97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  <c r="AH403" s="98"/>
      <c r="AI403" s="98"/>
      <c r="AJ403" s="98"/>
      <c r="AK403" s="98"/>
      <c r="AL403" s="98"/>
      <c r="AM403" s="98"/>
      <c r="AN403" s="98"/>
      <c r="AO403" s="98"/>
      <c r="AP403" s="98"/>
      <c r="AQ403" s="98"/>
      <c r="AR403" s="98"/>
      <c r="AS403" s="98"/>
      <c r="AT403" s="98"/>
      <c r="AU403" s="98"/>
      <c r="AV403" s="98"/>
      <c r="AW403" s="98"/>
      <c r="AX403" s="98"/>
      <c r="AY403" s="98"/>
      <c r="AZ403" s="98"/>
    </row>
    <row r="404" spans="1:52" ht="12.75" customHeight="1" x14ac:dyDescent="0.25">
      <c r="A404" s="101"/>
      <c r="B404" s="97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</row>
    <row r="405" spans="1:52" ht="12.75" customHeight="1" x14ac:dyDescent="0.25">
      <c r="A405" s="101"/>
      <c r="B405" s="97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</row>
    <row r="406" spans="1:52" ht="12.75" customHeight="1" x14ac:dyDescent="0.25">
      <c r="A406" s="101"/>
      <c r="B406" s="97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</row>
    <row r="407" spans="1:52" ht="12.75" customHeight="1" x14ac:dyDescent="0.25">
      <c r="A407" s="101"/>
      <c r="B407" s="97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</row>
    <row r="408" spans="1:52" ht="12.75" customHeight="1" x14ac:dyDescent="0.25">
      <c r="A408" s="101"/>
      <c r="B408" s="97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</row>
    <row r="409" spans="1:52" ht="12.75" customHeight="1" x14ac:dyDescent="0.25">
      <c r="A409" s="101"/>
      <c r="B409" s="97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</row>
    <row r="410" spans="1:52" ht="12.75" customHeight="1" x14ac:dyDescent="0.25">
      <c r="A410" s="101"/>
      <c r="B410" s="97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</row>
    <row r="411" spans="1:52" ht="12.75" customHeight="1" x14ac:dyDescent="0.25">
      <c r="A411" s="101"/>
      <c r="B411" s="97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</row>
    <row r="412" spans="1:52" ht="12.75" customHeight="1" x14ac:dyDescent="0.25">
      <c r="A412" s="101"/>
      <c r="B412" s="97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</row>
    <row r="413" spans="1:52" ht="12.75" customHeight="1" x14ac:dyDescent="0.25">
      <c r="A413" s="101"/>
      <c r="B413" s="97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</row>
    <row r="414" spans="1:52" ht="12.75" customHeight="1" x14ac:dyDescent="0.25">
      <c r="A414" s="101"/>
      <c r="B414" s="97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</row>
    <row r="415" spans="1:52" ht="12.75" customHeight="1" x14ac:dyDescent="0.25">
      <c r="A415" s="101"/>
      <c r="B415" s="97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</row>
    <row r="416" spans="1:52" ht="12.75" customHeight="1" x14ac:dyDescent="0.25">
      <c r="A416" s="101"/>
      <c r="B416" s="97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</row>
    <row r="417" spans="1:52" ht="12.75" customHeight="1" x14ac:dyDescent="0.25">
      <c r="A417" s="101"/>
      <c r="B417" s="97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</row>
    <row r="418" spans="1:52" ht="12.75" customHeight="1" x14ac:dyDescent="0.25">
      <c r="A418" s="101"/>
      <c r="B418" s="97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</row>
    <row r="419" spans="1:52" ht="12.75" customHeight="1" x14ac:dyDescent="0.25">
      <c r="A419" s="101"/>
      <c r="B419" s="97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  <c r="AH419" s="98"/>
      <c r="AI419" s="98"/>
      <c r="AJ419" s="98"/>
      <c r="AK419" s="98"/>
      <c r="AL419" s="98"/>
      <c r="AM419" s="98"/>
      <c r="AN419" s="98"/>
      <c r="AO419" s="98"/>
      <c r="AP419" s="98"/>
      <c r="AQ419" s="98"/>
      <c r="AR419" s="98"/>
      <c r="AS419" s="98"/>
      <c r="AT419" s="98"/>
      <c r="AU419" s="98"/>
      <c r="AV419" s="98"/>
      <c r="AW419" s="98"/>
      <c r="AX419" s="98"/>
      <c r="AY419" s="98"/>
      <c r="AZ419" s="98"/>
    </row>
    <row r="420" spans="1:52" ht="12.75" customHeight="1" x14ac:dyDescent="0.25">
      <c r="A420" s="101"/>
      <c r="B420" s="97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</row>
    <row r="421" spans="1:52" ht="12.75" customHeight="1" x14ac:dyDescent="0.25">
      <c r="A421" s="101"/>
      <c r="B421" s="97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</row>
    <row r="422" spans="1:52" ht="12.75" customHeight="1" x14ac:dyDescent="0.25">
      <c r="A422" s="101"/>
      <c r="B422" s="97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</row>
    <row r="423" spans="1:52" ht="12.75" customHeight="1" x14ac:dyDescent="0.25">
      <c r="A423" s="101"/>
      <c r="B423" s="97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</row>
    <row r="424" spans="1:52" ht="12.75" customHeight="1" x14ac:dyDescent="0.25">
      <c r="A424" s="101"/>
      <c r="B424" s="97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</row>
    <row r="425" spans="1:52" ht="12.75" customHeight="1" x14ac:dyDescent="0.25">
      <c r="A425" s="101"/>
      <c r="B425" s="97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</row>
    <row r="426" spans="1:52" ht="12.75" customHeight="1" x14ac:dyDescent="0.25">
      <c r="A426" s="101"/>
      <c r="B426" s="97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</row>
    <row r="427" spans="1:52" ht="12.75" customHeight="1" x14ac:dyDescent="0.25">
      <c r="A427" s="101"/>
      <c r="B427" s="97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</row>
    <row r="428" spans="1:52" ht="12.75" customHeight="1" x14ac:dyDescent="0.25">
      <c r="A428" s="101"/>
      <c r="B428" s="97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</row>
    <row r="429" spans="1:52" ht="12.75" customHeight="1" x14ac:dyDescent="0.25">
      <c r="A429" s="101"/>
      <c r="B429" s="97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</row>
    <row r="430" spans="1:52" ht="12.75" customHeight="1" x14ac:dyDescent="0.25">
      <c r="A430" s="101"/>
      <c r="B430" s="97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</row>
    <row r="431" spans="1:52" ht="12.75" customHeight="1" x14ac:dyDescent="0.25">
      <c r="A431" s="101"/>
      <c r="B431" s="97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</row>
    <row r="432" spans="1:52" ht="12.75" customHeight="1" x14ac:dyDescent="0.25">
      <c r="A432" s="101"/>
      <c r="B432" s="97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</row>
    <row r="433" spans="1:52" ht="12.75" customHeight="1" x14ac:dyDescent="0.25">
      <c r="A433" s="101"/>
      <c r="B433" s="97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</row>
    <row r="434" spans="1:52" ht="12.75" customHeight="1" x14ac:dyDescent="0.25">
      <c r="A434" s="101"/>
      <c r="B434" s="97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</row>
    <row r="435" spans="1:52" ht="12.75" customHeight="1" x14ac:dyDescent="0.25">
      <c r="A435" s="101"/>
      <c r="B435" s="97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  <c r="AH435" s="98"/>
      <c r="AI435" s="98"/>
      <c r="AJ435" s="98"/>
      <c r="AK435" s="98"/>
      <c r="AL435" s="98"/>
      <c r="AM435" s="98"/>
      <c r="AN435" s="98"/>
      <c r="AO435" s="98"/>
      <c r="AP435" s="98"/>
      <c r="AQ435" s="98"/>
      <c r="AR435" s="98"/>
      <c r="AS435" s="98"/>
      <c r="AT435" s="98"/>
      <c r="AU435" s="98"/>
      <c r="AV435" s="98"/>
      <c r="AW435" s="98"/>
      <c r="AX435" s="98"/>
      <c r="AY435" s="98"/>
      <c r="AZ435" s="98"/>
    </row>
    <row r="436" spans="1:52" ht="12.75" customHeight="1" x14ac:dyDescent="0.25">
      <c r="A436" s="101"/>
      <c r="B436" s="97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</row>
    <row r="437" spans="1:52" ht="12.75" customHeight="1" x14ac:dyDescent="0.25">
      <c r="A437" s="101"/>
      <c r="B437" s="97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</row>
    <row r="438" spans="1:52" ht="12.75" customHeight="1" x14ac:dyDescent="0.25">
      <c r="A438" s="101"/>
      <c r="B438" s="97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</row>
    <row r="439" spans="1:52" ht="12.75" customHeight="1" x14ac:dyDescent="0.25">
      <c r="A439" s="101"/>
      <c r="B439" s="97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</row>
    <row r="440" spans="1:52" ht="12.75" customHeight="1" x14ac:dyDescent="0.25">
      <c r="A440" s="101"/>
      <c r="B440" s="97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</row>
    <row r="441" spans="1:52" ht="12.75" customHeight="1" x14ac:dyDescent="0.25">
      <c r="A441" s="101"/>
      <c r="B441" s="97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</row>
    <row r="442" spans="1:52" ht="12.75" customHeight="1" x14ac:dyDescent="0.25">
      <c r="A442" s="101"/>
      <c r="B442" s="97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</row>
    <row r="443" spans="1:52" ht="12.75" customHeight="1" x14ac:dyDescent="0.25">
      <c r="A443" s="101"/>
      <c r="B443" s="97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</row>
    <row r="444" spans="1:52" ht="12.75" customHeight="1" x14ac:dyDescent="0.25">
      <c r="A444" s="101"/>
      <c r="B444" s="97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</row>
    <row r="445" spans="1:52" ht="12.75" customHeight="1" x14ac:dyDescent="0.25">
      <c r="A445" s="101"/>
      <c r="B445" s="97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</row>
    <row r="446" spans="1:52" ht="12.75" customHeight="1" x14ac:dyDescent="0.25">
      <c r="A446" s="101"/>
      <c r="B446" s="97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</row>
    <row r="447" spans="1:52" ht="12.75" customHeight="1" x14ac:dyDescent="0.25">
      <c r="A447" s="101"/>
      <c r="B447" s="97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</row>
    <row r="448" spans="1:52" ht="12.75" customHeight="1" x14ac:dyDescent="0.25">
      <c r="A448" s="101"/>
      <c r="B448" s="97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</row>
    <row r="449" spans="1:52" ht="12.75" customHeight="1" x14ac:dyDescent="0.25">
      <c r="A449" s="101"/>
      <c r="B449" s="97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</row>
    <row r="450" spans="1:52" ht="12.75" customHeight="1" x14ac:dyDescent="0.25">
      <c r="A450" s="101"/>
      <c r="B450" s="97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</row>
    <row r="451" spans="1:52" ht="12.75" customHeight="1" x14ac:dyDescent="0.25">
      <c r="A451" s="101"/>
      <c r="B451" s="97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  <c r="AH451" s="98"/>
      <c r="AI451" s="98"/>
      <c r="AJ451" s="98"/>
      <c r="AK451" s="98"/>
      <c r="AL451" s="98"/>
      <c r="AM451" s="98"/>
      <c r="AN451" s="98"/>
      <c r="AO451" s="98"/>
      <c r="AP451" s="98"/>
      <c r="AQ451" s="98"/>
      <c r="AR451" s="98"/>
      <c r="AS451" s="98"/>
      <c r="AT451" s="98"/>
      <c r="AU451" s="98"/>
      <c r="AV451" s="98"/>
      <c r="AW451" s="98"/>
      <c r="AX451" s="98"/>
      <c r="AY451" s="98"/>
      <c r="AZ451" s="98"/>
    </row>
    <row r="452" spans="1:52" ht="12.75" customHeight="1" x14ac:dyDescent="0.25">
      <c r="A452" s="101"/>
      <c r="B452" s="97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</row>
    <row r="453" spans="1:52" ht="12.75" customHeight="1" x14ac:dyDescent="0.25">
      <c r="A453" s="101"/>
      <c r="B453" s="97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</row>
    <row r="454" spans="1:52" ht="12.75" customHeight="1" x14ac:dyDescent="0.25">
      <c r="A454" s="101"/>
      <c r="B454" s="97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</row>
    <row r="455" spans="1:52" ht="12.75" customHeight="1" x14ac:dyDescent="0.25">
      <c r="A455" s="101"/>
      <c r="B455" s="97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</row>
    <row r="456" spans="1:52" ht="12.75" customHeight="1" x14ac:dyDescent="0.25">
      <c r="A456" s="101"/>
      <c r="B456" s="97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</row>
    <row r="457" spans="1:52" ht="12.75" customHeight="1" x14ac:dyDescent="0.25">
      <c r="A457" s="101"/>
      <c r="B457" s="97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</row>
    <row r="458" spans="1:52" ht="12.75" customHeight="1" x14ac:dyDescent="0.25">
      <c r="A458" s="101"/>
      <c r="B458" s="97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</row>
    <row r="459" spans="1:52" ht="12.75" customHeight="1" x14ac:dyDescent="0.25">
      <c r="A459" s="101"/>
      <c r="B459" s="97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</row>
    <row r="460" spans="1:52" ht="12.75" customHeight="1" x14ac:dyDescent="0.25">
      <c r="A460" s="101"/>
      <c r="B460" s="97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</row>
    <row r="461" spans="1:52" ht="12.75" customHeight="1" x14ac:dyDescent="0.25">
      <c r="A461" s="101"/>
      <c r="B461" s="97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</row>
    <row r="462" spans="1:52" ht="12.75" customHeight="1" x14ac:dyDescent="0.25">
      <c r="A462" s="101"/>
      <c r="B462" s="97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</row>
    <row r="463" spans="1:52" ht="12.75" customHeight="1" x14ac:dyDescent="0.25">
      <c r="A463" s="101"/>
      <c r="B463" s="97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</row>
    <row r="464" spans="1:52" ht="12.75" customHeight="1" x14ac:dyDescent="0.25">
      <c r="A464" s="101"/>
      <c r="B464" s="97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</row>
    <row r="465" spans="1:52" ht="12.75" customHeight="1" x14ac:dyDescent="0.25">
      <c r="A465" s="101"/>
      <c r="B465" s="97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</row>
    <row r="466" spans="1:52" ht="12.75" customHeight="1" x14ac:dyDescent="0.25">
      <c r="A466" s="101"/>
      <c r="B466" s="97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</row>
    <row r="467" spans="1:52" ht="12.75" customHeight="1" x14ac:dyDescent="0.25">
      <c r="A467" s="101"/>
      <c r="B467" s="97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  <c r="AH467" s="98"/>
      <c r="AI467" s="98"/>
      <c r="AJ467" s="98"/>
      <c r="AK467" s="98"/>
      <c r="AL467" s="98"/>
      <c r="AM467" s="98"/>
      <c r="AN467" s="98"/>
      <c r="AO467" s="98"/>
      <c r="AP467" s="98"/>
      <c r="AQ467" s="98"/>
      <c r="AR467" s="98"/>
      <c r="AS467" s="98"/>
      <c r="AT467" s="98"/>
      <c r="AU467" s="98"/>
      <c r="AV467" s="98"/>
      <c r="AW467" s="98"/>
      <c r="AX467" s="98"/>
      <c r="AY467" s="98"/>
      <c r="AZ467" s="98"/>
    </row>
    <row r="468" spans="1:52" ht="12.75" customHeight="1" x14ac:dyDescent="0.25">
      <c r="A468" s="101"/>
      <c r="B468" s="97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</row>
    <row r="469" spans="1:52" ht="12.75" customHeight="1" x14ac:dyDescent="0.25">
      <c r="A469" s="101"/>
      <c r="B469" s="97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</row>
    <row r="470" spans="1:52" ht="12.75" customHeight="1" x14ac:dyDescent="0.25">
      <c r="A470" s="101"/>
      <c r="B470" s="97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</row>
    <row r="471" spans="1:52" ht="12.75" customHeight="1" x14ac:dyDescent="0.25">
      <c r="A471" s="101"/>
      <c r="B471" s="97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</row>
    <row r="472" spans="1:52" ht="12.75" customHeight="1" x14ac:dyDescent="0.25">
      <c r="A472" s="101"/>
      <c r="B472" s="97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</row>
    <row r="473" spans="1:52" ht="12.75" customHeight="1" x14ac:dyDescent="0.25">
      <c r="A473" s="101"/>
      <c r="B473" s="97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</row>
    <row r="474" spans="1:52" ht="12.75" customHeight="1" x14ac:dyDescent="0.25">
      <c r="A474" s="101"/>
      <c r="B474" s="97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</row>
    <row r="475" spans="1:52" ht="12.75" customHeight="1" x14ac:dyDescent="0.25">
      <c r="A475" s="101"/>
      <c r="B475" s="97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</row>
    <row r="476" spans="1:52" ht="12.75" customHeight="1" x14ac:dyDescent="0.25">
      <c r="A476" s="101"/>
      <c r="B476" s="97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</row>
    <row r="477" spans="1:52" ht="12.75" customHeight="1" x14ac:dyDescent="0.25">
      <c r="A477" s="101"/>
      <c r="B477" s="97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</row>
    <row r="478" spans="1:52" ht="12.75" customHeight="1" x14ac:dyDescent="0.25">
      <c r="A478" s="101"/>
      <c r="B478" s="97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</row>
    <row r="479" spans="1:52" ht="12.75" customHeight="1" x14ac:dyDescent="0.25">
      <c r="A479" s="101"/>
      <c r="B479" s="97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</row>
    <row r="480" spans="1:52" ht="12.75" customHeight="1" x14ac:dyDescent="0.25">
      <c r="A480" s="101"/>
      <c r="B480" s="97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</row>
    <row r="481" spans="1:52" ht="12.75" customHeight="1" x14ac:dyDescent="0.25">
      <c r="A481" s="101"/>
      <c r="B481" s="97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</row>
    <row r="482" spans="1:52" ht="12.75" customHeight="1" x14ac:dyDescent="0.25">
      <c r="A482" s="101"/>
      <c r="B482" s="97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</row>
    <row r="483" spans="1:52" ht="12.75" customHeight="1" x14ac:dyDescent="0.25">
      <c r="A483" s="101"/>
      <c r="B483" s="97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  <c r="AH483" s="98"/>
      <c r="AI483" s="98"/>
      <c r="AJ483" s="98"/>
      <c r="AK483" s="98"/>
      <c r="AL483" s="98"/>
      <c r="AM483" s="98"/>
      <c r="AN483" s="98"/>
      <c r="AO483" s="98"/>
      <c r="AP483" s="98"/>
      <c r="AQ483" s="98"/>
      <c r="AR483" s="98"/>
      <c r="AS483" s="98"/>
      <c r="AT483" s="98"/>
      <c r="AU483" s="98"/>
      <c r="AV483" s="98"/>
      <c r="AW483" s="98"/>
      <c r="AX483" s="98"/>
      <c r="AY483" s="98"/>
      <c r="AZ483" s="98"/>
    </row>
    <row r="484" spans="1:52" ht="12.75" customHeight="1" x14ac:dyDescent="0.25">
      <c r="A484" s="101"/>
      <c r="B484" s="97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</row>
    <row r="485" spans="1:52" ht="12.75" customHeight="1" x14ac:dyDescent="0.25">
      <c r="A485" s="101"/>
      <c r="B485" s="97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</row>
    <row r="486" spans="1:52" ht="12.75" customHeight="1" x14ac:dyDescent="0.25">
      <c r="A486" s="101"/>
      <c r="B486" s="97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</row>
    <row r="487" spans="1:52" ht="12.75" customHeight="1" x14ac:dyDescent="0.25">
      <c r="A487" s="101"/>
      <c r="B487" s="97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</row>
    <row r="488" spans="1:52" ht="12.75" customHeight="1" x14ac:dyDescent="0.25">
      <c r="A488" s="101"/>
      <c r="B488" s="97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</row>
    <row r="489" spans="1:52" ht="12.75" customHeight="1" x14ac:dyDescent="0.25">
      <c r="A489" s="101"/>
      <c r="B489" s="97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</row>
    <row r="490" spans="1:52" ht="12.75" customHeight="1" x14ac:dyDescent="0.25">
      <c r="A490" s="101"/>
      <c r="B490" s="97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</row>
    <row r="491" spans="1:52" ht="12.75" customHeight="1" x14ac:dyDescent="0.25">
      <c r="A491" s="101"/>
      <c r="B491" s="97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</row>
    <row r="492" spans="1:52" ht="12.75" customHeight="1" x14ac:dyDescent="0.25">
      <c r="A492" s="101"/>
      <c r="B492" s="97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</row>
    <row r="493" spans="1:52" ht="12.75" customHeight="1" x14ac:dyDescent="0.25">
      <c r="A493" s="101"/>
      <c r="B493" s="97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</row>
    <row r="494" spans="1:52" ht="12.75" customHeight="1" x14ac:dyDescent="0.25">
      <c r="A494" s="101"/>
      <c r="B494" s="97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</row>
    <row r="495" spans="1:52" ht="12.75" customHeight="1" x14ac:dyDescent="0.25">
      <c r="A495" s="101"/>
      <c r="B495" s="97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</row>
    <row r="496" spans="1:52" ht="12.75" customHeight="1" x14ac:dyDescent="0.25">
      <c r="A496" s="101"/>
      <c r="B496" s="97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</row>
    <row r="497" spans="1:52" ht="12.75" customHeight="1" x14ac:dyDescent="0.25">
      <c r="A497" s="101"/>
      <c r="B497" s="97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</row>
    <row r="498" spans="1:52" ht="12.75" customHeight="1" x14ac:dyDescent="0.25">
      <c r="A498" s="101"/>
      <c r="B498" s="97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</row>
    <row r="499" spans="1:52" ht="12.75" customHeight="1" x14ac:dyDescent="0.25">
      <c r="A499" s="101"/>
      <c r="B499" s="97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  <c r="AH499" s="98"/>
      <c r="AI499" s="98"/>
      <c r="AJ499" s="98"/>
      <c r="AK499" s="98"/>
      <c r="AL499" s="98"/>
      <c r="AM499" s="98"/>
      <c r="AN499" s="98"/>
      <c r="AO499" s="98"/>
      <c r="AP499" s="98"/>
      <c r="AQ499" s="98"/>
      <c r="AR499" s="98"/>
      <c r="AS499" s="98"/>
      <c r="AT499" s="98"/>
      <c r="AU499" s="98"/>
      <c r="AV499" s="98"/>
      <c r="AW499" s="98"/>
      <c r="AX499" s="98"/>
      <c r="AY499" s="98"/>
      <c r="AZ499" s="98"/>
    </row>
    <row r="500" spans="1:52" ht="12.75" customHeight="1" x14ac:dyDescent="0.25">
      <c r="A500" s="101"/>
      <c r="B500" s="97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</row>
    <row r="501" spans="1:52" ht="12.75" customHeight="1" x14ac:dyDescent="0.25">
      <c r="A501" s="101"/>
      <c r="B501" s="97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</row>
    <row r="502" spans="1:52" ht="12.75" customHeight="1" x14ac:dyDescent="0.25">
      <c r="A502" s="101"/>
      <c r="B502" s="97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</row>
    <row r="503" spans="1:52" ht="12.75" customHeight="1" x14ac:dyDescent="0.25">
      <c r="A503" s="101"/>
      <c r="B503" s="97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  <c r="AH503" s="98"/>
      <c r="AI503" s="98"/>
      <c r="AJ503" s="98"/>
      <c r="AK503" s="98"/>
      <c r="AL503" s="98"/>
      <c r="AM503" s="98"/>
      <c r="AN503" s="98"/>
      <c r="AO503" s="98"/>
      <c r="AP503" s="98"/>
      <c r="AQ503" s="98"/>
      <c r="AR503" s="98"/>
      <c r="AS503" s="98"/>
      <c r="AT503" s="98"/>
      <c r="AU503" s="98"/>
      <c r="AV503" s="98"/>
      <c r="AW503" s="98"/>
      <c r="AX503" s="98"/>
      <c r="AY503" s="98"/>
      <c r="AZ503" s="98"/>
    </row>
    <row r="504" spans="1:52" ht="12.75" customHeight="1" x14ac:dyDescent="0.25">
      <c r="A504" s="101"/>
      <c r="B504" s="97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  <c r="AH504" s="98"/>
      <c r="AI504" s="98"/>
      <c r="AJ504" s="98"/>
      <c r="AK504" s="98"/>
      <c r="AL504" s="98"/>
      <c r="AM504" s="98"/>
      <c r="AN504" s="98"/>
      <c r="AO504" s="98"/>
      <c r="AP504" s="98"/>
      <c r="AQ504" s="98"/>
      <c r="AR504" s="98"/>
      <c r="AS504" s="98"/>
      <c r="AT504" s="98"/>
      <c r="AU504" s="98"/>
      <c r="AV504" s="98"/>
      <c r="AW504" s="98"/>
      <c r="AX504" s="98"/>
      <c r="AY504" s="98"/>
      <c r="AZ504" s="98"/>
    </row>
    <row r="505" spans="1:52" ht="12.75" customHeight="1" x14ac:dyDescent="0.25">
      <c r="A505" s="101"/>
      <c r="B505" s="97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  <c r="AH505" s="98"/>
      <c r="AI505" s="98"/>
      <c r="AJ505" s="98"/>
      <c r="AK505" s="98"/>
      <c r="AL505" s="98"/>
      <c r="AM505" s="98"/>
      <c r="AN505" s="98"/>
      <c r="AO505" s="98"/>
      <c r="AP505" s="98"/>
      <c r="AQ505" s="98"/>
      <c r="AR505" s="98"/>
      <c r="AS505" s="98"/>
      <c r="AT505" s="98"/>
      <c r="AU505" s="98"/>
      <c r="AV505" s="98"/>
      <c r="AW505" s="98"/>
      <c r="AX505" s="98"/>
      <c r="AY505" s="98"/>
      <c r="AZ505" s="98"/>
    </row>
    <row r="506" spans="1:52" ht="12.75" customHeight="1" x14ac:dyDescent="0.25">
      <c r="A506" s="101"/>
      <c r="B506" s="97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  <c r="AH506" s="98"/>
      <c r="AI506" s="98"/>
      <c r="AJ506" s="98"/>
      <c r="AK506" s="98"/>
      <c r="AL506" s="98"/>
      <c r="AM506" s="98"/>
      <c r="AN506" s="98"/>
      <c r="AO506" s="98"/>
      <c r="AP506" s="98"/>
      <c r="AQ506" s="98"/>
      <c r="AR506" s="98"/>
      <c r="AS506" s="98"/>
      <c r="AT506" s="98"/>
      <c r="AU506" s="98"/>
      <c r="AV506" s="98"/>
      <c r="AW506" s="98"/>
      <c r="AX506" s="98"/>
      <c r="AY506" s="98"/>
      <c r="AZ506" s="98"/>
    </row>
    <row r="507" spans="1:52" ht="12.75" customHeight="1" x14ac:dyDescent="0.25">
      <c r="A507" s="101"/>
      <c r="B507" s="97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  <c r="AH507" s="98"/>
      <c r="AI507" s="98"/>
      <c r="AJ507" s="98"/>
      <c r="AK507" s="98"/>
      <c r="AL507" s="98"/>
      <c r="AM507" s="98"/>
      <c r="AN507" s="98"/>
      <c r="AO507" s="98"/>
      <c r="AP507" s="98"/>
      <c r="AQ507" s="98"/>
      <c r="AR507" s="98"/>
      <c r="AS507" s="98"/>
      <c r="AT507" s="98"/>
      <c r="AU507" s="98"/>
      <c r="AV507" s="98"/>
      <c r="AW507" s="98"/>
      <c r="AX507" s="98"/>
      <c r="AY507" s="98"/>
      <c r="AZ507" s="98"/>
    </row>
    <row r="508" spans="1:52" ht="12.75" customHeight="1" x14ac:dyDescent="0.25">
      <c r="A508" s="101"/>
      <c r="B508" s="97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  <c r="AH508" s="98"/>
      <c r="AI508" s="98"/>
      <c r="AJ508" s="98"/>
      <c r="AK508" s="98"/>
      <c r="AL508" s="98"/>
      <c r="AM508" s="98"/>
      <c r="AN508" s="98"/>
      <c r="AO508" s="98"/>
      <c r="AP508" s="98"/>
      <c r="AQ508" s="98"/>
      <c r="AR508" s="98"/>
      <c r="AS508" s="98"/>
      <c r="AT508" s="98"/>
      <c r="AU508" s="98"/>
      <c r="AV508" s="98"/>
      <c r="AW508" s="98"/>
      <c r="AX508" s="98"/>
      <c r="AY508" s="98"/>
      <c r="AZ508" s="98"/>
    </row>
    <row r="509" spans="1:52" ht="12.75" customHeight="1" x14ac:dyDescent="0.25">
      <c r="A509" s="101"/>
      <c r="B509" s="97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  <c r="AH509" s="98"/>
      <c r="AI509" s="98"/>
      <c r="AJ509" s="98"/>
      <c r="AK509" s="98"/>
      <c r="AL509" s="98"/>
      <c r="AM509" s="98"/>
      <c r="AN509" s="98"/>
      <c r="AO509" s="98"/>
      <c r="AP509" s="98"/>
      <c r="AQ509" s="98"/>
      <c r="AR509" s="98"/>
      <c r="AS509" s="98"/>
      <c r="AT509" s="98"/>
      <c r="AU509" s="98"/>
      <c r="AV509" s="98"/>
      <c r="AW509" s="98"/>
      <c r="AX509" s="98"/>
      <c r="AY509" s="98"/>
      <c r="AZ509" s="98"/>
    </row>
    <row r="510" spans="1:52" ht="12.75" customHeight="1" x14ac:dyDescent="0.25">
      <c r="A510" s="101"/>
      <c r="B510" s="97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  <c r="AH510" s="98"/>
      <c r="AI510" s="98"/>
      <c r="AJ510" s="98"/>
      <c r="AK510" s="98"/>
      <c r="AL510" s="98"/>
      <c r="AM510" s="98"/>
      <c r="AN510" s="98"/>
      <c r="AO510" s="98"/>
      <c r="AP510" s="98"/>
      <c r="AQ510" s="98"/>
      <c r="AR510" s="98"/>
      <c r="AS510" s="98"/>
      <c r="AT510" s="98"/>
      <c r="AU510" s="98"/>
      <c r="AV510" s="98"/>
      <c r="AW510" s="98"/>
      <c r="AX510" s="98"/>
      <c r="AY510" s="98"/>
      <c r="AZ510" s="98"/>
    </row>
    <row r="511" spans="1:52" ht="12.75" customHeight="1" x14ac:dyDescent="0.25">
      <c r="A511" s="101"/>
      <c r="B511" s="97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  <c r="AH511" s="98"/>
      <c r="AI511" s="98"/>
      <c r="AJ511" s="98"/>
      <c r="AK511" s="98"/>
      <c r="AL511" s="98"/>
      <c r="AM511" s="98"/>
      <c r="AN511" s="98"/>
      <c r="AO511" s="98"/>
      <c r="AP511" s="98"/>
      <c r="AQ511" s="98"/>
      <c r="AR511" s="98"/>
      <c r="AS511" s="98"/>
      <c r="AT511" s="98"/>
      <c r="AU511" s="98"/>
      <c r="AV511" s="98"/>
      <c r="AW511" s="98"/>
      <c r="AX511" s="98"/>
      <c r="AY511" s="98"/>
      <c r="AZ511" s="98"/>
    </row>
    <row r="512" spans="1:52" ht="12.75" customHeight="1" x14ac:dyDescent="0.25">
      <c r="A512" s="101"/>
      <c r="B512" s="97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  <c r="AH512" s="98"/>
      <c r="AI512" s="98"/>
      <c r="AJ512" s="98"/>
      <c r="AK512" s="98"/>
      <c r="AL512" s="98"/>
      <c r="AM512" s="98"/>
      <c r="AN512" s="98"/>
      <c r="AO512" s="98"/>
      <c r="AP512" s="98"/>
      <c r="AQ512" s="98"/>
      <c r="AR512" s="98"/>
      <c r="AS512" s="98"/>
      <c r="AT512" s="98"/>
      <c r="AU512" s="98"/>
      <c r="AV512" s="98"/>
      <c r="AW512" s="98"/>
      <c r="AX512" s="98"/>
      <c r="AY512" s="98"/>
      <c r="AZ512" s="98"/>
    </row>
    <row r="513" spans="1:52" ht="12.75" customHeight="1" x14ac:dyDescent="0.25">
      <c r="A513" s="101"/>
      <c r="B513" s="97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  <c r="AH513" s="98"/>
      <c r="AI513" s="98"/>
      <c r="AJ513" s="98"/>
      <c r="AK513" s="98"/>
      <c r="AL513" s="98"/>
      <c r="AM513" s="98"/>
      <c r="AN513" s="98"/>
      <c r="AO513" s="98"/>
      <c r="AP513" s="98"/>
      <c r="AQ513" s="98"/>
      <c r="AR513" s="98"/>
      <c r="AS513" s="98"/>
      <c r="AT513" s="98"/>
      <c r="AU513" s="98"/>
      <c r="AV513" s="98"/>
      <c r="AW513" s="98"/>
      <c r="AX513" s="98"/>
      <c r="AY513" s="98"/>
      <c r="AZ513" s="98"/>
    </row>
    <row r="514" spans="1:52" ht="12.75" customHeight="1" x14ac:dyDescent="0.25">
      <c r="A514" s="101"/>
      <c r="B514" s="97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  <c r="AH514" s="98"/>
      <c r="AI514" s="98"/>
      <c r="AJ514" s="98"/>
      <c r="AK514" s="98"/>
      <c r="AL514" s="98"/>
      <c r="AM514" s="98"/>
      <c r="AN514" s="98"/>
      <c r="AO514" s="98"/>
      <c r="AP514" s="98"/>
      <c r="AQ514" s="98"/>
      <c r="AR514" s="98"/>
      <c r="AS514" s="98"/>
      <c r="AT514" s="98"/>
      <c r="AU514" s="98"/>
      <c r="AV514" s="98"/>
      <c r="AW514" s="98"/>
      <c r="AX514" s="98"/>
      <c r="AY514" s="98"/>
      <c r="AZ514" s="98"/>
    </row>
    <row r="515" spans="1:52" ht="12.75" customHeight="1" x14ac:dyDescent="0.25">
      <c r="A515" s="101"/>
      <c r="B515" s="97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  <c r="AH515" s="98"/>
      <c r="AI515" s="98"/>
      <c r="AJ515" s="98"/>
      <c r="AK515" s="98"/>
      <c r="AL515" s="98"/>
      <c r="AM515" s="98"/>
      <c r="AN515" s="98"/>
      <c r="AO515" s="98"/>
      <c r="AP515" s="98"/>
      <c r="AQ515" s="98"/>
      <c r="AR515" s="98"/>
      <c r="AS515" s="98"/>
      <c r="AT515" s="98"/>
      <c r="AU515" s="98"/>
      <c r="AV515" s="98"/>
      <c r="AW515" s="98"/>
      <c r="AX515" s="98"/>
      <c r="AY515" s="98"/>
      <c r="AZ515" s="98"/>
    </row>
    <row r="516" spans="1:52" ht="12.75" customHeight="1" x14ac:dyDescent="0.25">
      <c r="A516" s="101"/>
      <c r="B516" s="97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  <c r="AH516" s="98"/>
      <c r="AI516" s="98"/>
      <c r="AJ516" s="98"/>
      <c r="AK516" s="98"/>
      <c r="AL516" s="98"/>
      <c r="AM516" s="98"/>
      <c r="AN516" s="98"/>
      <c r="AO516" s="98"/>
      <c r="AP516" s="98"/>
      <c r="AQ516" s="98"/>
      <c r="AR516" s="98"/>
      <c r="AS516" s="98"/>
      <c r="AT516" s="98"/>
      <c r="AU516" s="98"/>
      <c r="AV516" s="98"/>
      <c r="AW516" s="98"/>
      <c r="AX516" s="98"/>
      <c r="AY516" s="98"/>
      <c r="AZ516" s="98"/>
    </row>
    <row r="517" spans="1:52" ht="12.75" customHeight="1" x14ac:dyDescent="0.25">
      <c r="A517" s="101"/>
      <c r="B517" s="97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  <c r="AH517" s="98"/>
      <c r="AI517" s="98"/>
      <c r="AJ517" s="98"/>
      <c r="AK517" s="98"/>
      <c r="AL517" s="98"/>
      <c r="AM517" s="98"/>
      <c r="AN517" s="98"/>
      <c r="AO517" s="98"/>
      <c r="AP517" s="98"/>
      <c r="AQ517" s="98"/>
      <c r="AR517" s="98"/>
      <c r="AS517" s="98"/>
      <c r="AT517" s="98"/>
      <c r="AU517" s="98"/>
      <c r="AV517" s="98"/>
      <c r="AW517" s="98"/>
      <c r="AX517" s="98"/>
      <c r="AY517" s="98"/>
      <c r="AZ517" s="98"/>
    </row>
    <row r="518" spans="1:52" ht="12.75" customHeight="1" x14ac:dyDescent="0.25">
      <c r="A518" s="101"/>
      <c r="B518" s="97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  <c r="AH518" s="98"/>
      <c r="AI518" s="98"/>
      <c r="AJ518" s="98"/>
      <c r="AK518" s="98"/>
      <c r="AL518" s="98"/>
      <c r="AM518" s="98"/>
      <c r="AN518" s="98"/>
      <c r="AO518" s="98"/>
      <c r="AP518" s="98"/>
      <c r="AQ518" s="98"/>
      <c r="AR518" s="98"/>
      <c r="AS518" s="98"/>
      <c r="AT518" s="98"/>
      <c r="AU518" s="98"/>
      <c r="AV518" s="98"/>
      <c r="AW518" s="98"/>
      <c r="AX518" s="98"/>
      <c r="AY518" s="98"/>
      <c r="AZ518" s="98"/>
    </row>
    <row r="519" spans="1:52" ht="12.75" customHeight="1" x14ac:dyDescent="0.25">
      <c r="A519" s="101"/>
      <c r="B519" s="97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  <c r="AH519" s="98"/>
      <c r="AI519" s="98"/>
      <c r="AJ519" s="98"/>
      <c r="AK519" s="98"/>
      <c r="AL519" s="98"/>
      <c r="AM519" s="98"/>
      <c r="AN519" s="98"/>
      <c r="AO519" s="98"/>
      <c r="AP519" s="98"/>
      <c r="AQ519" s="98"/>
      <c r="AR519" s="98"/>
      <c r="AS519" s="98"/>
      <c r="AT519" s="98"/>
      <c r="AU519" s="98"/>
      <c r="AV519" s="98"/>
      <c r="AW519" s="98"/>
      <c r="AX519" s="98"/>
      <c r="AY519" s="98"/>
      <c r="AZ519" s="98"/>
    </row>
    <row r="520" spans="1:52" ht="12.75" customHeight="1" x14ac:dyDescent="0.25">
      <c r="A520" s="101"/>
      <c r="B520" s="97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  <c r="AH520" s="98"/>
      <c r="AI520" s="98"/>
      <c r="AJ520" s="98"/>
      <c r="AK520" s="98"/>
      <c r="AL520" s="98"/>
      <c r="AM520" s="98"/>
      <c r="AN520" s="98"/>
      <c r="AO520" s="98"/>
      <c r="AP520" s="98"/>
      <c r="AQ520" s="98"/>
      <c r="AR520" s="98"/>
      <c r="AS520" s="98"/>
      <c r="AT520" s="98"/>
      <c r="AU520" s="98"/>
      <c r="AV520" s="98"/>
      <c r="AW520" s="98"/>
      <c r="AX520" s="98"/>
      <c r="AY520" s="98"/>
      <c r="AZ520" s="98"/>
    </row>
    <row r="521" spans="1:52" ht="12.75" customHeight="1" x14ac:dyDescent="0.25">
      <c r="A521" s="101"/>
      <c r="B521" s="97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</row>
    <row r="522" spans="1:52" ht="12.75" customHeight="1" x14ac:dyDescent="0.25">
      <c r="A522" s="101"/>
      <c r="B522" s="97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</row>
    <row r="523" spans="1:52" ht="12.75" customHeight="1" x14ac:dyDescent="0.25">
      <c r="A523" s="101"/>
      <c r="B523" s="97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</row>
    <row r="524" spans="1:52" ht="12.75" customHeight="1" x14ac:dyDescent="0.25">
      <c r="A524" s="101"/>
      <c r="B524" s="97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</row>
    <row r="525" spans="1:52" ht="12.75" customHeight="1" x14ac:dyDescent="0.25">
      <c r="A525" s="101"/>
      <c r="B525" s="97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</row>
    <row r="526" spans="1:52" ht="12.75" customHeight="1" x14ac:dyDescent="0.25">
      <c r="A526" s="101"/>
      <c r="B526" s="97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</row>
    <row r="527" spans="1:52" ht="12.75" customHeight="1" x14ac:dyDescent="0.25">
      <c r="A527" s="101"/>
      <c r="B527" s="97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</row>
    <row r="528" spans="1:52" ht="12.75" customHeight="1" x14ac:dyDescent="0.25">
      <c r="A528" s="101"/>
      <c r="B528" s="97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</row>
    <row r="529" spans="1:52" ht="12.75" customHeight="1" x14ac:dyDescent="0.25">
      <c r="A529" s="101"/>
      <c r="B529" s="97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</row>
    <row r="530" spans="1:52" ht="12.75" customHeight="1" x14ac:dyDescent="0.25">
      <c r="A530" s="101"/>
      <c r="B530" s="97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</row>
    <row r="531" spans="1:52" ht="12.75" customHeight="1" x14ac:dyDescent="0.25">
      <c r="A531" s="101"/>
      <c r="B531" s="97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  <c r="AH531" s="98"/>
      <c r="AI531" s="98"/>
      <c r="AJ531" s="98"/>
      <c r="AK531" s="98"/>
      <c r="AL531" s="98"/>
      <c r="AM531" s="98"/>
      <c r="AN531" s="98"/>
      <c r="AO531" s="98"/>
      <c r="AP531" s="98"/>
      <c r="AQ531" s="98"/>
      <c r="AR531" s="98"/>
      <c r="AS531" s="98"/>
      <c r="AT531" s="98"/>
      <c r="AU531" s="98"/>
      <c r="AV531" s="98"/>
      <c r="AW531" s="98"/>
      <c r="AX531" s="98"/>
      <c r="AY531" s="98"/>
      <c r="AZ531" s="98"/>
    </row>
    <row r="532" spans="1:52" ht="12.75" customHeight="1" x14ac:dyDescent="0.25">
      <c r="A532" s="101"/>
      <c r="B532" s="97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</row>
    <row r="533" spans="1:52" ht="12.75" customHeight="1" x14ac:dyDescent="0.25">
      <c r="A533" s="101"/>
      <c r="B533" s="97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</row>
    <row r="534" spans="1:52" ht="12.75" customHeight="1" x14ac:dyDescent="0.25">
      <c r="A534" s="101"/>
      <c r="B534" s="97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</row>
    <row r="535" spans="1:52" ht="12.75" customHeight="1" x14ac:dyDescent="0.25">
      <c r="A535" s="101"/>
      <c r="B535" s="97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</row>
    <row r="536" spans="1:52" ht="12.75" customHeight="1" x14ac:dyDescent="0.25">
      <c r="A536" s="101"/>
      <c r="B536" s="97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</row>
    <row r="537" spans="1:52" ht="12.75" customHeight="1" x14ac:dyDescent="0.25">
      <c r="A537" s="101"/>
      <c r="B537" s="97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</row>
    <row r="538" spans="1:52" ht="12.75" customHeight="1" x14ac:dyDescent="0.25">
      <c r="A538" s="101"/>
      <c r="B538" s="97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</row>
    <row r="539" spans="1:52" ht="12.75" customHeight="1" x14ac:dyDescent="0.25">
      <c r="A539" s="101"/>
      <c r="B539" s="97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</row>
    <row r="540" spans="1:52" ht="12.75" customHeight="1" x14ac:dyDescent="0.25">
      <c r="A540" s="101"/>
      <c r="B540" s="97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</row>
    <row r="541" spans="1:52" ht="12.75" customHeight="1" x14ac:dyDescent="0.25">
      <c r="A541" s="101"/>
      <c r="B541" s="97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</row>
    <row r="542" spans="1:52" ht="12.75" customHeight="1" x14ac:dyDescent="0.25">
      <c r="A542" s="101"/>
      <c r="B542" s="97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</row>
    <row r="543" spans="1:52" ht="12.75" customHeight="1" x14ac:dyDescent="0.25">
      <c r="A543" s="101"/>
      <c r="B543" s="97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  <c r="AH543" s="98"/>
      <c r="AI543" s="98"/>
      <c r="AJ543" s="98"/>
      <c r="AK543" s="98"/>
      <c r="AL543" s="98"/>
      <c r="AM543" s="98"/>
      <c r="AN543" s="98"/>
      <c r="AO543" s="98"/>
      <c r="AP543" s="98"/>
      <c r="AQ543" s="98"/>
      <c r="AR543" s="98"/>
      <c r="AS543" s="98"/>
      <c r="AT543" s="98"/>
      <c r="AU543" s="98"/>
      <c r="AV543" s="98"/>
      <c r="AW543" s="98"/>
      <c r="AX543" s="98"/>
      <c r="AY543" s="98"/>
      <c r="AZ543" s="98"/>
    </row>
    <row r="544" spans="1:52" ht="12.75" customHeight="1" x14ac:dyDescent="0.25">
      <c r="A544" s="101"/>
      <c r="B544" s="97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  <c r="AH544" s="98"/>
      <c r="AI544" s="98"/>
      <c r="AJ544" s="98"/>
      <c r="AK544" s="98"/>
      <c r="AL544" s="98"/>
      <c r="AM544" s="98"/>
      <c r="AN544" s="98"/>
      <c r="AO544" s="98"/>
      <c r="AP544" s="98"/>
      <c r="AQ544" s="98"/>
      <c r="AR544" s="98"/>
      <c r="AS544" s="98"/>
      <c r="AT544" s="98"/>
      <c r="AU544" s="98"/>
      <c r="AV544" s="98"/>
      <c r="AW544" s="98"/>
      <c r="AX544" s="98"/>
      <c r="AY544" s="98"/>
      <c r="AZ544" s="98"/>
    </row>
    <row r="545" spans="1:52" ht="12.75" customHeight="1" x14ac:dyDescent="0.25">
      <c r="A545" s="101"/>
      <c r="B545" s="97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  <c r="AH545" s="98"/>
      <c r="AI545" s="98"/>
      <c r="AJ545" s="98"/>
      <c r="AK545" s="98"/>
      <c r="AL545" s="98"/>
      <c r="AM545" s="98"/>
      <c r="AN545" s="98"/>
      <c r="AO545" s="98"/>
      <c r="AP545" s="98"/>
      <c r="AQ545" s="98"/>
      <c r="AR545" s="98"/>
      <c r="AS545" s="98"/>
      <c r="AT545" s="98"/>
      <c r="AU545" s="98"/>
      <c r="AV545" s="98"/>
      <c r="AW545" s="98"/>
      <c r="AX545" s="98"/>
      <c r="AY545" s="98"/>
      <c r="AZ545" s="98"/>
    </row>
    <row r="546" spans="1:52" ht="12.75" customHeight="1" x14ac:dyDescent="0.25">
      <c r="A546" s="101"/>
      <c r="B546" s="97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  <c r="AH546" s="98"/>
      <c r="AI546" s="98"/>
      <c r="AJ546" s="98"/>
      <c r="AK546" s="98"/>
      <c r="AL546" s="98"/>
      <c r="AM546" s="98"/>
      <c r="AN546" s="98"/>
      <c r="AO546" s="98"/>
      <c r="AP546" s="98"/>
      <c r="AQ546" s="98"/>
      <c r="AR546" s="98"/>
      <c r="AS546" s="98"/>
      <c r="AT546" s="98"/>
      <c r="AU546" s="98"/>
      <c r="AV546" s="98"/>
      <c r="AW546" s="98"/>
      <c r="AX546" s="98"/>
      <c r="AY546" s="98"/>
      <c r="AZ546" s="98"/>
    </row>
    <row r="547" spans="1:52" ht="12.75" customHeight="1" x14ac:dyDescent="0.25">
      <c r="A547" s="101"/>
      <c r="B547" s="97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  <c r="AH547" s="98"/>
      <c r="AI547" s="98"/>
      <c r="AJ547" s="98"/>
      <c r="AK547" s="98"/>
      <c r="AL547" s="98"/>
      <c r="AM547" s="98"/>
      <c r="AN547" s="98"/>
      <c r="AO547" s="98"/>
      <c r="AP547" s="98"/>
      <c r="AQ547" s="98"/>
      <c r="AR547" s="98"/>
      <c r="AS547" s="98"/>
      <c r="AT547" s="98"/>
      <c r="AU547" s="98"/>
      <c r="AV547" s="98"/>
      <c r="AW547" s="98"/>
      <c r="AX547" s="98"/>
      <c r="AY547" s="98"/>
      <c r="AZ547" s="98"/>
    </row>
    <row r="548" spans="1:52" ht="12.75" customHeight="1" x14ac:dyDescent="0.25">
      <c r="A548" s="101"/>
      <c r="B548" s="97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  <c r="AH548" s="98"/>
      <c r="AI548" s="98"/>
      <c r="AJ548" s="98"/>
      <c r="AK548" s="98"/>
      <c r="AL548" s="98"/>
      <c r="AM548" s="98"/>
      <c r="AN548" s="98"/>
      <c r="AO548" s="98"/>
      <c r="AP548" s="98"/>
      <c r="AQ548" s="98"/>
      <c r="AR548" s="98"/>
      <c r="AS548" s="98"/>
      <c r="AT548" s="98"/>
      <c r="AU548" s="98"/>
      <c r="AV548" s="98"/>
      <c r="AW548" s="98"/>
      <c r="AX548" s="98"/>
      <c r="AY548" s="98"/>
      <c r="AZ548" s="98"/>
    </row>
    <row r="549" spans="1:52" ht="12.75" customHeight="1" x14ac:dyDescent="0.25">
      <c r="A549" s="101"/>
      <c r="B549" s="97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L549" s="98"/>
      <c r="AM549" s="98"/>
      <c r="AN549" s="98"/>
      <c r="AO549" s="98"/>
      <c r="AP549" s="98"/>
      <c r="AQ549" s="98"/>
      <c r="AR549" s="98"/>
      <c r="AS549" s="98"/>
      <c r="AT549" s="98"/>
      <c r="AU549" s="98"/>
      <c r="AV549" s="98"/>
      <c r="AW549" s="98"/>
      <c r="AX549" s="98"/>
      <c r="AY549" s="98"/>
      <c r="AZ549" s="98"/>
    </row>
    <row r="550" spans="1:52" ht="12.75" customHeight="1" x14ac:dyDescent="0.25">
      <c r="A550" s="101"/>
      <c r="B550" s="97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</row>
    <row r="551" spans="1:52" ht="12.75" customHeight="1" x14ac:dyDescent="0.25">
      <c r="A551" s="101"/>
      <c r="B551" s="97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</row>
    <row r="552" spans="1:52" ht="12.75" customHeight="1" x14ac:dyDescent="0.25">
      <c r="A552" s="101"/>
      <c r="B552" s="97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</row>
    <row r="553" spans="1:52" ht="12.75" customHeight="1" x14ac:dyDescent="0.25">
      <c r="A553" s="101"/>
      <c r="B553" s="97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</row>
    <row r="554" spans="1:52" ht="12.75" customHeight="1" x14ac:dyDescent="0.25">
      <c r="A554" s="101"/>
      <c r="B554" s="97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</row>
    <row r="555" spans="1:52" ht="12.75" customHeight="1" x14ac:dyDescent="0.25">
      <c r="A555" s="101"/>
      <c r="B555" s="97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</row>
    <row r="556" spans="1:52" ht="12.75" customHeight="1" x14ac:dyDescent="0.25">
      <c r="A556" s="101"/>
      <c r="B556" s="97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  <c r="AH556" s="98"/>
      <c r="AI556" s="98"/>
      <c r="AJ556" s="98"/>
      <c r="AK556" s="98"/>
      <c r="AL556" s="98"/>
      <c r="AM556" s="98"/>
      <c r="AN556" s="98"/>
      <c r="AO556" s="98"/>
      <c r="AP556" s="98"/>
      <c r="AQ556" s="98"/>
      <c r="AR556" s="98"/>
      <c r="AS556" s="98"/>
      <c r="AT556" s="98"/>
      <c r="AU556" s="98"/>
      <c r="AV556" s="98"/>
      <c r="AW556" s="98"/>
      <c r="AX556" s="98"/>
      <c r="AY556" s="98"/>
      <c r="AZ556" s="98"/>
    </row>
    <row r="557" spans="1:52" ht="12.75" customHeight="1" x14ac:dyDescent="0.25">
      <c r="A557" s="101"/>
      <c r="B557" s="97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  <c r="AH557" s="98"/>
      <c r="AI557" s="98"/>
      <c r="AJ557" s="98"/>
      <c r="AK557" s="98"/>
      <c r="AL557" s="98"/>
      <c r="AM557" s="98"/>
      <c r="AN557" s="98"/>
      <c r="AO557" s="98"/>
      <c r="AP557" s="98"/>
      <c r="AQ557" s="98"/>
      <c r="AR557" s="98"/>
      <c r="AS557" s="98"/>
      <c r="AT557" s="98"/>
      <c r="AU557" s="98"/>
      <c r="AV557" s="98"/>
      <c r="AW557" s="98"/>
      <c r="AX557" s="98"/>
      <c r="AY557" s="98"/>
      <c r="AZ557" s="98"/>
    </row>
    <row r="558" spans="1:52" ht="12.75" customHeight="1" x14ac:dyDescent="0.25">
      <c r="A558" s="101"/>
      <c r="B558" s="97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  <c r="AH558" s="98"/>
      <c r="AI558" s="98"/>
      <c r="AJ558" s="98"/>
      <c r="AK558" s="98"/>
      <c r="AL558" s="98"/>
      <c r="AM558" s="98"/>
      <c r="AN558" s="98"/>
      <c r="AO558" s="98"/>
      <c r="AP558" s="98"/>
      <c r="AQ558" s="98"/>
      <c r="AR558" s="98"/>
      <c r="AS558" s="98"/>
      <c r="AT558" s="98"/>
      <c r="AU558" s="98"/>
      <c r="AV558" s="98"/>
      <c r="AW558" s="98"/>
      <c r="AX558" s="98"/>
      <c r="AY558" s="98"/>
      <c r="AZ558" s="98"/>
    </row>
    <row r="559" spans="1:52" ht="12.75" customHeight="1" x14ac:dyDescent="0.25">
      <c r="A559" s="101"/>
      <c r="B559" s="97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  <c r="AH559" s="98"/>
      <c r="AI559" s="98"/>
      <c r="AJ559" s="98"/>
      <c r="AK559" s="98"/>
      <c r="AL559" s="98"/>
      <c r="AM559" s="98"/>
      <c r="AN559" s="98"/>
      <c r="AO559" s="98"/>
      <c r="AP559" s="98"/>
      <c r="AQ559" s="98"/>
      <c r="AR559" s="98"/>
      <c r="AS559" s="98"/>
      <c r="AT559" s="98"/>
      <c r="AU559" s="98"/>
      <c r="AV559" s="98"/>
      <c r="AW559" s="98"/>
      <c r="AX559" s="98"/>
      <c r="AY559" s="98"/>
      <c r="AZ559" s="98"/>
    </row>
    <row r="560" spans="1:52" ht="12.75" customHeight="1" x14ac:dyDescent="0.25">
      <c r="A560" s="101"/>
      <c r="B560" s="97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  <c r="AH560" s="98"/>
      <c r="AI560" s="98"/>
      <c r="AJ560" s="98"/>
      <c r="AK560" s="98"/>
      <c r="AL560" s="98"/>
      <c r="AM560" s="98"/>
      <c r="AN560" s="98"/>
      <c r="AO560" s="98"/>
      <c r="AP560" s="98"/>
      <c r="AQ560" s="98"/>
      <c r="AR560" s="98"/>
      <c r="AS560" s="98"/>
      <c r="AT560" s="98"/>
      <c r="AU560" s="98"/>
      <c r="AV560" s="98"/>
      <c r="AW560" s="98"/>
      <c r="AX560" s="98"/>
      <c r="AY560" s="98"/>
      <c r="AZ560" s="98"/>
    </row>
    <row r="561" spans="1:52" ht="12.75" customHeight="1" x14ac:dyDescent="0.25">
      <c r="A561" s="101"/>
      <c r="B561" s="97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  <c r="AH561" s="98"/>
      <c r="AI561" s="98"/>
      <c r="AJ561" s="98"/>
      <c r="AK561" s="98"/>
      <c r="AL561" s="98"/>
      <c r="AM561" s="98"/>
      <c r="AN561" s="98"/>
      <c r="AO561" s="98"/>
      <c r="AP561" s="98"/>
      <c r="AQ561" s="98"/>
      <c r="AR561" s="98"/>
      <c r="AS561" s="98"/>
      <c r="AT561" s="98"/>
      <c r="AU561" s="98"/>
      <c r="AV561" s="98"/>
      <c r="AW561" s="98"/>
      <c r="AX561" s="98"/>
      <c r="AY561" s="98"/>
      <c r="AZ561" s="98"/>
    </row>
    <row r="562" spans="1:52" ht="12.75" customHeight="1" x14ac:dyDescent="0.25">
      <c r="A562" s="101"/>
      <c r="B562" s="97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  <c r="AH562" s="98"/>
      <c r="AI562" s="98"/>
      <c r="AJ562" s="98"/>
      <c r="AK562" s="98"/>
      <c r="AL562" s="98"/>
      <c r="AM562" s="98"/>
      <c r="AN562" s="98"/>
      <c r="AO562" s="98"/>
      <c r="AP562" s="98"/>
      <c r="AQ562" s="98"/>
      <c r="AR562" s="98"/>
      <c r="AS562" s="98"/>
      <c r="AT562" s="98"/>
      <c r="AU562" s="98"/>
      <c r="AV562" s="98"/>
      <c r="AW562" s="98"/>
      <c r="AX562" s="98"/>
      <c r="AY562" s="98"/>
      <c r="AZ562" s="98"/>
    </row>
    <row r="563" spans="1:52" ht="12.75" customHeight="1" x14ac:dyDescent="0.25">
      <c r="A563" s="101"/>
      <c r="B563" s="97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  <c r="AH563" s="98"/>
      <c r="AI563" s="98"/>
      <c r="AJ563" s="98"/>
      <c r="AK563" s="98"/>
      <c r="AL563" s="98"/>
      <c r="AM563" s="98"/>
      <c r="AN563" s="98"/>
      <c r="AO563" s="98"/>
      <c r="AP563" s="98"/>
      <c r="AQ563" s="98"/>
      <c r="AR563" s="98"/>
      <c r="AS563" s="98"/>
      <c r="AT563" s="98"/>
      <c r="AU563" s="98"/>
      <c r="AV563" s="98"/>
      <c r="AW563" s="98"/>
      <c r="AX563" s="98"/>
      <c r="AY563" s="98"/>
      <c r="AZ563" s="98"/>
    </row>
    <row r="564" spans="1:52" ht="12.75" customHeight="1" x14ac:dyDescent="0.25">
      <c r="A564" s="101"/>
      <c r="B564" s="97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  <c r="AH564" s="98"/>
      <c r="AI564" s="98"/>
      <c r="AJ564" s="98"/>
      <c r="AK564" s="98"/>
      <c r="AL564" s="98"/>
      <c r="AM564" s="98"/>
      <c r="AN564" s="98"/>
      <c r="AO564" s="98"/>
      <c r="AP564" s="98"/>
      <c r="AQ564" s="98"/>
      <c r="AR564" s="98"/>
      <c r="AS564" s="98"/>
      <c r="AT564" s="98"/>
      <c r="AU564" s="98"/>
      <c r="AV564" s="98"/>
      <c r="AW564" s="98"/>
      <c r="AX564" s="98"/>
      <c r="AY564" s="98"/>
      <c r="AZ564" s="98"/>
    </row>
    <row r="565" spans="1:52" ht="12.75" customHeight="1" x14ac:dyDescent="0.25">
      <c r="A565" s="101"/>
      <c r="B565" s="97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  <c r="AH565" s="98"/>
      <c r="AI565" s="98"/>
      <c r="AJ565" s="98"/>
      <c r="AK565" s="98"/>
      <c r="AL565" s="98"/>
      <c r="AM565" s="98"/>
      <c r="AN565" s="98"/>
      <c r="AO565" s="98"/>
      <c r="AP565" s="98"/>
      <c r="AQ565" s="98"/>
      <c r="AR565" s="98"/>
      <c r="AS565" s="98"/>
      <c r="AT565" s="98"/>
      <c r="AU565" s="98"/>
      <c r="AV565" s="98"/>
      <c r="AW565" s="98"/>
      <c r="AX565" s="98"/>
      <c r="AY565" s="98"/>
      <c r="AZ565" s="98"/>
    </row>
    <row r="566" spans="1:52" ht="12.75" customHeight="1" x14ac:dyDescent="0.25">
      <c r="A566" s="101"/>
      <c r="B566" s="97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  <c r="AH566" s="98"/>
      <c r="AI566" s="98"/>
      <c r="AJ566" s="98"/>
      <c r="AK566" s="98"/>
      <c r="AL566" s="98"/>
      <c r="AM566" s="98"/>
      <c r="AN566" s="98"/>
      <c r="AO566" s="98"/>
      <c r="AP566" s="98"/>
      <c r="AQ566" s="98"/>
      <c r="AR566" s="98"/>
      <c r="AS566" s="98"/>
      <c r="AT566" s="98"/>
      <c r="AU566" s="98"/>
      <c r="AV566" s="98"/>
      <c r="AW566" s="98"/>
      <c r="AX566" s="98"/>
      <c r="AY566" s="98"/>
      <c r="AZ566" s="98"/>
    </row>
    <row r="567" spans="1:52" ht="12.75" customHeight="1" x14ac:dyDescent="0.25">
      <c r="A567" s="101"/>
      <c r="B567" s="97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  <c r="AH567" s="98"/>
      <c r="AI567" s="98"/>
      <c r="AJ567" s="98"/>
      <c r="AK567" s="98"/>
      <c r="AL567" s="98"/>
      <c r="AM567" s="98"/>
      <c r="AN567" s="98"/>
      <c r="AO567" s="98"/>
      <c r="AP567" s="98"/>
      <c r="AQ567" s="98"/>
      <c r="AR567" s="98"/>
      <c r="AS567" s="98"/>
      <c r="AT567" s="98"/>
      <c r="AU567" s="98"/>
      <c r="AV567" s="98"/>
      <c r="AW567" s="98"/>
      <c r="AX567" s="98"/>
      <c r="AY567" s="98"/>
      <c r="AZ567" s="98"/>
    </row>
    <row r="568" spans="1:52" ht="12.75" customHeight="1" x14ac:dyDescent="0.25">
      <c r="A568" s="101"/>
      <c r="B568" s="97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  <c r="AH568" s="98"/>
      <c r="AI568" s="98"/>
      <c r="AJ568" s="98"/>
      <c r="AK568" s="98"/>
      <c r="AL568" s="98"/>
      <c r="AM568" s="98"/>
      <c r="AN568" s="98"/>
      <c r="AO568" s="98"/>
      <c r="AP568" s="98"/>
      <c r="AQ568" s="98"/>
      <c r="AR568" s="98"/>
      <c r="AS568" s="98"/>
      <c r="AT568" s="98"/>
      <c r="AU568" s="98"/>
      <c r="AV568" s="98"/>
      <c r="AW568" s="98"/>
      <c r="AX568" s="98"/>
      <c r="AY568" s="98"/>
      <c r="AZ568" s="98"/>
    </row>
    <row r="569" spans="1:52" ht="12.75" customHeight="1" x14ac:dyDescent="0.25">
      <c r="A569" s="101"/>
      <c r="B569" s="97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  <c r="AH569" s="98"/>
      <c r="AI569" s="98"/>
      <c r="AJ569" s="98"/>
      <c r="AK569" s="98"/>
      <c r="AL569" s="98"/>
      <c r="AM569" s="98"/>
      <c r="AN569" s="98"/>
      <c r="AO569" s="98"/>
      <c r="AP569" s="98"/>
      <c r="AQ569" s="98"/>
      <c r="AR569" s="98"/>
      <c r="AS569" s="98"/>
      <c r="AT569" s="98"/>
      <c r="AU569" s="98"/>
      <c r="AV569" s="98"/>
      <c r="AW569" s="98"/>
      <c r="AX569" s="98"/>
      <c r="AY569" s="98"/>
      <c r="AZ569" s="98"/>
    </row>
    <row r="570" spans="1:52" ht="12.75" customHeight="1" x14ac:dyDescent="0.25">
      <c r="A570" s="101"/>
      <c r="B570" s="97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  <c r="AH570" s="98"/>
      <c r="AI570" s="98"/>
      <c r="AJ570" s="98"/>
      <c r="AK570" s="98"/>
      <c r="AL570" s="98"/>
      <c r="AM570" s="98"/>
      <c r="AN570" s="98"/>
      <c r="AO570" s="98"/>
      <c r="AP570" s="98"/>
      <c r="AQ570" s="98"/>
      <c r="AR570" s="98"/>
      <c r="AS570" s="98"/>
      <c r="AT570" s="98"/>
      <c r="AU570" s="98"/>
      <c r="AV570" s="98"/>
      <c r="AW570" s="98"/>
      <c r="AX570" s="98"/>
      <c r="AY570" s="98"/>
      <c r="AZ570" s="98"/>
    </row>
    <row r="571" spans="1:52" ht="12.75" customHeight="1" x14ac:dyDescent="0.25">
      <c r="A571" s="101"/>
      <c r="B571" s="97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  <c r="AH571" s="98"/>
      <c r="AI571" s="98"/>
      <c r="AJ571" s="98"/>
      <c r="AK571" s="98"/>
      <c r="AL571" s="98"/>
      <c r="AM571" s="98"/>
      <c r="AN571" s="98"/>
      <c r="AO571" s="98"/>
      <c r="AP571" s="98"/>
      <c r="AQ571" s="98"/>
      <c r="AR571" s="98"/>
      <c r="AS571" s="98"/>
      <c r="AT571" s="98"/>
      <c r="AU571" s="98"/>
      <c r="AV571" s="98"/>
      <c r="AW571" s="98"/>
      <c r="AX571" s="98"/>
      <c r="AY571" s="98"/>
      <c r="AZ571" s="98"/>
    </row>
    <row r="572" spans="1:52" ht="12.75" customHeight="1" x14ac:dyDescent="0.25">
      <c r="A572" s="101"/>
      <c r="B572" s="97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  <c r="AH572" s="98"/>
      <c r="AI572" s="98"/>
      <c r="AJ572" s="98"/>
      <c r="AK572" s="98"/>
      <c r="AL572" s="98"/>
      <c r="AM572" s="98"/>
      <c r="AN572" s="98"/>
      <c r="AO572" s="98"/>
      <c r="AP572" s="98"/>
      <c r="AQ572" s="98"/>
      <c r="AR572" s="98"/>
      <c r="AS572" s="98"/>
      <c r="AT572" s="98"/>
      <c r="AU572" s="98"/>
      <c r="AV572" s="98"/>
      <c r="AW572" s="98"/>
      <c r="AX572" s="98"/>
      <c r="AY572" s="98"/>
      <c r="AZ572" s="98"/>
    </row>
    <row r="573" spans="1:52" ht="12.75" customHeight="1" x14ac:dyDescent="0.25">
      <c r="A573" s="101"/>
      <c r="B573" s="97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  <c r="AH573" s="98"/>
      <c r="AI573" s="98"/>
      <c r="AJ573" s="98"/>
      <c r="AK573" s="98"/>
      <c r="AL573" s="98"/>
      <c r="AM573" s="98"/>
      <c r="AN573" s="98"/>
      <c r="AO573" s="98"/>
      <c r="AP573" s="98"/>
      <c r="AQ573" s="98"/>
      <c r="AR573" s="98"/>
      <c r="AS573" s="98"/>
      <c r="AT573" s="98"/>
      <c r="AU573" s="98"/>
      <c r="AV573" s="98"/>
      <c r="AW573" s="98"/>
      <c r="AX573" s="98"/>
      <c r="AY573" s="98"/>
      <c r="AZ573" s="98"/>
    </row>
    <row r="574" spans="1:52" ht="12.75" customHeight="1" x14ac:dyDescent="0.25">
      <c r="A574" s="101"/>
      <c r="B574" s="97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</row>
    <row r="575" spans="1:52" ht="12.75" customHeight="1" x14ac:dyDescent="0.25">
      <c r="A575" s="101"/>
      <c r="B575" s="97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</row>
    <row r="576" spans="1:52" ht="12.75" customHeight="1" x14ac:dyDescent="0.25">
      <c r="A576" s="101"/>
      <c r="B576" s="97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</row>
    <row r="577" spans="1:52" ht="12.75" customHeight="1" x14ac:dyDescent="0.25">
      <c r="A577" s="101"/>
      <c r="B577" s="97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  <c r="AH577" s="98"/>
      <c r="AI577" s="98"/>
      <c r="AJ577" s="98"/>
      <c r="AK577" s="98"/>
      <c r="AL577" s="98"/>
      <c r="AM577" s="98"/>
      <c r="AN577" s="98"/>
      <c r="AO577" s="98"/>
      <c r="AP577" s="98"/>
      <c r="AQ577" s="98"/>
      <c r="AR577" s="98"/>
      <c r="AS577" s="98"/>
      <c r="AT577" s="98"/>
      <c r="AU577" s="98"/>
      <c r="AV577" s="98"/>
      <c r="AW577" s="98"/>
      <c r="AX577" s="98"/>
      <c r="AY577" s="98"/>
      <c r="AZ577" s="98"/>
    </row>
    <row r="578" spans="1:52" ht="12.75" customHeight="1" x14ac:dyDescent="0.25">
      <c r="A578" s="101"/>
      <c r="B578" s="97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  <c r="AH578" s="98"/>
      <c r="AI578" s="98"/>
      <c r="AJ578" s="98"/>
      <c r="AK578" s="98"/>
      <c r="AL578" s="98"/>
      <c r="AM578" s="98"/>
      <c r="AN578" s="98"/>
      <c r="AO578" s="98"/>
      <c r="AP578" s="98"/>
      <c r="AQ578" s="98"/>
      <c r="AR578" s="98"/>
      <c r="AS578" s="98"/>
      <c r="AT578" s="98"/>
      <c r="AU578" s="98"/>
      <c r="AV578" s="98"/>
      <c r="AW578" s="98"/>
      <c r="AX578" s="98"/>
      <c r="AY578" s="98"/>
      <c r="AZ578" s="98"/>
    </row>
    <row r="579" spans="1:52" ht="12.75" customHeight="1" x14ac:dyDescent="0.25">
      <c r="A579" s="101"/>
      <c r="B579" s="97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  <c r="AH579" s="98"/>
      <c r="AI579" s="98"/>
      <c r="AJ579" s="98"/>
      <c r="AK579" s="98"/>
      <c r="AL579" s="98"/>
      <c r="AM579" s="98"/>
      <c r="AN579" s="98"/>
      <c r="AO579" s="98"/>
      <c r="AP579" s="98"/>
      <c r="AQ579" s="98"/>
      <c r="AR579" s="98"/>
      <c r="AS579" s="98"/>
      <c r="AT579" s="98"/>
      <c r="AU579" s="98"/>
      <c r="AV579" s="98"/>
      <c r="AW579" s="98"/>
      <c r="AX579" s="98"/>
      <c r="AY579" s="98"/>
      <c r="AZ579" s="98"/>
    </row>
    <row r="580" spans="1:52" ht="12.75" customHeight="1" x14ac:dyDescent="0.25">
      <c r="A580" s="101"/>
      <c r="B580" s="97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  <c r="AH580" s="98"/>
      <c r="AI580" s="98"/>
      <c r="AJ580" s="98"/>
      <c r="AK580" s="98"/>
      <c r="AL580" s="98"/>
      <c r="AM580" s="98"/>
      <c r="AN580" s="98"/>
      <c r="AO580" s="98"/>
      <c r="AP580" s="98"/>
      <c r="AQ580" s="98"/>
      <c r="AR580" s="98"/>
      <c r="AS580" s="98"/>
      <c r="AT580" s="98"/>
      <c r="AU580" s="98"/>
      <c r="AV580" s="98"/>
      <c r="AW580" s="98"/>
      <c r="AX580" s="98"/>
      <c r="AY580" s="98"/>
      <c r="AZ580" s="98"/>
    </row>
    <row r="581" spans="1:52" ht="12.75" customHeight="1" x14ac:dyDescent="0.25">
      <c r="A581" s="101"/>
      <c r="B581" s="97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  <c r="AH581" s="98"/>
      <c r="AI581" s="98"/>
      <c r="AJ581" s="98"/>
      <c r="AK581" s="98"/>
      <c r="AL581" s="98"/>
      <c r="AM581" s="98"/>
      <c r="AN581" s="98"/>
      <c r="AO581" s="98"/>
      <c r="AP581" s="98"/>
      <c r="AQ581" s="98"/>
      <c r="AR581" s="98"/>
      <c r="AS581" s="98"/>
      <c r="AT581" s="98"/>
      <c r="AU581" s="98"/>
      <c r="AV581" s="98"/>
      <c r="AW581" s="98"/>
      <c r="AX581" s="98"/>
      <c r="AY581" s="98"/>
      <c r="AZ581" s="98"/>
    </row>
    <row r="582" spans="1:52" ht="12.75" customHeight="1" x14ac:dyDescent="0.25">
      <c r="A582" s="101"/>
      <c r="B582" s="97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  <c r="AH582" s="98"/>
      <c r="AI582" s="98"/>
      <c r="AJ582" s="98"/>
      <c r="AK582" s="98"/>
      <c r="AL582" s="98"/>
      <c r="AM582" s="98"/>
      <c r="AN582" s="98"/>
      <c r="AO582" s="98"/>
      <c r="AP582" s="98"/>
      <c r="AQ582" s="98"/>
      <c r="AR582" s="98"/>
      <c r="AS582" s="98"/>
      <c r="AT582" s="98"/>
      <c r="AU582" s="98"/>
      <c r="AV582" s="98"/>
      <c r="AW582" s="98"/>
      <c r="AX582" s="98"/>
      <c r="AY582" s="98"/>
      <c r="AZ582" s="98"/>
    </row>
    <row r="583" spans="1:52" ht="12.75" customHeight="1" x14ac:dyDescent="0.25">
      <c r="A583" s="101"/>
      <c r="B583" s="97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</row>
    <row r="584" spans="1:52" ht="12.75" customHeight="1" x14ac:dyDescent="0.25">
      <c r="A584" s="101"/>
      <c r="B584" s="97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</row>
    <row r="585" spans="1:52" ht="12.75" customHeight="1" x14ac:dyDescent="0.25">
      <c r="A585" s="101"/>
      <c r="B585" s="97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</row>
    <row r="586" spans="1:52" ht="12.75" customHeight="1" x14ac:dyDescent="0.25">
      <c r="A586" s="101"/>
      <c r="B586" s="97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</row>
    <row r="587" spans="1:52" ht="12.75" customHeight="1" x14ac:dyDescent="0.25">
      <c r="A587" s="101"/>
      <c r="B587" s="97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</row>
    <row r="588" spans="1:52" ht="12.75" customHeight="1" x14ac:dyDescent="0.25">
      <c r="A588" s="101"/>
      <c r="B588" s="97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</row>
    <row r="589" spans="1:52" ht="12.75" customHeight="1" x14ac:dyDescent="0.25">
      <c r="A589" s="101"/>
      <c r="B589" s="97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</row>
    <row r="590" spans="1:52" ht="12.75" customHeight="1" x14ac:dyDescent="0.25">
      <c r="A590" s="101"/>
      <c r="B590" s="97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</row>
    <row r="591" spans="1:52" ht="12.75" customHeight="1" x14ac:dyDescent="0.25">
      <c r="A591" s="101"/>
      <c r="B591" s="97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</row>
    <row r="592" spans="1:52" ht="12.75" customHeight="1" x14ac:dyDescent="0.25">
      <c r="A592" s="101"/>
      <c r="B592" s="97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</row>
    <row r="593" spans="1:52" ht="12.75" customHeight="1" x14ac:dyDescent="0.25">
      <c r="A593" s="101"/>
      <c r="B593" s="97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</row>
    <row r="594" spans="1:52" ht="12.75" customHeight="1" x14ac:dyDescent="0.25">
      <c r="A594" s="101"/>
      <c r="B594" s="97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</row>
    <row r="595" spans="1:52" ht="12.75" customHeight="1" x14ac:dyDescent="0.25">
      <c r="A595" s="101"/>
      <c r="B595" s="97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  <c r="AH595" s="98"/>
      <c r="AI595" s="98"/>
      <c r="AJ595" s="98"/>
      <c r="AK595" s="98"/>
      <c r="AL595" s="98"/>
      <c r="AM595" s="98"/>
      <c r="AN595" s="98"/>
      <c r="AO595" s="98"/>
      <c r="AP595" s="98"/>
      <c r="AQ595" s="98"/>
      <c r="AR595" s="98"/>
      <c r="AS595" s="98"/>
      <c r="AT595" s="98"/>
      <c r="AU595" s="98"/>
      <c r="AV595" s="98"/>
      <c r="AW595" s="98"/>
      <c r="AX595" s="98"/>
      <c r="AY595" s="98"/>
      <c r="AZ595" s="98"/>
    </row>
    <row r="596" spans="1:52" ht="12.75" customHeight="1" x14ac:dyDescent="0.25">
      <c r="A596" s="101"/>
      <c r="B596" s="97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</row>
    <row r="597" spans="1:52" ht="12.75" customHeight="1" x14ac:dyDescent="0.25">
      <c r="A597" s="101"/>
      <c r="B597" s="97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</row>
    <row r="598" spans="1:52" ht="12.75" customHeight="1" x14ac:dyDescent="0.25">
      <c r="A598" s="101"/>
      <c r="B598" s="97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</row>
    <row r="599" spans="1:52" ht="12.75" customHeight="1" x14ac:dyDescent="0.25">
      <c r="A599" s="101"/>
      <c r="B599" s="97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</row>
    <row r="600" spans="1:52" ht="12.75" customHeight="1" x14ac:dyDescent="0.25">
      <c r="A600" s="101"/>
      <c r="B600" s="97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</row>
    <row r="601" spans="1:52" ht="12.75" customHeight="1" x14ac:dyDescent="0.25">
      <c r="A601" s="101"/>
      <c r="B601" s="97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</row>
    <row r="602" spans="1:52" ht="12.75" customHeight="1" x14ac:dyDescent="0.25">
      <c r="A602" s="101"/>
      <c r="B602" s="97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</row>
    <row r="603" spans="1:52" ht="12.75" customHeight="1" x14ac:dyDescent="0.25">
      <c r="A603" s="101"/>
      <c r="B603" s="97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</row>
    <row r="604" spans="1:52" ht="12.75" customHeight="1" x14ac:dyDescent="0.25">
      <c r="A604" s="101"/>
      <c r="B604" s="97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</row>
    <row r="605" spans="1:52" ht="12.75" customHeight="1" x14ac:dyDescent="0.25">
      <c r="A605" s="101"/>
      <c r="B605" s="97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</row>
    <row r="606" spans="1:52" ht="12.75" customHeight="1" x14ac:dyDescent="0.25">
      <c r="A606" s="101"/>
      <c r="B606" s="97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</row>
    <row r="607" spans="1:52" ht="12.75" customHeight="1" x14ac:dyDescent="0.25">
      <c r="A607" s="101"/>
      <c r="B607" s="97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</row>
    <row r="608" spans="1:52" ht="12.75" customHeight="1" x14ac:dyDescent="0.25">
      <c r="A608" s="101"/>
      <c r="B608" s="97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</row>
    <row r="609" spans="1:52" ht="12.75" customHeight="1" x14ac:dyDescent="0.25">
      <c r="A609" s="101"/>
      <c r="B609" s="97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</row>
    <row r="610" spans="1:52" ht="12.75" customHeight="1" x14ac:dyDescent="0.25">
      <c r="A610" s="101"/>
      <c r="B610" s="97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</row>
    <row r="611" spans="1:52" ht="12.75" customHeight="1" x14ac:dyDescent="0.25">
      <c r="A611" s="101"/>
      <c r="B611" s="97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  <c r="AH611" s="98"/>
      <c r="AI611" s="98"/>
      <c r="AJ611" s="98"/>
      <c r="AK611" s="98"/>
      <c r="AL611" s="98"/>
      <c r="AM611" s="98"/>
      <c r="AN611" s="98"/>
      <c r="AO611" s="98"/>
      <c r="AP611" s="98"/>
      <c r="AQ611" s="98"/>
      <c r="AR611" s="98"/>
      <c r="AS611" s="98"/>
      <c r="AT611" s="98"/>
      <c r="AU611" s="98"/>
      <c r="AV611" s="98"/>
      <c r="AW611" s="98"/>
      <c r="AX611" s="98"/>
      <c r="AY611" s="98"/>
      <c r="AZ611" s="98"/>
    </row>
    <row r="612" spans="1:52" ht="12.75" customHeight="1" x14ac:dyDescent="0.25">
      <c r="A612" s="101"/>
      <c r="B612" s="97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</row>
    <row r="613" spans="1:52" ht="12.75" customHeight="1" x14ac:dyDescent="0.25">
      <c r="A613" s="101"/>
      <c r="B613" s="97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</row>
    <row r="614" spans="1:52" ht="12.75" customHeight="1" x14ac:dyDescent="0.25">
      <c r="A614" s="101"/>
      <c r="B614" s="97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</row>
    <row r="615" spans="1:52" ht="12.75" customHeight="1" x14ac:dyDescent="0.25">
      <c r="A615" s="101"/>
      <c r="B615" s="97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</row>
    <row r="616" spans="1:52" ht="12.75" customHeight="1" x14ac:dyDescent="0.25">
      <c r="A616" s="101"/>
      <c r="B616" s="97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</row>
    <row r="617" spans="1:52" ht="12.75" customHeight="1" x14ac:dyDescent="0.25">
      <c r="A617" s="101"/>
      <c r="B617" s="97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</row>
    <row r="618" spans="1:52" ht="12.75" customHeight="1" x14ac:dyDescent="0.25">
      <c r="A618" s="101"/>
      <c r="B618" s="97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98"/>
      <c r="AJ618" s="98"/>
      <c r="AK618" s="98"/>
      <c r="AL618" s="98"/>
      <c r="AM618" s="98"/>
      <c r="AN618" s="98"/>
      <c r="AO618" s="98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</row>
    <row r="619" spans="1:52" ht="12.75" customHeight="1" x14ac:dyDescent="0.25">
      <c r="A619" s="101"/>
      <c r="B619" s="97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</row>
    <row r="620" spans="1:52" ht="12.75" customHeight="1" x14ac:dyDescent="0.25">
      <c r="A620" s="101"/>
      <c r="B620" s="97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</row>
    <row r="621" spans="1:52" ht="12.75" customHeight="1" x14ac:dyDescent="0.25">
      <c r="A621" s="101"/>
      <c r="B621" s="97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</row>
    <row r="622" spans="1:52" ht="12.75" customHeight="1" x14ac:dyDescent="0.25">
      <c r="A622" s="101"/>
      <c r="B622" s="97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</row>
    <row r="623" spans="1:52" ht="12.75" customHeight="1" x14ac:dyDescent="0.25">
      <c r="A623" s="101"/>
      <c r="B623" s="97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</row>
    <row r="624" spans="1:52" ht="12.75" customHeight="1" x14ac:dyDescent="0.25">
      <c r="A624" s="101"/>
      <c r="B624" s="97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</row>
    <row r="625" spans="1:52" ht="12.75" customHeight="1" x14ac:dyDescent="0.25">
      <c r="A625" s="101"/>
      <c r="B625" s="97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</row>
    <row r="626" spans="1:52" ht="12.75" customHeight="1" x14ac:dyDescent="0.25">
      <c r="A626" s="101"/>
      <c r="B626" s="97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</row>
    <row r="627" spans="1:52" ht="12.75" customHeight="1" x14ac:dyDescent="0.25">
      <c r="A627" s="101"/>
      <c r="B627" s="97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  <c r="AH627" s="98"/>
      <c r="AI627" s="98"/>
      <c r="AJ627" s="98"/>
      <c r="AK627" s="98"/>
      <c r="AL627" s="98"/>
      <c r="AM627" s="98"/>
      <c r="AN627" s="98"/>
      <c r="AO627" s="98"/>
      <c r="AP627" s="98"/>
      <c r="AQ627" s="98"/>
      <c r="AR627" s="98"/>
      <c r="AS627" s="98"/>
      <c r="AT627" s="98"/>
      <c r="AU627" s="98"/>
      <c r="AV627" s="98"/>
      <c r="AW627" s="98"/>
      <c r="AX627" s="98"/>
      <c r="AY627" s="98"/>
      <c r="AZ627" s="98"/>
    </row>
    <row r="628" spans="1:52" ht="12.75" customHeight="1" x14ac:dyDescent="0.25">
      <c r="A628" s="101"/>
      <c r="B628" s="97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</row>
    <row r="629" spans="1:52" ht="12.75" customHeight="1" x14ac:dyDescent="0.25">
      <c r="A629" s="101"/>
      <c r="B629" s="97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</row>
    <row r="630" spans="1:52" ht="12.75" customHeight="1" x14ac:dyDescent="0.25">
      <c r="A630" s="101"/>
      <c r="B630" s="97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</row>
    <row r="631" spans="1:52" ht="12.75" customHeight="1" x14ac:dyDescent="0.25">
      <c r="A631" s="101"/>
      <c r="B631" s="97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</row>
    <row r="632" spans="1:52" ht="12.75" customHeight="1" x14ac:dyDescent="0.25">
      <c r="A632" s="101"/>
      <c r="B632" s="97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</row>
    <row r="633" spans="1:52" ht="12.75" customHeight="1" x14ac:dyDescent="0.25">
      <c r="A633" s="101"/>
      <c r="B633" s="97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</row>
    <row r="634" spans="1:52" ht="12.75" customHeight="1" x14ac:dyDescent="0.25">
      <c r="A634" s="101"/>
      <c r="B634" s="97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98"/>
      <c r="AO634" s="98"/>
      <c r="AP634" s="98"/>
      <c r="AQ634" s="98"/>
      <c r="AR634" s="98"/>
      <c r="AS634" s="98"/>
      <c r="AT634" s="98"/>
      <c r="AU634" s="98"/>
      <c r="AV634" s="98"/>
      <c r="AW634" s="98"/>
      <c r="AX634" s="98"/>
      <c r="AY634" s="98"/>
      <c r="AZ634" s="98"/>
    </row>
    <row r="635" spans="1:52" ht="12.75" customHeight="1" x14ac:dyDescent="0.25">
      <c r="A635" s="101"/>
      <c r="B635" s="97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</row>
    <row r="636" spans="1:52" ht="12.75" customHeight="1" x14ac:dyDescent="0.25">
      <c r="A636" s="101"/>
      <c r="B636" s="97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</row>
    <row r="637" spans="1:52" ht="12.75" customHeight="1" x14ac:dyDescent="0.25">
      <c r="A637" s="101"/>
      <c r="B637" s="97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</row>
    <row r="638" spans="1:52" ht="12.75" customHeight="1" x14ac:dyDescent="0.25">
      <c r="A638" s="101"/>
      <c r="B638" s="97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</row>
    <row r="639" spans="1:52" ht="12.75" customHeight="1" x14ac:dyDescent="0.25">
      <c r="A639" s="101"/>
      <c r="B639" s="97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</row>
    <row r="640" spans="1:52" ht="12.75" customHeight="1" x14ac:dyDescent="0.25">
      <c r="A640" s="101"/>
      <c r="B640" s="97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</row>
    <row r="641" spans="1:52" ht="12.75" customHeight="1" x14ac:dyDescent="0.25">
      <c r="A641" s="101"/>
      <c r="B641" s="97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</row>
    <row r="642" spans="1:52" ht="12.75" customHeight="1" x14ac:dyDescent="0.25">
      <c r="A642" s="101"/>
      <c r="B642" s="97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</row>
    <row r="643" spans="1:52" ht="12.75" customHeight="1" x14ac:dyDescent="0.25">
      <c r="A643" s="101"/>
      <c r="B643" s="97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  <c r="AH643" s="98"/>
      <c r="AI643" s="98"/>
      <c r="AJ643" s="98"/>
      <c r="AK643" s="98"/>
      <c r="AL643" s="98"/>
      <c r="AM643" s="98"/>
      <c r="AN643" s="98"/>
      <c r="AO643" s="98"/>
      <c r="AP643" s="98"/>
      <c r="AQ643" s="98"/>
      <c r="AR643" s="98"/>
      <c r="AS643" s="98"/>
      <c r="AT643" s="98"/>
      <c r="AU643" s="98"/>
      <c r="AV643" s="98"/>
      <c r="AW643" s="98"/>
      <c r="AX643" s="98"/>
      <c r="AY643" s="98"/>
      <c r="AZ643" s="98"/>
    </row>
    <row r="644" spans="1:52" ht="12.75" customHeight="1" x14ac:dyDescent="0.25">
      <c r="A644" s="101"/>
      <c r="B644" s="97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</row>
    <row r="645" spans="1:52" ht="12.75" customHeight="1" x14ac:dyDescent="0.25">
      <c r="A645" s="101"/>
      <c r="B645" s="97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</row>
    <row r="646" spans="1:52" ht="12.75" customHeight="1" x14ac:dyDescent="0.25">
      <c r="A646" s="101"/>
      <c r="B646" s="97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</row>
    <row r="647" spans="1:52" ht="12.75" customHeight="1" x14ac:dyDescent="0.25">
      <c r="A647" s="101"/>
      <c r="B647" s="97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</row>
    <row r="648" spans="1:52" ht="12.75" customHeight="1" x14ac:dyDescent="0.25">
      <c r="A648" s="101"/>
      <c r="B648" s="97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</row>
    <row r="649" spans="1:52" ht="12.75" customHeight="1" x14ac:dyDescent="0.25">
      <c r="A649" s="101"/>
      <c r="B649" s="97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</row>
    <row r="650" spans="1:52" ht="12.75" customHeight="1" x14ac:dyDescent="0.25">
      <c r="A650" s="101"/>
      <c r="B650" s="97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</row>
    <row r="651" spans="1:52" ht="12.75" customHeight="1" x14ac:dyDescent="0.25">
      <c r="A651" s="101"/>
      <c r="B651" s="97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</row>
    <row r="652" spans="1:52" ht="12.75" customHeight="1" x14ac:dyDescent="0.25">
      <c r="A652" s="101"/>
      <c r="B652" s="97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</row>
    <row r="653" spans="1:52" ht="12.75" customHeight="1" x14ac:dyDescent="0.25">
      <c r="A653" s="101"/>
      <c r="B653" s="97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</row>
    <row r="654" spans="1:52" ht="12.75" customHeight="1" x14ac:dyDescent="0.25">
      <c r="A654" s="101"/>
      <c r="B654" s="97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  <c r="AH654" s="98"/>
      <c r="AI654" s="98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</row>
    <row r="655" spans="1:52" ht="12.75" customHeight="1" x14ac:dyDescent="0.25">
      <c r="A655" s="101"/>
      <c r="B655" s="97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</row>
    <row r="656" spans="1:52" ht="12.75" customHeight="1" x14ac:dyDescent="0.25">
      <c r="A656" s="101"/>
      <c r="B656" s="97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</row>
    <row r="657" spans="1:52" ht="12.75" customHeight="1" x14ac:dyDescent="0.25">
      <c r="A657" s="101"/>
      <c r="B657" s="97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</row>
    <row r="658" spans="1:52" ht="12.75" customHeight="1" x14ac:dyDescent="0.25">
      <c r="A658" s="101"/>
      <c r="B658" s="97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</row>
    <row r="659" spans="1:52" ht="12.75" customHeight="1" x14ac:dyDescent="0.25">
      <c r="A659" s="101"/>
      <c r="B659" s="97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  <c r="AH659" s="98"/>
      <c r="AI659" s="98"/>
      <c r="AJ659" s="98"/>
      <c r="AK659" s="98"/>
      <c r="AL659" s="98"/>
      <c r="AM659" s="98"/>
      <c r="AN659" s="98"/>
      <c r="AO659" s="98"/>
      <c r="AP659" s="98"/>
      <c r="AQ659" s="98"/>
      <c r="AR659" s="98"/>
      <c r="AS659" s="98"/>
      <c r="AT659" s="98"/>
      <c r="AU659" s="98"/>
      <c r="AV659" s="98"/>
      <c r="AW659" s="98"/>
      <c r="AX659" s="98"/>
      <c r="AY659" s="98"/>
      <c r="AZ659" s="98"/>
    </row>
    <row r="660" spans="1:52" ht="12.75" customHeight="1" x14ac:dyDescent="0.25">
      <c r="A660" s="101"/>
      <c r="B660" s="97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</row>
    <row r="661" spans="1:52" ht="12.75" customHeight="1" x14ac:dyDescent="0.25">
      <c r="A661" s="101"/>
      <c r="B661" s="97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</row>
    <row r="662" spans="1:52" ht="12.75" customHeight="1" x14ac:dyDescent="0.25">
      <c r="A662" s="101"/>
      <c r="B662" s="97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</row>
    <row r="663" spans="1:52" ht="12.75" customHeight="1" x14ac:dyDescent="0.25">
      <c r="A663" s="101"/>
      <c r="B663" s="97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</row>
    <row r="664" spans="1:52" ht="12.75" customHeight="1" x14ac:dyDescent="0.25">
      <c r="A664" s="101"/>
      <c r="B664" s="97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</row>
    <row r="665" spans="1:52" ht="12.75" customHeight="1" x14ac:dyDescent="0.25">
      <c r="A665" s="101"/>
      <c r="B665" s="97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</row>
    <row r="666" spans="1:52" ht="12.75" customHeight="1" x14ac:dyDescent="0.25">
      <c r="A666" s="101"/>
      <c r="B666" s="97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</row>
    <row r="667" spans="1:52" ht="12.75" customHeight="1" x14ac:dyDescent="0.25">
      <c r="A667" s="101"/>
      <c r="B667" s="97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</row>
    <row r="668" spans="1:52" ht="12.75" customHeight="1" x14ac:dyDescent="0.25">
      <c r="A668" s="101"/>
      <c r="B668" s="97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</row>
    <row r="669" spans="1:52" ht="12.75" customHeight="1" x14ac:dyDescent="0.25">
      <c r="A669" s="101"/>
      <c r="B669" s="97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</row>
    <row r="670" spans="1:52" ht="12.75" customHeight="1" x14ac:dyDescent="0.25">
      <c r="A670" s="101"/>
      <c r="B670" s="97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</row>
    <row r="671" spans="1:52" ht="12.75" customHeight="1" x14ac:dyDescent="0.25">
      <c r="A671" s="101"/>
      <c r="B671" s="97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</row>
    <row r="672" spans="1:52" ht="12.75" customHeight="1" x14ac:dyDescent="0.25">
      <c r="A672" s="101"/>
      <c r="B672" s="97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</row>
    <row r="673" spans="1:52" ht="12.75" customHeight="1" x14ac:dyDescent="0.25">
      <c r="A673" s="101"/>
      <c r="B673" s="97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</row>
    <row r="674" spans="1:52" ht="12.75" customHeight="1" x14ac:dyDescent="0.25">
      <c r="A674" s="101"/>
      <c r="B674" s="97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  <c r="AH674" s="98"/>
      <c r="AI674" s="98"/>
      <c r="AJ674" s="98"/>
      <c r="AK674" s="98"/>
      <c r="AL674" s="98"/>
      <c r="AM674" s="98"/>
      <c r="AN674" s="98"/>
      <c r="AO674" s="98"/>
      <c r="AP674" s="98"/>
      <c r="AQ674" s="98"/>
      <c r="AR674" s="98"/>
      <c r="AS674" s="98"/>
      <c r="AT674" s="98"/>
      <c r="AU674" s="98"/>
      <c r="AV674" s="98"/>
      <c r="AW674" s="98"/>
      <c r="AX674" s="98"/>
      <c r="AY674" s="98"/>
      <c r="AZ674" s="98"/>
    </row>
    <row r="675" spans="1:52" ht="12.75" customHeight="1" x14ac:dyDescent="0.25">
      <c r="A675" s="101"/>
      <c r="B675" s="97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  <c r="AH675" s="98"/>
      <c r="AI675" s="98"/>
      <c r="AJ675" s="98"/>
      <c r="AK675" s="98"/>
      <c r="AL675" s="98"/>
      <c r="AM675" s="98"/>
      <c r="AN675" s="98"/>
      <c r="AO675" s="98"/>
      <c r="AP675" s="98"/>
      <c r="AQ675" s="98"/>
      <c r="AR675" s="98"/>
      <c r="AS675" s="98"/>
      <c r="AT675" s="98"/>
      <c r="AU675" s="98"/>
      <c r="AV675" s="98"/>
      <c r="AW675" s="98"/>
      <c r="AX675" s="98"/>
      <c r="AY675" s="98"/>
      <c r="AZ675" s="98"/>
    </row>
    <row r="676" spans="1:52" ht="12.75" customHeight="1" x14ac:dyDescent="0.25">
      <c r="A676" s="101"/>
      <c r="B676" s="97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  <c r="AH676" s="98"/>
      <c r="AI676" s="98"/>
      <c r="AJ676" s="98"/>
      <c r="AK676" s="98"/>
      <c r="AL676" s="98"/>
      <c r="AM676" s="98"/>
      <c r="AN676" s="98"/>
      <c r="AO676" s="98"/>
      <c r="AP676" s="98"/>
      <c r="AQ676" s="98"/>
      <c r="AR676" s="98"/>
      <c r="AS676" s="98"/>
      <c r="AT676" s="98"/>
      <c r="AU676" s="98"/>
      <c r="AV676" s="98"/>
      <c r="AW676" s="98"/>
      <c r="AX676" s="98"/>
      <c r="AY676" s="98"/>
      <c r="AZ676" s="98"/>
    </row>
    <row r="677" spans="1:52" ht="12.75" customHeight="1" x14ac:dyDescent="0.25">
      <c r="A677" s="101"/>
      <c r="B677" s="97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  <c r="AH677" s="98"/>
      <c r="AI677" s="98"/>
      <c r="AJ677" s="98"/>
      <c r="AK677" s="98"/>
      <c r="AL677" s="98"/>
      <c r="AM677" s="98"/>
      <c r="AN677" s="98"/>
      <c r="AO677" s="98"/>
      <c r="AP677" s="98"/>
      <c r="AQ677" s="98"/>
      <c r="AR677" s="98"/>
      <c r="AS677" s="98"/>
      <c r="AT677" s="98"/>
      <c r="AU677" s="98"/>
      <c r="AV677" s="98"/>
      <c r="AW677" s="98"/>
      <c r="AX677" s="98"/>
      <c r="AY677" s="98"/>
      <c r="AZ677" s="98"/>
    </row>
    <row r="678" spans="1:52" ht="12.75" customHeight="1" x14ac:dyDescent="0.25">
      <c r="A678" s="101"/>
      <c r="B678" s="97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  <c r="AH678" s="98"/>
      <c r="AI678" s="98"/>
      <c r="AJ678" s="98"/>
      <c r="AK678" s="98"/>
      <c r="AL678" s="98"/>
      <c r="AM678" s="98"/>
      <c r="AN678" s="98"/>
      <c r="AO678" s="98"/>
      <c r="AP678" s="98"/>
      <c r="AQ678" s="98"/>
      <c r="AR678" s="98"/>
      <c r="AS678" s="98"/>
      <c r="AT678" s="98"/>
      <c r="AU678" s="98"/>
      <c r="AV678" s="98"/>
      <c r="AW678" s="98"/>
      <c r="AX678" s="98"/>
      <c r="AY678" s="98"/>
      <c r="AZ678" s="98"/>
    </row>
    <row r="679" spans="1:52" ht="12.75" customHeight="1" x14ac:dyDescent="0.25">
      <c r="A679" s="101"/>
      <c r="B679" s="97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  <c r="AH679" s="98"/>
      <c r="AI679" s="98"/>
      <c r="AJ679" s="98"/>
      <c r="AK679" s="98"/>
      <c r="AL679" s="98"/>
      <c r="AM679" s="98"/>
      <c r="AN679" s="98"/>
      <c r="AO679" s="98"/>
      <c r="AP679" s="98"/>
      <c r="AQ679" s="98"/>
      <c r="AR679" s="98"/>
      <c r="AS679" s="98"/>
      <c r="AT679" s="98"/>
      <c r="AU679" s="98"/>
      <c r="AV679" s="98"/>
      <c r="AW679" s="98"/>
      <c r="AX679" s="98"/>
      <c r="AY679" s="98"/>
      <c r="AZ679" s="98"/>
    </row>
    <row r="680" spans="1:52" ht="12.75" customHeight="1" x14ac:dyDescent="0.25">
      <c r="A680" s="101"/>
      <c r="B680" s="97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  <c r="AH680" s="98"/>
      <c r="AI680" s="98"/>
      <c r="AJ680" s="98"/>
      <c r="AK680" s="98"/>
      <c r="AL680" s="98"/>
      <c r="AM680" s="98"/>
      <c r="AN680" s="98"/>
      <c r="AO680" s="98"/>
      <c r="AP680" s="98"/>
      <c r="AQ680" s="98"/>
      <c r="AR680" s="98"/>
      <c r="AS680" s="98"/>
      <c r="AT680" s="98"/>
      <c r="AU680" s="98"/>
      <c r="AV680" s="98"/>
      <c r="AW680" s="98"/>
      <c r="AX680" s="98"/>
      <c r="AY680" s="98"/>
      <c r="AZ680" s="98"/>
    </row>
    <row r="681" spans="1:52" ht="12.75" customHeight="1" x14ac:dyDescent="0.25">
      <c r="A681" s="101"/>
      <c r="B681" s="97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  <c r="AH681" s="98"/>
      <c r="AI681" s="98"/>
      <c r="AJ681" s="98"/>
      <c r="AK681" s="98"/>
      <c r="AL681" s="98"/>
      <c r="AM681" s="98"/>
      <c r="AN681" s="98"/>
      <c r="AO681" s="98"/>
      <c r="AP681" s="98"/>
      <c r="AQ681" s="98"/>
      <c r="AR681" s="98"/>
      <c r="AS681" s="98"/>
      <c r="AT681" s="98"/>
      <c r="AU681" s="98"/>
      <c r="AV681" s="98"/>
      <c r="AW681" s="98"/>
      <c r="AX681" s="98"/>
      <c r="AY681" s="98"/>
      <c r="AZ681" s="98"/>
    </row>
    <row r="682" spans="1:52" ht="12.75" customHeight="1" x14ac:dyDescent="0.25">
      <c r="A682" s="101"/>
      <c r="B682" s="97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  <c r="AH682" s="98"/>
      <c r="AI682" s="98"/>
      <c r="AJ682" s="98"/>
      <c r="AK682" s="98"/>
      <c r="AL682" s="98"/>
      <c r="AM682" s="98"/>
      <c r="AN682" s="98"/>
      <c r="AO682" s="98"/>
      <c r="AP682" s="98"/>
      <c r="AQ682" s="98"/>
      <c r="AR682" s="98"/>
      <c r="AS682" s="98"/>
      <c r="AT682" s="98"/>
      <c r="AU682" s="98"/>
      <c r="AV682" s="98"/>
      <c r="AW682" s="98"/>
      <c r="AX682" s="98"/>
      <c r="AY682" s="98"/>
      <c r="AZ682" s="98"/>
    </row>
    <row r="683" spans="1:52" ht="12.75" customHeight="1" x14ac:dyDescent="0.25">
      <c r="A683" s="101"/>
      <c r="B683" s="97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</row>
    <row r="684" spans="1:52" ht="12.75" customHeight="1" x14ac:dyDescent="0.25">
      <c r="A684" s="101"/>
      <c r="B684" s="97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</row>
    <row r="685" spans="1:52" ht="12.75" customHeight="1" x14ac:dyDescent="0.25">
      <c r="A685" s="101"/>
      <c r="B685" s="97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</row>
    <row r="686" spans="1:52" ht="12.75" customHeight="1" x14ac:dyDescent="0.25">
      <c r="A686" s="101"/>
      <c r="B686" s="97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98"/>
      <c r="AJ686" s="98"/>
      <c r="AK686" s="98"/>
      <c r="AL686" s="98"/>
      <c r="AM686" s="98"/>
      <c r="AN686" s="98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</row>
    <row r="687" spans="1:52" ht="12.75" customHeight="1" x14ac:dyDescent="0.25">
      <c r="A687" s="101"/>
      <c r="B687" s="97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</row>
    <row r="688" spans="1:52" ht="12.75" customHeight="1" x14ac:dyDescent="0.25">
      <c r="A688" s="101"/>
      <c r="B688" s="97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</row>
    <row r="689" spans="1:52" ht="12.75" customHeight="1" x14ac:dyDescent="0.25">
      <c r="A689" s="101"/>
      <c r="B689" s="97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</row>
    <row r="690" spans="1:52" ht="12.75" customHeight="1" x14ac:dyDescent="0.25">
      <c r="A690" s="101"/>
      <c r="B690" s="97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</row>
    <row r="691" spans="1:52" ht="12.75" customHeight="1" x14ac:dyDescent="0.25">
      <c r="A691" s="101"/>
      <c r="B691" s="97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  <c r="AH691" s="98"/>
      <c r="AI691" s="98"/>
      <c r="AJ691" s="98"/>
      <c r="AK691" s="98"/>
      <c r="AL691" s="98"/>
      <c r="AM691" s="98"/>
      <c r="AN691" s="98"/>
      <c r="AO691" s="98"/>
      <c r="AP691" s="98"/>
      <c r="AQ691" s="98"/>
      <c r="AR691" s="98"/>
      <c r="AS691" s="98"/>
      <c r="AT691" s="98"/>
      <c r="AU691" s="98"/>
      <c r="AV691" s="98"/>
      <c r="AW691" s="98"/>
      <c r="AX691" s="98"/>
      <c r="AY691" s="98"/>
      <c r="AZ691" s="98"/>
    </row>
    <row r="692" spans="1:52" ht="12.75" customHeight="1" x14ac:dyDescent="0.25">
      <c r="A692" s="101"/>
      <c r="B692" s="97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  <c r="AH692" s="98"/>
      <c r="AI692" s="98"/>
      <c r="AJ692" s="98"/>
      <c r="AK692" s="98"/>
      <c r="AL692" s="98"/>
      <c r="AM692" s="98"/>
      <c r="AN692" s="98"/>
      <c r="AO692" s="98"/>
      <c r="AP692" s="98"/>
      <c r="AQ692" s="98"/>
      <c r="AR692" s="98"/>
      <c r="AS692" s="98"/>
      <c r="AT692" s="98"/>
      <c r="AU692" s="98"/>
      <c r="AV692" s="98"/>
      <c r="AW692" s="98"/>
      <c r="AX692" s="98"/>
      <c r="AY692" s="98"/>
      <c r="AZ692" s="98"/>
    </row>
    <row r="693" spans="1:52" ht="12.75" customHeight="1" x14ac:dyDescent="0.25">
      <c r="A693" s="101"/>
      <c r="B693" s="97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  <c r="AH693" s="98"/>
      <c r="AI693" s="98"/>
      <c r="AJ693" s="98"/>
      <c r="AK693" s="98"/>
      <c r="AL693" s="98"/>
      <c r="AM693" s="98"/>
      <c r="AN693" s="98"/>
      <c r="AO693" s="98"/>
      <c r="AP693" s="98"/>
      <c r="AQ693" s="98"/>
      <c r="AR693" s="98"/>
      <c r="AS693" s="98"/>
      <c r="AT693" s="98"/>
      <c r="AU693" s="98"/>
      <c r="AV693" s="98"/>
      <c r="AW693" s="98"/>
      <c r="AX693" s="98"/>
      <c r="AY693" s="98"/>
      <c r="AZ693" s="98"/>
    </row>
    <row r="694" spans="1:52" ht="12.75" customHeight="1" x14ac:dyDescent="0.25">
      <c r="A694" s="101"/>
      <c r="B694" s="97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  <c r="AH694" s="98"/>
      <c r="AI694" s="98"/>
      <c r="AJ694" s="98"/>
      <c r="AK694" s="98"/>
      <c r="AL694" s="98"/>
      <c r="AM694" s="98"/>
      <c r="AN694" s="98"/>
      <c r="AO694" s="98"/>
      <c r="AP694" s="98"/>
      <c r="AQ694" s="98"/>
      <c r="AR694" s="98"/>
      <c r="AS694" s="98"/>
      <c r="AT694" s="98"/>
      <c r="AU694" s="98"/>
      <c r="AV694" s="98"/>
      <c r="AW694" s="98"/>
      <c r="AX694" s="98"/>
      <c r="AY694" s="98"/>
      <c r="AZ694" s="98"/>
    </row>
    <row r="695" spans="1:52" ht="12.75" customHeight="1" x14ac:dyDescent="0.25">
      <c r="A695" s="101"/>
      <c r="B695" s="97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</row>
    <row r="696" spans="1:52" ht="12.75" customHeight="1" x14ac:dyDescent="0.25">
      <c r="A696" s="101"/>
      <c r="B696" s="97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</row>
    <row r="697" spans="1:52" ht="12.75" customHeight="1" x14ac:dyDescent="0.25">
      <c r="A697" s="101"/>
      <c r="B697" s="97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</row>
    <row r="698" spans="1:52" ht="12.75" customHeight="1" x14ac:dyDescent="0.25">
      <c r="A698" s="101"/>
      <c r="B698" s="97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</row>
    <row r="699" spans="1:52" ht="12.75" customHeight="1" x14ac:dyDescent="0.25">
      <c r="A699" s="101"/>
      <c r="B699" s="97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</row>
    <row r="700" spans="1:52" ht="12.75" customHeight="1" x14ac:dyDescent="0.25">
      <c r="A700" s="101"/>
      <c r="B700" s="97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</row>
    <row r="701" spans="1:52" ht="12.75" customHeight="1" x14ac:dyDescent="0.25">
      <c r="A701" s="101"/>
      <c r="B701" s="97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</row>
    <row r="702" spans="1:52" ht="12.75" customHeight="1" x14ac:dyDescent="0.25">
      <c r="A702" s="101"/>
      <c r="B702" s="97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</row>
    <row r="703" spans="1:52" ht="12.75" customHeight="1" x14ac:dyDescent="0.25">
      <c r="A703" s="101"/>
      <c r="B703" s="97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</row>
    <row r="704" spans="1:52" ht="12.75" customHeight="1" x14ac:dyDescent="0.25">
      <c r="A704" s="101"/>
      <c r="B704" s="97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</row>
    <row r="705" spans="1:52" ht="12.75" customHeight="1" x14ac:dyDescent="0.25">
      <c r="A705" s="101"/>
      <c r="B705" s="97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</row>
    <row r="706" spans="1:52" ht="12.75" customHeight="1" x14ac:dyDescent="0.25">
      <c r="A706" s="101"/>
      <c r="B706" s="97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</row>
    <row r="707" spans="1:52" ht="12.75" customHeight="1" x14ac:dyDescent="0.25">
      <c r="A707" s="101"/>
      <c r="B707" s="97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  <c r="AH707" s="98"/>
      <c r="AI707" s="98"/>
      <c r="AJ707" s="98"/>
      <c r="AK707" s="98"/>
      <c r="AL707" s="98"/>
      <c r="AM707" s="98"/>
      <c r="AN707" s="98"/>
      <c r="AO707" s="98"/>
      <c r="AP707" s="98"/>
      <c r="AQ707" s="98"/>
      <c r="AR707" s="98"/>
      <c r="AS707" s="98"/>
      <c r="AT707" s="98"/>
      <c r="AU707" s="98"/>
      <c r="AV707" s="98"/>
      <c r="AW707" s="98"/>
      <c r="AX707" s="98"/>
      <c r="AY707" s="98"/>
      <c r="AZ707" s="98"/>
    </row>
    <row r="708" spans="1:52" ht="12.75" customHeight="1" x14ac:dyDescent="0.25">
      <c r="A708" s="101"/>
      <c r="B708" s="97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</row>
    <row r="709" spans="1:52" ht="12.75" customHeight="1" x14ac:dyDescent="0.25">
      <c r="A709" s="101"/>
      <c r="B709" s="97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</row>
    <row r="710" spans="1:52" ht="12.75" customHeight="1" x14ac:dyDescent="0.25">
      <c r="A710" s="101"/>
      <c r="B710" s="97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</row>
    <row r="711" spans="1:52" ht="12.75" customHeight="1" x14ac:dyDescent="0.25">
      <c r="A711" s="101"/>
      <c r="B711" s="97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</row>
    <row r="712" spans="1:52" ht="12.75" customHeight="1" x14ac:dyDescent="0.25">
      <c r="A712" s="101"/>
      <c r="B712" s="97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</row>
    <row r="713" spans="1:52" ht="12.75" customHeight="1" x14ac:dyDescent="0.25">
      <c r="A713" s="101"/>
      <c r="B713" s="97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</row>
    <row r="714" spans="1:52" ht="12.75" customHeight="1" x14ac:dyDescent="0.25">
      <c r="A714" s="101"/>
      <c r="B714" s="97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</row>
    <row r="715" spans="1:52" ht="12.75" customHeight="1" x14ac:dyDescent="0.25">
      <c r="A715" s="101"/>
      <c r="B715" s="97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</row>
    <row r="716" spans="1:52" ht="12.75" customHeight="1" x14ac:dyDescent="0.25">
      <c r="A716" s="101"/>
      <c r="B716" s="97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</row>
    <row r="717" spans="1:52" ht="12.75" customHeight="1" x14ac:dyDescent="0.25">
      <c r="A717" s="101"/>
      <c r="B717" s="97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</row>
    <row r="718" spans="1:52" ht="12.75" customHeight="1" x14ac:dyDescent="0.25">
      <c r="A718" s="101"/>
      <c r="B718" s="97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</row>
    <row r="719" spans="1:52" ht="12.75" customHeight="1" x14ac:dyDescent="0.25">
      <c r="A719" s="101"/>
      <c r="B719" s="97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</row>
    <row r="720" spans="1:52" ht="12.75" customHeight="1" x14ac:dyDescent="0.25">
      <c r="A720" s="101"/>
      <c r="B720" s="97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</row>
    <row r="721" spans="1:52" ht="12.75" customHeight="1" x14ac:dyDescent="0.25">
      <c r="A721" s="101"/>
      <c r="B721" s="97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  <c r="AH721" s="98"/>
      <c r="AI721" s="98"/>
      <c r="AJ721" s="98"/>
      <c r="AK721" s="98"/>
      <c r="AL721" s="98"/>
      <c r="AM721" s="98"/>
      <c r="AN721" s="98"/>
      <c r="AO721" s="98"/>
      <c r="AP721" s="98"/>
      <c r="AQ721" s="98"/>
      <c r="AR721" s="98"/>
      <c r="AS721" s="98"/>
      <c r="AT721" s="98"/>
      <c r="AU721" s="98"/>
      <c r="AV721" s="98"/>
      <c r="AW721" s="98"/>
      <c r="AX721" s="98"/>
      <c r="AY721" s="98"/>
      <c r="AZ721" s="98"/>
    </row>
    <row r="722" spans="1:52" ht="12.75" customHeight="1" x14ac:dyDescent="0.25">
      <c r="A722" s="101"/>
      <c r="B722" s="97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  <c r="AH722" s="98"/>
      <c r="AI722" s="98"/>
      <c r="AJ722" s="98"/>
      <c r="AK722" s="98"/>
      <c r="AL722" s="98"/>
      <c r="AM722" s="98"/>
      <c r="AN722" s="98"/>
      <c r="AO722" s="98"/>
      <c r="AP722" s="98"/>
      <c r="AQ722" s="98"/>
      <c r="AR722" s="98"/>
      <c r="AS722" s="98"/>
      <c r="AT722" s="98"/>
      <c r="AU722" s="98"/>
      <c r="AV722" s="98"/>
      <c r="AW722" s="98"/>
      <c r="AX722" s="98"/>
      <c r="AY722" s="98"/>
      <c r="AZ722" s="98"/>
    </row>
    <row r="723" spans="1:52" ht="12.75" customHeight="1" x14ac:dyDescent="0.25">
      <c r="A723" s="101"/>
      <c r="B723" s="97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  <c r="AH723" s="98"/>
      <c r="AI723" s="98"/>
      <c r="AJ723" s="98"/>
      <c r="AK723" s="98"/>
      <c r="AL723" s="98"/>
      <c r="AM723" s="98"/>
      <c r="AN723" s="98"/>
      <c r="AO723" s="98"/>
      <c r="AP723" s="98"/>
      <c r="AQ723" s="98"/>
      <c r="AR723" s="98"/>
      <c r="AS723" s="98"/>
      <c r="AT723" s="98"/>
      <c r="AU723" s="98"/>
      <c r="AV723" s="98"/>
      <c r="AW723" s="98"/>
      <c r="AX723" s="98"/>
      <c r="AY723" s="98"/>
      <c r="AZ723" s="98"/>
    </row>
    <row r="724" spans="1:52" ht="12.75" customHeight="1" x14ac:dyDescent="0.25">
      <c r="A724" s="101"/>
      <c r="B724" s="97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  <c r="AH724" s="98"/>
      <c r="AI724" s="98"/>
      <c r="AJ724" s="98"/>
      <c r="AK724" s="98"/>
      <c r="AL724" s="98"/>
      <c r="AM724" s="98"/>
      <c r="AN724" s="98"/>
      <c r="AO724" s="98"/>
      <c r="AP724" s="98"/>
      <c r="AQ724" s="98"/>
      <c r="AR724" s="98"/>
      <c r="AS724" s="98"/>
      <c r="AT724" s="98"/>
      <c r="AU724" s="98"/>
      <c r="AV724" s="98"/>
      <c r="AW724" s="98"/>
      <c r="AX724" s="98"/>
      <c r="AY724" s="98"/>
      <c r="AZ724" s="98"/>
    </row>
    <row r="725" spans="1:52" ht="12.75" customHeight="1" x14ac:dyDescent="0.25">
      <c r="A725" s="101"/>
      <c r="B725" s="97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</row>
    <row r="726" spans="1:52" ht="12.75" customHeight="1" x14ac:dyDescent="0.25">
      <c r="A726" s="101"/>
      <c r="B726" s="97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  <c r="AH726" s="98"/>
      <c r="AI726" s="98"/>
      <c r="AJ726" s="98"/>
      <c r="AK726" s="98"/>
      <c r="AL726" s="98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</row>
    <row r="727" spans="1:52" ht="12.75" customHeight="1" x14ac:dyDescent="0.25">
      <c r="A727" s="101"/>
      <c r="B727" s="97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</row>
    <row r="728" spans="1:52" ht="12.75" customHeight="1" x14ac:dyDescent="0.25">
      <c r="A728" s="101"/>
      <c r="B728" s="97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</row>
    <row r="729" spans="1:52" ht="12.75" customHeight="1" x14ac:dyDescent="0.25">
      <c r="A729" s="101"/>
      <c r="B729" s="97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</row>
    <row r="730" spans="1:52" ht="12.75" customHeight="1" x14ac:dyDescent="0.25">
      <c r="A730" s="101"/>
      <c r="B730" s="97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</row>
    <row r="731" spans="1:52" ht="12.75" customHeight="1" x14ac:dyDescent="0.25">
      <c r="A731" s="101"/>
      <c r="B731" s="97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  <c r="AH731" s="98"/>
      <c r="AI731" s="98"/>
      <c r="AJ731" s="98"/>
      <c r="AK731" s="98"/>
      <c r="AL731" s="98"/>
      <c r="AM731" s="98"/>
      <c r="AN731" s="98"/>
      <c r="AO731" s="98"/>
      <c r="AP731" s="98"/>
      <c r="AQ731" s="98"/>
      <c r="AR731" s="98"/>
      <c r="AS731" s="98"/>
      <c r="AT731" s="98"/>
      <c r="AU731" s="98"/>
      <c r="AV731" s="98"/>
      <c r="AW731" s="98"/>
      <c r="AX731" s="98"/>
      <c r="AY731" s="98"/>
      <c r="AZ731" s="98"/>
    </row>
    <row r="732" spans="1:52" ht="12.75" customHeight="1" x14ac:dyDescent="0.25">
      <c r="A732" s="101"/>
      <c r="B732" s="97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  <c r="AH732" s="98"/>
      <c r="AI732" s="98"/>
      <c r="AJ732" s="98"/>
      <c r="AK732" s="98"/>
      <c r="AL732" s="98"/>
      <c r="AM732" s="98"/>
      <c r="AN732" s="98"/>
      <c r="AO732" s="98"/>
      <c r="AP732" s="98"/>
      <c r="AQ732" s="98"/>
      <c r="AR732" s="98"/>
      <c r="AS732" s="98"/>
      <c r="AT732" s="98"/>
      <c r="AU732" s="98"/>
      <c r="AV732" s="98"/>
      <c r="AW732" s="98"/>
      <c r="AX732" s="98"/>
      <c r="AY732" s="98"/>
      <c r="AZ732" s="98"/>
    </row>
    <row r="733" spans="1:52" ht="12.75" customHeight="1" x14ac:dyDescent="0.25">
      <c r="A733" s="101"/>
      <c r="B733" s="97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  <c r="AH733" s="98"/>
      <c r="AI733" s="98"/>
      <c r="AJ733" s="98"/>
      <c r="AK733" s="98"/>
      <c r="AL733" s="98"/>
      <c r="AM733" s="98"/>
      <c r="AN733" s="98"/>
      <c r="AO733" s="98"/>
      <c r="AP733" s="98"/>
      <c r="AQ733" s="98"/>
      <c r="AR733" s="98"/>
      <c r="AS733" s="98"/>
      <c r="AT733" s="98"/>
      <c r="AU733" s="98"/>
      <c r="AV733" s="98"/>
      <c r="AW733" s="98"/>
      <c r="AX733" s="98"/>
      <c r="AY733" s="98"/>
      <c r="AZ733" s="98"/>
    </row>
    <row r="734" spans="1:52" ht="12.75" customHeight="1" x14ac:dyDescent="0.25">
      <c r="A734" s="101"/>
      <c r="B734" s="97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  <c r="AH734" s="98"/>
      <c r="AI734" s="98"/>
      <c r="AJ734" s="98"/>
      <c r="AK734" s="98"/>
      <c r="AL734" s="98"/>
      <c r="AM734" s="98"/>
      <c r="AN734" s="98"/>
      <c r="AO734" s="98"/>
      <c r="AP734" s="98"/>
      <c r="AQ734" s="98"/>
      <c r="AR734" s="98"/>
      <c r="AS734" s="98"/>
      <c r="AT734" s="98"/>
      <c r="AU734" s="98"/>
      <c r="AV734" s="98"/>
      <c r="AW734" s="98"/>
      <c r="AX734" s="98"/>
      <c r="AY734" s="98"/>
      <c r="AZ734" s="98"/>
    </row>
    <row r="735" spans="1:52" ht="12.75" customHeight="1" x14ac:dyDescent="0.25">
      <c r="A735" s="101"/>
      <c r="B735" s="97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  <c r="AH735" s="98"/>
      <c r="AI735" s="98"/>
      <c r="AJ735" s="98"/>
      <c r="AK735" s="98"/>
      <c r="AL735" s="98"/>
      <c r="AM735" s="98"/>
      <c r="AN735" s="98"/>
      <c r="AO735" s="98"/>
      <c r="AP735" s="98"/>
      <c r="AQ735" s="98"/>
      <c r="AR735" s="98"/>
      <c r="AS735" s="98"/>
      <c r="AT735" s="98"/>
      <c r="AU735" s="98"/>
      <c r="AV735" s="98"/>
      <c r="AW735" s="98"/>
      <c r="AX735" s="98"/>
      <c r="AY735" s="98"/>
      <c r="AZ735" s="98"/>
    </row>
    <row r="736" spans="1:52" ht="12.75" customHeight="1" x14ac:dyDescent="0.25">
      <c r="A736" s="101"/>
      <c r="B736" s="97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  <c r="AH736" s="98"/>
      <c r="AI736" s="98"/>
      <c r="AJ736" s="98"/>
      <c r="AK736" s="98"/>
      <c r="AL736" s="98"/>
      <c r="AM736" s="98"/>
      <c r="AN736" s="98"/>
      <c r="AO736" s="98"/>
      <c r="AP736" s="98"/>
      <c r="AQ736" s="98"/>
      <c r="AR736" s="98"/>
      <c r="AS736" s="98"/>
      <c r="AT736" s="98"/>
      <c r="AU736" s="98"/>
      <c r="AV736" s="98"/>
      <c r="AW736" s="98"/>
      <c r="AX736" s="98"/>
      <c r="AY736" s="98"/>
      <c r="AZ736" s="98"/>
    </row>
    <row r="737" spans="1:52" ht="12.75" customHeight="1" x14ac:dyDescent="0.25">
      <c r="A737" s="101"/>
      <c r="B737" s="97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  <c r="AH737" s="98"/>
      <c r="AI737" s="98"/>
      <c r="AJ737" s="98"/>
      <c r="AK737" s="98"/>
      <c r="AL737" s="98"/>
      <c r="AM737" s="98"/>
      <c r="AN737" s="98"/>
      <c r="AO737" s="98"/>
      <c r="AP737" s="98"/>
      <c r="AQ737" s="98"/>
      <c r="AR737" s="98"/>
      <c r="AS737" s="98"/>
      <c r="AT737" s="98"/>
      <c r="AU737" s="98"/>
      <c r="AV737" s="98"/>
      <c r="AW737" s="98"/>
      <c r="AX737" s="98"/>
      <c r="AY737" s="98"/>
      <c r="AZ737" s="98"/>
    </row>
    <row r="738" spans="1:52" ht="12.75" customHeight="1" x14ac:dyDescent="0.25">
      <c r="A738" s="101"/>
      <c r="B738" s="97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  <c r="AH738" s="98"/>
      <c r="AI738" s="98"/>
      <c r="AJ738" s="98"/>
      <c r="AK738" s="98"/>
      <c r="AL738" s="98"/>
      <c r="AM738" s="98"/>
      <c r="AN738" s="98"/>
      <c r="AO738" s="98"/>
      <c r="AP738" s="98"/>
      <c r="AQ738" s="98"/>
      <c r="AR738" s="98"/>
      <c r="AS738" s="98"/>
      <c r="AT738" s="98"/>
      <c r="AU738" s="98"/>
      <c r="AV738" s="98"/>
      <c r="AW738" s="98"/>
      <c r="AX738" s="98"/>
      <c r="AY738" s="98"/>
      <c r="AZ738" s="98"/>
    </row>
    <row r="739" spans="1:52" ht="12.75" customHeight="1" x14ac:dyDescent="0.25">
      <c r="A739" s="101"/>
      <c r="B739" s="97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  <c r="AH739" s="98"/>
      <c r="AI739" s="98"/>
      <c r="AJ739" s="98"/>
      <c r="AK739" s="98"/>
      <c r="AL739" s="98"/>
      <c r="AM739" s="98"/>
      <c r="AN739" s="98"/>
      <c r="AO739" s="98"/>
      <c r="AP739" s="98"/>
      <c r="AQ739" s="98"/>
      <c r="AR739" s="98"/>
      <c r="AS739" s="98"/>
      <c r="AT739" s="98"/>
      <c r="AU739" s="98"/>
      <c r="AV739" s="98"/>
      <c r="AW739" s="98"/>
      <c r="AX739" s="98"/>
      <c r="AY739" s="98"/>
      <c r="AZ739" s="98"/>
    </row>
    <row r="740" spans="1:52" ht="12.75" customHeight="1" x14ac:dyDescent="0.25">
      <c r="A740" s="101"/>
      <c r="B740" s="97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  <c r="AH740" s="98"/>
      <c r="AI740" s="98"/>
      <c r="AJ740" s="98"/>
      <c r="AK740" s="98"/>
      <c r="AL740" s="98"/>
      <c r="AM740" s="98"/>
      <c r="AN740" s="98"/>
      <c r="AO740" s="98"/>
      <c r="AP740" s="98"/>
      <c r="AQ740" s="98"/>
      <c r="AR740" s="98"/>
      <c r="AS740" s="98"/>
      <c r="AT740" s="98"/>
      <c r="AU740" s="98"/>
      <c r="AV740" s="98"/>
      <c r="AW740" s="98"/>
      <c r="AX740" s="98"/>
      <c r="AY740" s="98"/>
      <c r="AZ740" s="98"/>
    </row>
    <row r="741" spans="1:52" ht="12.75" customHeight="1" x14ac:dyDescent="0.25">
      <c r="A741" s="101"/>
      <c r="B741" s="97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  <c r="AH741" s="98"/>
      <c r="AI741" s="98"/>
      <c r="AJ741" s="98"/>
      <c r="AK741" s="98"/>
      <c r="AL741" s="98"/>
      <c r="AM741" s="98"/>
      <c r="AN741" s="98"/>
      <c r="AO741" s="98"/>
      <c r="AP741" s="98"/>
      <c r="AQ741" s="98"/>
      <c r="AR741" s="98"/>
      <c r="AS741" s="98"/>
      <c r="AT741" s="98"/>
      <c r="AU741" s="98"/>
      <c r="AV741" s="98"/>
      <c r="AW741" s="98"/>
      <c r="AX741" s="98"/>
      <c r="AY741" s="98"/>
      <c r="AZ741" s="98"/>
    </row>
    <row r="742" spans="1:52" ht="12.75" customHeight="1" x14ac:dyDescent="0.25">
      <c r="A742" s="101"/>
      <c r="B742" s="97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  <c r="AH742" s="98"/>
      <c r="AI742" s="98"/>
      <c r="AJ742" s="98"/>
      <c r="AK742" s="98"/>
      <c r="AL742" s="98"/>
      <c r="AM742" s="98"/>
      <c r="AN742" s="98"/>
      <c r="AO742" s="98"/>
      <c r="AP742" s="98"/>
      <c r="AQ742" s="98"/>
      <c r="AR742" s="98"/>
      <c r="AS742" s="98"/>
      <c r="AT742" s="98"/>
      <c r="AU742" s="98"/>
      <c r="AV742" s="98"/>
      <c r="AW742" s="98"/>
      <c r="AX742" s="98"/>
      <c r="AY742" s="98"/>
      <c r="AZ742" s="98"/>
    </row>
    <row r="743" spans="1:52" ht="12.75" customHeight="1" x14ac:dyDescent="0.25">
      <c r="A743" s="101"/>
      <c r="B743" s="97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  <c r="AH743" s="98"/>
      <c r="AI743" s="98"/>
      <c r="AJ743" s="98"/>
      <c r="AK743" s="98"/>
      <c r="AL743" s="98"/>
      <c r="AM743" s="98"/>
      <c r="AN743" s="98"/>
      <c r="AO743" s="98"/>
      <c r="AP743" s="98"/>
      <c r="AQ743" s="98"/>
      <c r="AR743" s="98"/>
      <c r="AS743" s="98"/>
      <c r="AT743" s="98"/>
      <c r="AU743" s="98"/>
      <c r="AV743" s="98"/>
      <c r="AW743" s="98"/>
      <c r="AX743" s="98"/>
      <c r="AY743" s="98"/>
      <c r="AZ743" s="98"/>
    </row>
    <row r="744" spans="1:52" ht="12.75" customHeight="1" x14ac:dyDescent="0.25">
      <c r="A744" s="101"/>
      <c r="B744" s="97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  <c r="AH744" s="98"/>
      <c r="AI744" s="98"/>
      <c r="AJ744" s="98"/>
      <c r="AK744" s="98"/>
      <c r="AL744" s="98"/>
      <c r="AM744" s="98"/>
      <c r="AN744" s="98"/>
      <c r="AO744" s="98"/>
      <c r="AP744" s="98"/>
      <c r="AQ744" s="98"/>
      <c r="AR744" s="98"/>
      <c r="AS744" s="98"/>
      <c r="AT744" s="98"/>
      <c r="AU744" s="98"/>
      <c r="AV744" s="98"/>
      <c r="AW744" s="98"/>
      <c r="AX744" s="98"/>
      <c r="AY744" s="98"/>
      <c r="AZ744" s="98"/>
    </row>
    <row r="745" spans="1:52" ht="12.75" customHeight="1" x14ac:dyDescent="0.25">
      <c r="A745" s="101"/>
      <c r="B745" s="97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  <c r="AH745" s="98"/>
      <c r="AI745" s="98"/>
      <c r="AJ745" s="98"/>
      <c r="AK745" s="98"/>
      <c r="AL745" s="98"/>
      <c r="AM745" s="98"/>
      <c r="AN745" s="98"/>
      <c r="AO745" s="98"/>
      <c r="AP745" s="98"/>
      <c r="AQ745" s="98"/>
      <c r="AR745" s="98"/>
      <c r="AS745" s="98"/>
      <c r="AT745" s="98"/>
      <c r="AU745" s="98"/>
      <c r="AV745" s="98"/>
      <c r="AW745" s="98"/>
      <c r="AX745" s="98"/>
      <c r="AY745" s="98"/>
      <c r="AZ745" s="98"/>
    </row>
    <row r="746" spans="1:52" ht="12.75" customHeight="1" x14ac:dyDescent="0.25">
      <c r="A746" s="101"/>
      <c r="B746" s="97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  <c r="AH746" s="98"/>
      <c r="AI746" s="98"/>
      <c r="AJ746" s="98"/>
      <c r="AK746" s="98"/>
      <c r="AL746" s="98"/>
      <c r="AM746" s="98"/>
      <c r="AN746" s="98"/>
      <c r="AO746" s="98"/>
      <c r="AP746" s="98"/>
      <c r="AQ746" s="98"/>
      <c r="AR746" s="98"/>
      <c r="AS746" s="98"/>
      <c r="AT746" s="98"/>
      <c r="AU746" s="98"/>
      <c r="AV746" s="98"/>
      <c r="AW746" s="98"/>
      <c r="AX746" s="98"/>
      <c r="AY746" s="98"/>
      <c r="AZ746" s="98"/>
    </row>
    <row r="747" spans="1:52" ht="12.75" customHeight="1" x14ac:dyDescent="0.25">
      <c r="A747" s="101"/>
      <c r="B747" s="97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  <c r="AH747" s="98"/>
      <c r="AI747" s="98"/>
      <c r="AJ747" s="98"/>
      <c r="AK747" s="98"/>
      <c r="AL747" s="98"/>
      <c r="AM747" s="98"/>
      <c r="AN747" s="98"/>
      <c r="AO747" s="98"/>
      <c r="AP747" s="98"/>
      <c r="AQ747" s="98"/>
      <c r="AR747" s="98"/>
      <c r="AS747" s="98"/>
      <c r="AT747" s="98"/>
      <c r="AU747" s="98"/>
      <c r="AV747" s="98"/>
      <c r="AW747" s="98"/>
      <c r="AX747" s="98"/>
      <c r="AY747" s="98"/>
      <c r="AZ747" s="98"/>
    </row>
    <row r="748" spans="1:52" ht="12.75" customHeight="1" x14ac:dyDescent="0.25">
      <c r="A748" s="101"/>
      <c r="B748" s="97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  <c r="AH748" s="98"/>
      <c r="AI748" s="98"/>
      <c r="AJ748" s="98"/>
      <c r="AK748" s="98"/>
      <c r="AL748" s="98"/>
      <c r="AM748" s="98"/>
      <c r="AN748" s="98"/>
      <c r="AO748" s="98"/>
      <c r="AP748" s="98"/>
      <c r="AQ748" s="98"/>
      <c r="AR748" s="98"/>
      <c r="AS748" s="98"/>
      <c r="AT748" s="98"/>
      <c r="AU748" s="98"/>
      <c r="AV748" s="98"/>
      <c r="AW748" s="98"/>
      <c r="AX748" s="98"/>
      <c r="AY748" s="98"/>
      <c r="AZ748" s="98"/>
    </row>
    <row r="749" spans="1:52" ht="12.75" customHeight="1" x14ac:dyDescent="0.25">
      <c r="A749" s="101"/>
      <c r="B749" s="97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  <c r="AH749" s="98"/>
      <c r="AI749" s="98"/>
      <c r="AJ749" s="98"/>
      <c r="AK749" s="98"/>
      <c r="AL749" s="98"/>
      <c r="AM749" s="98"/>
      <c r="AN749" s="98"/>
      <c r="AO749" s="98"/>
      <c r="AP749" s="98"/>
      <c r="AQ749" s="98"/>
      <c r="AR749" s="98"/>
      <c r="AS749" s="98"/>
      <c r="AT749" s="98"/>
      <c r="AU749" s="98"/>
      <c r="AV749" s="98"/>
      <c r="AW749" s="98"/>
      <c r="AX749" s="98"/>
      <c r="AY749" s="98"/>
      <c r="AZ749" s="98"/>
    </row>
    <row r="750" spans="1:52" ht="12.75" customHeight="1" x14ac:dyDescent="0.25">
      <c r="A750" s="101"/>
      <c r="B750" s="97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  <c r="AH750" s="98"/>
      <c r="AI750" s="98"/>
      <c r="AJ750" s="98"/>
      <c r="AK750" s="98"/>
      <c r="AL750" s="98"/>
      <c r="AM750" s="98"/>
      <c r="AN750" s="98"/>
      <c r="AO750" s="98"/>
      <c r="AP750" s="98"/>
      <c r="AQ750" s="98"/>
      <c r="AR750" s="98"/>
      <c r="AS750" s="98"/>
      <c r="AT750" s="98"/>
      <c r="AU750" s="98"/>
      <c r="AV750" s="98"/>
      <c r="AW750" s="98"/>
      <c r="AX750" s="98"/>
      <c r="AY750" s="98"/>
      <c r="AZ750" s="98"/>
    </row>
    <row r="751" spans="1:52" ht="12.75" customHeight="1" x14ac:dyDescent="0.25">
      <c r="A751" s="101"/>
      <c r="B751" s="97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  <c r="AH751" s="98"/>
      <c r="AI751" s="98"/>
      <c r="AJ751" s="98"/>
      <c r="AK751" s="98"/>
      <c r="AL751" s="98"/>
      <c r="AM751" s="98"/>
      <c r="AN751" s="98"/>
      <c r="AO751" s="98"/>
      <c r="AP751" s="98"/>
      <c r="AQ751" s="98"/>
      <c r="AR751" s="98"/>
      <c r="AS751" s="98"/>
      <c r="AT751" s="98"/>
      <c r="AU751" s="98"/>
      <c r="AV751" s="98"/>
      <c r="AW751" s="98"/>
      <c r="AX751" s="98"/>
      <c r="AY751" s="98"/>
      <c r="AZ751" s="98"/>
    </row>
    <row r="752" spans="1:52" ht="12.75" customHeight="1" x14ac:dyDescent="0.25">
      <c r="A752" s="101"/>
      <c r="B752" s="97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  <c r="AH752" s="98"/>
      <c r="AI752" s="98"/>
      <c r="AJ752" s="98"/>
      <c r="AK752" s="98"/>
      <c r="AL752" s="98"/>
      <c r="AM752" s="98"/>
      <c r="AN752" s="98"/>
      <c r="AO752" s="98"/>
      <c r="AP752" s="98"/>
      <c r="AQ752" s="98"/>
      <c r="AR752" s="98"/>
      <c r="AS752" s="98"/>
      <c r="AT752" s="98"/>
      <c r="AU752" s="98"/>
      <c r="AV752" s="98"/>
      <c r="AW752" s="98"/>
      <c r="AX752" s="98"/>
      <c r="AY752" s="98"/>
      <c r="AZ752" s="98"/>
    </row>
    <row r="753" spans="1:52" ht="12.75" customHeight="1" x14ac:dyDescent="0.25">
      <c r="A753" s="101"/>
      <c r="B753" s="97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  <c r="AH753" s="98"/>
      <c r="AI753" s="98"/>
      <c r="AJ753" s="98"/>
      <c r="AK753" s="98"/>
      <c r="AL753" s="98"/>
      <c r="AM753" s="98"/>
      <c r="AN753" s="98"/>
      <c r="AO753" s="98"/>
      <c r="AP753" s="98"/>
      <c r="AQ753" s="98"/>
      <c r="AR753" s="98"/>
      <c r="AS753" s="98"/>
      <c r="AT753" s="98"/>
      <c r="AU753" s="98"/>
      <c r="AV753" s="98"/>
      <c r="AW753" s="98"/>
      <c r="AX753" s="98"/>
      <c r="AY753" s="98"/>
      <c r="AZ753" s="98"/>
    </row>
    <row r="754" spans="1:52" ht="12.75" customHeight="1" x14ac:dyDescent="0.25">
      <c r="A754" s="101"/>
      <c r="B754" s="97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  <c r="AH754" s="98"/>
      <c r="AI754" s="98"/>
      <c r="AJ754" s="98"/>
      <c r="AK754" s="98"/>
      <c r="AL754" s="98"/>
      <c r="AM754" s="98"/>
      <c r="AN754" s="98"/>
      <c r="AO754" s="98"/>
      <c r="AP754" s="98"/>
      <c r="AQ754" s="98"/>
      <c r="AR754" s="98"/>
      <c r="AS754" s="98"/>
      <c r="AT754" s="98"/>
      <c r="AU754" s="98"/>
      <c r="AV754" s="98"/>
      <c r="AW754" s="98"/>
      <c r="AX754" s="98"/>
      <c r="AY754" s="98"/>
      <c r="AZ754" s="98"/>
    </row>
    <row r="755" spans="1:52" ht="12.75" customHeight="1" x14ac:dyDescent="0.25">
      <c r="A755" s="101"/>
      <c r="B755" s="97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  <c r="AH755" s="98"/>
      <c r="AI755" s="98"/>
      <c r="AJ755" s="98"/>
      <c r="AK755" s="98"/>
      <c r="AL755" s="98"/>
      <c r="AM755" s="98"/>
      <c r="AN755" s="98"/>
      <c r="AO755" s="98"/>
      <c r="AP755" s="98"/>
      <c r="AQ755" s="98"/>
      <c r="AR755" s="98"/>
      <c r="AS755" s="98"/>
      <c r="AT755" s="98"/>
      <c r="AU755" s="98"/>
      <c r="AV755" s="98"/>
      <c r="AW755" s="98"/>
      <c r="AX755" s="98"/>
      <c r="AY755" s="98"/>
      <c r="AZ755" s="98"/>
    </row>
    <row r="756" spans="1:52" ht="12.75" customHeight="1" x14ac:dyDescent="0.25">
      <c r="A756" s="101"/>
      <c r="B756" s="97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</row>
    <row r="757" spans="1:52" ht="12.75" customHeight="1" x14ac:dyDescent="0.25">
      <c r="A757" s="101"/>
      <c r="B757" s="97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</row>
    <row r="758" spans="1:52" ht="12.75" customHeight="1" x14ac:dyDescent="0.25">
      <c r="A758" s="101"/>
      <c r="B758" s="97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  <c r="AH758" s="98"/>
      <c r="AI758" s="98"/>
      <c r="AJ758" s="98"/>
      <c r="AK758" s="98"/>
      <c r="AL758" s="98"/>
      <c r="AM758" s="98"/>
      <c r="AN758" s="98"/>
      <c r="AO758" s="98"/>
      <c r="AP758" s="98"/>
      <c r="AQ758" s="98"/>
      <c r="AR758" s="98"/>
      <c r="AS758" s="98"/>
      <c r="AT758" s="98"/>
      <c r="AU758" s="98"/>
      <c r="AV758" s="98"/>
      <c r="AW758" s="98"/>
      <c r="AX758" s="98"/>
      <c r="AY758" s="98"/>
      <c r="AZ758" s="98"/>
    </row>
    <row r="759" spans="1:52" ht="12.75" customHeight="1" x14ac:dyDescent="0.25">
      <c r="A759" s="101"/>
      <c r="B759" s="97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  <c r="AH759" s="98"/>
      <c r="AI759" s="98"/>
      <c r="AJ759" s="98"/>
      <c r="AK759" s="98"/>
      <c r="AL759" s="98"/>
      <c r="AM759" s="98"/>
      <c r="AN759" s="98"/>
      <c r="AO759" s="98"/>
      <c r="AP759" s="98"/>
      <c r="AQ759" s="98"/>
      <c r="AR759" s="98"/>
      <c r="AS759" s="98"/>
      <c r="AT759" s="98"/>
      <c r="AU759" s="98"/>
      <c r="AV759" s="98"/>
      <c r="AW759" s="98"/>
      <c r="AX759" s="98"/>
      <c r="AY759" s="98"/>
      <c r="AZ759" s="98"/>
    </row>
    <row r="760" spans="1:52" ht="12.75" customHeight="1" x14ac:dyDescent="0.25">
      <c r="A760" s="101"/>
      <c r="B760" s="97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  <c r="AH760" s="98"/>
      <c r="AI760" s="98"/>
      <c r="AJ760" s="98"/>
      <c r="AK760" s="98"/>
      <c r="AL760" s="98"/>
      <c r="AM760" s="98"/>
      <c r="AN760" s="98"/>
      <c r="AO760" s="98"/>
      <c r="AP760" s="98"/>
      <c r="AQ760" s="98"/>
      <c r="AR760" s="98"/>
      <c r="AS760" s="98"/>
      <c r="AT760" s="98"/>
      <c r="AU760" s="98"/>
      <c r="AV760" s="98"/>
      <c r="AW760" s="98"/>
      <c r="AX760" s="98"/>
      <c r="AY760" s="98"/>
      <c r="AZ760" s="98"/>
    </row>
    <row r="761" spans="1:52" ht="12.75" customHeight="1" x14ac:dyDescent="0.25">
      <c r="A761" s="101"/>
      <c r="B761" s="97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  <c r="AH761" s="98"/>
      <c r="AI761" s="98"/>
      <c r="AJ761" s="98"/>
      <c r="AK761" s="98"/>
      <c r="AL761" s="98"/>
      <c r="AM761" s="98"/>
      <c r="AN761" s="98"/>
      <c r="AO761" s="98"/>
      <c r="AP761" s="98"/>
      <c r="AQ761" s="98"/>
      <c r="AR761" s="98"/>
      <c r="AS761" s="98"/>
      <c r="AT761" s="98"/>
      <c r="AU761" s="98"/>
      <c r="AV761" s="98"/>
      <c r="AW761" s="98"/>
      <c r="AX761" s="98"/>
      <c r="AY761" s="98"/>
      <c r="AZ761" s="98"/>
    </row>
    <row r="762" spans="1:52" ht="12.75" customHeight="1" x14ac:dyDescent="0.25">
      <c r="A762" s="101"/>
      <c r="B762" s="97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</row>
    <row r="763" spans="1:52" ht="12.75" customHeight="1" x14ac:dyDescent="0.25">
      <c r="A763" s="101"/>
      <c r="B763" s="97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</row>
    <row r="764" spans="1:52" ht="12.75" customHeight="1" x14ac:dyDescent="0.25">
      <c r="A764" s="101"/>
      <c r="B764" s="97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</row>
    <row r="765" spans="1:52" ht="12.75" customHeight="1" x14ac:dyDescent="0.25">
      <c r="A765" s="101"/>
      <c r="B765" s="97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</row>
    <row r="766" spans="1:52" ht="12.75" customHeight="1" x14ac:dyDescent="0.25">
      <c r="A766" s="101"/>
      <c r="B766" s="97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</row>
    <row r="767" spans="1:52" ht="12.75" customHeight="1" x14ac:dyDescent="0.25">
      <c r="A767" s="101"/>
      <c r="B767" s="97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</row>
    <row r="768" spans="1:52" ht="12.75" customHeight="1" x14ac:dyDescent="0.25">
      <c r="A768" s="101"/>
      <c r="B768" s="97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</row>
    <row r="769" spans="1:52" ht="12.75" customHeight="1" x14ac:dyDescent="0.25">
      <c r="A769" s="101"/>
      <c r="B769" s="97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</row>
    <row r="770" spans="1:52" ht="12.75" customHeight="1" x14ac:dyDescent="0.25">
      <c r="A770" s="101"/>
      <c r="B770" s="97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</row>
    <row r="771" spans="1:52" ht="12.75" customHeight="1" x14ac:dyDescent="0.25">
      <c r="A771" s="101"/>
      <c r="B771" s="97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  <c r="AH771" s="98"/>
      <c r="AI771" s="98"/>
      <c r="AJ771" s="98"/>
      <c r="AK771" s="98"/>
      <c r="AL771" s="98"/>
      <c r="AM771" s="98"/>
      <c r="AN771" s="98"/>
      <c r="AO771" s="98"/>
      <c r="AP771" s="98"/>
      <c r="AQ771" s="98"/>
      <c r="AR771" s="98"/>
      <c r="AS771" s="98"/>
      <c r="AT771" s="98"/>
      <c r="AU771" s="98"/>
      <c r="AV771" s="98"/>
      <c r="AW771" s="98"/>
      <c r="AX771" s="98"/>
      <c r="AY771" s="98"/>
      <c r="AZ771" s="98"/>
    </row>
    <row r="772" spans="1:52" ht="12.75" customHeight="1" x14ac:dyDescent="0.25">
      <c r="A772" s="101"/>
      <c r="B772" s="97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</row>
    <row r="773" spans="1:52" ht="12.75" customHeight="1" x14ac:dyDescent="0.25">
      <c r="A773" s="101"/>
      <c r="B773" s="97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</row>
    <row r="774" spans="1:52" ht="12.75" customHeight="1" x14ac:dyDescent="0.25">
      <c r="A774" s="101"/>
      <c r="B774" s="97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</row>
    <row r="775" spans="1:52" ht="12.75" customHeight="1" x14ac:dyDescent="0.25">
      <c r="A775" s="101"/>
      <c r="B775" s="97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</row>
    <row r="776" spans="1:52" ht="12.75" customHeight="1" x14ac:dyDescent="0.25">
      <c r="A776" s="101"/>
      <c r="B776" s="97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  <c r="AH776" s="98"/>
      <c r="AI776" s="98"/>
      <c r="AJ776" s="98"/>
      <c r="AK776" s="98"/>
      <c r="AL776" s="98"/>
      <c r="AM776" s="98"/>
      <c r="AN776" s="98"/>
      <c r="AO776" s="98"/>
      <c r="AP776" s="98"/>
      <c r="AQ776" s="98"/>
      <c r="AR776" s="98"/>
      <c r="AS776" s="98"/>
      <c r="AT776" s="98"/>
      <c r="AU776" s="98"/>
      <c r="AV776" s="98"/>
      <c r="AW776" s="98"/>
      <c r="AX776" s="98"/>
      <c r="AY776" s="98"/>
      <c r="AZ776" s="98"/>
    </row>
    <row r="777" spans="1:52" ht="12.75" customHeight="1" x14ac:dyDescent="0.25">
      <c r="A777" s="101"/>
      <c r="B777" s="97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  <c r="AH777" s="98"/>
      <c r="AI777" s="98"/>
      <c r="AJ777" s="98"/>
      <c r="AK777" s="98"/>
      <c r="AL777" s="98"/>
      <c r="AM777" s="98"/>
      <c r="AN777" s="98"/>
      <c r="AO777" s="98"/>
      <c r="AP777" s="98"/>
      <c r="AQ777" s="98"/>
      <c r="AR777" s="98"/>
      <c r="AS777" s="98"/>
      <c r="AT777" s="98"/>
      <c r="AU777" s="98"/>
      <c r="AV777" s="98"/>
      <c r="AW777" s="98"/>
      <c r="AX777" s="98"/>
      <c r="AY777" s="98"/>
      <c r="AZ777" s="98"/>
    </row>
    <row r="778" spans="1:52" ht="12.75" customHeight="1" x14ac:dyDescent="0.25">
      <c r="A778" s="101"/>
      <c r="B778" s="97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  <c r="AH778" s="98"/>
      <c r="AI778" s="98"/>
      <c r="AJ778" s="98"/>
      <c r="AK778" s="98"/>
      <c r="AL778" s="98"/>
      <c r="AM778" s="98"/>
      <c r="AN778" s="98"/>
      <c r="AO778" s="98"/>
      <c r="AP778" s="98"/>
      <c r="AQ778" s="98"/>
      <c r="AR778" s="98"/>
      <c r="AS778" s="98"/>
      <c r="AT778" s="98"/>
      <c r="AU778" s="98"/>
      <c r="AV778" s="98"/>
      <c r="AW778" s="98"/>
      <c r="AX778" s="98"/>
      <c r="AY778" s="98"/>
      <c r="AZ778" s="98"/>
    </row>
    <row r="779" spans="1:52" ht="12.75" customHeight="1" x14ac:dyDescent="0.25">
      <c r="A779" s="101"/>
      <c r="B779" s="97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  <c r="AH779" s="98"/>
      <c r="AI779" s="98"/>
      <c r="AJ779" s="98"/>
      <c r="AK779" s="98"/>
      <c r="AL779" s="98"/>
      <c r="AM779" s="98"/>
      <c r="AN779" s="98"/>
      <c r="AO779" s="98"/>
      <c r="AP779" s="98"/>
      <c r="AQ779" s="98"/>
      <c r="AR779" s="98"/>
      <c r="AS779" s="98"/>
      <c r="AT779" s="98"/>
      <c r="AU779" s="98"/>
      <c r="AV779" s="98"/>
      <c r="AW779" s="98"/>
      <c r="AX779" s="98"/>
      <c r="AY779" s="98"/>
      <c r="AZ779" s="98"/>
    </row>
    <row r="780" spans="1:52" ht="12.75" customHeight="1" x14ac:dyDescent="0.25">
      <c r="A780" s="101"/>
      <c r="B780" s="97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  <c r="AH780" s="98"/>
      <c r="AI780" s="98"/>
      <c r="AJ780" s="98"/>
      <c r="AK780" s="98"/>
      <c r="AL780" s="98"/>
      <c r="AM780" s="98"/>
      <c r="AN780" s="98"/>
      <c r="AO780" s="98"/>
      <c r="AP780" s="98"/>
      <c r="AQ780" s="98"/>
      <c r="AR780" s="98"/>
      <c r="AS780" s="98"/>
      <c r="AT780" s="98"/>
      <c r="AU780" s="98"/>
      <c r="AV780" s="98"/>
      <c r="AW780" s="98"/>
      <c r="AX780" s="98"/>
      <c r="AY780" s="98"/>
      <c r="AZ780" s="98"/>
    </row>
    <row r="781" spans="1:52" ht="12.75" customHeight="1" x14ac:dyDescent="0.25">
      <c r="A781" s="101"/>
      <c r="B781" s="97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  <c r="AH781" s="98"/>
      <c r="AI781" s="98"/>
      <c r="AJ781" s="98"/>
      <c r="AK781" s="98"/>
      <c r="AL781" s="98"/>
      <c r="AM781" s="98"/>
      <c r="AN781" s="98"/>
      <c r="AO781" s="98"/>
      <c r="AP781" s="98"/>
      <c r="AQ781" s="98"/>
      <c r="AR781" s="98"/>
      <c r="AS781" s="98"/>
      <c r="AT781" s="98"/>
      <c r="AU781" s="98"/>
      <c r="AV781" s="98"/>
      <c r="AW781" s="98"/>
      <c r="AX781" s="98"/>
      <c r="AY781" s="98"/>
      <c r="AZ781" s="98"/>
    </row>
    <row r="782" spans="1:52" ht="12.75" customHeight="1" x14ac:dyDescent="0.25">
      <c r="A782" s="101"/>
      <c r="B782" s="97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  <c r="AH782" s="98"/>
      <c r="AI782" s="98"/>
      <c r="AJ782" s="98"/>
      <c r="AK782" s="98"/>
      <c r="AL782" s="98"/>
      <c r="AM782" s="98"/>
      <c r="AN782" s="98"/>
      <c r="AO782" s="98"/>
      <c r="AP782" s="98"/>
      <c r="AQ782" s="98"/>
      <c r="AR782" s="98"/>
      <c r="AS782" s="98"/>
      <c r="AT782" s="98"/>
      <c r="AU782" s="98"/>
      <c r="AV782" s="98"/>
      <c r="AW782" s="98"/>
      <c r="AX782" s="98"/>
      <c r="AY782" s="98"/>
      <c r="AZ782" s="98"/>
    </row>
    <row r="783" spans="1:52" ht="12.75" customHeight="1" x14ac:dyDescent="0.25">
      <c r="A783" s="101"/>
      <c r="B783" s="97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  <c r="AH783" s="98"/>
      <c r="AI783" s="98"/>
      <c r="AJ783" s="98"/>
      <c r="AK783" s="98"/>
      <c r="AL783" s="98"/>
      <c r="AM783" s="98"/>
      <c r="AN783" s="98"/>
      <c r="AO783" s="98"/>
      <c r="AP783" s="98"/>
      <c r="AQ783" s="98"/>
      <c r="AR783" s="98"/>
      <c r="AS783" s="98"/>
      <c r="AT783" s="98"/>
      <c r="AU783" s="98"/>
      <c r="AV783" s="98"/>
      <c r="AW783" s="98"/>
      <c r="AX783" s="98"/>
      <c r="AY783" s="98"/>
      <c r="AZ783" s="98"/>
    </row>
    <row r="784" spans="1:52" ht="12.75" customHeight="1" x14ac:dyDescent="0.25">
      <c r="A784" s="101"/>
      <c r="B784" s="97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  <c r="AH784" s="98"/>
      <c r="AI784" s="98"/>
      <c r="AJ784" s="98"/>
      <c r="AK784" s="98"/>
      <c r="AL784" s="98"/>
      <c r="AM784" s="98"/>
      <c r="AN784" s="98"/>
      <c r="AO784" s="98"/>
      <c r="AP784" s="98"/>
      <c r="AQ784" s="98"/>
      <c r="AR784" s="98"/>
      <c r="AS784" s="98"/>
      <c r="AT784" s="98"/>
      <c r="AU784" s="98"/>
      <c r="AV784" s="98"/>
      <c r="AW784" s="98"/>
      <c r="AX784" s="98"/>
      <c r="AY784" s="98"/>
      <c r="AZ784" s="98"/>
    </row>
    <row r="785" spans="1:52" ht="12.75" customHeight="1" x14ac:dyDescent="0.25">
      <c r="A785" s="101"/>
      <c r="B785" s="97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  <c r="AH785" s="98"/>
      <c r="AI785" s="98"/>
      <c r="AJ785" s="98"/>
      <c r="AK785" s="98"/>
      <c r="AL785" s="98"/>
      <c r="AM785" s="98"/>
      <c r="AN785" s="98"/>
      <c r="AO785" s="98"/>
      <c r="AP785" s="98"/>
      <c r="AQ785" s="98"/>
      <c r="AR785" s="98"/>
      <c r="AS785" s="98"/>
      <c r="AT785" s="98"/>
      <c r="AU785" s="98"/>
      <c r="AV785" s="98"/>
      <c r="AW785" s="98"/>
      <c r="AX785" s="98"/>
      <c r="AY785" s="98"/>
      <c r="AZ785" s="98"/>
    </row>
    <row r="786" spans="1:52" ht="12.75" customHeight="1" x14ac:dyDescent="0.25">
      <c r="A786" s="101"/>
      <c r="B786" s="97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  <c r="AH786" s="98"/>
      <c r="AI786" s="98"/>
      <c r="AJ786" s="98"/>
      <c r="AK786" s="98"/>
      <c r="AL786" s="98"/>
      <c r="AM786" s="98"/>
      <c r="AN786" s="98"/>
      <c r="AO786" s="98"/>
      <c r="AP786" s="98"/>
      <c r="AQ786" s="98"/>
      <c r="AR786" s="98"/>
      <c r="AS786" s="98"/>
      <c r="AT786" s="98"/>
      <c r="AU786" s="98"/>
      <c r="AV786" s="98"/>
      <c r="AW786" s="98"/>
      <c r="AX786" s="98"/>
      <c r="AY786" s="98"/>
      <c r="AZ786" s="98"/>
    </row>
    <row r="787" spans="1:52" ht="12.75" customHeight="1" x14ac:dyDescent="0.25">
      <c r="A787" s="101"/>
      <c r="B787" s="97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  <c r="AH787" s="98"/>
      <c r="AI787" s="98"/>
      <c r="AJ787" s="98"/>
      <c r="AK787" s="98"/>
      <c r="AL787" s="98"/>
      <c r="AM787" s="98"/>
      <c r="AN787" s="98"/>
      <c r="AO787" s="98"/>
      <c r="AP787" s="98"/>
      <c r="AQ787" s="98"/>
      <c r="AR787" s="98"/>
      <c r="AS787" s="98"/>
      <c r="AT787" s="98"/>
      <c r="AU787" s="98"/>
      <c r="AV787" s="98"/>
      <c r="AW787" s="98"/>
      <c r="AX787" s="98"/>
      <c r="AY787" s="98"/>
      <c r="AZ787" s="98"/>
    </row>
    <row r="788" spans="1:52" ht="12.75" customHeight="1" x14ac:dyDescent="0.25">
      <c r="A788" s="101"/>
      <c r="B788" s="97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  <c r="AH788" s="98"/>
      <c r="AI788" s="98"/>
      <c r="AJ788" s="98"/>
      <c r="AK788" s="98"/>
      <c r="AL788" s="98"/>
      <c r="AM788" s="98"/>
      <c r="AN788" s="98"/>
      <c r="AO788" s="98"/>
      <c r="AP788" s="98"/>
      <c r="AQ788" s="98"/>
      <c r="AR788" s="98"/>
      <c r="AS788" s="98"/>
      <c r="AT788" s="98"/>
      <c r="AU788" s="98"/>
      <c r="AV788" s="98"/>
      <c r="AW788" s="98"/>
      <c r="AX788" s="98"/>
      <c r="AY788" s="98"/>
      <c r="AZ788" s="98"/>
    </row>
    <row r="789" spans="1:52" ht="12.75" customHeight="1" x14ac:dyDescent="0.25">
      <c r="A789" s="101"/>
      <c r="B789" s="97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  <c r="AH789" s="98"/>
      <c r="AI789" s="98"/>
      <c r="AJ789" s="98"/>
      <c r="AK789" s="98"/>
      <c r="AL789" s="98"/>
      <c r="AM789" s="98"/>
      <c r="AN789" s="98"/>
      <c r="AO789" s="98"/>
      <c r="AP789" s="98"/>
      <c r="AQ789" s="98"/>
      <c r="AR789" s="98"/>
      <c r="AS789" s="98"/>
      <c r="AT789" s="98"/>
      <c r="AU789" s="98"/>
      <c r="AV789" s="98"/>
      <c r="AW789" s="98"/>
      <c r="AX789" s="98"/>
      <c r="AY789" s="98"/>
      <c r="AZ789" s="98"/>
    </row>
    <row r="790" spans="1:52" ht="12.75" customHeight="1" x14ac:dyDescent="0.25">
      <c r="A790" s="101"/>
      <c r="B790" s="97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</row>
    <row r="791" spans="1:52" ht="12.75" customHeight="1" x14ac:dyDescent="0.25">
      <c r="A791" s="101"/>
      <c r="B791" s="97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</row>
    <row r="792" spans="1:52" ht="12.75" customHeight="1" x14ac:dyDescent="0.25">
      <c r="A792" s="101"/>
      <c r="B792" s="97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</row>
    <row r="793" spans="1:52" ht="12.75" customHeight="1" x14ac:dyDescent="0.25">
      <c r="A793" s="101"/>
      <c r="B793" s="97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</row>
    <row r="794" spans="1:52" ht="12.75" customHeight="1" x14ac:dyDescent="0.25">
      <c r="A794" s="101"/>
      <c r="B794" s="97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</row>
    <row r="795" spans="1:52" ht="12.75" customHeight="1" x14ac:dyDescent="0.25">
      <c r="A795" s="101"/>
      <c r="B795" s="97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</row>
    <row r="796" spans="1:52" ht="12.75" customHeight="1" x14ac:dyDescent="0.25">
      <c r="A796" s="101"/>
      <c r="B796" s="97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98"/>
      <c r="AQ796" s="98"/>
      <c r="AR796" s="98"/>
      <c r="AS796" s="98"/>
      <c r="AT796" s="98"/>
      <c r="AU796" s="98"/>
      <c r="AV796" s="98"/>
      <c r="AW796" s="98"/>
      <c r="AX796" s="98"/>
      <c r="AY796" s="98"/>
      <c r="AZ796" s="98"/>
    </row>
    <row r="797" spans="1:52" ht="12.75" customHeight="1" x14ac:dyDescent="0.25">
      <c r="A797" s="101"/>
      <c r="B797" s="97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</row>
    <row r="798" spans="1:52" ht="12.75" customHeight="1" x14ac:dyDescent="0.25">
      <c r="A798" s="101"/>
      <c r="B798" s="97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</row>
    <row r="799" spans="1:52" ht="12.75" customHeight="1" x14ac:dyDescent="0.25">
      <c r="A799" s="101"/>
      <c r="B799" s="97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</row>
    <row r="800" spans="1:52" ht="12.75" customHeight="1" x14ac:dyDescent="0.25">
      <c r="A800" s="101"/>
      <c r="B800" s="97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</row>
    <row r="801" spans="1:52" ht="12.75" customHeight="1" x14ac:dyDescent="0.25">
      <c r="A801" s="101"/>
      <c r="B801" s="97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</row>
    <row r="802" spans="1:52" ht="12.75" customHeight="1" x14ac:dyDescent="0.25">
      <c r="A802" s="101"/>
      <c r="B802" s="97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98"/>
      <c r="AI802" s="98"/>
      <c r="AJ802" s="98"/>
      <c r="AK802" s="98"/>
      <c r="AL802" s="98"/>
      <c r="AM802" s="98"/>
      <c r="AN802" s="98"/>
      <c r="AO802" s="98"/>
      <c r="AP802" s="98"/>
      <c r="AQ802" s="98"/>
      <c r="AR802" s="98"/>
      <c r="AS802" s="98"/>
      <c r="AT802" s="98"/>
      <c r="AU802" s="98"/>
      <c r="AV802" s="98"/>
      <c r="AW802" s="98"/>
      <c r="AX802" s="98"/>
      <c r="AY802" s="98"/>
      <c r="AZ802" s="98"/>
    </row>
    <row r="803" spans="1:52" ht="12.75" customHeight="1" x14ac:dyDescent="0.25">
      <c r="A803" s="101"/>
      <c r="B803" s="97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  <c r="AH803" s="98"/>
      <c r="AI803" s="98"/>
      <c r="AJ803" s="98"/>
      <c r="AK803" s="98"/>
      <c r="AL803" s="98"/>
      <c r="AM803" s="98"/>
      <c r="AN803" s="98"/>
      <c r="AO803" s="98"/>
      <c r="AP803" s="98"/>
      <c r="AQ803" s="98"/>
      <c r="AR803" s="98"/>
      <c r="AS803" s="98"/>
      <c r="AT803" s="98"/>
      <c r="AU803" s="98"/>
      <c r="AV803" s="98"/>
      <c r="AW803" s="98"/>
      <c r="AX803" s="98"/>
      <c r="AY803" s="98"/>
      <c r="AZ803" s="98"/>
    </row>
    <row r="804" spans="1:52" ht="12.75" customHeight="1" x14ac:dyDescent="0.25">
      <c r="A804" s="101"/>
      <c r="B804" s="97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</row>
    <row r="805" spans="1:52" ht="12.75" customHeight="1" x14ac:dyDescent="0.25">
      <c r="A805" s="101"/>
      <c r="B805" s="97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</row>
    <row r="806" spans="1:52" ht="12.75" customHeight="1" x14ac:dyDescent="0.25">
      <c r="A806" s="101"/>
      <c r="B806" s="97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</row>
    <row r="807" spans="1:52" ht="12.75" customHeight="1" x14ac:dyDescent="0.25">
      <c r="A807" s="101"/>
      <c r="B807" s="97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</row>
    <row r="808" spans="1:52" ht="12.75" customHeight="1" x14ac:dyDescent="0.25">
      <c r="A808" s="101"/>
      <c r="B808" s="97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</row>
    <row r="809" spans="1:52" ht="12.75" customHeight="1" x14ac:dyDescent="0.25">
      <c r="A809" s="101"/>
      <c r="B809" s="97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</row>
    <row r="810" spans="1:52" ht="12.75" customHeight="1" x14ac:dyDescent="0.25">
      <c r="A810" s="101"/>
      <c r="B810" s="97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  <c r="AH810" s="98"/>
      <c r="AI810" s="98"/>
      <c r="AJ810" s="98"/>
      <c r="AK810" s="98"/>
      <c r="AL810" s="98"/>
      <c r="AM810" s="98"/>
      <c r="AN810" s="98"/>
      <c r="AO810" s="98"/>
      <c r="AP810" s="98"/>
      <c r="AQ810" s="98"/>
      <c r="AR810" s="98"/>
      <c r="AS810" s="98"/>
      <c r="AT810" s="98"/>
      <c r="AU810" s="98"/>
      <c r="AV810" s="98"/>
      <c r="AW810" s="98"/>
      <c r="AX810" s="98"/>
      <c r="AY810" s="98"/>
      <c r="AZ810" s="98"/>
    </row>
    <row r="811" spans="1:52" ht="12.75" customHeight="1" x14ac:dyDescent="0.25">
      <c r="A811" s="101"/>
      <c r="B811" s="97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</row>
    <row r="812" spans="1:52" ht="12.75" customHeight="1" x14ac:dyDescent="0.25">
      <c r="A812" s="101"/>
      <c r="B812" s="97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</row>
    <row r="813" spans="1:52" ht="12.75" customHeight="1" x14ac:dyDescent="0.25">
      <c r="A813" s="101"/>
      <c r="B813" s="97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</row>
    <row r="814" spans="1:52" ht="12.75" customHeight="1" x14ac:dyDescent="0.25">
      <c r="A814" s="101"/>
      <c r="B814" s="97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  <c r="AH814" s="98"/>
      <c r="AI814" s="98"/>
      <c r="AJ814" s="98"/>
      <c r="AK814" s="98"/>
      <c r="AL814" s="98"/>
      <c r="AM814" s="98"/>
      <c r="AN814" s="98"/>
      <c r="AO814" s="98"/>
      <c r="AP814" s="98"/>
      <c r="AQ814" s="98"/>
      <c r="AR814" s="98"/>
      <c r="AS814" s="98"/>
      <c r="AT814" s="98"/>
      <c r="AU814" s="98"/>
      <c r="AV814" s="98"/>
      <c r="AW814" s="98"/>
      <c r="AX814" s="98"/>
      <c r="AY814" s="98"/>
      <c r="AZ814" s="98"/>
    </row>
    <row r="815" spans="1:52" ht="12.75" customHeight="1" x14ac:dyDescent="0.25">
      <c r="A815" s="101"/>
      <c r="B815" s="97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</row>
    <row r="816" spans="1:52" ht="12.75" customHeight="1" x14ac:dyDescent="0.25">
      <c r="A816" s="101"/>
      <c r="B816" s="97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  <c r="AH816" s="98"/>
      <c r="AI816" s="98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</row>
    <row r="817" spans="1:52" ht="12.75" customHeight="1" x14ac:dyDescent="0.25">
      <c r="A817" s="101"/>
      <c r="B817" s="97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</row>
    <row r="818" spans="1:52" ht="12.75" customHeight="1" x14ac:dyDescent="0.25">
      <c r="A818" s="101"/>
      <c r="B818" s="97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  <c r="AH818" s="98"/>
      <c r="AI818" s="98"/>
      <c r="AJ818" s="98"/>
      <c r="AK818" s="98"/>
      <c r="AL818" s="98"/>
      <c r="AM818" s="98"/>
      <c r="AN818" s="98"/>
      <c r="AO818" s="98"/>
      <c r="AP818" s="98"/>
      <c r="AQ818" s="98"/>
      <c r="AR818" s="98"/>
      <c r="AS818" s="98"/>
      <c r="AT818" s="98"/>
      <c r="AU818" s="98"/>
      <c r="AV818" s="98"/>
      <c r="AW818" s="98"/>
      <c r="AX818" s="98"/>
      <c r="AY818" s="98"/>
      <c r="AZ818" s="98"/>
    </row>
    <row r="819" spans="1:52" ht="12.75" customHeight="1" x14ac:dyDescent="0.25">
      <c r="A819" s="101"/>
      <c r="B819" s="97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  <c r="AH819" s="98"/>
      <c r="AI819" s="98"/>
      <c r="AJ819" s="98"/>
      <c r="AK819" s="98"/>
      <c r="AL819" s="98"/>
      <c r="AM819" s="98"/>
      <c r="AN819" s="98"/>
      <c r="AO819" s="98"/>
      <c r="AP819" s="98"/>
      <c r="AQ819" s="98"/>
      <c r="AR819" s="98"/>
      <c r="AS819" s="98"/>
      <c r="AT819" s="98"/>
      <c r="AU819" s="98"/>
      <c r="AV819" s="98"/>
      <c r="AW819" s="98"/>
      <c r="AX819" s="98"/>
      <c r="AY819" s="98"/>
      <c r="AZ819" s="98"/>
    </row>
    <row r="820" spans="1:52" ht="12.75" customHeight="1" x14ac:dyDescent="0.25">
      <c r="A820" s="101"/>
      <c r="B820" s="97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  <c r="AH820" s="98"/>
      <c r="AI820" s="98"/>
      <c r="AJ820" s="98"/>
      <c r="AK820" s="98"/>
      <c r="AL820" s="98"/>
      <c r="AM820" s="98"/>
      <c r="AN820" s="98"/>
      <c r="AO820" s="98"/>
      <c r="AP820" s="98"/>
      <c r="AQ820" s="98"/>
      <c r="AR820" s="98"/>
      <c r="AS820" s="98"/>
      <c r="AT820" s="98"/>
      <c r="AU820" s="98"/>
      <c r="AV820" s="98"/>
      <c r="AW820" s="98"/>
      <c r="AX820" s="98"/>
      <c r="AY820" s="98"/>
      <c r="AZ820" s="98"/>
    </row>
    <row r="821" spans="1:52" ht="12.75" customHeight="1" x14ac:dyDescent="0.25">
      <c r="A821" s="101"/>
      <c r="B821" s="97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  <c r="AH821" s="98"/>
      <c r="AI821" s="98"/>
      <c r="AJ821" s="98"/>
      <c r="AK821" s="98"/>
      <c r="AL821" s="98"/>
      <c r="AM821" s="98"/>
      <c r="AN821" s="98"/>
      <c r="AO821" s="98"/>
      <c r="AP821" s="98"/>
      <c r="AQ821" s="98"/>
      <c r="AR821" s="98"/>
      <c r="AS821" s="98"/>
      <c r="AT821" s="98"/>
      <c r="AU821" s="98"/>
      <c r="AV821" s="98"/>
      <c r="AW821" s="98"/>
      <c r="AX821" s="98"/>
      <c r="AY821" s="98"/>
      <c r="AZ821" s="98"/>
    </row>
    <row r="822" spans="1:52" ht="12.75" customHeight="1" x14ac:dyDescent="0.25">
      <c r="A822" s="101"/>
      <c r="B822" s="97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  <c r="AH822" s="98"/>
      <c r="AI822" s="98"/>
      <c r="AJ822" s="98"/>
      <c r="AK822" s="98"/>
      <c r="AL822" s="98"/>
      <c r="AM822" s="98"/>
      <c r="AN822" s="98"/>
      <c r="AO822" s="98"/>
      <c r="AP822" s="98"/>
      <c r="AQ822" s="98"/>
      <c r="AR822" s="98"/>
      <c r="AS822" s="98"/>
      <c r="AT822" s="98"/>
      <c r="AU822" s="98"/>
      <c r="AV822" s="98"/>
      <c r="AW822" s="98"/>
      <c r="AX822" s="98"/>
      <c r="AY822" s="98"/>
      <c r="AZ822" s="98"/>
    </row>
    <row r="823" spans="1:52" ht="12.75" customHeight="1" x14ac:dyDescent="0.25">
      <c r="A823" s="101"/>
      <c r="B823" s="97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  <c r="AH823" s="98"/>
      <c r="AI823" s="98"/>
      <c r="AJ823" s="98"/>
      <c r="AK823" s="98"/>
      <c r="AL823" s="98"/>
      <c r="AM823" s="98"/>
      <c r="AN823" s="98"/>
      <c r="AO823" s="98"/>
      <c r="AP823" s="98"/>
      <c r="AQ823" s="98"/>
      <c r="AR823" s="98"/>
      <c r="AS823" s="98"/>
      <c r="AT823" s="98"/>
      <c r="AU823" s="98"/>
      <c r="AV823" s="98"/>
      <c r="AW823" s="98"/>
      <c r="AX823" s="98"/>
      <c r="AY823" s="98"/>
      <c r="AZ823" s="98"/>
    </row>
    <row r="824" spans="1:52" ht="12.75" customHeight="1" x14ac:dyDescent="0.25">
      <c r="A824" s="101"/>
      <c r="B824" s="97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</row>
    <row r="825" spans="1:52" ht="12.75" customHeight="1" x14ac:dyDescent="0.25">
      <c r="A825" s="101"/>
      <c r="B825" s="97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</row>
    <row r="826" spans="1:52" ht="12.75" customHeight="1" x14ac:dyDescent="0.25">
      <c r="A826" s="101"/>
      <c r="B826" s="97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  <c r="AH826" s="98"/>
      <c r="AI826" s="98"/>
      <c r="AJ826" s="98"/>
      <c r="AK826" s="98"/>
      <c r="AL826" s="98"/>
      <c r="AM826" s="98"/>
      <c r="AN826" s="98"/>
      <c r="AO826" s="98"/>
      <c r="AP826" s="98"/>
      <c r="AQ826" s="98"/>
      <c r="AR826" s="98"/>
      <c r="AS826" s="98"/>
      <c r="AT826" s="98"/>
      <c r="AU826" s="98"/>
      <c r="AV826" s="98"/>
      <c r="AW826" s="98"/>
      <c r="AX826" s="98"/>
      <c r="AY826" s="98"/>
      <c r="AZ826" s="98"/>
    </row>
    <row r="827" spans="1:52" ht="12.75" customHeight="1" x14ac:dyDescent="0.25">
      <c r="A827" s="101"/>
      <c r="B827" s="97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  <c r="AH827" s="98"/>
      <c r="AI827" s="98"/>
      <c r="AJ827" s="98"/>
      <c r="AK827" s="98"/>
      <c r="AL827" s="98"/>
      <c r="AM827" s="98"/>
      <c r="AN827" s="98"/>
      <c r="AO827" s="98"/>
      <c r="AP827" s="98"/>
      <c r="AQ827" s="98"/>
      <c r="AR827" s="98"/>
      <c r="AS827" s="98"/>
      <c r="AT827" s="98"/>
      <c r="AU827" s="98"/>
      <c r="AV827" s="98"/>
      <c r="AW827" s="98"/>
      <c r="AX827" s="98"/>
      <c r="AY827" s="98"/>
      <c r="AZ827" s="98"/>
    </row>
    <row r="828" spans="1:52" ht="12.75" customHeight="1" x14ac:dyDescent="0.25">
      <c r="A828" s="101"/>
      <c r="B828" s="97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  <c r="AH828" s="98"/>
      <c r="AI828" s="98"/>
      <c r="AJ828" s="98"/>
      <c r="AK828" s="98"/>
      <c r="AL828" s="98"/>
      <c r="AM828" s="98"/>
      <c r="AN828" s="98"/>
      <c r="AO828" s="98"/>
      <c r="AP828" s="98"/>
      <c r="AQ828" s="98"/>
      <c r="AR828" s="98"/>
      <c r="AS828" s="98"/>
      <c r="AT828" s="98"/>
      <c r="AU828" s="98"/>
      <c r="AV828" s="98"/>
      <c r="AW828" s="98"/>
      <c r="AX828" s="98"/>
      <c r="AY828" s="98"/>
      <c r="AZ828" s="98"/>
    </row>
    <row r="829" spans="1:52" ht="12.75" customHeight="1" x14ac:dyDescent="0.25">
      <c r="A829" s="101"/>
      <c r="B829" s="97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  <c r="AH829" s="98"/>
      <c r="AI829" s="98"/>
      <c r="AJ829" s="98"/>
      <c r="AK829" s="98"/>
      <c r="AL829" s="98"/>
      <c r="AM829" s="98"/>
      <c r="AN829" s="98"/>
      <c r="AO829" s="98"/>
      <c r="AP829" s="98"/>
      <c r="AQ829" s="98"/>
      <c r="AR829" s="98"/>
      <c r="AS829" s="98"/>
      <c r="AT829" s="98"/>
      <c r="AU829" s="98"/>
      <c r="AV829" s="98"/>
      <c r="AW829" s="98"/>
      <c r="AX829" s="98"/>
      <c r="AY829" s="98"/>
      <c r="AZ829" s="98"/>
    </row>
    <row r="830" spans="1:52" ht="12.75" customHeight="1" x14ac:dyDescent="0.25">
      <c r="A830" s="101"/>
      <c r="B830" s="97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  <c r="AH830" s="98"/>
      <c r="AI830" s="98"/>
      <c r="AJ830" s="98"/>
      <c r="AK830" s="98"/>
      <c r="AL830" s="98"/>
      <c r="AM830" s="98"/>
      <c r="AN830" s="98"/>
      <c r="AO830" s="98"/>
      <c r="AP830" s="98"/>
      <c r="AQ830" s="98"/>
      <c r="AR830" s="98"/>
      <c r="AS830" s="98"/>
      <c r="AT830" s="98"/>
      <c r="AU830" s="98"/>
      <c r="AV830" s="98"/>
      <c r="AW830" s="98"/>
      <c r="AX830" s="98"/>
      <c r="AY830" s="98"/>
      <c r="AZ830" s="98"/>
    </row>
    <row r="831" spans="1:52" ht="12.75" customHeight="1" x14ac:dyDescent="0.25">
      <c r="A831" s="101"/>
      <c r="B831" s="97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  <c r="AH831" s="98"/>
      <c r="AI831" s="98"/>
      <c r="AJ831" s="98"/>
      <c r="AK831" s="98"/>
      <c r="AL831" s="98"/>
      <c r="AM831" s="98"/>
      <c r="AN831" s="98"/>
      <c r="AO831" s="98"/>
      <c r="AP831" s="98"/>
      <c r="AQ831" s="98"/>
      <c r="AR831" s="98"/>
      <c r="AS831" s="98"/>
      <c r="AT831" s="98"/>
      <c r="AU831" s="98"/>
      <c r="AV831" s="98"/>
      <c r="AW831" s="98"/>
      <c r="AX831" s="98"/>
      <c r="AY831" s="98"/>
      <c r="AZ831" s="98"/>
    </row>
    <row r="832" spans="1:52" ht="12.75" customHeight="1" x14ac:dyDescent="0.25">
      <c r="A832" s="101"/>
      <c r="B832" s="97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</row>
    <row r="833" spans="1:52" ht="12.75" customHeight="1" x14ac:dyDescent="0.25">
      <c r="A833" s="101"/>
      <c r="B833" s="97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</row>
    <row r="834" spans="1:52" ht="12.75" customHeight="1" x14ac:dyDescent="0.25">
      <c r="A834" s="101"/>
      <c r="B834" s="97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</row>
    <row r="835" spans="1:52" ht="12.75" customHeight="1" x14ac:dyDescent="0.25">
      <c r="A835" s="101"/>
      <c r="B835" s="97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  <c r="AH835" s="98"/>
      <c r="AI835" s="98"/>
      <c r="AJ835" s="98"/>
      <c r="AK835" s="98"/>
      <c r="AL835" s="98"/>
      <c r="AM835" s="98"/>
      <c r="AN835" s="98"/>
      <c r="AO835" s="98"/>
      <c r="AP835" s="98"/>
      <c r="AQ835" s="98"/>
      <c r="AR835" s="98"/>
      <c r="AS835" s="98"/>
      <c r="AT835" s="98"/>
      <c r="AU835" s="98"/>
      <c r="AV835" s="98"/>
      <c r="AW835" s="98"/>
      <c r="AX835" s="98"/>
      <c r="AY835" s="98"/>
      <c r="AZ835" s="98"/>
    </row>
    <row r="836" spans="1:52" ht="12.75" customHeight="1" x14ac:dyDescent="0.25">
      <c r="A836" s="101"/>
      <c r="B836" s="97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</row>
    <row r="837" spans="1:52" ht="12.75" customHeight="1" x14ac:dyDescent="0.25">
      <c r="A837" s="101"/>
      <c r="B837" s="97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98"/>
    </row>
    <row r="838" spans="1:52" ht="12.75" customHeight="1" x14ac:dyDescent="0.25">
      <c r="A838" s="101"/>
      <c r="B838" s="97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  <c r="AH838" s="98"/>
      <c r="AI838" s="98"/>
      <c r="AJ838" s="98"/>
      <c r="AK838" s="98"/>
      <c r="AL838" s="98"/>
      <c r="AM838" s="98"/>
      <c r="AN838" s="98"/>
      <c r="AO838" s="98"/>
      <c r="AP838" s="98"/>
      <c r="AQ838" s="98"/>
      <c r="AR838" s="98"/>
      <c r="AS838" s="98"/>
      <c r="AT838" s="98"/>
      <c r="AU838" s="98"/>
      <c r="AV838" s="98"/>
      <c r="AW838" s="98"/>
      <c r="AX838" s="98"/>
      <c r="AY838" s="98"/>
      <c r="AZ838" s="98"/>
    </row>
    <row r="839" spans="1:52" ht="12.75" customHeight="1" x14ac:dyDescent="0.25">
      <c r="A839" s="101"/>
      <c r="B839" s="97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  <c r="AH839" s="98"/>
      <c r="AI839" s="98"/>
      <c r="AJ839" s="98"/>
      <c r="AK839" s="98"/>
      <c r="AL839" s="98"/>
      <c r="AM839" s="98"/>
      <c r="AN839" s="98"/>
      <c r="AO839" s="98"/>
      <c r="AP839" s="98"/>
      <c r="AQ839" s="98"/>
      <c r="AR839" s="98"/>
      <c r="AS839" s="98"/>
      <c r="AT839" s="98"/>
      <c r="AU839" s="98"/>
      <c r="AV839" s="98"/>
      <c r="AW839" s="98"/>
      <c r="AX839" s="98"/>
      <c r="AY839" s="98"/>
      <c r="AZ839" s="98"/>
    </row>
    <row r="840" spans="1:52" ht="12.75" customHeight="1" x14ac:dyDescent="0.25">
      <c r="A840" s="101"/>
      <c r="B840" s="97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  <c r="AH840" s="98"/>
      <c r="AI840" s="98"/>
      <c r="AJ840" s="98"/>
      <c r="AK840" s="98"/>
      <c r="AL840" s="98"/>
      <c r="AM840" s="98"/>
      <c r="AN840" s="98"/>
      <c r="AO840" s="98"/>
      <c r="AP840" s="98"/>
      <c r="AQ840" s="98"/>
      <c r="AR840" s="98"/>
      <c r="AS840" s="98"/>
      <c r="AT840" s="98"/>
      <c r="AU840" s="98"/>
      <c r="AV840" s="98"/>
      <c r="AW840" s="98"/>
      <c r="AX840" s="98"/>
      <c r="AY840" s="98"/>
      <c r="AZ840" s="98"/>
    </row>
    <row r="841" spans="1:52" ht="12.75" customHeight="1" x14ac:dyDescent="0.25">
      <c r="A841" s="101"/>
      <c r="B841" s="97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  <c r="AH841" s="98"/>
      <c r="AI841" s="98"/>
      <c r="AJ841" s="98"/>
      <c r="AK841" s="98"/>
      <c r="AL841" s="98"/>
      <c r="AM841" s="98"/>
      <c r="AN841" s="98"/>
      <c r="AO841" s="98"/>
      <c r="AP841" s="98"/>
      <c r="AQ841" s="98"/>
      <c r="AR841" s="98"/>
      <c r="AS841" s="98"/>
      <c r="AT841" s="98"/>
      <c r="AU841" s="98"/>
      <c r="AV841" s="98"/>
      <c r="AW841" s="98"/>
      <c r="AX841" s="98"/>
      <c r="AY841" s="98"/>
      <c r="AZ841" s="98"/>
    </row>
    <row r="842" spans="1:52" ht="12.75" customHeight="1" x14ac:dyDescent="0.25">
      <c r="A842" s="101"/>
      <c r="B842" s="97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  <c r="AH842" s="98"/>
      <c r="AI842" s="98"/>
      <c r="AJ842" s="98"/>
      <c r="AK842" s="98"/>
      <c r="AL842" s="98"/>
      <c r="AM842" s="98"/>
      <c r="AN842" s="98"/>
      <c r="AO842" s="98"/>
      <c r="AP842" s="98"/>
      <c r="AQ842" s="98"/>
      <c r="AR842" s="98"/>
      <c r="AS842" s="98"/>
      <c r="AT842" s="98"/>
      <c r="AU842" s="98"/>
      <c r="AV842" s="98"/>
      <c r="AW842" s="98"/>
      <c r="AX842" s="98"/>
      <c r="AY842" s="98"/>
      <c r="AZ842" s="98"/>
    </row>
    <row r="843" spans="1:52" ht="12.75" customHeight="1" x14ac:dyDescent="0.25">
      <c r="A843" s="101"/>
      <c r="B843" s="97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  <c r="AH843" s="98"/>
      <c r="AI843" s="98"/>
      <c r="AJ843" s="98"/>
      <c r="AK843" s="98"/>
      <c r="AL843" s="98"/>
      <c r="AM843" s="98"/>
      <c r="AN843" s="98"/>
      <c r="AO843" s="98"/>
      <c r="AP843" s="98"/>
      <c r="AQ843" s="98"/>
      <c r="AR843" s="98"/>
      <c r="AS843" s="98"/>
      <c r="AT843" s="98"/>
      <c r="AU843" s="98"/>
      <c r="AV843" s="98"/>
      <c r="AW843" s="98"/>
      <c r="AX843" s="98"/>
      <c r="AY843" s="98"/>
      <c r="AZ843" s="98"/>
    </row>
    <row r="844" spans="1:52" ht="12.75" customHeight="1" x14ac:dyDescent="0.25">
      <c r="A844" s="101"/>
      <c r="B844" s="97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  <c r="AH844" s="98"/>
      <c r="AI844" s="98"/>
      <c r="AJ844" s="98"/>
      <c r="AK844" s="98"/>
      <c r="AL844" s="98"/>
      <c r="AM844" s="98"/>
      <c r="AN844" s="98"/>
      <c r="AO844" s="98"/>
      <c r="AP844" s="98"/>
      <c r="AQ844" s="98"/>
      <c r="AR844" s="98"/>
      <c r="AS844" s="98"/>
      <c r="AT844" s="98"/>
      <c r="AU844" s="98"/>
      <c r="AV844" s="98"/>
      <c r="AW844" s="98"/>
      <c r="AX844" s="98"/>
      <c r="AY844" s="98"/>
      <c r="AZ844" s="98"/>
    </row>
    <row r="845" spans="1:52" ht="12.75" customHeight="1" x14ac:dyDescent="0.25">
      <c r="A845" s="101"/>
      <c r="B845" s="97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  <c r="AH845" s="98"/>
      <c r="AI845" s="98"/>
      <c r="AJ845" s="98"/>
      <c r="AK845" s="98"/>
      <c r="AL845" s="98"/>
      <c r="AM845" s="98"/>
      <c r="AN845" s="98"/>
      <c r="AO845" s="98"/>
      <c r="AP845" s="98"/>
      <c r="AQ845" s="98"/>
      <c r="AR845" s="98"/>
      <c r="AS845" s="98"/>
      <c r="AT845" s="98"/>
      <c r="AU845" s="98"/>
      <c r="AV845" s="98"/>
      <c r="AW845" s="98"/>
      <c r="AX845" s="98"/>
      <c r="AY845" s="98"/>
      <c r="AZ845" s="98"/>
    </row>
    <row r="846" spans="1:52" ht="12.75" customHeight="1" x14ac:dyDescent="0.25">
      <c r="A846" s="101"/>
      <c r="B846" s="97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  <c r="AH846" s="98"/>
      <c r="AI846" s="98"/>
      <c r="AJ846" s="98"/>
      <c r="AK846" s="98"/>
      <c r="AL846" s="98"/>
      <c r="AM846" s="98"/>
      <c r="AN846" s="98"/>
      <c r="AO846" s="98"/>
      <c r="AP846" s="98"/>
      <c r="AQ846" s="98"/>
      <c r="AR846" s="98"/>
      <c r="AS846" s="98"/>
      <c r="AT846" s="98"/>
      <c r="AU846" s="98"/>
      <c r="AV846" s="98"/>
      <c r="AW846" s="98"/>
      <c r="AX846" s="98"/>
      <c r="AY846" s="98"/>
      <c r="AZ846" s="98"/>
    </row>
    <row r="847" spans="1:52" ht="12.75" customHeight="1" x14ac:dyDescent="0.25">
      <c r="A847" s="101"/>
      <c r="B847" s="97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  <c r="AH847" s="98"/>
      <c r="AI847" s="98"/>
      <c r="AJ847" s="98"/>
      <c r="AK847" s="98"/>
      <c r="AL847" s="98"/>
      <c r="AM847" s="98"/>
      <c r="AN847" s="98"/>
      <c r="AO847" s="98"/>
      <c r="AP847" s="98"/>
      <c r="AQ847" s="98"/>
      <c r="AR847" s="98"/>
      <c r="AS847" s="98"/>
      <c r="AT847" s="98"/>
      <c r="AU847" s="98"/>
      <c r="AV847" s="98"/>
      <c r="AW847" s="98"/>
      <c r="AX847" s="98"/>
      <c r="AY847" s="98"/>
      <c r="AZ847" s="98"/>
    </row>
    <row r="848" spans="1:52" ht="12.75" customHeight="1" x14ac:dyDescent="0.25">
      <c r="A848" s="101"/>
      <c r="B848" s="97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  <c r="AH848" s="98"/>
      <c r="AI848" s="98"/>
      <c r="AJ848" s="98"/>
      <c r="AK848" s="98"/>
      <c r="AL848" s="98"/>
      <c r="AM848" s="98"/>
      <c r="AN848" s="98"/>
      <c r="AO848" s="98"/>
      <c r="AP848" s="98"/>
      <c r="AQ848" s="98"/>
      <c r="AR848" s="98"/>
      <c r="AS848" s="98"/>
      <c r="AT848" s="98"/>
      <c r="AU848" s="98"/>
      <c r="AV848" s="98"/>
      <c r="AW848" s="98"/>
      <c r="AX848" s="98"/>
      <c r="AY848" s="98"/>
      <c r="AZ848" s="98"/>
    </row>
    <row r="849" spans="1:52" ht="12.75" customHeight="1" x14ac:dyDescent="0.25">
      <c r="A849" s="101"/>
      <c r="B849" s="97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  <c r="AH849" s="98"/>
      <c r="AI849" s="98"/>
      <c r="AJ849" s="98"/>
      <c r="AK849" s="98"/>
      <c r="AL849" s="98"/>
      <c r="AM849" s="98"/>
      <c r="AN849" s="98"/>
      <c r="AO849" s="98"/>
      <c r="AP849" s="98"/>
      <c r="AQ849" s="98"/>
      <c r="AR849" s="98"/>
      <c r="AS849" s="98"/>
      <c r="AT849" s="98"/>
      <c r="AU849" s="98"/>
      <c r="AV849" s="98"/>
      <c r="AW849" s="98"/>
      <c r="AX849" s="98"/>
      <c r="AY849" s="98"/>
      <c r="AZ849" s="98"/>
    </row>
    <row r="850" spans="1:52" ht="12.75" customHeight="1" x14ac:dyDescent="0.25">
      <c r="A850" s="101"/>
      <c r="B850" s="97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  <c r="AH850" s="98"/>
      <c r="AI850" s="98"/>
      <c r="AJ850" s="98"/>
      <c r="AK850" s="98"/>
      <c r="AL850" s="98"/>
      <c r="AM850" s="98"/>
      <c r="AN850" s="98"/>
      <c r="AO850" s="98"/>
      <c r="AP850" s="98"/>
      <c r="AQ850" s="98"/>
      <c r="AR850" s="98"/>
      <c r="AS850" s="98"/>
      <c r="AT850" s="98"/>
      <c r="AU850" s="98"/>
      <c r="AV850" s="98"/>
      <c r="AW850" s="98"/>
      <c r="AX850" s="98"/>
      <c r="AY850" s="98"/>
      <c r="AZ850" s="98"/>
    </row>
    <row r="851" spans="1:52" ht="12.75" customHeight="1" x14ac:dyDescent="0.25">
      <c r="A851" s="101"/>
      <c r="B851" s="97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  <c r="AH851" s="98"/>
      <c r="AI851" s="98"/>
      <c r="AJ851" s="98"/>
      <c r="AK851" s="98"/>
      <c r="AL851" s="98"/>
      <c r="AM851" s="98"/>
      <c r="AN851" s="98"/>
      <c r="AO851" s="98"/>
      <c r="AP851" s="98"/>
      <c r="AQ851" s="98"/>
      <c r="AR851" s="98"/>
      <c r="AS851" s="98"/>
      <c r="AT851" s="98"/>
      <c r="AU851" s="98"/>
      <c r="AV851" s="98"/>
      <c r="AW851" s="98"/>
      <c r="AX851" s="98"/>
      <c r="AY851" s="98"/>
      <c r="AZ851" s="98"/>
    </row>
    <row r="852" spans="1:52" ht="12.75" customHeight="1" x14ac:dyDescent="0.25">
      <c r="A852" s="101"/>
      <c r="B852" s="97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  <c r="AH852" s="98"/>
      <c r="AI852" s="98"/>
      <c r="AJ852" s="98"/>
      <c r="AK852" s="98"/>
      <c r="AL852" s="98"/>
      <c r="AM852" s="98"/>
      <c r="AN852" s="98"/>
      <c r="AO852" s="98"/>
      <c r="AP852" s="98"/>
      <c r="AQ852" s="98"/>
      <c r="AR852" s="98"/>
      <c r="AS852" s="98"/>
      <c r="AT852" s="98"/>
      <c r="AU852" s="98"/>
      <c r="AV852" s="98"/>
      <c r="AW852" s="98"/>
      <c r="AX852" s="98"/>
      <c r="AY852" s="98"/>
      <c r="AZ852" s="98"/>
    </row>
    <row r="853" spans="1:52" ht="12.75" customHeight="1" x14ac:dyDescent="0.25">
      <c r="A853" s="101"/>
      <c r="B853" s="97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  <c r="AH853" s="98"/>
      <c r="AI853" s="98"/>
      <c r="AJ853" s="98"/>
      <c r="AK853" s="98"/>
      <c r="AL853" s="98"/>
      <c r="AM853" s="98"/>
      <c r="AN853" s="98"/>
      <c r="AO853" s="98"/>
      <c r="AP853" s="98"/>
      <c r="AQ853" s="98"/>
      <c r="AR853" s="98"/>
      <c r="AS853" s="98"/>
      <c r="AT853" s="98"/>
      <c r="AU853" s="98"/>
      <c r="AV853" s="98"/>
      <c r="AW853" s="98"/>
      <c r="AX853" s="98"/>
      <c r="AY853" s="98"/>
      <c r="AZ853" s="98"/>
    </row>
    <row r="854" spans="1:52" ht="12.75" customHeight="1" x14ac:dyDescent="0.25">
      <c r="A854" s="101"/>
      <c r="B854" s="97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  <c r="AH854" s="98"/>
      <c r="AI854" s="98"/>
      <c r="AJ854" s="98"/>
      <c r="AK854" s="98"/>
      <c r="AL854" s="98"/>
      <c r="AM854" s="98"/>
      <c r="AN854" s="98"/>
      <c r="AO854" s="98"/>
      <c r="AP854" s="98"/>
      <c r="AQ854" s="98"/>
      <c r="AR854" s="98"/>
      <c r="AS854" s="98"/>
      <c r="AT854" s="98"/>
      <c r="AU854" s="98"/>
      <c r="AV854" s="98"/>
      <c r="AW854" s="98"/>
      <c r="AX854" s="98"/>
      <c r="AY854" s="98"/>
      <c r="AZ854" s="98"/>
    </row>
    <row r="855" spans="1:52" ht="12.75" customHeight="1" x14ac:dyDescent="0.25">
      <c r="A855" s="101"/>
      <c r="B855" s="97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  <c r="AH855" s="98"/>
      <c r="AI855" s="98"/>
      <c r="AJ855" s="98"/>
      <c r="AK855" s="98"/>
      <c r="AL855" s="98"/>
      <c r="AM855" s="98"/>
      <c r="AN855" s="98"/>
      <c r="AO855" s="98"/>
      <c r="AP855" s="98"/>
      <c r="AQ855" s="98"/>
      <c r="AR855" s="98"/>
      <c r="AS855" s="98"/>
      <c r="AT855" s="98"/>
      <c r="AU855" s="98"/>
      <c r="AV855" s="98"/>
      <c r="AW855" s="98"/>
      <c r="AX855" s="98"/>
      <c r="AY855" s="98"/>
      <c r="AZ855" s="98"/>
    </row>
    <row r="856" spans="1:52" ht="12.75" customHeight="1" x14ac:dyDescent="0.25">
      <c r="A856" s="101"/>
      <c r="B856" s="97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  <c r="AH856" s="98"/>
      <c r="AI856" s="98"/>
      <c r="AJ856" s="98"/>
      <c r="AK856" s="98"/>
      <c r="AL856" s="98"/>
      <c r="AM856" s="98"/>
      <c r="AN856" s="98"/>
      <c r="AO856" s="98"/>
      <c r="AP856" s="98"/>
      <c r="AQ856" s="98"/>
      <c r="AR856" s="98"/>
      <c r="AS856" s="98"/>
      <c r="AT856" s="98"/>
      <c r="AU856" s="98"/>
      <c r="AV856" s="98"/>
      <c r="AW856" s="98"/>
      <c r="AX856" s="98"/>
      <c r="AY856" s="98"/>
      <c r="AZ856" s="98"/>
    </row>
    <row r="857" spans="1:52" ht="12.75" customHeight="1" x14ac:dyDescent="0.25">
      <c r="A857" s="101"/>
      <c r="B857" s="97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  <c r="AH857" s="98"/>
      <c r="AI857" s="98"/>
      <c r="AJ857" s="98"/>
      <c r="AK857" s="98"/>
      <c r="AL857" s="98"/>
      <c r="AM857" s="98"/>
      <c r="AN857" s="98"/>
      <c r="AO857" s="98"/>
      <c r="AP857" s="98"/>
      <c r="AQ857" s="98"/>
      <c r="AR857" s="98"/>
      <c r="AS857" s="98"/>
      <c r="AT857" s="98"/>
      <c r="AU857" s="98"/>
      <c r="AV857" s="98"/>
      <c r="AW857" s="98"/>
      <c r="AX857" s="98"/>
      <c r="AY857" s="98"/>
      <c r="AZ857" s="98"/>
    </row>
    <row r="858" spans="1:52" ht="12.75" customHeight="1" x14ac:dyDescent="0.25">
      <c r="A858" s="101"/>
      <c r="B858" s="97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  <c r="AH858" s="98"/>
      <c r="AI858" s="98"/>
      <c r="AJ858" s="98"/>
      <c r="AK858" s="98"/>
      <c r="AL858" s="98"/>
      <c r="AM858" s="98"/>
      <c r="AN858" s="98"/>
      <c r="AO858" s="98"/>
      <c r="AP858" s="98"/>
      <c r="AQ858" s="98"/>
      <c r="AR858" s="98"/>
      <c r="AS858" s="98"/>
      <c r="AT858" s="98"/>
      <c r="AU858" s="98"/>
      <c r="AV858" s="98"/>
      <c r="AW858" s="98"/>
      <c r="AX858" s="98"/>
      <c r="AY858" s="98"/>
      <c r="AZ858" s="98"/>
    </row>
    <row r="859" spans="1:52" ht="12.75" customHeight="1" x14ac:dyDescent="0.25">
      <c r="A859" s="101"/>
      <c r="B859" s="97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  <c r="AH859" s="98"/>
      <c r="AI859" s="98"/>
      <c r="AJ859" s="98"/>
      <c r="AK859" s="98"/>
      <c r="AL859" s="98"/>
      <c r="AM859" s="98"/>
      <c r="AN859" s="98"/>
      <c r="AO859" s="98"/>
      <c r="AP859" s="98"/>
      <c r="AQ859" s="98"/>
      <c r="AR859" s="98"/>
      <c r="AS859" s="98"/>
      <c r="AT859" s="98"/>
      <c r="AU859" s="98"/>
      <c r="AV859" s="98"/>
      <c r="AW859" s="98"/>
      <c r="AX859" s="98"/>
      <c r="AY859" s="98"/>
      <c r="AZ859" s="98"/>
    </row>
    <row r="860" spans="1:52" ht="12.75" customHeight="1" x14ac:dyDescent="0.25">
      <c r="A860" s="101"/>
      <c r="B860" s="97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  <c r="AH860" s="98"/>
      <c r="AI860" s="98"/>
      <c r="AJ860" s="98"/>
      <c r="AK860" s="98"/>
      <c r="AL860" s="98"/>
      <c r="AM860" s="98"/>
      <c r="AN860" s="98"/>
      <c r="AO860" s="98"/>
      <c r="AP860" s="98"/>
      <c r="AQ860" s="98"/>
      <c r="AR860" s="98"/>
      <c r="AS860" s="98"/>
      <c r="AT860" s="98"/>
      <c r="AU860" s="98"/>
      <c r="AV860" s="98"/>
      <c r="AW860" s="98"/>
      <c r="AX860" s="98"/>
      <c r="AY860" s="98"/>
      <c r="AZ860" s="98"/>
    </row>
    <row r="861" spans="1:52" ht="12.75" customHeight="1" x14ac:dyDescent="0.25">
      <c r="A861" s="101"/>
      <c r="B861" s="97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  <c r="AH861" s="98"/>
      <c r="AI861" s="98"/>
      <c r="AJ861" s="98"/>
      <c r="AK861" s="98"/>
      <c r="AL861" s="98"/>
      <c r="AM861" s="98"/>
      <c r="AN861" s="98"/>
      <c r="AO861" s="98"/>
      <c r="AP861" s="98"/>
      <c r="AQ861" s="98"/>
      <c r="AR861" s="98"/>
      <c r="AS861" s="98"/>
      <c r="AT861" s="98"/>
      <c r="AU861" s="98"/>
      <c r="AV861" s="98"/>
      <c r="AW861" s="98"/>
      <c r="AX861" s="98"/>
      <c r="AY861" s="98"/>
      <c r="AZ861" s="98"/>
    </row>
    <row r="862" spans="1:52" ht="12.75" customHeight="1" x14ac:dyDescent="0.25">
      <c r="A862" s="101"/>
      <c r="B862" s="97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  <c r="AH862" s="98"/>
      <c r="AI862" s="98"/>
      <c r="AJ862" s="98"/>
      <c r="AK862" s="98"/>
      <c r="AL862" s="98"/>
      <c r="AM862" s="98"/>
      <c r="AN862" s="98"/>
      <c r="AO862" s="98"/>
      <c r="AP862" s="98"/>
      <c r="AQ862" s="98"/>
      <c r="AR862" s="98"/>
      <c r="AS862" s="98"/>
      <c r="AT862" s="98"/>
      <c r="AU862" s="98"/>
      <c r="AV862" s="98"/>
      <c r="AW862" s="98"/>
      <c r="AX862" s="98"/>
      <c r="AY862" s="98"/>
      <c r="AZ862" s="98"/>
    </row>
    <row r="863" spans="1:52" ht="12.75" customHeight="1" x14ac:dyDescent="0.25">
      <c r="A863" s="101"/>
      <c r="B863" s="97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  <c r="AH863" s="98"/>
      <c r="AI863" s="98"/>
      <c r="AJ863" s="98"/>
      <c r="AK863" s="98"/>
      <c r="AL863" s="98"/>
      <c r="AM863" s="98"/>
      <c r="AN863" s="98"/>
      <c r="AO863" s="98"/>
      <c r="AP863" s="98"/>
      <c r="AQ863" s="98"/>
      <c r="AR863" s="98"/>
      <c r="AS863" s="98"/>
      <c r="AT863" s="98"/>
      <c r="AU863" s="98"/>
      <c r="AV863" s="98"/>
      <c r="AW863" s="98"/>
      <c r="AX863" s="98"/>
      <c r="AY863" s="98"/>
      <c r="AZ863" s="98"/>
    </row>
    <row r="864" spans="1:52" ht="12.75" customHeight="1" x14ac:dyDescent="0.25">
      <c r="A864" s="101"/>
      <c r="B864" s="97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  <c r="AH864" s="98"/>
      <c r="AI864" s="98"/>
      <c r="AJ864" s="98"/>
      <c r="AK864" s="98"/>
      <c r="AL864" s="98"/>
      <c r="AM864" s="98"/>
      <c r="AN864" s="98"/>
      <c r="AO864" s="98"/>
      <c r="AP864" s="98"/>
      <c r="AQ864" s="98"/>
      <c r="AR864" s="98"/>
      <c r="AS864" s="98"/>
      <c r="AT864" s="98"/>
      <c r="AU864" s="98"/>
      <c r="AV864" s="98"/>
      <c r="AW864" s="98"/>
      <c r="AX864" s="98"/>
      <c r="AY864" s="98"/>
      <c r="AZ864" s="98"/>
    </row>
    <row r="865" spans="1:52" ht="12.75" customHeight="1" x14ac:dyDescent="0.25">
      <c r="A865" s="101"/>
      <c r="B865" s="97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  <c r="AH865" s="98"/>
      <c r="AI865" s="98"/>
      <c r="AJ865" s="98"/>
      <c r="AK865" s="98"/>
      <c r="AL865" s="98"/>
      <c r="AM865" s="98"/>
      <c r="AN865" s="98"/>
      <c r="AO865" s="98"/>
      <c r="AP865" s="98"/>
      <c r="AQ865" s="98"/>
      <c r="AR865" s="98"/>
      <c r="AS865" s="98"/>
      <c r="AT865" s="98"/>
      <c r="AU865" s="98"/>
      <c r="AV865" s="98"/>
      <c r="AW865" s="98"/>
      <c r="AX865" s="98"/>
      <c r="AY865" s="98"/>
      <c r="AZ865" s="98"/>
    </row>
    <row r="866" spans="1:52" ht="12.75" customHeight="1" x14ac:dyDescent="0.25">
      <c r="A866" s="101"/>
      <c r="B866" s="97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  <c r="AH866" s="98"/>
      <c r="AI866" s="98"/>
      <c r="AJ866" s="98"/>
      <c r="AK866" s="98"/>
      <c r="AL866" s="98"/>
      <c r="AM866" s="98"/>
      <c r="AN866" s="98"/>
      <c r="AO866" s="98"/>
      <c r="AP866" s="98"/>
      <c r="AQ866" s="98"/>
      <c r="AR866" s="98"/>
      <c r="AS866" s="98"/>
      <c r="AT866" s="98"/>
      <c r="AU866" s="98"/>
      <c r="AV866" s="98"/>
      <c r="AW866" s="98"/>
      <c r="AX866" s="98"/>
      <c r="AY866" s="98"/>
      <c r="AZ866" s="98"/>
    </row>
    <row r="867" spans="1:52" ht="12.75" customHeight="1" x14ac:dyDescent="0.25">
      <c r="A867" s="101"/>
      <c r="B867" s="97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  <c r="AH867" s="98"/>
      <c r="AI867" s="98"/>
      <c r="AJ867" s="98"/>
      <c r="AK867" s="98"/>
      <c r="AL867" s="98"/>
      <c r="AM867" s="98"/>
      <c r="AN867" s="98"/>
      <c r="AO867" s="98"/>
      <c r="AP867" s="98"/>
      <c r="AQ867" s="98"/>
      <c r="AR867" s="98"/>
      <c r="AS867" s="98"/>
      <c r="AT867" s="98"/>
      <c r="AU867" s="98"/>
      <c r="AV867" s="98"/>
      <c r="AW867" s="98"/>
      <c r="AX867" s="98"/>
      <c r="AY867" s="98"/>
      <c r="AZ867" s="98"/>
    </row>
    <row r="868" spans="1:52" ht="12.75" customHeight="1" x14ac:dyDescent="0.25">
      <c r="A868" s="101"/>
      <c r="B868" s="97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  <c r="AH868" s="98"/>
      <c r="AI868" s="98"/>
      <c r="AJ868" s="98"/>
      <c r="AK868" s="98"/>
      <c r="AL868" s="98"/>
      <c r="AM868" s="98"/>
      <c r="AN868" s="98"/>
      <c r="AO868" s="98"/>
      <c r="AP868" s="98"/>
      <c r="AQ868" s="98"/>
      <c r="AR868" s="98"/>
      <c r="AS868" s="98"/>
      <c r="AT868" s="98"/>
      <c r="AU868" s="98"/>
      <c r="AV868" s="98"/>
      <c r="AW868" s="98"/>
      <c r="AX868" s="98"/>
      <c r="AY868" s="98"/>
      <c r="AZ868" s="98"/>
    </row>
    <row r="869" spans="1:52" ht="12.75" customHeight="1" x14ac:dyDescent="0.25">
      <c r="A869" s="101"/>
      <c r="B869" s="97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  <c r="AH869" s="98"/>
      <c r="AI869" s="98"/>
      <c r="AJ869" s="98"/>
      <c r="AK869" s="98"/>
      <c r="AL869" s="98"/>
      <c r="AM869" s="98"/>
      <c r="AN869" s="98"/>
      <c r="AO869" s="98"/>
      <c r="AP869" s="98"/>
      <c r="AQ869" s="98"/>
      <c r="AR869" s="98"/>
      <c r="AS869" s="98"/>
      <c r="AT869" s="98"/>
      <c r="AU869" s="98"/>
      <c r="AV869" s="98"/>
      <c r="AW869" s="98"/>
      <c r="AX869" s="98"/>
      <c r="AY869" s="98"/>
      <c r="AZ869" s="98"/>
    </row>
    <row r="870" spans="1:52" ht="12.75" customHeight="1" x14ac:dyDescent="0.25">
      <c r="A870" s="101"/>
      <c r="B870" s="97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  <c r="AH870" s="98"/>
      <c r="AI870" s="98"/>
      <c r="AJ870" s="98"/>
      <c r="AK870" s="98"/>
      <c r="AL870" s="98"/>
      <c r="AM870" s="98"/>
      <c r="AN870" s="98"/>
      <c r="AO870" s="98"/>
      <c r="AP870" s="98"/>
      <c r="AQ870" s="98"/>
      <c r="AR870" s="98"/>
      <c r="AS870" s="98"/>
      <c r="AT870" s="98"/>
      <c r="AU870" s="98"/>
      <c r="AV870" s="98"/>
      <c r="AW870" s="98"/>
      <c r="AX870" s="98"/>
      <c r="AY870" s="98"/>
      <c r="AZ870" s="98"/>
    </row>
    <row r="871" spans="1:52" ht="12.75" customHeight="1" x14ac:dyDescent="0.25">
      <c r="A871" s="101"/>
      <c r="B871" s="97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  <c r="AH871" s="98"/>
      <c r="AI871" s="98"/>
      <c r="AJ871" s="98"/>
      <c r="AK871" s="98"/>
      <c r="AL871" s="98"/>
      <c r="AM871" s="98"/>
      <c r="AN871" s="98"/>
      <c r="AO871" s="98"/>
      <c r="AP871" s="98"/>
      <c r="AQ871" s="98"/>
      <c r="AR871" s="98"/>
      <c r="AS871" s="98"/>
      <c r="AT871" s="98"/>
      <c r="AU871" s="98"/>
      <c r="AV871" s="98"/>
      <c r="AW871" s="98"/>
      <c r="AX871" s="98"/>
      <c r="AY871" s="98"/>
      <c r="AZ871" s="98"/>
    </row>
    <row r="872" spans="1:52" ht="12.75" customHeight="1" x14ac:dyDescent="0.25">
      <c r="A872" s="101"/>
      <c r="B872" s="97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  <c r="AH872" s="98"/>
      <c r="AI872" s="98"/>
      <c r="AJ872" s="98"/>
      <c r="AK872" s="98"/>
      <c r="AL872" s="98"/>
      <c r="AM872" s="98"/>
      <c r="AN872" s="98"/>
      <c r="AO872" s="98"/>
      <c r="AP872" s="98"/>
      <c r="AQ872" s="98"/>
      <c r="AR872" s="98"/>
      <c r="AS872" s="98"/>
      <c r="AT872" s="98"/>
      <c r="AU872" s="98"/>
      <c r="AV872" s="98"/>
      <c r="AW872" s="98"/>
      <c r="AX872" s="98"/>
      <c r="AY872" s="98"/>
      <c r="AZ872" s="98"/>
    </row>
    <row r="873" spans="1:52" ht="12.75" customHeight="1" x14ac:dyDescent="0.25">
      <c r="A873" s="101"/>
      <c r="B873" s="97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  <c r="AH873" s="98"/>
      <c r="AI873" s="98"/>
      <c r="AJ873" s="98"/>
      <c r="AK873" s="98"/>
      <c r="AL873" s="98"/>
      <c r="AM873" s="98"/>
      <c r="AN873" s="98"/>
      <c r="AO873" s="98"/>
      <c r="AP873" s="98"/>
      <c r="AQ873" s="98"/>
      <c r="AR873" s="98"/>
      <c r="AS873" s="98"/>
      <c r="AT873" s="98"/>
      <c r="AU873" s="98"/>
      <c r="AV873" s="98"/>
      <c r="AW873" s="98"/>
      <c r="AX873" s="98"/>
      <c r="AY873" s="98"/>
      <c r="AZ873" s="98"/>
    </row>
    <row r="874" spans="1:52" ht="12.75" customHeight="1" x14ac:dyDescent="0.25">
      <c r="A874" s="101"/>
      <c r="B874" s="97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  <c r="AH874" s="98"/>
      <c r="AI874" s="98"/>
      <c r="AJ874" s="98"/>
      <c r="AK874" s="98"/>
      <c r="AL874" s="98"/>
      <c r="AM874" s="98"/>
      <c r="AN874" s="98"/>
      <c r="AO874" s="98"/>
      <c r="AP874" s="98"/>
      <c r="AQ874" s="98"/>
      <c r="AR874" s="98"/>
      <c r="AS874" s="98"/>
      <c r="AT874" s="98"/>
      <c r="AU874" s="98"/>
      <c r="AV874" s="98"/>
      <c r="AW874" s="98"/>
      <c r="AX874" s="98"/>
      <c r="AY874" s="98"/>
      <c r="AZ874" s="98"/>
    </row>
    <row r="875" spans="1:52" ht="12.75" customHeight="1" x14ac:dyDescent="0.25">
      <c r="A875" s="101"/>
      <c r="B875" s="97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  <c r="AH875" s="98"/>
      <c r="AI875" s="98"/>
      <c r="AJ875" s="98"/>
      <c r="AK875" s="98"/>
      <c r="AL875" s="98"/>
      <c r="AM875" s="98"/>
      <c r="AN875" s="98"/>
      <c r="AO875" s="98"/>
      <c r="AP875" s="98"/>
      <c r="AQ875" s="98"/>
      <c r="AR875" s="98"/>
      <c r="AS875" s="98"/>
      <c r="AT875" s="98"/>
      <c r="AU875" s="98"/>
      <c r="AV875" s="98"/>
      <c r="AW875" s="98"/>
      <c r="AX875" s="98"/>
      <c r="AY875" s="98"/>
      <c r="AZ875" s="98"/>
    </row>
    <row r="876" spans="1:52" ht="12.75" customHeight="1" x14ac:dyDescent="0.25">
      <c r="A876" s="101"/>
      <c r="B876" s="97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  <c r="AH876" s="98"/>
      <c r="AI876" s="98"/>
      <c r="AJ876" s="98"/>
      <c r="AK876" s="98"/>
      <c r="AL876" s="98"/>
      <c r="AM876" s="98"/>
      <c r="AN876" s="98"/>
      <c r="AO876" s="98"/>
      <c r="AP876" s="98"/>
      <c r="AQ876" s="98"/>
      <c r="AR876" s="98"/>
      <c r="AS876" s="98"/>
      <c r="AT876" s="98"/>
      <c r="AU876" s="98"/>
      <c r="AV876" s="98"/>
      <c r="AW876" s="98"/>
      <c r="AX876" s="98"/>
      <c r="AY876" s="98"/>
      <c r="AZ876" s="98"/>
    </row>
    <row r="877" spans="1:52" ht="12.75" customHeight="1" x14ac:dyDescent="0.25">
      <c r="A877" s="101"/>
      <c r="B877" s="97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  <c r="AH877" s="98"/>
      <c r="AI877" s="98"/>
      <c r="AJ877" s="98"/>
      <c r="AK877" s="98"/>
      <c r="AL877" s="98"/>
      <c r="AM877" s="98"/>
      <c r="AN877" s="98"/>
      <c r="AO877" s="98"/>
      <c r="AP877" s="98"/>
      <c r="AQ877" s="98"/>
      <c r="AR877" s="98"/>
      <c r="AS877" s="98"/>
      <c r="AT877" s="98"/>
      <c r="AU877" s="98"/>
      <c r="AV877" s="98"/>
      <c r="AW877" s="98"/>
      <c r="AX877" s="98"/>
      <c r="AY877" s="98"/>
      <c r="AZ877" s="98"/>
    </row>
    <row r="878" spans="1:52" ht="12.75" customHeight="1" x14ac:dyDescent="0.25">
      <c r="A878" s="101"/>
      <c r="B878" s="97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  <c r="AH878" s="98"/>
      <c r="AI878" s="98"/>
      <c r="AJ878" s="98"/>
      <c r="AK878" s="98"/>
      <c r="AL878" s="98"/>
      <c r="AM878" s="98"/>
      <c r="AN878" s="98"/>
      <c r="AO878" s="98"/>
      <c r="AP878" s="98"/>
      <c r="AQ878" s="98"/>
      <c r="AR878" s="98"/>
      <c r="AS878" s="98"/>
      <c r="AT878" s="98"/>
      <c r="AU878" s="98"/>
      <c r="AV878" s="98"/>
      <c r="AW878" s="98"/>
      <c r="AX878" s="98"/>
      <c r="AY878" s="98"/>
      <c r="AZ878" s="98"/>
    </row>
    <row r="879" spans="1:52" ht="12.75" customHeight="1" x14ac:dyDescent="0.25">
      <c r="A879" s="101"/>
      <c r="B879" s="97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  <c r="AH879" s="98"/>
      <c r="AI879" s="98"/>
      <c r="AJ879" s="98"/>
      <c r="AK879" s="98"/>
      <c r="AL879" s="98"/>
      <c r="AM879" s="98"/>
      <c r="AN879" s="98"/>
      <c r="AO879" s="98"/>
      <c r="AP879" s="98"/>
      <c r="AQ879" s="98"/>
      <c r="AR879" s="98"/>
      <c r="AS879" s="98"/>
      <c r="AT879" s="98"/>
      <c r="AU879" s="98"/>
      <c r="AV879" s="98"/>
      <c r="AW879" s="98"/>
      <c r="AX879" s="98"/>
      <c r="AY879" s="98"/>
      <c r="AZ879" s="98"/>
    </row>
    <row r="880" spans="1:52" ht="12.75" customHeight="1" x14ac:dyDescent="0.25">
      <c r="A880" s="101"/>
      <c r="B880" s="97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  <c r="AH880" s="98"/>
      <c r="AI880" s="98"/>
      <c r="AJ880" s="98"/>
      <c r="AK880" s="98"/>
      <c r="AL880" s="98"/>
      <c r="AM880" s="98"/>
      <c r="AN880" s="98"/>
      <c r="AO880" s="98"/>
      <c r="AP880" s="98"/>
      <c r="AQ880" s="98"/>
      <c r="AR880" s="98"/>
      <c r="AS880" s="98"/>
      <c r="AT880" s="98"/>
      <c r="AU880" s="98"/>
      <c r="AV880" s="98"/>
      <c r="AW880" s="98"/>
      <c r="AX880" s="98"/>
      <c r="AY880" s="98"/>
      <c r="AZ880" s="98"/>
    </row>
    <row r="881" spans="1:52" ht="12.75" customHeight="1" x14ac:dyDescent="0.25">
      <c r="A881" s="101"/>
      <c r="B881" s="97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  <c r="AH881" s="98"/>
      <c r="AI881" s="98"/>
      <c r="AJ881" s="98"/>
      <c r="AK881" s="98"/>
      <c r="AL881" s="98"/>
      <c r="AM881" s="98"/>
      <c r="AN881" s="98"/>
      <c r="AO881" s="98"/>
      <c r="AP881" s="98"/>
      <c r="AQ881" s="98"/>
      <c r="AR881" s="98"/>
      <c r="AS881" s="98"/>
      <c r="AT881" s="98"/>
      <c r="AU881" s="98"/>
      <c r="AV881" s="98"/>
      <c r="AW881" s="98"/>
      <c r="AX881" s="98"/>
      <c r="AY881" s="98"/>
      <c r="AZ881" s="98"/>
    </row>
    <row r="882" spans="1:52" ht="12.75" customHeight="1" x14ac:dyDescent="0.25">
      <c r="A882" s="101"/>
      <c r="B882" s="97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  <c r="AH882" s="98"/>
      <c r="AI882" s="98"/>
      <c r="AJ882" s="98"/>
      <c r="AK882" s="98"/>
      <c r="AL882" s="98"/>
      <c r="AM882" s="98"/>
      <c r="AN882" s="98"/>
      <c r="AO882" s="98"/>
      <c r="AP882" s="98"/>
      <c r="AQ882" s="98"/>
      <c r="AR882" s="98"/>
      <c r="AS882" s="98"/>
      <c r="AT882" s="98"/>
      <c r="AU882" s="98"/>
      <c r="AV882" s="98"/>
      <c r="AW882" s="98"/>
      <c r="AX882" s="98"/>
      <c r="AY882" s="98"/>
      <c r="AZ882" s="98"/>
    </row>
    <row r="883" spans="1:52" ht="12.75" customHeight="1" x14ac:dyDescent="0.25">
      <c r="A883" s="101"/>
      <c r="B883" s="97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  <c r="AH883" s="98"/>
      <c r="AI883" s="98"/>
      <c r="AJ883" s="98"/>
      <c r="AK883" s="98"/>
      <c r="AL883" s="98"/>
      <c r="AM883" s="98"/>
      <c r="AN883" s="98"/>
      <c r="AO883" s="98"/>
      <c r="AP883" s="98"/>
      <c r="AQ883" s="98"/>
      <c r="AR883" s="98"/>
      <c r="AS883" s="98"/>
      <c r="AT883" s="98"/>
      <c r="AU883" s="98"/>
      <c r="AV883" s="98"/>
      <c r="AW883" s="98"/>
      <c r="AX883" s="98"/>
      <c r="AY883" s="98"/>
      <c r="AZ883" s="98"/>
    </row>
    <row r="884" spans="1:52" ht="12.75" customHeight="1" x14ac:dyDescent="0.25">
      <c r="A884" s="101"/>
      <c r="B884" s="97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  <c r="AH884" s="98"/>
      <c r="AI884" s="98"/>
      <c r="AJ884" s="98"/>
      <c r="AK884" s="98"/>
      <c r="AL884" s="98"/>
      <c r="AM884" s="98"/>
      <c r="AN884" s="98"/>
      <c r="AO884" s="98"/>
      <c r="AP884" s="98"/>
      <c r="AQ884" s="98"/>
      <c r="AR884" s="98"/>
      <c r="AS884" s="98"/>
      <c r="AT884" s="98"/>
      <c r="AU884" s="98"/>
      <c r="AV884" s="98"/>
      <c r="AW884" s="98"/>
      <c r="AX884" s="98"/>
      <c r="AY884" s="98"/>
      <c r="AZ884" s="98"/>
    </row>
    <row r="885" spans="1:52" ht="12.75" customHeight="1" x14ac:dyDescent="0.25">
      <c r="A885" s="101"/>
      <c r="B885" s="97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  <c r="AH885" s="98"/>
      <c r="AI885" s="98"/>
      <c r="AJ885" s="98"/>
      <c r="AK885" s="98"/>
      <c r="AL885" s="98"/>
      <c r="AM885" s="98"/>
      <c r="AN885" s="98"/>
      <c r="AO885" s="98"/>
      <c r="AP885" s="98"/>
      <c r="AQ885" s="98"/>
      <c r="AR885" s="98"/>
      <c r="AS885" s="98"/>
      <c r="AT885" s="98"/>
      <c r="AU885" s="98"/>
      <c r="AV885" s="98"/>
      <c r="AW885" s="98"/>
      <c r="AX885" s="98"/>
      <c r="AY885" s="98"/>
      <c r="AZ885" s="98"/>
    </row>
    <row r="886" spans="1:52" ht="12.75" customHeight="1" x14ac:dyDescent="0.25">
      <c r="A886" s="101"/>
      <c r="B886" s="97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  <c r="AH886" s="98"/>
      <c r="AI886" s="98"/>
      <c r="AJ886" s="98"/>
      <c r="AK886" s="98"/>
      <c r="AL886" s="98"/>
      <c r="AM886" s="98"/>
      <c r="AN886" s="98"/>
      <c r="AO886" s="98"/>
      <c r="AP886" s="98"/>
      <c r="AQ886" s="98"/>
      <c r="AR886" s="98"/>
      <c r="AS886" s="98"/>
      <c r="AT886" s="98"/>
      <c r="AU886" s="98"/>
      <c r="AV886" s="98"/>
      <c r="AW886" s="98"/>
      <c r="AX886" s="98"/>
      <c r="AY886" s="98"/>
      <c r="AZ886" s="98"/>
    </row>
    <row r="887" spans="1:52" ht="12.75" customHeight="1" x14ac:dyDescent="0.25">
      <c r="A887" s="101"/>
      <c r="B887" s="97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  <c r="AH887" s="98"/>
      <c r="AI887" s="98"/>
      <c r="AJ887" s="98"/>
      <c r="AK887" s="98"/>
      <c r="AL887" s="98"/>
      <c r="AM887" s="98"/>
      <c r="AN887" s="98"/>
      <c r="AO887" s="98"/>
      <c r="AP887" s="98"/>
      <c r="AQ887" s="98"/>
      <c r="AR887" s="98"/>
      <c r="AS887" s="98"/>
      <c r="AT887" s="98"/>
      <c r="AU887" s="98"/>
      <c r="AV887" s="98"/>
      <c r="AW887" s="98"/>
      <c r="AX887" s="98"/>
      <c r="AY887" s="98"/>
      <c r="AZ887" s="98"/>
    </row>
    <row r="888" spans="1:52" ht="12.75" customHeight="1" x14ac:dyDescent="0.25">
      <c r="A888" s="101"/>
      <c r="B888" s="97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  <c r="AH888" s="98"/>
      <c r="AI888" s="98"/>
      <c r="AJ888" s="98"/>
      <c r="AK888" s="98"/>
      <c r="AL888" s="98"/>
      <c r="AM888" s="98"/>
      <c r="AN888" s="98"/>
      <c r="AO888" s="98"/>
      <c r="AP888" s="98"/>
      <c r="AQ888" s="98"/>
      <c r="AR888" s="98"/>
      <c r="AS888" s="98"/>
      <c r="AT888" s="98"/>
      <c r="AU888" s="98"/>
      <c r="AV888" s="98"/>
      <c r="AW888" s="98"/>
      <c r="AX888" s="98"/>
      <c r="AY888" s="98"/>
      <c r="AZ888" s="98"/>
    </row>
    <row r="889" spans="1:52" ht="12.75" customHeight="1" x14ac:dyDescent="0.25">
      <c r="A889" s="101"/>
      <c r="B889" s="97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  <c r="AH889" s="98"/>
      <c r="AI889" s="98"/>
      <c r="AJ889" s="98"/>
      <c r="AK889" s="98"/>
      <c r="AL889" s="98"/>
      <c r="AM889" s="98"/>
      <c r="AN889" s="98"/>
      <c r="AO889" s="98"/>
      <c r="AP889" s="98"/>
      <c r="AQ889" s="98"/>
      <c r="AR889" s="98"/>
      <c r="AS889" s="98"/>
      <c r="AT889" s="98"/>
      <c r="AU889" s="98"/>
      <c r="AV889" s="98"/>
      <c r="AW889" s="98"/>
      <c r="AX889" s="98"/>
      <c r="AY889" s="98"/>
      <c r="AZ889" s="98"/>
    </row>
    <row r="890" spans="1:52" ht="12.75" customHeight="1" x14ac:dyDescent="0.25">
      <c r="A890" s="101"/>
      <c r="B890" s="97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  <c r="AH890" s="98"/>
      <c r="AI890" s="98"/>
      <c r="AJ890" s="98"/>
      <c r="AK890" s="98"/>
      <c r="AL890" s="98"/>
      <c r="AM890" s="98"/>
      <c r="AN890" s="98"/>
      <c r="AO890" s="98"/>
      <c r="AP890" s="98"/>
      <c r="AQ890" s="98"/>
      <c r="AR890" s="98"/>
      <c r="AS890" s="98"/>
      <c r="AT890" s="98"/>
      <c r="AU890" s="98"/>
      <c r="AV890" s="98"/>
      <c r="AW890" s="98"/>
      <c r="AX890" s="98"/>
      <c r="AY890" s="98"/>
      <c r="AZ890" s="98"/>
    </row>
    <row r="891" spans="1:52" ht="12.75" customHeight="1" x14ac:dyDescent="0.25">
      <c r="A891" s="101"/>
      <c r="B891" s="97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  <c r="AH891" s="98"/>
      <c r="AI891" s="98"/>
      <c r="AJ891" s="98"/>
      <c r="AK891" s="98"/>
      <c r="AL891" s="98"/>
      <c r="AM891" s="98"/>
      <c r="AN891" s="98"/>
      <c r="AO891" s="98"/>
      <c r="AP891" s="98"/>
      <c r="AQ891" s="98"/>
      <c r="AR891" s="98"/>
      <c r="AS891" s="98"/>
      <c r="AT891" s="98"/>
      <c r="AU891" s="98"/>
      <c r="AV891" s="98"/>
      <c r="AW891" s="98"/>
      <c r="AX891" s="98"/>
      <c r="AY891" s="98"/>
      <c r="AZ891" s="98"/>
    </row>
    <row r="892" spans="1:52" ht="12.75" customHeight="1" x14ac:dyDescent="0.25">
      <c r="A892" s="101"/>
      <c r="B892" s="97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  <c r="AH892" s="98"/>
      <c r="AI892" s="98"/>
      <c r="AJ892" s="98"/>
      <c r="AK892" s="98"/>
      <c r="AL892" s="98"/>
      <c r="AM892" s="98"/>
      <c r="AN892" s="98"/>
      <c r="AO892" s="98"/>
      <c r="AP892" s="98"/>
      <c r="AQ892" s="98"/>
      <c r="AR892" s="98"/>
      <c r="AS892" s="98"/>
      <c r="AT892" s="98"/>
      <c r="AU892" s="98"/>
      <c r="AV892" s="98"/>
      <c r="AW892" s="98"/>
      <c r="AX892" s="98"/>
      <c r="AY892" s="98"/>
      <c r="AZ892" s="98"/>
    </row>
    <row r="893" spans="1:52" ht="12.75" customHeight="1" x14ac:dyDescent="0.25">
      <c r="A893" s="101"/>
      <c r="B893" s="97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  <c r="AH893" s="98"/>
      <c r="AI893" s="98"/>
      <c r="AJ893" s="98"/>
      <c r="AK893" s="98"/>
      <c r="AL893" s="98"/>
      <c r="AM893" s="98"/>
      <c r="AN893" s="98"/>
      <c r="AO893" s="98"/>
      <c r="AP893" s="98"/>
      <c r="AQ893" s="98"/>
      <c r="AR893" s="98"/>
      <c r="AS893" s="98"/>
      <c r="AT893" s="98"/>
      <c r="AU893" s="98"/>
      <c r="AV893" s="98"/>
      <c r="AW893" s="98"/>
      <c r="AX893" s="98"/>
      <c r="AY893" s="98"/>
      <c r="AZ893" s="98"/>
    </row>
    <row r="894" spans="1:52" ht="12.75" customHeight="1" x14ac:dyDescent="0.25">
      <c r="A894" s="101"/>
      <c r="B894" s="97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  <c r="AH894" s="98"/>
      <c r="AI894" s="98"/>
      <c r="AJ894" s="98"/>
      <c r="AK894" s="98"/>
      <c r="AL894" s="98"/>
      <c r="AM894" s="98"/>
      <c r="AN894" s="98"/>
      <c r="AO894" s="98"/>
      <c r="AP894" s="98"/>
      <c r="AQ894" s="98"/>
      <c r="AR894" s="98"/>
      <c r="AS894" s="98"/>
      <c r="AT894" s="98"/>
      <c r="AU894" s="98"/>
      <c r="AV894" s="98"/>
      <c r="AW894" s="98"/>
      <c r="AX894" s="98"/>
      <c r="AY894" s="98"/>
      <c r="AZ894" s="98"/>
    </row>
    <row r="895" spans="1:52" ht="12.75" customHeight="1" x14ac:dyDescent="0.25">
      <c r="A895" s="101"/>
      <c r="B895" s="97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  <c r="AH895" s="98"/>
      <c r="AI895" s="98"/>
      <c r="AJ895" s="98"/>
      <c r="AK895" s="98"/>
      <c r="AL895" s="98"/>
      <c r="AM895" s="98"/>
      <c r="AN895" s="98"/>
      <c r="AO895" s="98"/>
      <c r="AP895" s="98"/>
      <c r="AQ895" s="98"/>
      <c r="AR895" s="98"/>
      <c r="AS895" s="98"/>
      <c r="AT895" s="98"/>
      <c r="AU895" s="98"/>
      <c r="AV895" s="98"/>
      <c r="AW895" s="98"/>
      <c r="AX895" s="98"/>
      <c r="AY895" s="98"/>
      <c r="AZ895" s="98"/>
    </row>
    <row r="896" spans="1:52" ht="12.75" customHeight="1" x14ac:dyDescent="0.25">
      <c r="A896" s="101"/>
      <c r="B896" s="97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  <c r="AH896" s="98"/>
      <c r="AI896" s="98"/>
      <c r="AJ896" s="98"/>
      <c r="AK896" s="98"/>
      <c r="AL896" s="98"/>
      <c r="AM896" s="98"/>
      <c r="AN896" s="98"/>
      <c r="AO896" s="98"/>
      <c r="AP896" s="98"/>
      <c r="AQ896" s="98"/>
      <c r="AR896" s="98"/>
      <c r="AS896" s="98"/>
      <c r="AT896" s="98"/>
      <c r="AU896" s="98"/>
      <c r="AV896" s="98"/>
      <c r="AW896" s="98"/>
      <c r="AX896" s="98"/>
      <c r="AY896" s="98"/>
      <c r="AZ896" s="98"/>
    </row>
    <row r="897" spans="1:52" ht="12.75" customHeight="1" x14ac:dyDescent="0.25">
      <c r="A897" s="101"/>
      <c r="B897" s="97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  <c r="AH897" s="98"/>
      <c r="AI897" s="98"/>
      <c r="AJ897" s="98"/>
      <c r="AK897" s="98"/>
      <c r="AL897" s="98"/>
      <c r="AM897" s="98"/>
      <c r="AN897" s="98"/>
      <c r="AO897" s="98"/>
      <c r="AP897" s="98"/>
      <c r="AQ897" s="98"/>
      <c r="AR897" s="98"/>
      <c r="AS897" s="98"/>
      <c r="AT897" s="98"/>
      <c r="AU897" s="98"/>
      <c r="AV897" s="98"/>
      <c r="AW897" s="98"/>
      <c r="AX897" s="98"/>
      <c r="AY897" s="98"/>
      <c r="AZ897" s="98"/>
    </row>
    <row r="898" spans="1:52" ht="12.75" customHeight="1" x14ac:dyDescent="0.25">
      <c r="A898" s="101"/>
      <c r="B898" s="97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  <c r="AH898" s="98"/>
      <c r="AI898" s="98"/>
      <c r="AJ898" s="98"/>
      <c r="AK898" s="98"/>
      <c r="AL898" s="98"/>
      <c r="AM898" s="98"/>
      <c r="AN898" s="98"/>
      <c r="AO898" s="98"/>
      <c r="AP898" s="98"/>
      <c r="AQ898" s="98"/>
      <c r="AR898" s="98"/>
      <c r="AS898" s="98"/>
      <c r="AT898" s="98"/>
      <c r="AU898" s="98"/>
      <c r="AV898" s="98"/>
      <c r="AW898" s="98"/>
      <c r="AX898" s="98"/>
      <c r="AY898" s="98"/>
      <c r="AZ898" s="98"/>
    </row>
    <row r="899" spans="1:52" ht="12.75" customHeight="1" x14ac:dyDescent="0.25">
      <c r="A899" s="101"/>
      <c r="B899" s="97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  <c r="AH899" s="98"/>
      <c r="AI899" s="98"/>
      <c r="AJ899" s="98"/>
      <c r="AK899" s="98"/>
      <c r="AL899" s="98"/>
      <c r="AM899" s="98"/>
      <c r="AN899" s="98"/>
      <c r="AO899" s="98"/>
      <c r="AP899" s="98"/>
      <c r="AQ899" s="98"/>
      <c r="AR899" s="98"/>
      <c r="AS899" s="98"/>
      <c r="AT899" s="98"/>
      <c r="AU899" s="98"/>
      <c r="AV899" s="98"/>
      <c r="AW899" s="98"/>
      <c r="AX899" s="98"/>
      <c r="AY899" s="98"/>
      <c r="AZ899" s="98"/>
    </row>
    <row r="900" spans="1:52" ht="12.75" customHeight="1" x14ac:dyDescent="0.25">
      <c r="A900" s="101"/>
      <c r="B900" s="97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  <c r="AH900" s="98"/>
      <c r="AI900" s="98"/>
      <c r="AJ900" s="98"/>
      <c r="AK900" s="98"/>
      <c r="AL900" s="98"/>
      <c r="AM900" s="98"/>
      <c r="AN900" s="98"/>
      <c r="AO900" s="98"/>
      <c r="AP900" s="98"/>
      <c r="AQ900" s="98"/>
      <c r="AR900" s="98"/>
      <c r="AS900" s="98"/>
      <c r="AT900" s="98"/>
      <c r="AU900" s="98"/>
      <c r="AV900" s="98"/>
      <c r="AW900" s="98"/>
      <c r="AX900" s="98"/>
      <c r="AY900" s="98"/>
      <c r="AZ900" s="98"/>
    </row>
    <row r="901" spans="1:52" ht="12.75" customHeight="1" x14ac:dyDescent="0.25">
      <c r="A901" s="101"/>
      <c r="B901" s="97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  <c r="AH901" s="98"/>
      <c r="AI901" s="98"/>
      <c r="AJ901" s="98"/>
      <c r="AK901" s="98"/>
      <c r="AL901" s="98"/>
      <c r="AM901" s="98"/>
      <c r="AN901" s="98"/>
      <c r="AO901" s="98"/>
      <c r="AP901" s="98"/>
      <c r="AQ901" s="98"/>
      <c r="AR901" s="98"/>
      <c r="AS901" s="98"/>
      <c r="AT901" s="98"/>
      <c r="AU901" s="98"/>
      <c r="AV901" s="98"/>
      <c r="AW901" s="98"/>
      <c r="AX901" s="98"/>
      <c r="AY901" s="98"/>
      <c r="AZ901" s="98"/>
    </row>
    <row r="902" spans="1:52" ht="12.75" customHeight="1" x14ac:dyDescent="0.25">
      <c r="A902" s="101"/>
      <c r="B902" s="97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  <c r="AH902" s="98"/>
      <c r="AI902" s="98"/>
      <c r="AJ902" s="98"/>
      <c r="AK902" s="98"/>
      <c r="AL902" s="98"/>
      <c r="AM902" s="98"/>
      <c r="AN902" s="98"/>
      <c r="AO902" s="98"/>
      <c r="AP902" s="98"/>
      <c r="AQ902" s="98"/>
      <c r="AR902" s="98"/>
      <c r="AS902" s="98"/>
      <c r="AT902" s="98"/>
      <c r="AU902" s="98"/>
      <c r="AV902" s="98"/>
      <c r="AW902" s="98"/>
      <c r="AX902" s="98"/>
      <c r="AY902" s="98"/>
      <c r="AZ902" s="98"/>
    </row>
    <row r="903" spans="1:52" ht="12.75" customHeight="1" x14ac:dyDescent="0.25">
      <c r="A903" s="101"/>
      <c r="B903" s="97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  <c r="AH903" s="98"/>
      <c r="AI903" s="98"/>
      <c r="AJ903" s="98"/>
      <c r="AK903" s="98"/>
      <c r="AL903" s="98"/>
      <c r="AM903" s="98"/>
      <c r="AN903" s="98"/>
      <c r="AO903" s="98"/>
      <c r="AP903" s="98"/>
      <c r="AQ903" s="98"/>
      <c r="AR903" s="98"/>
      <c r="AS903" s="98"/>
      <c r="AT903" s="98"/>
      <c r="AU903" s="98"/>
      <c r="AV903" s="98"/>
      <c r="AW903" s="98"/>
      <c r="AX903" s="98"/>
      <c r="AY903" s="98"/>
      <c r="AZ903" s="98"/>
    </row>
    <row r="904" spans="1:52" ht="12.75" customHeight="1" x14ac:dyDescent="0.25">
      <c r="A904" s="101"/>
      <c r="B904" s="97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  <c r="AH904" s="98"/>
      <c r="AI904" s="98"/>
      <c r="AJ904" s="98"/>
      <c r="AK904" s="98"/>
      <c r="AL904" s="98"/>
      <c r="AM904" s="98"/>
      <c r="AN904" s="98"/>
      <c r="AO904" s="98"/>
      <c r="AP904" s="98"/>
      <c r="AQ904" s="98"/>
      <c r="AR904" s="98"/>
      <c r="AS904" s="98"/>
      <c r="AT904" s="98"/>
      <c r="AU904" s="98"/>
      <c r="AV904" s="98"/>
      <c r="AW904" s="98"/>
      <c r="AX904" s="98"/>
      <c r="AY904" s="98"/>
      <c r="AZ904" s="98"/>
    </row>
    <row r="905" spans="1:52" ht="12.75" customHeight="1" x14ac:dyDescent="0.25">
      <c r="A905" s="101"/>
      <c r="B905" s="97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  <c r="AH905" s="98"/>
      <c r="AI905" s="98"/>
      <c r="AJ905" s="98"/>
      <c r="AK905" s="98"/>
      <c r="AL905" s="98"/>
      <c r="AM905" s="98"/>
      <c r="AN905" s="98"/>
      <c r="AO905" s="98"/>
      <c r="AP905" s="98"/>
      <c r="AQ905" s="98"/>
      <c r="AR905" s="98"/>
      <c r="AS905" s="98"/>
      <c r="AT905" s="98"/>
      <c r="AU905" s="98"/>
      <c r="AV905" s="98"/>
      <c r="AW905" s="98"/>
      <c r="AX905" s="98"/>
      <c r="AY905" s="98"/>
      <c r="AZ905" s="98"/>
    </row>
    <row r="906" spans="1:52" ht="12.75" customHeight="1" x14ac:dyDescent="0.25">
      <c r="A906" s="101"/>
      <c r="B906" s="97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  <c r="AH906" s="98"/>
      <c r="AI906" s="98"/>
      <c r="AJ906" s="98"/>
      <c r="AK906" s="98"/>
      <c r="AL906" s="98"/>
      <c r="AM906" s="98"/>
      <c r="AN906" s="98"/>
      <c r="AO906" s="98"/>
      <c r="AP906" s="98"/>
      <c r="AQ906" s="98"/>
      <c r="AR906" s="98"/>
      <c r="AS906" s="98"/>
      <c r="AT906" s="98"/>
      <c r="AU906" s="98"/>
      <c r="AV906" s="98"/>
      <c r="AW906" s="98"/>
      <c r="AX906" s="98"/>
      <c r="AY906" s="98"/>
      <c r="AZ906" s="98"/>
    </row>
    <row r="907" spans="1:52" ht="12.75" customHeight="1" x14ac:dyDescent="0.25">
      <c r="A907" s="101"/>
      <c r="B907" s="97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  <c r="AH907" s="98"/>
      <c r="AI907" s="98"/>
      <c r="AJ907" s="98"/>
      <c r="AK907" s="98"/>
      <c r="AL907" s="98"/>
      <c r="AM907" s="98"/>
      <c r="AN907" s="98"/>
      <c r="AO907" s="98"/>
      <c r="AP907" s="98"/>
      <c r="AQ907" s="98"/>
      <c r="AR907" s="98"/>
      <c r="AS907" s="98"/>
      <c r="AT907" s="98"/>
      <c r="AU907" s="98"/>
      <c r="AV907" s="98"/>
      <c r="AW907" s="98"/>
      <c r="AX907" s="98"/>
      <c r="AY907" s="98"/>
      <c r="AZ907" s="98"/>
    </row>
    <row r="908" spans="1:52" ht="12.75" customHeight="1" x14ac:dyDescent="0.25">
      <c r="A908" s="101"/>
      <c r="B908" s="97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  <c r="AH908" s="98"/>
      <c r="AI908" s="98"/>
      <c r="AJ908" s="98"/>
      <c r="AK908" s="98"/>
      <c r="AL908" s="98"/>
      <c r="AM908" s="98"/>
      <c r="AN908" s="98"/>
      <c r="AO908" s="98"/>
      <c r="AP908" s="98"/>
      <c r="AQ908" s="98"/>
      <c r="AR908" s="98"/>
      <c r="AS908" s="98"/>
      <c r="AT908" s="98"/>
      <c r="AU908" s="98"/>
      <c r="AV908" s="98"/>
      <c r="AW908" s="98"/>
      <c r="AX908" s="98"/>
      <c r="AY908" s="98"/>
      <c r="AZ908" s="98"/>
    </row>
    <row r="909" spans="1:52" ht="12.75" customHeight="1" x14ac:dyDescent="0.25">
      <c r="A909" s="101"/>
      <c r="B909" s="97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  <c r="AH909" s="98"/>
      <c r="AI909" s="98"/>
      <c r="AJ909" s="98"/>
      <c r="AK909" s="98"/>
      <c r="AL909" s="98"/>
      <c r="AM909" s="98"/>
      <c r="AN909" s="98"/>
      <c r="AO909" s="98"/>
      <c r="AP909" s="98"/>
      <c r="AQ909" s="98"/>
      <c r="AR909" s="98"/>
      <c r="AS909" s="98"/>
      <c r="AT909" s="98"/>
      <c r="AU909" s="98"/>
      <c r="AV909" s="98"/>
      <c r="AW909" s="98"/>
      <c r="AX909" s="98"/>
      <c r="AY909" s="98"/>
      <c r="AZ909" s="98"/>
    </row>
    <row r="910" spans="1:52" ht="12.75" customHeight="1" x14ac:dyDescent="0.25">
      <c r="A910" s="101"/>
      <c r="B910" s="97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  <c r="AH910" s="98"/>
      <c r="AI910" s="98"/>
      <c r="AJ910" s="98"/>
      <c r="AK910" s="98"/>
      <c r="AL910" s="98"/>
      <c r="AM910" s="98"/>
      <c r="AN910" s="98"/>
      <c r="AO910" s="98"/>
      <c r="AP910" s="98"/>
      <c r="AQ910" s="98"/>
      <c r="AR910" s="98"/>
      <c r="AS910" s="98"/>
      <c r="AT910" s="98"/>
      <c r="AU910" s="98"/>
      <c r="AV910" s="98"/>
      <c r="AW910" s="98"/>
      <c r="AX910" s="98"/>
      <c r="AY910" s="98"/>
      <c r="AZ910" s="98"/>
    </row>
    <row r="911" spans="1:52" ht="12.75" customHeight="1" x14ac:dyDescent="0.25">
      <c r="A911" s="101"/>
      <c r="B911" s="97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  <c r="AH911" s="98"/>
      <c r="AI911" s="98"/>
      <c r="AJ911" s="98"/>
      <c r="AK911" s="98"/>
      <c r="AL911" s="98"/>
      <c r="AM911" s="98"/>
      <c r="AN911" s="98"/>
      <c r="AO911" s="98"/>
      <c r="AP911" s="98"/>
      <c r="AQ911" s="98"/>
      <c r="AR911" s="98"/>
      <c r="AS911" s="98"/>
      <c r="AT911" s="98"/>
      <c r="AU911" s="98"/>
      <c r="AV911" s="98"/>
      <c r="AW911" s="98"/>
      <c r="AX911" s="98"/>
      <c r="AY911" s="98"/>
      <c r="AZ911" s="98"/>
    </row>
    <row r="912" spans="1:52" ht="12.75" customHeight="1" x14ac:dyDescent="0.25">
      <c r="A912" s="101"/>
      <c r="B912" s="97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  <c r="AH912" s="98"/>
      <c r="AI912" s="98"/>
      <c r="AJ912" s="98"/>
      <c r="AK912" s="98"/>
      <c r="AL912" s="98"/>
      <c r="AM912" s="98"/>
      <c r="AN912" s="98"/>
      <c r="AO912" s="98"/>
      <c r="AP912" s="98"/>
      <c r="AQ912" s="98"/>
      <c r="AR912" s="98"/>
      <c r="AS912" s="98"/>
      <c r="AT912" s="98"/>
      <c r="AU912" s="98"/>
      <c r="AV912" s="98"/>
      <c r="AW912" s="98"/>
      <c r="AX912" s="98"/>
      <c r="AY912" s="98"/>
      <c r="AZ912" s="98"/>
    </row>
    <row r="913" spans="1:52" ht="12.75" customHeight="1" x14ac:dyDescent="0.25">
      <c r="A913" s="101"/>
      <c r="B913" s="97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  <c r="AH913" s="98"/>
      <c r="AI913" s="98"/>
      <c r="AJ913" s="98"/>
      <c r="AK913" s="98"/>
      <c r="AL913" s="98"/>
      <c r="AM913" s="98"/>
      <c r="AN913" s="98"/>
      <c r="AO913" s="98"/>
      <c r="AP913" s="98"/>
      <c r="AQ913" s="98"/>
      <c r="AR913" s="98"/>
      <c r="AS913" s="98"/>
      <c r="AT913" s="98"/>
      <c r="AU913" s="98"/>
      <c r="AV913" s="98"/>
      <c r="AW913" s="98"/>
      <c r="AX913" s="98"/>
      <c r="AY913" s="98"/>
      <c r="AZ913" s="98"/>
    </row>
    <row r="914" spans="1:52" ht="12.75" customHeight="1" x14ac:dyDescent="0.25">
      <c r="A914" s="101"/>
      <c r="B914" s="97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  <c r="AH914" s="98"/>
      <c r="AI914" s="98"/>
      <c r="AJ914" s="98"/>
      <c r="AK914" s="98"/>
      <c r="AL914" s="98"/>
      <c r="AM914" s="98"/>
      <c r="AN914" s="98"/>
      <c r="AO914" s="98"/>
      <c r="AP914" s="98"/>
      <c r="AQ914" s="98"/>
      <c r="AR914" s="98"/>
      <c r="AS914" s="98"/>
      <c r="AT914" s="98"/>
      <c r="AU914" s="98"/>
      <c r="AV914" s="98"/>
      <c r="AW914" s="98"/>
      <c r="AX914" s="98"/>
      <c r="AY914" s="98"/>
      <c r="AZ914" s="98"/>
    </row>
    <row r="915" spans="1:52" ht="12.75" customHeight="1" x14ac:dyDescent="0.25">
      <c r="A915" s="101"/>
      <c r="B915" s="97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  <c r="AH915" s="98"/>
      <c r="AI915" s="98"/>
      <c r="AJ915" s="98"/>
      <c r="AK915" s="98"/>
      <c r="AL915" s="98"/>
      <c r="AM915" s="98"/>
      <c r="AN915" s="98"/>
      <c r="AO915" s="98"/>
      <c r="AP915" s="98"/>
      <c r="AQ915" s="98"/>
      <c r="AR915" s="98"/>
      <c r="AS915" s="98"/>
      <c r="AT915" s="98"/>
      <c r="AU915" s="98"/>
      <c r="AV915" s="98"/>
      <c r="AW915" s="98"/>
      <c r="AX915" s="98"/>
      <c r="AY915" s="98"/>
      <c r="AZ915" s="98"/>
    </row>
    <row r="916" spans="1:52" ht="12.75" customHeight="1" x14ac:dyDescent="0.25">
      <c r="A916" s="101"/>
      <c r="B916" s="97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  <c r="AH916" s="98"/>
      <c r="AI916" s="98"/>
      <c r="AJ916" s="98"/>
      <c r="AK916" s="98"/>
      <c r="AL916" s="98"/>
      <c r="AM916" s="98"/>
      <c r="AN916" s="98"/>
      <c r="AO916" s="98"/>
      <c r="AP916" s="98"/>
      <c r="AQ916" s="98"/>
      <c r="AR916" s="98"/>
      <c r="AS916" s="98"/>
      <c r="AT916" s="98"/>
      <c r="AU916" s="98"/>
      <c r="AV916" s="98"/>
      <c r="AW916" s="98"/>
      <c r="AX916" s="98"/>
      <c r="AY916" s="98"/>
      <c r="AZ916" s="98"/>
    </row>
    <row r="917" spans="1:52" ht="12.75" customHeight="1" x14ac:dyDescent="0.25">
      <c r="A917" s="101"/>
      <c r="B917" s="97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  <c r="AH917" s="98"/>
      <c r="AI917" s="98"/>
      <c r="AJ917" s="98"/>
      <c r="AK917" s="98"/>
      <c r="AL917" s="98"/>
      <c r="AM917" s="98"/>
      <c r="AN917" s="98"/>
      <c r="AO917" s="98"/>
      <c r="AP917" s="98"/>
      <c r="AQ917" s="98"/>
      <c r="AR917" s="98"/>
      <c r="AS917" s="98"/>
      <c r="AT917" s="98"/>
      <c r="AU917" s="98"/>
      <c r="AV917" s="98"/>
      <c r="AW917" s="98"/>
      <c r="AX917" s="98"/>
      <c r="AY917" s="98"/>
      <c r="AZ917" s="98"/>
    </row>
    <row r="918" spans="1:52" ht="12.75" customHeight="1" x14ac:dyDescent="0.25">
      <c r="A918" s="101"/>
      <c r="B918" s="97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  <c r="AH918" s="98"/>
      <c r="AI918" s="98"/>
      <c r="AJ918" s="98"/>
      <c r="AK918" s="98"/>
      <c r="AL918" s="98"/>
      <c r="AM918" s="98"/>
      <c r="AN918" s="98"/>
      <c r="AO918" s="98"/>
      <c r="AP918" s="98"/>
      <c r="AQ918" s="98"/>
      <c r="AR918" s="98"/>
      <c r="AS918" s="98"/>
      <c r="AT918" s="98"/>
      <c r="AU918" s="98"/>
      <c r="AV918" s="98"/>
      <c r="AW918" s="98"/>
      <c r="AX918" s="98"/>
      <c r="AY918" s="98"/>
      <c r="AZ918" s="98"/>
    </row>
    <row r="919" spans="1:52" ht="12.75" customHeight="1" x14ac:dyDescent="0.25">
      <c r="A919" s="101"/>
      <c r="B919" s="97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  <c r="AH919" s="98"/>
      <c r="AI919" s="98"/>
      <c r="AJ919" s="98"/>
      <c r="AK919" s="98"/>
      <c r="AL919" s="98"/>
      <c r="AM919" s="98"/>
      <c r="AN919" s="98"/>
      <c r="AO919" s="98"/>
      <c r="AP919" s="98"/>
      <c r="AQ919" s="98"/>
      <c r="AR919" s="98"/>
      <c r="AS919" s="98"/>
      <c r="AT919" s="98"/>
      <c r="AU919" s="98"/>
      <c r="AV919" s="98"/>
      <c r="AW919" s="98"/>
      <c r="AX919" s="98"/>
      <c r="AY919" s="98"/>
      <c r="AZ919" s="98"/>
    </row>
    <row r="920" spans="1:52" ht="12.75" customHeight="1" x14ac:dyDescent="0.25">
      <c r="A920" s="101"/>
      <c r="B920" s="97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  <c r="AH920" s="98"/>
      <c r="AI920" s="98"/>
      <c r="AJ920" s="98"/>
      <c r="AK920" s="98"/>
      <c r="AL920" s="98"/>
      <c r="AM920" s="98"/>
      <c r="AN920" s="98"/>
      <c r="AO920" s="98"/>
      <c r="AP920" s="98"/>
      <c r="AQ920" s="98"/>
      <c r="AR920" s="98"/>
      <c r="AS920" s="98"/>
      <c r="AT920" s="98"/>
      <c r="AU920" s="98"/>
      <c r="AV920" s="98"/>
      <c r="AW920" s="98"/>
      <c r="AX920" s="98"/>
      <c r="AY920" s="98"/>
      <c r="AZ920" s="98"/>
    </row>
    <row r="921" spans="1:52" ht="12.75" customHeight="1" x14ac:dyDescent="0.25">
      <c r="A921" s="101"/>
      <c r="B921" s="97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  <c r="AH921" s="98"/>
      <c r="AI921" s="98"/>
      <c r="AJ921" s="98"/>
      <c r="AK921" s="98"/>
      <c r="AL921" s="98"/>
      <c r="AM921" s="98"/>
      <c r="AN921" s="98"/>
      <c r="AO921" s="98"/>
      <c r="AP921" s="98"/>
      <c r="AQ921" s="98"/>
      <c r="AR921" s="98"/>
      <c r="AS921" s="98"/>
      <c r="AT921" s="98"/>
      <c r="AU921" s="98"/>
      <c r="AV921" s="98"/>
      <c r="AW921" s="98"/>
      <c r="AX921" s="98"/>
      <c r="AY921" s="98"/>
      <c r="AZ921" s="98"/>
    </row>
    <row r="922" spans="1:52" ht="12.75" customHeight="1" x14ac:dyDescent="0.25">
      <c r="A922" s="101"/>
      <c r="B922" s="97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  <c r="AH922" s="98"/>
      <c r="AI922" s="98"/>
      <c r="AJ922" s="98"/>
      <c r="AK922" s="98"/>
      <c r="AL922" s="98"/>
      <c r="AM922" s="98"/>
      <c r="AN922" s="98"/>
      <c r="AO922" s="98"/>
      <c r="AP922" s="98"/>
      <c r="AQ922" s="98"/>
      <c r="AR922" s="98"/>
      <c r="AS922" s="98"/>
      <c r="AT922" s="98"/>
      <c r="AU922" s="98"/>
      <c r="AV922" s="98"/>
      <c r="AW922" s="98"/>
      <c r="AX922" s="98"/>
      <c r="AY922" s="98"/>
      <c r="AZ922" s="98"/>
    </row>
    <row r="923" spans="1:52" ht="12.75" customHeight="1" x14ac:dyDescent="0.25">
      <c r="A923" s="101"/>
      <c r="B923" s="97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  <c r="AH923" s="98"/>
      <c r="AI923" s="98"/>
      <c r="AJ923" s="98"/>
      <c r="AK923" s="98"/>
      <c r="AL923" s="98"/>
      <c r="AM923" s="98"/>
      <c r="AN923" s="98"/>
      <c r="AO923" s="98"/>
      <c r="AP923" s="98"/>
      <c r="AQ923" s="98"/>
      <c r="AR923" s="98"/>
      <c r="AS923" s="98"/>
      <c r="AT923" s="98"/>
      <c r="AU923" s="98"/>
      <c r="AV923" s="98"/>
      <c r="AW923" s="98"/>
      <c r="AX923" s="98"/>
      <c r="AY923" s="98"/>
      <c r="AZ923" s="98"/>
    </row>
    <row r="924" spans="1:52" ht="12.75" customHeight="1" x14ac:dyDescent="0.25">
      <c r="A924" s="101"/>
      <c r="B924" s="97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  <c r="AH924" s="98"/>
      <c r="AI924" s="98"/>
      <c r="AJ924" s="98"/>
      <c r="AK924" s="98"/>
      <c r="AL924" s="98"/>
      <c r="AM924" s="98"/>
      <c r="AN924" s="98"/>
      <c r="AO924" s="98"/>
      <c r="AP924" s="98"/>
      <c r="AQ924" s="98"/>
      <c r="AR924" s="98"/>
      <c r="AS924" s="98"/>
      <c r="AT924" s="98"/>
      <c r="AU924" s="98"/>
      <c r="AV924" s="98"/>
      <c r="AW924" s="98"/>
      <c r="AX924" s="98"/>
      <c r="AY924" s="98"/>
      <c r="AZ924" s="98"/>
    </row>
    <row r="925" spans="1:52" ht="12.75" customHeight="1" x14ac:dyDescent="0.25">
      <c r="A925" s="101"/>
      <c r="B925" s="97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  <c r="AH925" s="98"/>
      <c r="AI925" s="98"/>
      <c r="AJ925" s="98"/>
      <c r="AK925" s="98"/>
      <c r="AL925" s="98"/>
      <c r="AM925" s="98"/>
      <c r="AN925" s="98"/>
      <c r="AO925" s="98"/>
      <c r="AP925" s="98"/>
      <c r="AQ925" s="98"/>
      <c r="AR925" s="98"/>
      <c r="AS925" s="98"/>
      <c r="AT925" s="98"/>
      <c r="AU925" s="98"/>
      <c r="AV925" s="98"/>
      <c r="AW925" s="98"/>
      <c r="AX925" s="98"/>
      <c r="AY925" s="98"/>
      <c r="AZ925" s="98"/>
    </row>
    <row r="926" spans="1:52" ht="12.75" customHeight="1" x14ac:dyDescent="0.25">
      <c r="A926" s="101"/>
      <c r="B926" s="97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  <c r="AH926" s="98"/>
      <c r="AI926" s="98"/>
      <c r="AJ926" s="98"/>
      <c r="AK926" s="98"/>
      <c r="AL926" s="98"/>
      <c r="AM926" s="98"/>
      <c r="AN926" s="98"/>
      <c r="AO926" s="98"/>
      <c r="AP926" s="98"/>
      <c r="AQ926" s="98"/>
      <c r="AR926" s="98"/>
      <c r="AS926" s="98"/>
      <c r="AT926" s="98"/>
      <c r="AU926" s="98"/>
      <c r="AV926" s="98"/>
      <c r="AW926" s="98"/>
      <c r="AX926" s="98"/>
      <c r="AY926" s="98"/>
      <c r="AZ926" s="98"/>
    </row>
    <row r="927" spans="1:52" ht="12.75" customHeight="1" x14ac:dyDescent="0.25">
      <c r="A927" s="101"/>
      <c r="B927" s="97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  <c r="AH927" s="98"/>
      <c r="AI927" s="98"/>
      <c r="AJ927" s="98"/>
      <c r="AK927" s="98"/>
      <c r="AL927" s="98"/>
      <c r="AM927" s="98"/>
      <c r="AN927" s="98"/>
      <c r="AO927" s="98"/>
      <c r="AP927" s="98"/>
      <c r="AQ927" s="98"/>
      <c r="AR927" s="98"/>
      <c r="AS927" s="98"/>
      <c r="AT927" s="98"/>
      <c r="AU927" s="98"/>
      <c r="AV927" s="98"/>
      <c r="AW927" s="98"/>
      <c r="AX927" s="98"/>
      <c r="AY927" s="98"/>
      <c r="AZ927" s="98"/>
    </row>
    <row r="928" spans="1:52" ht="12.75" customHeight="1" x14ac:dyDescent="0.25">
      <c r="A928" s="101"/>
      <c r="B928" s="97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  <c r="AH928" s="98"/>
      <c r="AI928" s="98"/>
      <c r="AJ928" s="98"/>
      <c r="AK928" s="98"/>
      <c r="AL928" s="98"/>
      <c r="AM928" s="98"/>
      <c r="AN928" s="98"/>
      <c r="AO928" s="98"/>
      <c r="AP928" s="98"/>
      <c r="AQ928" s="98"/>
      <c r="AR928" s="98"/>
      <c r="AS928" s="98"/>
      <c r="AT928" s="98"/>
      <c r="AU928" s="98"/>
      <c r="AV928" s="98"/>
      <c r="AW928" s="98"/>
      <c r="AX928" s="98"/>
      <c r="AY928" s="98"/>
      <c r="AZ928" s="98"/>
    </row>
    <row r="929" spans="1:52" ht="12.75" customHeight="1" x14ac:dyDescent="0.25">
      <c r="A929" s="101"/>
      <c r="B929" s="97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  <c r="AH929" s="98"/>
      <c r="AI929" s="98"/>
      <c r="AJ929" s="98"/>
      <c r="AK929" s="98"/>
      <c r="AL929" s="98"/>
      <c r="AM929" s="98"/>
      <c r="AN929" s="98"/>
      <c r="AO929" s="98"/>
      <c r="AP929" s="98"/>
      <c r="AQ929" s="98"/>
      <c r="AR929" s="98"/>
      <c r="AS929" s="98"/>
      <c r="AT929" s="98"/>
      <c r="AU929" s="98"/>
      <c r="AV929" s="98"/>
      <c r="AW929" s="98"/>
      <c r="AX929" s="98"/>
      <c r="AY929" s="98"/>
      <c r="AZ929" s="98"/>
    </row>
    <row r="930" spans="1:52" ht="12.75" customHeight="1" x14ac:dyDescent="0.25">
      <c r="A930" s="101"/>
      <c r="B930" s="97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  <c r="AH930" s="98"/>
      <c r="AI930" s="98"/>
      <c r="AJ930" s="98"/>
      <c r="AK930" s="98"/>
      <c r="AL930" s="98"/>
      <c r="AM930" s="98"/>
      <c r="AN930" s="98"/>
      <c r="AO930" s="98"/>
      <c r="AP930" s="98"/>
      <c r="AQ930" s="98"/>
      <c r="AR930" s="98"/>
      <c r="AS930" s="98"/>
      <c r="AT930" s="98"/>
      <c r="AU930" s="98"/>
      <c r="AV930" s="98"/>
      <c r="AW930" s="98"/>
      <c r="AX930" s="98"/>
      <c r="AY930" s="98"/>
      <c r="AZ930" s="98"/>
    </row>
    <row r="931" spans="1:52" ht="12.75" customHeight="1" x14ac:dyDescent="0.25">
      <c r="A931" s="101"/>
      <c r="B931" s="97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  <c r="AH931" s="98"/>
      <c r="AI931" s="98"/>
      <c r="AJ931" s="98"/>
      <c r="AK931" s="98"/>
      <c r="AL931" s="98"/>
      <c r="AM931" s="98"/>
      <c r="AN931" s="98"/>
      <c r="AO931" s="98"/>
      <c r="AP931" s="98"/>
      <c r="AQ931" s="98"/>
      <c r="AR931" s="98"/>
      <c r="AS931" s="98"/>
      <c r="AT931" s="98"/>
      <c r="AU931" s="98"/>
      <c r="AV931" s="98"/>
      <c r="AW931" s="98"/>
      <c r="AX931" s="98"/>
      <c r="AY931" s="98"/>
      <c r="AZ931" s="98"/>
    </row>
    <row r="932" spans="1:52" ht="12.75" customHeight="1" x14ac:dyDescent="0.25">
      <c r="A932" s="101"/>
      <c r="B932" s="97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  <c r="AH932" s="98"/>
      <c r="AI932" s="98"/>
      <c r="AJ932" s="98"/>
      <c r="AK932" s="98"/>
      <c r="AL932" s="98"/>
      <c r="AM932" s="98"/>
      <c r="AN932" s="98"/>
      <c r="AO932" s="98"/>
      <c r="AP932" s="98"/>
      <c r="AQ932" s="98"/>
      <c r="AR932" s="98"/>
      <c r="AS932" s="98"/>
      <c r="AT932" s="98"/>
      <c r="AU932" s="98"/>
      <c r="AV932" s="98"/>
      <c r="AW932" s="98"/>
      <c r="AX932" s="98"/>
      <c r="AY932" s="98"/>
      <c r="AZ932" s="98"/>
    </row>
    <row r="933" spans="1:52" ht="12.75" customHeight="1" x14ac:dyDescent="0.25">
      <c r="A933" s="101"/>
      <c r="B933" s="97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  <c r="AH933" s="98"/>
      <c r="AI933" s="98"/>
      <c r="AJ933" s="98"/>
      <c r="AK933" s="98"/>
      <c r="AL933" s="98"/>
      <c r="AM933" s="98"/>
      <c r="AN933" s="98"/>
      <c r="AO933" s="98"/>
      <c r="AP933" s="98"/>
      <c r="AQ933" s="98"/>
      <c r="AR933" s="98"/>
      <c r="AS933" s="98"/>
      <c r="AT933" s="98"/>
      <c r="AU933" s="98"/>
      <c r="AV933" s="98"/>
      <c r="AW933" s="98"/>
      <c r="AX933" s="98"/>
      <c r="AY933" s="98"/>
      <c r="AZ933" s="98"/>
    </row>
    <row r="934" spans="1:52" ht="12.75" customHeight="1" x14ac:dyDescent="0.25">
      <c r="A934" s="101"/>
      <c r="B934" s="97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  <c r="AH934" s="98"/>
      <c r="AI934" s="98"/>
      <c r="AJ934" s="98"/>
      <c r="AK934" s="98"/>
      <c r="AL934" s="98"/>
      <c r="AM934" s="98"/>
      <c r="AN934" s="98"/>
      <c r="AO934" s="98"/>
      <c r="AP934" s="98"/>
      <c r="AQ934" s="98"/>
      <c r="AR934" s="98"/>
      <c r="AS934" s="98"/>
      <c r="AT934" s="98"/>
      <c r="AU934" s="98"/>
      <c r="AV934" s="98"/>
      <c r="AW934" s="98"/>
      <c r="AX934" s="98"/>
      <c r="AY934" s="98"/>
      <c r="AZ934" s="98"/>
    </row>
    <row r="935" spans="1:52" ht="12.75" customHeight="1" x14ac:dyDescent="0.25">
      <c r="A935" s="101"/>
      <c r="B935" s="97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  <c r="AH935" s="98"/>
      <c r="AI935" s="98"/>
      <c r="AJ935" s="98"/>
      <c r="AK935" s="98"/>
      <c r="AL935" s="98"/>
      <c r="AM935" s="98"/>
      <c r="AN935" s="98"/>
      <c r="AO935" s="98"/>
      <c r="AP935" s="98"/>
      <c r="AQ935" s="98"/>
      <c r="AR935" s="98"/>
      <c r="AS935" s="98"/>
      <c r="AT935" s="98"/>
      <c r="AU935" s="98"/>
      <c r="AV935" s="98"/>
      <c r="AW935" s="98"/>
      <c r="AX935" s="98"/>
      <c r="AY935" s="98"/>
      <c r="AZ935" s="98"/>
    </row>
    <row r="936" spans="1:52" ht="12.75" customHeight="1" x14ac:dyDescent="0.25">
      <c r="A936" s="101"/>
      <c r="B936" s="97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  <c r="AH936" s="98"/>
      <c r="AI936" s="98"/>
      <c r="AJ936" s="98"/>
      <c r="AK936" s="98"/>
      <c r="AL936" s="98"/>
      <c r="AM936" s="98"/>
      <c r="AN936" s="98"/>
      <c r="AO936" s="98"/>
      <c r="AP936" s="98"/>
      <c r="AQ936" s="98"/>
      <c r="AR936" s="98"/>
      <c r="AS936" s="98"/>
      <c r="AT936" s="98"/>
      <c r="AU936" s="98"/>
      <c r="AV936" s="98"/>
      <c r="AW936" s="98"/>
      <c r="AX936" s="98"/>
      <c r="AY936" s="98"/>
      <c r="AZ936" s="98"/>
    </row>
    <row r="937" spans="1:52" ht="12.75" customHeight="1" x14ac:dyDescent="0.25">
      <c r="A937" s="101"/>
      <c r="B937" s="97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  <c r="AH937" s="98"/>
      <c r="AI937" s="98"/>
      <c r="AJ937" s="98"/>
      <c r="AK937" s="98"/>
      <c r="AL937" s="98"/>
      <c r="AM937" s="98"/>
      <c r="AN937" s="98"/>
      <c r="AO937" s="98"/>
      <c r="AP937" s="98"/>
      <c r="AQ937" s="98"/>
      <c r="AR937" s="98"/>
      <c r="AS937" s="98"/>
      <c r="AT937" s="98"/>
      <c r="AU937" s="98"/>
      <c r="AV937" s="98"/>
      <c r="AW937" s="98"/>
      <c r="AX937" s="98"/>
      <c r="AY937" s="98"/>
      <c r="AZ937" s="98"/>
    </row>
    <row r="938" spans="1:52" ht="12.75" customHeight="1" x14ac:dyDescent="0.25">
      <c r="A938" s="101"/>
      <c r="B938" s="97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  <c r="AH938" s="98"/>
      <c r="AI938" s="98"/>
      <c r="AJ938" s="98"/>
      <c r="AK938" s="98"/>
      <c r="AL938" s="98"/>
      <c r="AM938" s="98"/>
      <c r="AN938" s="98"/>
      <c r="AO938" s="98"/>
      <c r="AP938" s="98"/>
      <c r="AQ938" s="98"/>
      <c r="AR938" s="98"/>
      <c r="AS938" s="98"/>
      <c r="AT938" s="98"/>
      <c r="AU938" s="98"/>
      <c r="AV938" s="98"/>
      <c r="AW938" s="98"/>
      <c r="AX938" s="98"/>
      <c r="AY938" s="98"/>
      <c r="AZ938" s="98"/>
    </row>
    <row r="939" spans="1:52" ht="12.75" customHeight="1" x14ac:dyDescent="0.25">
      <c r="A939" s="101"/>
      <c r="B939" s="97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  <c r="AH939" s="98"/>
      <c r="AI939" s="98"/>
      <c r="AJ939" s="98"/>
      <c r="AK939" s="98"/>
      <c r="AL939" s="98"/>
      <c r="AM939" s="98"/>
      <c r="AN939" s="98"/>
      <c r="AO939" s="98"/>
      <c r="AP939" s="98"/>
      <c r="AQ939" s="98"/>
      <c r="AR939" s="98"/>
      <c r="AS939" s="98"/>
      <c r="AT939" s="98"/>
      <c r="AU939" s="98"/>
      <c r="AV939" s="98"/>
      <c r="AW939" s="98"/>
      <c r="AX939" s="98"/>
      <c r="AY939" s="98"/>
      <c r="AZ939" s="98"/>
    </row>
    <row r="940" spans="1:52" ht="12.75" customHeight="1" x14ac:dyDescent="0.25">
      <c r="A940" s="101"/>
      <c r="B940" s="97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  <c r="AH940" s="98"/>
      <c r="AI940" s="98"/>
      <c r="AJ940" s="98"/>
      <c r="AK940" s="98"/>
      <c r="AL940" s="98"/>
      <c r="AM940" s="98"/>
      <c r="AN940" s="98"/>
      <c r="AO940" s="98"/>
      <c r="AP940" s="98"/>
      <c r="AQ940" s="98"/>
      <c r="AR940" s="98"/>
      <c r="AS940" s="98"/>
      <c r="AT940" s="98"/>
      <c r="AU940" s="98"/>
      <c r="AV940" s="98"/>
      <c r="AW940" s="98"/>
      <c r="AX940" s="98"/>
      <c r="AY940" s="98"/>
      <c r="AZ940" s="98"/>
    </row>
    <row r="941" spans="1:52" ht="12.75" customHeight="1" x14ac:dyDescent="0.25">
      <c r="A941" s="101"/>
      <c r="B941" s="97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  <c r="AH941" s="98"/>
      <c r="AI941" s="98"/>
      <c r="AJ941" s="98"/>
      <c r="AK941" s="98"/>
      <c r="AL941" s="98"/>
      <c r="AM941" s="98"/>
      <c r="AN941" s="98"/>
      <c r="AO941" s="98"/>
      <c r="AP941" s="98"/>
      <c r="AQ941" s="98"/>
      <c r="AR941" s="98"/>
      <c r="AS941" s="98"/>
      <c r="AT941" s="98"/>
      <c r="AU941" s="98"/>
      <c r="AV941" s="98"/>
      <c r="AW941" s="98"/>
      <c r="AX941" s="98"/>
      <c r="AY941" s="98"/>
      <c r="AZ941" s="98"/>
    </row>
    <row r="942" spans="1:52" ht="12.75" customHeight="1" x14ac:dyDescent="0.25">
      <c r="A942" s="101"/>
      <c r="B942" s="97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  <c r="AH942" s="98"/>
      <c r="AI942" s="98"/>
      <c r="AJ942" s="98"/>
      <c r="AK942" s="98"/>
      <c r="AL942" s="98"/>
      <c r="AM942" s="98"/>
      <c r="AN942" s="98"/>
      <c r="AO942" s="98"/>
      <c r="AP942" s="98"/>
      <c r="AQ942" s="98"/>
      <c r="AR942" s="98"/>
      <c r="AS942" s="98"/>
      <c r="AT942" s="98"/>
      <c r="AU942" s="98"/>
      <c r="AV942" s="98"/>
      <c r="AW942" s="98"/>
      <c r="AX942" s="98"/>
      <c r="AY942" s="98"/>
      <c r="AZ942" s="98"/>
    </row>
    <row r="943" spans="1:52" ht="12.75" customHeight="1" x14ac:dyDescent="0.25">
      <c r="A943" s="101"/>
      <c r="B943" s="97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  <c r="AH943" s="98"/>
      <c r="AI943" s="98"/>
      <c r="AJ943" s="98"/>
      <c r="AK943" s="98"/>
      <c r="AL943" s="98"/>
      <c r="AM943" s="98"/>
      <c r="AN943" s="98"/>
      <c r="AO943" s="98"/>
      <c r="AP943" s="98"/>
      <c r="AQ943" s="98"/>
      <c r="AR943" s="98"/>
      <c r="AS943" s="98"/>
      <c r="AT943" s="98"/>
      <c r="AU943" s="98"/>
      <c r="AV943" s="98"/>
      <c r="AW943" s="98"/>
      <c r="AX943" s="98"/>
      <c r="AY943" s="98"/>
      <c r="AZ943" s="98"/>
    </row>
    <row r="944" spans="1:52" ht="12.75" customHeight="1" x14ac:dyDescent="0.25">
      <c r="A944" s="101"/>
      <c r="B944" s="97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  <c r="AH944" s="98"/>
      <c r="AI944" s="98"/>
      <c r="AJ944" s="98"/>
      <c r="AK944" s="98"/>
      <c r="AL944" s="98"/>
      <c r="AM944" s="98"/>
      <c r="AN944" s="98"/>
      <c r="AO944" s="98"/>
      <c r="AP944" s="98"/>
      <c r="AQ944" s="98"/>
      <c r="AR944" s="98"/>
      <c r="AS944" s="98"/>
      <c r="AT944" s="98"/>
      <c r="AU944" s="98"/>
      <c r="AV944" s="98"/>
      <c r="AW944" s="98"/>
      <c r="AX944" s="98"/>
      <c r="AY944" s="98"/>
      <c r="AZ944" s="98"/>
    </row>
    <row r="945" spans="1:52" ht="12.75" customHeight="1" x14ac:dyDescent="0.25">
      <c r="A945" s="101"/>
      <c r="B945" s="97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  <c r="AH945" s="98"/>
      <c r="AI945" s="98"/>
      <c r="AJ945" s="98"/>
      <c r="AK945" s="98"/>
      <c r="AL945" s="98"/>
      <c r="AM945" s="98"/>
      <c r="AN945" s="98"/>
      <c r="AO945" s="98"/>
      <c r="AP945" s="98"/>
      <c r="AQ945" s="98"/>
      <c r="AR945" s="98"/>
      <c r="AS945" s="98"/>
      <c r="AT945" s="98"/>
      <c r="AU945" s="98"/>
      <c r="AV945" s="98"/>
      <c r="AW945" s="98"/>
      <c r="AX945" s="98"/>
      <c r="AY945" s="98"/>
      <c r="AZ945" s="98"/>
    </row>
    <row r="946" spans="1:52" ht="12.75" customHeight="1" x14ac:dyDescent="0.25">
      <c r="A946" s="101"/>
      <c r="B946" s="97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  <c r="AH946" s="98"/>
      <c r="AI946" s="98"/>
      <c r="AJ946" s="98"/>
      <c r="AK946" s="98"/>
      <c r="AL946" s="98"/>
      <c r="AM946" s="98"/>
      <c r="AN946" s="98"/>
      <c r="AO946" s="98"/>
      <c r="AP946" s="98"/>
      <c r="AQ946" s="98"/>
      <c r="AR946" s="98"/>
      <c r="AS946" s="98"/>
      <c r="AT946" s="98"/>
      <c r="AU946" s="98"/>
      <c r="AV946" s="98"/>
      <c r="AW946" s="98"/>
      <c r="AX946" s="98"/>
      <c r="AY946" s="98"/>
      <c r="AZ946" s="98"/>
    </row>
    <row r="947" spans="1:52" ht="12.75" customHeight="1" x14ac:dyDescent="0.25">
      <c r="A947" s="101"/>
      <c r="B947" s="97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  <c r="AH947" s="98"/>
      <c r="AI947" s="98"/>
      <c r="AJ947" s="98"/>
      <c r="AK947" s="98"/>
      <c r="AL947" s="98"/>
      <c r="AM947" s="98"/>
      <c r="AN947" s="98"/>
      <c r="AO947" s="98"/>
      <c r="AP947" s="98"/>
      <c r="AQ947" s="98"/>
      <c r="AR947" s="98"/>
      <c r="AS947" s="98"/>
      <c r="AT947" s="98"/>
      <c r="AU947" s="98"/>
      <c r="AV947" s="98"/>
      <c r="AW947" s="98"/>
      <c r="AX947" s="98"/>
      <c r="AY947" s="98"/>
      <c r="AZ947" s="98"/>
    </row>
    <row r="948" spans="1:52" ht="12.75" customHeight="1" x14ac:dyDescent="0.25">
      <c r="A948" s="101"/>
      <c r="B948" s="97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  <c r="AH948" s="98"/>
      <c r="AI948" s="98"/>
      <c r="AJ948" s="98"/>
      <c r="AK948" s="98"/>
      <c r="AL948" s="98"/>
      <c r="AM948" s="98"/>
      <c r="AN948" s="98"/>
      <c r="AO948" s="98"/>
      <c r="AP948" s="98"/>
      <c r="AQ948" s="98"/>
      <c r="AR948" s="98"/>
      <c r="AS948" s="98"/>
      <c r="AT948" s="98"/>
      <c r="AU948" s="98"/>
      <c r="AV948" s="98"/>
      <c r="AW948" s="98"/>
      <c r="AX948" s="98"/>
      <c r="AY948" s="98"/>
      <c r="AZ948" s="98"/>
    </row>
    <row r="949" spans="1:52" ht="12.75" customHeight="1" x14ac:dyDescent="0.25">
      <c r="A949" s="101"/>
      <c r="B949" s="97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  <c r="AH949" s="98"/>
      <c r="AI949" s="98"/>
      <c r="AJ949" s="98"/>
      <c r="AK949" s="98"/>
      <c r="AL949" s="98"/>
      <c r="AM949" s="98"/>
      <c r="AN949" s="98"/>
      <c r="AO949" s="98"/>
      <c r="AP949" s="98"/>
      <c r="AQ949" s="98"/>
      <c r="AR949" s="98"/>
      <c r="AS949" s="98"/>
      <c r="AT949" s="98"/>
      <c r="AU949" s="98"/>
      <c r="AV949" s="98"/>
      <c r="AW949" s="98"/>
      <c r="AX949" s="98"/>
      <c r="AY949" s="98"/>
      <c r="AZ949" s="98"/>
    </row>
    <row r="950" spans="1:52" ht="12.75" customHeight="1" x14ac:dyDescent="0.25">
      <c r="A950" s="101"/>
      <c r="B950" s="97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  <c r="AH950" s="98"/>
      <c r="AI950" s="98"/>
      <c r="AJ950" s="98"/>
      <c r="AK950" s="98"/>
      <c r="AL950" s="98"/>
      <c r="AM950" s="98"/>
      <c r="AN950" s="98"/>
      <c r="AO950" s="98"/>
      <c r="AP950" s="98"/>
      <c r="AQ950" s="98"/>
      <c r="AR950" s="98"/>
      <c r="AS950" s="98"/>
      <c r="AT950" s="98"/>
      <c r="AU950" s="98"/>
      <c r="AV950" s="98"/>
      <c r="AW950" s="98"/>
      <c r="AX950" s="98"/>
      <c r="AY950" s="98"/>
      <c r="AZ950" s="98"/>
    </row>
    <row r="951" spans="1:52" ht="12.75" customHeight="1" x14ac:dyDescent="0.25">
      <c r="A951" s="101"/>
      <c r="B951" s="97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  <c r="AH951" s="98"/>
      <c r="AI951" s="98"/>
      <c r="AJ951" s="98"/>
      <c r="AK951" s="98"/>
      <c r="AL951" s="98"/>
      <c r="AM951" s="98"/>
      <c r="AN951" s="98"/>
      <c r="AO951" s="98"/>
      <c r="AP951" s="98"/>
      <c r="AQ951" s="98"/>
      <c r="AR951" s="98"/>
      <c r="AS951" s="98"/>
      <c r="AT951" s="98"/>
      <c r="AU951" s="98"/>
      <c r="AV951" s="98"/>
      <c r="AW951" s="98"/>
      <c r="AX951" s="98"/>
      <c r="AY951" s="98"/>
      <c r="AZ951" s="98"/>
    </row>
    <row r="952" spans="1:52" ht="12.75" customHeight="1" x14ac:dyDescent="0.25">
      <c r="A952" s="101"/>
      <c r="B952" s="97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  <c r="AH952" s="98"/>
      <c r="AI952" s="98"/>
      <c r="AJ952" s="98"/>
      <c r="AK952" s="98"/>
      <c r="AL952" s="98"/>
      <c r="AM952" s="98"/>
      <c r="AN952" s="98"/>
      <c r="AO952" s="98"/>
      <c r="AP952" s="98"/>
      <c r="AQ952" s="98"/>
      <c r="AR952" s="98"/>
      <c r="AS952" s="98"/>
      <c r="AT952" s="98"/>
      <c r="AU952" s="98"/>
      <c r="AV952" s="98"/>
      <c r="AW952" s="98"/>
      <c r="AX952" s="98"/>
      <c r="AY952" s="98"/>
      <c r="AZ952" s="98"/>
    </row>
    <row r="953" spans="1:52" ht="12.75" customHeight="1" x14ac:dyDescent="0.25">
      <c r="A953" s="101"/>
      <c r="B953" s="97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  <c r="AH953" s="98"/>
      <c r="AI953" s="98"/>
      <c r="AJ953" s="98"/>
      <c r="AK953" s="98"/>
      <c r="AL953" s="98"/>
      <c r="AM953" s="98"/>
      <c r="AN953" s="98"/>
      <c r="AO953" s="98"/>
      <c r="AP953" s="98"/>
      <c r="AQ953" s="98"/>
      <c r="AR953" s="98"/>
      <c r="AS953" s="98"/>
      <c r="AT953" s="98"/>
      <c r="AU953" s="98"/>
      <c r="AV953" s="98"/>
      <c r="AW953" s="98"/>
      <c r="AX953" s="98"/>
      <c r="AY953" s="98"/>
      <c r="AZ953" s="98"/>
    </row>
    <row r="954" spans="1:52" ht="12.75" customHeight="1" x14ac:dyDescent="0.25">
      <c r="A954" s="101"/>
      <c r="B954" s="97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  <c r="AH954" s="98"/>
      <c r="AI954" s="98"/>
      <c r="AJ954" s="98"/>
      <c r="AK954" s="98"/>
      <c r="AL954" s="98"/>
      <c r="AM954" s="98"/>
      <c r="AN954" s="98"/>
      <c r="AO954" s="98"/>
      <c r="AP954" s="98"/>
      <c r="AQ954" s="98"/>
      <c r="AR954" s="98"/>
      <c r="AS954" s="98"/>
      <c r="AT954" s="98"/>
      <c r="AU954" s="98"/>
      <c r="AV954" s="98"/>
      <c r="AW954" s="98"/>
      <c r="AX954" s="98"/>
      <c r="AY954" s="98"/>
      <c r="AZ954" s="98"/>
    </row>
    <row r="955" spans="1:52" ht="12.75" customHeight="1" x14ac:dyDescent="0.25">
      <c r="A955" s="101"/>
      <c r="B955" s="97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  <c r="AH955" s="98"/>
      <c r="AI955" s="98"/>
      <c r="AJ955" s="98"/>
      <c r="AK955" s="98"/>
      <c r="AL955" s="98"/>
      <c r="AM955" s="98"/>
      <c r="AN955" s="98"/>
      <c r="AO955" s="98"/>
      <c r="AP955" s="98"/>
      <c r="AQ955" s="98"/>
      <c r="AR955" s="98"/>
      <c r="AS955" s="98"/>
      <c r="AT955" s="98"/>
      <c r="AU955" s="98"/>
      <c r="AV955" s="98"/>
      <c r="AW955" s="98"/>
      <c r="AX955" s="98"/>
      <c r="AY955" s="98"/>
      <c r="AZ955" s="98"/>
    </row>
    <row r="956" spans="1:52" ht="12.75" customHeight="1" x14ac:dyDescent="0.25">
      <c r="A956" s="101"/>
      <c r="B956" s="97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  <c r="AH956" s="98"/>
      <c r="AI956" s="98"/>
      <c r="AJ956" s="98"/>
      <c r="AK956" s="98"/>
      <c r="AL956" s="98"/>
      <c r="AM956" s="98"/>
      <c r="AN956" s="98"/>
      <c r="AO956" s="98"/>
      <c r="AP956" s="98"/>
      <c r="AQ956" s="98"/>
      <c r="AR956" s="98"/>
      <c r="AS956" s="98"/>
      <c r="AT956" s="98"/>
      <c r="AU956" s="98"/>
      <c r="AV956" s="98"/>
      <c r="AW956" s="98"/>
      <c r="AX956" s="98"/>
      <c r="AY956" s="98"/>
      <c r="AZ956" s="98"/>
    </row>
    <row r="957" spans="1:52" ht="12.75" customHeight="1" x14ac:dyDescent="0.25">
      <c r="A957" s="101"/>
      <c r="B957" s="97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  <c r="AH957" s="98"/>
      <c r="AI957" s="98"/>
      <c r="AJ957" s="98"/>
      <c r="AK957" s="98"/>
      <c r="AL957" s="98"/>
      <c r="AM957" s="98"/>
      <c r="AN957" s="98"/>
      <c r="AO957" s="98"/>
      <c r="AP957" s="98"/>
      <c r="AQ957" s="98"/>
      <c r="AR957" s="98"/>
      <c r="AS957" s="98"/>
      <c r="AT957" s="98"/>
      <c r="AU957" s="98"/>
      <c r="AV957" s="98"/>
      <c r="AW957" s="98"/>
      <c r="AX957" s="98"/>
      <c r="AY957" s="98"/>
      <c r="AZ957" s="98"/>
    </row>
    <row r="958" spans="1:52" ht="12.75" customHeight="1" x14ac:dyDescent="0.25">
      <c r="A958" s="101"/>
      <c r="B958" s="97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  <c r="AH958" s="98"/>
      <c r="AI958" s="98"/>
      <c r="AJ958" s="98"/>
      <c r="AK958" s="98"/>
      <c r="AL958" s="98"/>
      <c r="AM958" s="98"/>
      <c r="AN958" s="98"/>
      <c r="AO958" s="98"/>
      <c r="AP958" s="98"/>
      <c r="AQ958" s="98"/>
      <c r="AR958" s="98"/>
      <c r="AS958" s="98"/>
      <c r="AT958" s="98"/>
      <c r="AU958" s="98"/>
      <c r="AV958" s="98"/>
      <c r="AW958" s="98"/>
      <c r="AX958" s="98"/>
      <c r="AY958" s="98"/>
      <c r="AZ958" s="98"/>
    </row>
    <row r="959" spans="1:52" ht="12.75" customHeight="1" x14ac:dyDescent="0.25">
      <c r="A959" s="101"/>
      <c r="B959" s="97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  <c r="AH959" s="98"/>
      <c r="AI959" s="98"/>
      <c r="AJ959" s="98"/>
      <c r="AK959" s="98"/>
      <c r="AL959" s="98"/>
      <c r="AM959" s="98"/>
      <c r="AN959" s="98"/>
      <c r="AO959" s="98"/>
      <c r="AP959" s="98"/>
      <c r="AQ959" s="98"/>
      <c r="AR959" s="98"/>
      <c r="AS959" s="98"/>
      <c r="AT959" s="98"/>
      <c r="AU959" s="98"/>
      <c r="AV959" s="98"/>
      <c r="AW959" s="98"/>
      <c r="AX959" s="98"/>
      <c r="AY959" s="98"/>
      <c r="AZ959" s="98"/>
    </row>
    <row r="960" spans="1:52" ht="12.75" customHeight="1" x14ac:dyDescent="0.25">
      <c r="A960" s="101"/>
      <c r="B960" s="97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  <c r="AH960" s="98"/>
      <c r="AI960" s="98"/>
      <c r="AJ960" s="98"/>
      <c r="AK960" s="98"/>
      <c r="AL960" s="98"/>
      <c r="AM960" s="98"/>
      <c r="AN960" s="98"/>
      <c r="AO960" s="98"/>
      <c r="AP960" s="98"/>
      <c r="AQ960" s="98"/>
      <c r="AR960" s="98"/>
      <c r="AS960" s="98"/>
      <c r="AT960" s="98"/>
      <c r="AU960" s="98"/>
      <c r="AV960" s="98"/>
      <c r="AW960" s="98"/>
      <c r="AX960" s="98"/>
      <c r="AY960" s="98"/>
      <c r="AZ960" s="98"/>
    </row>
    <row r="961" spans="1:52" ht="12.75" customHeight="1" x14ac:dyDescent="0.25">
      <c r="A961" s="101"/>
      <c r="B961" s="97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  <c r="AH961" s="98"/>
      <c r="AI961" s="98"/>
      <c r="AJ961" s="98"/>
      <c r="AK961" s="98"/>
      <c r="AL961" s="98"/>
      <c r="AM961" s="98"/>
      <c r="AN961" s="98"/>
      <c r="AO961" s="98"/>
      <c r="AP961" s="98"/>
      <c r="AQ961" s="98"/>
      <c r="AR961" s="98"/>
      <c r="AS961" s="98"/>
      <c r="AT961" s="98"/>
      <c r="AU961" s="98"/>
      <c r="AV961" s="98"/>
      <c r="AW961" s="98"/>
      <c r="AX961" s="98"/>
      <c r="AY961" s="98"/>
      <c r="AZ961" s="98"/>
    </row>
    <row r="962" spans="1:52" ht="12.75" customHeight="1" x14ac:dyDescent="0.25">
      <c r="A962" s="101"/>
      <c r="B962" s="97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  <c r="AH962" s="98"/>
      <c r="AI962" s="98"/>
      <c r="AJ962" s="98"/>
      <c r="AK962" s="98"/>
      <c r="AL962" s="98"/>
      <c r="AM962" s="98"/>
      <c r="AN962" s="98"/>
      <c r="AO962" s="98"/>
      <c r="AP962" s="98"/>
      <c r="AQ962" s="98"/>
      <c r="AR962" s="98"/>
      <c r="AS962" s="98"/>
      <c r="AT962" s="98"/>
      <c r="AU962" s="98"/>
      <c r="AV962" s="98"/>
      <c r="AW962" s="98"/>
      <c r="AX962" s="98"/>
      <c r="AY962" s="98"/>
      <c r="AZ962" s="98"/>
    </row>
    <row r="963" spans="1:52" ht="12.75" customHeight="1" x14ac:dyDescent="0.25">
      <c r="A963" s="101"/>
      <c r="B963" s="97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  <c r="AH963" s="98"/>
      <c r="AI963" s="98"/>
      <c r="AJ963" s="98"/>
      <c r="AK963" s="98"/>
      <c r="AL963" s="98"/>
      <c r="AM963" s="98"/>
      <c r="AN963" s="98"/>
      <c r="AO963" s="98"/>
      <c r="AP963" s="98"/>
      <c r="AQ963" s="98"/>
      <c r="AR963" s="98"/>
      <c r="AS963" s="98"/>
      <c r="AT963" s="98"/>
      <c r="AU963" s="98"/>
      <c r="AV963" s="98"/>
      <c r="AW963" s="98"/>
      <c r="AX963" s="98"/>
      <c r="AY963" s="98"/>
      <c r="AZ963" s="98"/>
    </row>
    <row r="964" spans="1:52" ht="12.75" customHeight="1" x14ac:dyDescent="0.25">
      <c r="A964" s="101"/>
      <c r="B964" s="97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  <c r="AH964" s="98"/>
      <c r="AI964" s="98"/>
      <c r="AJ964" s="98"/>
      <c r="AK964" s="98"/>
      <c r="AL964" s="98"/>
      <c r="AM964" s="98"/>
      <c r="AN964" s="98"/>
      <c r="AO964" s="98"/>
      <c r="AP964" s="98"/>
      <c r="AQ964" s="98"/>
      <c r="AR964" s="98"/>
      <c r="AS964" s="98"/>
      <c r="AT964" s="98"/>
      <c r="AU964" s="98"/>
      <c r="AV964" s="98"/>
      <c r="AW964" s="98"/>
      <c r="AX964" s="98"/>
      <c r="AY964" s="98"/>
      <c r="AZ964" s="98"/>
    </row>
    <row r="965" spans="1:52" ht="12.75" customHeight="1" x14ac:dyDescent="0.25">
      <c r="A965" s="101"/>
      <c r="B965" s="97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  <c r="AH965" s="98"/>
      <c r="AI965" s="98"/>
      <c r="AJ965" s="98"/>
      <c r="AK965" s="98"/>
      <c r="AL965" s="98"/>
      <c r="AM965" s="98"/>
      <c r="AN965" s="98"/>
      <c r="AO965" s="98"/>
      <c r="AP965" s="98"/>
      <c r="AQ965" s="98"/>
      <c r="AR965" s="98"/>
      <c r="AS965" s="98"/>
      <c r="AT965" s="98"/>
      <c r="AU965" s="98"/>
      <c r="AV965" s="98"/>
      <c r="AW965" s="98"/>
      <c r="AX965" s="98"/>
      <c r="AY965" s="98"/>
      <c r="AZ965" s="98"/>
    </row>
    <row r="966" spans="1:52" ht="12.75" customHeight="1" x14ac:dyDescent="0.25">
      <c r="A966" s="101"/>
      <c r="B966" s="97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  <c r="AH966" s="98"/>
      <c r="AI966" s="98"/>
      <c r="AJ966" s="98"/>
      <c r="AK966" s="98"/>
      <c r="AL966" s="98"/>
      <c r="AM966" s="98"/>
      <c r="AN966" s="98"/>
      <c r="AO966" s="98"/>
      <c r="AP966" s="98"/>
      <c r="AQ966" s="98"/>
      <c r="AR966" s="98"/>
      <c r="AS966" s="98"/>
      <c r="AT966" s="98"/>
      <c r="AU966" s="98"/>
      <c r="AV966" s="98"/>
      <c r="AW966" s="98"/>
      <c r="AX966" s="98"/>
      <c r="AY966" s="98"/>
      <c r="AZ966" s="98"/>
    </row>
    <row r="967" spans="1:52" ht="12.75" customHeight="1" x14ac:dyDescent="0.25">
      <c r="A967" s="101"/>
      <c r="B967" s="97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  <c r="AH967" s="98"/>
      <c r="AI967" s="98"/>
      <c r="AJ967" s="98"/>
      <c r="AK967" s="98"/>
      <c r="AL967" s="98"/>
      <c r="AM967" s="98"/>
      <c r="AN967" s="98"/>
      <c r="AO967" s="98"/>
      <c r="AP967" s="98"/>
      <c r="AQ967" s="98"/>
      <c r="AR967" s="98"/>
      <c r="AS967" s="98"/>
      <c r="AT967" s="98"/>
      <c r="AU967" s="98"/>
      <c r="AV967" s="98"/>
      <c r="AW967" s="98"/>
      <c r="AX967" s="98"/>
      <c r="AY967" s="98"/>
      <c r="AZ967" s="98"/>
    </row>
    <row r="968" spans="1:52" ht="12.75" customHeight="1" x14ac:dyDescent="0.25">
      <c r="A968" s="101"/>
      <c r="B968" s="97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  <c r="AH968" s="98"/>
      <c r="AI968" s="98"/>
      <c r="AJ968" s="98"/>
      <c r="AK968" s="98"/>
      <c r="AL968" s="98"/>
      <c r="AM968" s="98"/>
      <c r="AN968" s="98"/>
      <c r="AO968" s="98"/>
      <c r="AP968" s="98"/>
      <c r="AQ968" s="98"/>
      <c r="AR968" s="98"/>
      <c r="AS968" s="98"/>
      <c r="AT968" s="98"/>
      <c r="AU968" s="98"/>
      <c r="AV968" s="98"/>
      <c r="AW968" s="98"/>
      <c r="AX968" s="98"/>
      <c r="AY968" s="98"/>
      <c r="AZ968" s="98"/>
    </row>
    <row r="969" spans="1:52" ht="12.75" customHeight="1" x14ac:dyDescent="0.25">
      <c r="A969" s="101"/>
      <c r="B969" s="97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  <c r="AH969" s="98"/>
      <c r="AI969" s="98"/>
      <c r="AJ969" s="98"/>
      <c r="AK969" s="98"/>
      <c r="AL969" s="98"/>
      <c r="AM969" s="98"/>
      <c r="AN969" s="98"/>
      <c r="AO969" s="98"/>
      <c r="AP969" s="98"/>
      <c r="AQ969" s="98"/>
      <c r="AR969" s="98"/>
      <c r="AS969" s="98"/>
      <c r="AT969" s="98"/>
      <c r="AU969" s="98"/>
      <c r="AV969" s="98"/>
      <c r="AW969" s="98"/>
      <c r="AX969" s="98"/>
      <c r="AY969" s="98"/>
      <c r="AZ969" s="98"/>
    </row>
    <row r="970" spans="1:52" ht="12.75" customHeight="1" x14ac:dyDescent="0.25">
      <c r="A970" s="101"/>
      <c r="B970" s="97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  <c r="AH970" s="98"/>
      <c r="AI970" s="98"/>
      <c r="AJ970" s="98"/>
      <c r="AK970" s="98"/>
      <c r="AL970" s="98"/>
      <c r="AM970" s="98"/>
      <c r="AN970" s="98"/>
      <c r="AO970" s="98"/>
      <c r="AP970" s="98"/>
      <c r="AQ970" s="98"/>
      <c r="AR970" s="98"/>
      <c r="AS970" s="98"/>
      <c r="AT970" s="98"/>
      <c r="AU970" s="98"/>
      <c r="AV970" s="98"/>
      <c r="AW970" s="98"/>
      <c r="AX970" s="98"/>
      <c r="AY970" s="98"/>
      <c r="AZ970" s="98"/>
    </row>
    <row r="971" spans="1:52" ht="12.75" customHeight="1" x14ac:dyDescent="0.25">
      <c r="A971" s="101"/>
      <c r="B971" s="97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  <c r="AH971" s="98"/>
      <c r="AI971" s="98"/>
      <c r="AJ971" s="98"/>
      <c r="AK971" s="98"/>
      <c r="AL971" s="98"/>
      <c r="AM971" s="98"/>
      <c r="AN971" s="98"/>
      <c r="AO971" s="98"/>
      <c r="AP971" s="98"/>
      <c r="AQ971" s="98"/>
      <c r="AR971" s="98"/>
      <c r="AS971" s="98"/>
      <c r="AT971" s="98"/>
      <c r="AU971" s="98"/>
      <c r="AV971" s="98"/>
      <c r="AW971" s="98"/>
      <c r="AX971" s="98"/>
      <c r="AY971" s="98"/>
      <c r="AZ971" s="98"/>
    </row>
    <row r="972" spans="1:52" ht="12.75" customHeight="1" x14ac:dyDescent="0.25">
      <c r="A972" s="101"/>
      <c r="B972" s="97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  <c r="AH972" s="98"/>
      <c r="AI972" s="98"/>
      <c r="AJ972" s="98"/>
      <c r="AK972" s="98"/>
      <c r="AL972" s="98"/>
      <c r="AM972" s="98"/>
      <c r="AN972" s="98"/>
      <c r="AO972" s="98"/>
      <c r="AP972" s="98"/>
      <c r="AQ972" s="98"/>
      <c r="AR972" s="98"/>
      <c r="AS972" s="98"/>
      <c r="AT972" s="98"/>
      <c r="AU972" s="98"/>
      <c r="AV972" s="98"/>
      <c r="AW972" s="98"/>
      <c r="AX972" s="98"/>
      <c r="AY972" s="98"/>
      <c r="AZ972" s="98"/>
    </row>
    <row r="973" spans="1:52" ht="12.75" customHeight="1" x14ac:dyDescent="0.25">
      <c r="A973" s="101"/>
      <c r="B973" s="97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  <c r="AH973" s="98"/>
      <c r="AI973" s="98"/>
      <c r="AJ973" s="98"/>
      <c r="AK973" s="98"/>
      <c r="AL973" s="98"/>
      <c r="AM973" s="98"/>
      <c r="AN973" s="98"/>
      <c r="AO973" s="98"/>
      <c r="AP973" s="98"/>
      <c r="AQ973" s="98"/>
      <c r="AR973" s="98"/>
      <c r="AS973" s="98"/>
      <c r="AT973" s="98"/>
      <c r="AU973" s="98"/>
      <c r="AV973" s="98"/>
      <c r="AW973" s="98"/>
      <c r="AX973" s="98"/>
      <c r="AY973" s="98"/>
      <c r="AZ973" s="98"/>
    </row>
    <row r="974" spans="1:52" ht="12.75" customHeight="1" x14ac:dyDescent="0.25">
      <c r="A974" s="101"/>
      <c r="B974" s="97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  <c r="AH974" s="98"/>
      <c r="AI974" s="98"/>
      <c r="AJ974" s="98"/>
      <c r="AK974" s="98"/>
      <c r="AL974" s="98"/>
      <c r="AM974" s="98"/>
      <c r="AN974" s="98"/>
      <c r="AO974" s="98"/>
      <c r="AP974" s="98"/>
      <c r="AQ974" s="98"/>
      <c r="AR974" s="98"/>
      <c r="AS974" s="98"/>
      <c r="AT974" s="98"/>
      <c r="AU974" s="98"/>
      <c r="AV974" s="98"/>
      <c r="AW974" s="98"/>
      <c r="AX974" s="98"/>
      <c r="AY974" s="98"/>
      <c r="AZ974" s="98"/>
    </row>
    <row r="975" spans="1:52" ht="12.75" customHeight="1" x14ac:dyDescent="0.25">
      <c r="A975" s="101"/>
      <c r="B975" s="97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  <c r="AH975" s="98"/>
      <c r="AI975" s="98"/>
      <c r="AJ975" s="98"/>
      <c r="AK975" s="98"/>
      <c r="AL975" s="98"/>
      <c r="AM975" s="98"/>
      <c r="AN975" s="98"/>
      <c r="AO975" s="98"/>
      <c r="AP975" s="98"/>
      <c r="AQ975" s="98"/>
      <c r="AR975" s="98"/>
      <c r="AS975" s="98"/>
      <c r="AT975" s="98"/>
      <c r="AU975" s="98"/>
      <c r="AV975" s="98"/>
      <c r="AW975" s="98"/>
      <c r="AX975" s="98"/>
      <c r="AY975" s="98"/>
      <c r="AZ975" s="98"/>
    </row>
    <row r="976" spans="1:52" ht="12.75" customHeight="1" x14ac:dyDescent="0.25">
      <c r="A976" s="101"/>
      <c r="B976" s="97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  <c r="AH976" s="98"/>
      <c r="AI976" s="98"/>
      <c r="AJ976" s="98"/>
      <c r="AK976" s="98"/>
      <c r="AL976" s="98"/>
      <c r="AM976" s="98"/>
      <c r="AN976" s="98"/>
      <c r="AO976" s="98"/>
      <c r="AP976" s="98"/>
      <c r="AQ976" s="98"/>
      <c r="AR976" s="98"/>
      <c r="AS976" s="98"/>
      <c r="AT976" s="98"/>
      <c r="AU976" s="98"/>
      <c r="AV976" s="98"/>
      <c r="AW976" s="98"/>
      <c r="AX976" s="98"/>
      <c r="AY976" s="98"/>
      <c r="AZ976" s="98"/>
    </row>
    <row r="977" spans="1:52" ht="12.75" customHeight="1" x14ac:dyDescent="0.25">
      <c r="A977" s="101"/>
      <c r="B977" s="97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  <c r="AH977" s="98"/>
      <c r="AI977" s="98"/>
      <c r="AJ977" s="98"/>
      <c r="AK977" s="98"/>
      <c r="AL977" s="98"/>
      <c r="AM977" s="98"/>
      <c r="AN977" s="98"/>
      <c r="AO977" s="98"/>
      <c r="AP977" s="98"/>
      <c r="AQ977" s="98"/>
      <c r="AR977" s="98"/>
      <c r="AS977" s="98"/>
      <c r="AT977" s="98"/>
      <c r="AU977" s="98"/>
      <c r="AV977" s="98"/>
      <c r="AW977" s="98"/>
      <c r="AX977" s="98"/>
      <c r="AY977" s="98"/>
      <c r="AZ977" s="98"/>
    </row>
    <row r="978" spans="1:52" ht="12.75" customHeight="1" x14ac:dyDescent="0.25">
      <c r="A978" s="101"/>
      <c r="B978" s="97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  <c r="AH978" s="98"/>
      <c r="AI978" s="98"/>
      <c r="AJ978" s="98"/>
      <c r="AK978" s="98"/>
      <c r="AL978" s="98"/>
      <c r="AM978" s="98"/>
      <c r="AN978" s="98"/>
      <c r="AO978" s="98"/>
      <c r="AP978" s="98"/>
      <c r="AQ978" s="98"/>
      <c r="AR978" s="98"/>
      <c r="AS978" s="98"/>
      <c r="AT978" s="98"/>
      <c r="AU978" s="98"/>
      <c r="AV978" s="98"/>
      <c r="AW978" s="98"/>
      <c r="AX978" s="98"/>
      <c r="AY978" s="98"/>
      <c r="AZ978" s="98"/>
    </row>
    <row r="979" spans="1:52" ht="12.75" customHeight="1" x14ac:dyDescent="0.25">
      <c r="A979" s="101"/>
      <c r="B979" s="97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  <c r="AH979" s="98"/>
      <c r="AI979" s="98"/>
      <c r="AJ979" s="98"/>
      <c r="AK979" s="98"/>
      <c r="AL979" s="98"/>
      <c r="AM979" s="98"/>
      <c r="AN979" s="98"/>
      <c r="AO979" s="98"/>
      <c r="AP979" s="98"/>
      <c r="AQ979" s="98"/>
      <c r="AR979" s="98"/>
      <c r="AS979" s="98"/>
      <c r="AT979" s="98"/>
      <c r="AU979" s="98"/>
      <c r="AV979" s="98"/>
      <c r="AW979" s="98"/>
      <c r="AX979" s="98"/>
      <c r="AY979" s="98"/>
      <c r="AZ979" s="98"/>
    </row>
    <row r="980" spans="1:52" ht="12.75" customHeight="1" x14ac:dyDescent="0.25">
      <c r="A980" s="101"/>
      <c r="B980" s="97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  <c r="AH980" s="98"/>
      <c r="AI980" s="98"/>
      <c r="AJ980" s="98"/>
      <c r="AK980" s="98"/>
      <c r="AL980" s="98"/>
      <c r="AM980" s="98"/>
      <c r="AN980" s="98"/>
      <c r="AO980" s="98"/>
      <c r="AP980" s="98"/>
      <c r="AQ980" s="98"/>
      <c r="AR980" s="98"/>
      <c r="AS980" s="98"/>
      <c r="AT980" s="98"/>
      <c r="AU980" s="98"/>
      <c r="AV980" s="98"/>
      <c r="AW980" s="98"/>
      <c r="AX980" s="98"/>
      <c r="AY980" s="98"/>
      <c r="AZ980" s="98"/>
    </row>
    <row r="981" spans="1:52" ht="12.75" customHeight="1" x14ac:dyDescent="0.25">
      <c r="A981" s="101"/>
      <c r="B981" s="97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  <c r="AH981" s="98"/>
      <c r="AI981" s="98"/>
      <c r="AJ981" s="98"/>
      <c r="AK981" s="98"/>
      <c r="AL981" s="98"/>
      <c r="AM981" s="98"/>
      <c r="AN981" s="98"/>
      <c r="AO981" s="98"/>
      <c r="AP981" s="98"/>
      <c r="AQ981" s="98"/>
      <c r="AR981" s="98"/>
      <c r="AS981" s="98"/>
      <c r="AT981" s="98"/>
      <c r="AU981" s="98"/>
      <c r="AV981" s="98"/>
      <c r="AW981" s="98"/>
      <c r="AX981" s="98"/>
      <c r="AY981" s="98"/>
      <c r="AZ981" s="98"/>
    </row>
    <row r="982" spans="1:52" ht="12.75" customHeight="1" x14ac:dyDescent="0.25">
      <c r="A982" s="101"/>
      <c r="B982" s="97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  <c r="AH982" s="98"/>
      <c r="AI982" s="98"/>
      <c r="AJ982" s="98"/>
      <c r="AK982" s="98"/>
      <c r="AL982" s="98"/>
      <c r="AM982" s="98"/>
      <c r="AN982" s="98"/>
      <c r="AO982" s="98"/>
      <c r="AP982" s="98"/>
      <c r="AQ982" s="98"/>
      <c r="AR982" s="98"/>
      <c r="AS982" s="98"/>
      <c r="AT982" s="98"/>
      <c r="AU982" s="98"/>
      <c r="AV982" s="98"/>
      <c r="AW982" s="98"/>
      <c r="AX982" s="98"/>
      <c r="AY982" s="98"/>
      <c r="AZ982" s="98"/>
    </row>
    <row r="983" spans="1:52" ht="12.75" customHeight="1" x14ac:dyDescent="0.25">
      <c r="A983" s="101"/>
      <c r="B983" s="97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  <c r="AH983" s="98"/>
      <c r="AI983" s="98"/>
      <c r="AJ983" s="98"/>
      <c r="AK983" s="98"/>
      <c r="AL983" s="98"/>
      <c r="AM983" s="98"/>
      <c r="AN983" s="98"/>
      <c r="AO983" s="98"/>
      <c r="AP983" s="98"/>
      <c r="AQ983" s="98"/>
      <c r="AR983" s="98"/>
      <c r="AS983" s="98"/>
      <c r="AT983" s="98"/>
      <c r="AU983" s="98"/>
      <c r="AV983" s="98"/>
      <c r="AW983" s="98"/>
      <c r="AX983" s="98"/>
      <c r="AY983" s="98"/>
      <c r="AZ983" s="98"/>
    </row>
    <row r="984" spans="1:52" ht="12.75" customHeight="1" x14ac:dyDescent="0.25">
      <c r="A984" s="101"/>
      <c r="B984" s="97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  <c r="AH984" s="98"/>
      <c r="AI984" s="98"/>
      <c r="AJ984" s="98"/>
      <c r="AK984" s="98"/>
      <c r="AL984" s="98"/>
      <c r="AM984" s="98"/>
      <c r="AN984" s="98"/>
      <c r="AO984" s="98"/>
      <c r="AP984" s="98"/>
      <c r="AQ984" s="98"/>
      <c r="AR984" s="98"/>
      <c r="AS984" s="98"/>
      <c r="AT984" s="98"/>
      <c r="AU984" s="98"/>
      <c r="AV984" s="98"/>
      <c r="AW984" s="98"/>
      <c r="AX984" s="98"/>
      <c r="AY984" s="98"/>
      <c r="AZ984" s="98"/>
    </row>
    <row r="985" spans="1:52" ht="12.75" customHeight="1" x14ac:dyDescent="0.25">
      <c r="A985" s="101"/>
      <c r="B985" s="97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  <c r="AH985" s="98"/>
      <c r="AI985" s="98"/>
      <c r="AJ985" s="98"/>
      <c r="AK985" s="98"/>
      <c r="AL985" s="98"/>
      <c r="AM985" s="98"/>
      <c r="AN985" s="98"/>
      <c r="AO985" s="98"/>
      <c r="AP985" s="98"/>
      <c r="AQ985" s="98"/>
      <c r="AR985" s="98"/>
      <c r="AS985" s="98"/>
      <c r="AT985" s="98"/>
      <c r="AU985" s="98"/>
      <c r="AV985" s="98"/>
      <c r="AW985" s="98"/>
      <c r="AX985" s="98"/>
      <c r="AY985" s="98"/>
      <c r="AZ985" s="98"/>
    </row>
    <row r="986" spans="1:52" ht="12.75" customHeight="1" x14ac:dyDescent="0.25">
      <c r="A986" s="101"/>
      <c r="B986" s="97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  <c r="AH986" s="98"/>
      <c r="AI986" s="98"/>
      <c r="AJ986" s="98"/>
      <c r="AK986" s="98"/>
      <c r="AL986" s="98"/>
      <c r="AM986" s="98"/>
      <c r="AN986" s="98"/>
      <c r="AO986" s="98"/>
      <c r="AP986" s="98"/>
      <c r="AQ986" s="98"/>
      <c r="AR986" s="98"/>
      <c r="AS986" s="98"/>
      <c r="AT986" s="98"/>
      <c r="AU986" s="98"/>
      <c r="AV986" s="98"/>
      <c r="AW986" s="98"/>
      <c r="AX986" s="98"/>
      <c r="AY986" s="98"/>
      <c r="AZ986" s="98"/>
    </row>
    <row r="987" spans="1:52" ht="12.75" customHeight="1" x14ac:dyDescent="0.25">
      <c r="A987" s="101"/>
      <c r="B987" s="97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  <c r="AH987" s="98"/>
      <c r="AI987" s="98"/>
      <c r="AJ987" s="98"/>
      <c r="AK987" s="98"/>
      <c r="AL987" s="98"/>
      <c r="AM987" s="98"/>
      <c r="AN987" s="98"/>
      <c r="AO987" s="98"/>
      <c r="AP987" s="98"/>
      <c r="AQ987" s="98"/>
      <c r="AR987" s="98"/>
      <c r="AS987" s="98"/>
      <c r="AT987" s="98"/>
      <c r="AU987" s="98"/>
      <c r="AV987" s="98"/>
      <c r="AW987" s="98"/>
      <c r="AX987" s="98"/>
      <c r="AY987" s="98"/>
      <c r="AZ987" s="98"/>
    </row>
    <row r="988" spans="1:52" ht="12.75" customHeight="1" x14ac:dyDescent="0.25">
      <c r="A988" s="101"/>
      <c r="B988" s="97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  <c r="AH988" s="98"/>
      <c r="AI988" s="98"/>
      <c r="AJ988" s="98"/>
      <c r="AK988" s="98"/>
      <c r="AL988" s="98"/>
      <c r="AM988" s="98"/>
      <c r="AN988" s="98"/>
      <c r="AO988" s="98"/>
      <c r="AP988" s="98"/>
      <c r="AQ988" s="98"/>
      <c r="AR988" s="98"/>
      <c r="AS988" s="98"/>
      <c r="AT988" s="98"/>
      <c r="AU988" s="98"/>
      <c r="AV988" s="98"/>
      <c r="AW988" s="98"/>
      <c r="AX988" s="98"/>
      <c r="AY988" s="98"/>
      <c r="AZ988" s="98"/>
    </row>
    <row r="989" spans="1:52" ht="12.75" customHeight="1" x14ac:dyDescent="0.25">
      <c r="A989" s="101"/>
      <c r="B989" s="97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  <c r="AH989" s="98"/>
      <c r="AI989" s="98"/>
      <c r="AJ989" s="98"/>
      <c r="AK989" s="98"/>
      <c r="AL989" s="98"/>
      <c r="AM989" s="98"/>
      <c r="AN989" s="98"/>
      <c r="AO989" s="98"/>
      <c r="AP989" s="98"/>
      <c r="AQ989" s="98"/>
      <c r="AR989" s="98"/>
      <c r="AS989" s="98"/>
      <c r="AT989" s="98"/>
      <c r="AU989" s="98"/>
      <c r="AV989" s="98"/>
      <c r="AW989" s="98"/>
      <c r="AX989" s="98"/>
      <c r="AY989" s="98"/>
      <c r="AZ989" s="98"/>
    </row>
    <row r="990" spans="1:52" ht="12.75" customHeight="1" x14ac:dyDescent="0.25">
      <c r="A990" s="101"/>
      <c r="B990" s="97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  <c r="AH990" s="98"/>
      <c r="AI990" s="98"/>
      <c r="AJ990" s="98"/>
      <c r="AK990" s="98"/>
      <c r="AL990" s="98"/>
      <c r="AM990" s="98"/>
      <c r="AN990" s="98"/>
      <c r="AO990" s="98"/>
      <c r="AP990" s="98"/>
      <c r="AQ990" s="98"/>
      <c r="AR990" s="98"/>
      <c r="AS990" s="98"/>
      <c r="AT990" s="98"/>
      <c r="AU990" s="98"/>
      <c r="AV990" s="98"/>
      <c r="AW990" s="98"/>
      <c r="AX990" s="98"/>
      <c r="AY990" s="98"/>
      <c r="AZ990" s="98"/>
    </row>
    <row r="991" spans="1:52" ht="12.75" customHeight="1" x14ac:dyDescent="0.25">
      <c r="A991" s="101"/>
      <c r="B991" s="97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  <c r="AH991" s="98"/>
      <c r="AI991" s="98"/>
      <c r="AJ991" s="98"/>
      <c r="AK991" s="98"/>
      <c r="AL991" s="98"/>
      <c r="AM991" s="98"/>
      <c r="AN991" s="98"/>
      <c r="AO991" s="98"/>
      <c r="AP991" s="98"/>
      <c r="AQ991" s="98"/>
      <c r="AR991" s="98"/>
      <c r="AS991" s="98"/>
      <c r="AT991" s="98"/>
      <c r="AU991" s="98"/>
      <c r="AV991" s="98"/>
      <c r="AW991" s="98"/>
      <c r="AX991" s="98"/>
      <c r="AY991" s="98"/>
      <c r="AZ991" s="98"/>
    </row>
    <row r="992" spans="1:52" ht="12.75" customHeight="1" x14ac:dyDescent="0.25">
      <c r="A992" s="101"/>
      <c r="B992" s="97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  <c r="AH992" s="98"/>
      <c r="AI992" s="98"/>
      <c r="AJ992" s="98"/>
      <c r="AK992" s="98"/>
      <c r="AL992" s="98"/>
      <c r="AM992" s="98"/>
      <c r="AN992" s="98"/>
      <c r="AO992" s="98"/>
      <c r="AP992" s="98"/>
      <c r="AQ992" s="98"/>
      <c r="AR992" s="98"/>
      <c r="AS992" s="98"/>
      <c r="AT992" s="98"/>
      <c r="AU992" s="98"/>
      <c r="AV992" s="98"/>
      <c r="AW992" s="98"/>
      <c r="AX992" s="98"/>
      <c r="AY992" s="98"/>
      <c r="AZ992" s="98"/>
    </row>
    <row r="993" spans="1:52" ht="12.75" customHeight="1" x14ac:dyDescent="0.25">
      <c r="A993" s="101"/>
      <c r="B993" s="97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  <c r="AH993" s="98"/>
      <c r="AI993" s="98"/>
      <c r="AJ993" s="98"/>
      <c r="AK993" s="98"/>
      <c r="AL993" s="98"/>
      <c r="AM993" s="98"/>
      <c r="AN993" s="98"/>
      <c r="AO993" s="98"/>
      <c r="AP993" s="98"/>
      <c r="AQ993" s="98"/>
      <c r="AR993" s="98"/>
      <c r="AS993" s="98"/>
      <c r="AT993" s="98"/>
      <c r="AU993" s="98"/>
      <c r="AV993" s="98"/>
      <c r="AW993" s="98"/>
      <c r="AX993" s="98"/>
      <c r="AY993" s="98"/>
      <c r="AZ993" s="98"/>
    </row>
    <row r="994" spans="1:52" ht="12.75" customHeight="1" x14ac:dyDescent="0.25">
      <c r="A994" s="101"/>
      <c r="B994" s="97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  <c r="AH994" s="98"/>
      <c r="AI994" s="98"/>
      <c r="AJ994" s="98"/>
      <c r="AK994" s="98"/>
      <c r="AL994" s="98"/>
      <c r="AM994" s="98"/>
      <c r="AN994" s="98"/>
      <c r="AO994" s="98"/>
      <c r="AP994" s="98"/>
      <c r="AQ994" s="98"/>
      <c r="AR994" s="98"/>
      <c r="AS994" s="98"/>
      <c r="AT994" s="98"/>
      <c r="AU994" s="98"/>
      <c r="AV994" s="98"/>
      <c r="AW994" s="98"/>
      <c r="AX994" s="98"/>
      <c r="AY994" s="98"/>
      <c r="AZ994" s="98"/>
    </row>
    <row r="995" spans="1:52" ht="12.75" customHeight="1" x14ac:dyDescent="0.25">
      <c r="A995" s="101"/>
      <c r="B995" s="97"/>
      <c r="T995" s="98"/>
      <c r="U995" s="98"/>
      <c r="V995" s="98"/>
      <c r="W995" s="98"/>
      <c r="X995" s="98"/>
      <c r="Y995" s="98"/>
      <c r="Z995" s="98"/>
      <c r="AA995" s="98"/>
      <c r="AB995" s="98"/>
      <c r="AC995" s="98"/>
      <c r="AD995" s="98"/>
      <c r="AE995" s="98"/>
      <c r="AF995" s="98"/>
      <c r="AG995" s="98"/>
      <c r="AH995" s="98"/>
      <c r="AI995" s="98"/>
      <c r="AJ995" s="98"/>
      <c r="AK995" s="98"/>
      <c r="AL995" s="98"/>
      <c r="AM995" s="98"/>
      <c r="AN995" s="98"/>
      <c r="AO995" s="98"/>
      <c r="AP995" s="98"/>
      <c r="AQ995" s="98"/>
      <c r="AR995" s="98"/>
      <c r="AS995" s="98"/>
      <c r="AT995" s="98"/>
      <c r="AU995" s="98"/>
      <c r="AV995" s="98"/>
      <c r="AW995" s="98"/>
      <c r="AX995" s="98"/>
      <c r="AY995" s="98"/>
      <c r="AZ995" s="98"/>
    </row>
    <row r="996" spans="1:52" ht="12.75" customHeight="1" x14ac:dyDescent="0.25">
      <c r="A996" s="101"/>
      <c r="B996" s="97"/>
      <c r="T996" s="98"/>
      <c r="U996" s="98"/>
      <c r="V996" s="98"/>
      <c r="W996" s="98"/>
      <c r="X996" s="98"/>
      <c r="Y996" s="98"/>
      <c r="Z996" s="98"/>
      <c r="AA996" s="98"/>
      <c r="AB996" s="98"/>
      <c r="AC996" s="98"/>
      <c r="AD996" s="98"/>
      <c r="AE996" s="98"/>
      <c r="AF996" s="98"/>
      <c r="AG996" s="98"/>
      <c r="AH996" s="98"/>
      <c r="AI996" s="98"/>
      <c r="AJ996" s="98"/>
      <c r="AK996" s="98"/>
      <c r="AL996" s="98"/>
      <c r="AM996" s="98"/>
      <c r="AN996" s="98"/>
      <c r="AO996" s="98"/>
      <c r="AP996" s="98"/>
      <c r="AQ996" s="98"/>
      <c r="AR996" s="98"/>
      <c r="AS996" s="98"/>
      <c r="AT996" s="98"/>
      <c r="AU996" s="98"/>
      <c r="AV996" s="98"/>
      <c r="AW996" s="98"/>
      <c r="AX996" s="98"/>
      <c r="AY996" s="98"/>
      <c r="AZ996" s="98"/>
    </row>
    <row r="997" spans="1:52" ht="12.75" customHeight="1" x14ac:dyDescent="0.25">
      <c r="A997" s="101"/>
      <c r="B997" s="97"/>
      <c r="T997" s="98"/>
      <c r="U997" s="98"/>
      <c r="V997" s="98"/>
      <c r="W997" s="98"/>
      <c r="X997" s="98"/>
      <c r="Y997" s="98"/>
      <c r="Z997" s="98"/>
      <c r="AA997" s="98"/>
      <c r="AB997" s="98"/>
      <c r="AC997" s="98"/>
      <c r="AD997" s="98"/>
      <c r="AE997" s="98"/>
      <c r="AF997" s="98"/>
      <c r="AG997" s="98"/>
      <c r="AH997" s="98"/>
      <c r="AI997" s="98"/>
      <c r="AJ997" s="98"/>
      <c r="AK997" s="98"/>
      <c r="AL997" s="98"/>
      <c r="AM997" s="98"/>
      <c r="AN997" s="98"/>
      <c r="AO997" s="98"/>
      <c r="AP997" s="98"/>
      <c r="AQ997" s="98"/>
      <c r="AR997" s="98"/>
      <c r="AS997" s="98"/>
      <c r="AT997" s="98"/>
      <c r="AU997" s="98"/>
      <c r="AV997" s="98"/>
      <c r="AW997" s="98"/>
      <c r="AX997" s="98"/>
      <c r="AY997" s="98"/>
      <c r="AZ997" s="98"/>
    </row>
    <row r="998" spans="1:52" ht="12.75" customHeight="1" x14ac:dyDescent="0.25">
      <c r="A998" s="101"/>
      <c r="B998" s="97"/>
      <c r="T998" s="98"/>
      <c r="U998" s="98"/>
      <c r="V998" s="98"/>
      <c r="W998" s="98"/>
      <c r="X998" s="98"/>
      <c r="Y998" s="98"/>
      <c r="Z998" s="98"/>
      <c r="AA998" s="98"/>
      <c r="AB998" s="98"/>
      <c r="AC998" s="98"/>
      <c r="AD998" s="98"/>
      <c r="AE998" s="98"/>
      <c r="AF998" s="98"/>
      <c r="AG998" s="98"/>
      <c r="AH998" s="98"/>
      <c r="AI998" s="98"/>
      <c r="AJ998" s="98"/>
      <c r="AK998" s="98"/>
      <c r="AL998" s="98"/>
      <c r="AM998" s="98"/>
      <c r="AN998" s="98"/>
      <c r="AO998" s="98"/>
      <c r="AP998" s="98"/>
      <c r="AQ998" s="98"/>
      <c r="AR998" s="98"/>
      <c r="AS998" s="98"/>
      <c r="AT998" s="98"/>
      <c r="AU998" s="98"/>
      <c r="AV998" s="98"/>
      <c r="AW998" s="98"/>
      <c r="AX998" s="98"/>
      <c r="AY998" s="98"/>
      <c r="AZ998" s="98"/>
    </row>
    <row r="999" spans="1:52" ht="12.75" customHeight="1" x14ac:dyDescent="0.25">
      <c r="A999" s="101"/>
      <c r="B999" s="97"/>
      <c r="T999" s="98"/>
      <c r="U999" s="98"/>
      <c r="V999" s="98"/>
      <c r="W999" s="98"/>
      <c r="X999" s="98"/>
      <c r="Y999" s="98"/>
      <c r="Z999" s="98"/>
      <c r="AA999" s="98"/>
      <c r="AB999" s="98"/>
      <c r="AC999" s="98"/>
      <c r="AD999" s="98"/>
      <c r="AE999" s="98"/>
      <c r="AF999" s="98"/>
      <c r="AG999" s="98"/>
      <c r="AH999" s="98"/>
      <c r="AI999" s="98"/>
      <c r="AJ999" s="98"/>
      <c r="AK999" s="98"/>
      <c r="AL999" s="98"/>
      <c r="AM999" s="98"/>
      <c r="AN999" s="98"/>
      <c r="AO999" s="98"/>
      <c r="AP999" s="98"/>
      <c r="AQ999" s="98"/>
      <c r="AR999" s="98"/>
      <c r="AS999" s="98"/>
      <c r="AT999" s="98"/>
      <c r="AU999" s="98"/>
      <c r="AV999" s="98"/>
      <c r="AW999" s="98"/>
      <c r="AX999" s="98"/>
      <c r="AY999" s="98"/>
      <c r="AZ999" s="98"/>
    </row>
    <row r="1000" spans="1:52" ht="12.75" customHeight="1" x14ac:dyDescent="0.25">
      <c r="A1000" s="101"/>
      <c r="B1000" s="97"/>
      <c r="T1000" s="98"/>
      <c r="U1000" s="98"/>
      <c r="V1000" s="98"/>
      <c r="W1000" s="98"/>
      <c r="X1000" s="98"/>
      <c r="Y1000" s="98"/>
      <c r="Z1000" s="98"/>
      <c r="AA1000" s="98"/>
      <c r="AB1000" s="98"/>
      <c r="AC1000" s="98"/>
      <c r="AD1000" s="98"/>
      <c r="AE1000" s="98"/>
      <c r="AF1000" s="98"/>
      <c r="AG1000" s="98"/>
      <c r="AH1000" s="98"/>
      <c r="AI1000" s="98"/>
      <c r="AJ1000" s="98"/>
      <c r="AK1000" s="98"/>
      <c r="AL1000" s="98"/>
      <c r="AM1000" s="98"/>
      <c r="AN1000" s="98"/>
      <c r="AO1000" s="98"/>
      <c r="AP1000" s="98"/>
      <c r="AQ1000" s="98"/>
      <c r="AR1000" s="98"/>
      <c r="AS1000" s="98"/>
      <c r="AT1000" s="98"/>
      <c r="AU1000" s="98"/>
      <c r="AV1000" s="98"/>
      <c r="AW1000" s="98"/>
      <c r="AX1000" s="98"/>
      <c r="AY1000" s="98"/>
      <c r="AZ1000" s="98"/>
    </row>
  </sheetData>
  <sortState xmlns:xlrd2="http://schemas.microsoft.com/office/spreadsheetml/2017/richdata2" ref="A2:Z500">
    <sortCondition ref="A2:A500"/>
    <sortCondition ref="B2:B29"/>
  </sortState>
  <phoneticPr fontId="4" type="noConversion"/>
  <conditionalFormatting sqref="A12:XFD1048576 T1:XFD11 A4:S11 A2:S2 A3:XFD3 C1:S1048576">
    <cfRule type="cellIs" dxfId="20" priority="4" operator="equal">
      <formula>"NS"</formula>
    </cfRule>
    <cfRule type="cellIs" dxfId="19" priority="8" operator="lessThan">
      <formula>0</formula>
    </cfRule>
  </conditionalFormatting>
  <conditionalFormatting sqref="T1:XFD2 A2:S2 A3:XFD1048576 C1:S1048576">
    <cfRule type="cellIs" dxfId="18" priority="7" operator="equal">
      <formula>"BLQ"</formula>
    </cfRule>
  </conditionalFormatting>
  <conditionalFormatting sqref="C2:AZ1000 C1:S1048576">
    <cfRule type="cellIs" dxfId="17" priority="2" operator="equal">
      <formula>"BLQ"</formula>
    </cfRule>
    <cfRule type="cellIs" dxfId="16" priority="3" operator="equal">
      <formula>-999</formula>
    </cfRule>
  </conditionalFormatting>
  <conditionalFormatting sqref="C2:AZ1000 C1:S1048576">
    <cfRule type="cellIs" dxfId="15" priority="1" operator="equal">
      <formula>-993</formula>
    </cfRule>
  </conditionalFormatting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000"/>
  <sheetViews>
    <sheetView topLeftCell="B1" workbookViewId="0">
      <selection activeCell="B2" sqref="B2"/>
    </sheetView>
  </sheetViews>
  <sheetFormatPr defaultColWidth="9.1796875" defaultRowHeight="12.5" x14ac:dyDescent="0.25"/>
  <cols>
    <col min="1" max="1" width="5.453125" style="22" hidden="1" customWidth="1"/>
    <col min="2" max="2" width="9.1796875" style="84"/>
    <col min="3" max="3" width="8.7265625" style="22" customWidth="1"/>
    <col min="4" max="4" width="17.26953125" style="22" customWidth="1"/>
    <col min="5" max="5" width="13.453125" style="89" customWidth="1"/>
    <col min="6" max="16384" width="9.1796875" style="85"/>
  </cols>
  <sheetData>
    <row r="1" spans="1:6" x14ac:dyDescent="0.25">
      <c r="B1" s="86" t="s">
        <v>20</v>
      </c>
      <c r="C1" s="85" t="s">
        <v>6</v>
      </c>
      <c r="D1" s="85" t="s">
        <v>64</v>
      </c>
      <c r="E1" s="92" t="s">
        <v>78</v>
      </c>
      <c r="F1" s="85" t="s">
        <v>57</v>
      </c>
    </row>
    <row r="2" spans="1:6" x14ac:dyDescent="0.25">
      <c r="A2" s="84" t="str">
        <f>B2&amp;"_"&amp;C2&amp;"_"&amp;D2</f>
        <v>1_2_1</v>
      </c>
      <c r="B2" s="99">
        <v>1</v>
      </c>
      <c r="C2" s="99">
        <v>2</v>
      </c>
      <c r="D2" s="100">
        <v>1</v>
      </c>
      <c r="E2" s="96">
        <v>6</v>
      </c>
      <c r="F2" s="85" t="str">
        <f>IF(ISERROR(HLOOKUP(D2,Data!$1:$1,1,FALSE)),"PROBLEM - Scheduled time not found.","")</f>
        <v/>
      </c>
    </row>
    <row r="3" spans="1:6" x14ac:dyDescent="0.25">
      <c r="A3" s="84" t="str">
        <f t="shared" ref="A3:A66" si="0">B3&amp;"_"&amp;C3&amp;"_"&amp;D3</f>
        <v>2_1_48</v>
      </c>
      <c r="B3" s="99">
        <v>2</v>
      </c>
      <c r="C3" s="99">
        <v>1</v>
      </c>
      <c r="D3" s="100">
        <v>48</v>
      </c>
      <c r="E3" s="96">
        <v>43</v>
      </c>
      <c r="F3" s="85" t="str">
        <f>IF(ISERROR(HLOOKUP(D3,Data!$1:$1,1,FALSE)),"PROBLEM - Scheduled time not found.","")</f>
        <v/>
      </c>
    </row>
    <row r="4" spans="1:6" x14ac:dyDescent="0.25">
      <c r="A4" s="84" t="str">
        <f t="shared" si="0"/>
        <v>__</v>
      </c>
      <c r="B4" s="93"/>
      <c r="C4" s="93"/>
      <c r="D4" s="94"/>
      <c r="E4" s="95"/>
      <c r="F4" s="85" t="str">
        <f>IF(ISERROR(HLOOKUP(D4,Data!$1:$1,1,FALSE)),"PROBLEM - Scheduled time not found.","")</f>
        <v/>
      </c>
    </row>
    <row r="5" spans="1:6" x14ac:dyDescent="0.25">
      <c r="A5" s="84" t="str">
        <f t="shared" si="0"/>
        <v>__</v>
      </c>
      <c r="B5" s="93"/>
      <c r="C5" s="93"/>
      <c r="D5" s="94"/>
      <c r="E5" s="95"/>
      <c r="F5" s="85" t="str">
        <f>IF(ISERROR(HLOOKUP(D5,Data!$1:$1,1,FALSE)),"PROBLEM - Scheduled time not found.","")</f>
        <v/>
      </c>
    </row>
    <row r="6" spans="1:6" x14ac:dyDescent="0.25">
      <c r="A6" s="84" t="str">
        <f t="shared" si="0"/>
        <v>__</v>
      </c>
      <c r="B6" s="93"/>
      <c r="C6" s="93"/>
      <c r="D6" s="94"/>
      <c r="E6" s="95"/>
      <c r="F6" s="85" t="str">
        <f>IF(ISERROR(HLOOKUP(D6,Data!$1:$1,1,FALSE)),"PROBLEM - Scheduled time not found.","")</f>
        <v/>
      </c>
    </row>
    <row r="7" spans="1:6" x14ac:dyDescent="0.25">
      <c r="A7" s="84" t="str">
        <f t="shared" si="0"/>
        <v>__</v>
      </c>
      <c r="B7" s="93"/>
      <c r="C7" s="93"/>
      <c r="D7" s="94"/>
      <c r="E7" s="95"/>
      <c r="F7" s="85" t="str">
        <f>IF(ISERROR(HLOOKUP(D7,Data!$1:$1,1,FALSE)),"PROBLEM - Scheduled time not found.","")</f>
        <v/>
      </c>
    </row>
    <row r="8" spans="1:6" x14ac:dyDescent="0.25">
      <c r="A8" s="84" t="str">
        <f t="shared" si="0"/>
        <v>__</v>
      </c>
      <c r="B8" s="93"/>
      <c r="C8" s="93"/>
      <c r="D8" s="94"/>
      <c r="E8" s="95"/>
      <c r="F8" s="85" t="str">
        <f>IF(ISERROR(HLOOKUP(D8,Data!$1:$1,1,FALSE)),"PROBLEM - Scheduled time not found.","")</f>
        <v/>
      </c>
    </row>
    <row r="9" spans="1:6" x14ac:dyDescent="0.25">
      <c r="A9" s="84" t="str">
        <f t="shared" si="0"/>
        <v>__</v>
      </c>
      <c r="B9" s="93"/>
      <c r="C9" s="93"/>
      <c r="D9" s="94"/>
      <c r="E9" s="95"/>
      <c r="F9" s="85" t="str">
        <f>IF(ISERROR(HLOOKUP(D9,Data!$1:$1,1,FALSE)),"PROBLEM - Scheduled time not found.","")</f>
        <v/>
      </c>
    </row>
    <row r="10" spans="1:6" x14ac:dyDescent="0.25">
      <c r="A10" s="84" t="str">
        <f t="shared" si="0"/>
        <v>__</v>
      </c>
      <c r="B10" s="93"/>
      <c r="C10" s="93"/>
      <c r="D10" s="94"/>
      <c r="E10" s="95"/>
      <c r="F10" s="85" t="str">
        <f>IF(ISERROR(HLOOKUP(D10,Data!$1:$1,1,FALSE)),"PROBLEM - Scheduled time not found.","")</f>
        <v/>
      </c>
    </row>
    <row r="11" spans="1:6" x14ac:dyDescent="0.25">
      <c r="A11" s="84" t="str">
        <f t="shared" si="0"/>
        <v>__</v>
      </c>
      <c r="B11" s="93"/>
      <c r="C11" s="93"/>
      <c r="D11" s="94"/>
      <c r="E11" s="95"/>
      <c r="F11" s="85" t="str">
        <f>IF(ISERROR(HLOOKUP(D11,Data!$1:$1,1,FALSE)),"PROBLEM - Scheduled time not found.","")</f>
        <v/>
      </c>
    </row>
    <row r="12" spans="1:6" x14ac:dyDescent="0.25">
      <c r="A12" s="84" t="str">
        <f t="shared" si="0"/>
        <v>__</v>
      </c>
      <c r="B12" s="93"/>
      <c r="C12" s="93"/>
      <c r="D12" s="94"/>
      <c r="E12" s="95"/>
      <c r="F12" s="85" t="str">
        <f>IF(ISERROR(HLOOKUP(D12,Data!$1:$1,1,FALSE)),"PROBLEM - Scheduled time not found.","")</f>
        <v/>
      </c>
    </row>
    <row r="13" spans="1:6" x14ac:dyDescent="0.25">
      <c r="A13" s="84" t="str">
        <f t="shared" si="0"/>
        <v>__</v>
      </c>
      <c r="B13" s="93"/>
      <c r="C13" s="93"/>
      <c r="D13" s="94"/>
      <c r="E13" s="95"/>
      <c r="F13" s="85" t="str">
        <f>IF(ISERROR(HLOOKUP(D13,Data!$1:$1,1,FALSE)),"PROBLEM - Scheduled time not found.","")</f>
        <v/>
      </c>
    </row>
    <row r="14" spans="1:6" x14ac:dyDescent="0.25">
      <c r="A14" s="84" t="str">
        <f t="shared" si="0"/>
        <v>__</v>
      </c>
      <c r="B14" s="93"/>
      <c r="C14" s="93"/>
      <c r="D14" s="94"/>
      <c r="E14" s="95"/>
      <c r="F14" s="85" t="str">
        <f>IF(ISERROR(HLOOKUP(D14,Data!$1:$1,1,FALSE)),"PROBLEM - Scheduled time not found.","")</f>
        <v/>
      </c>
    </row>
    <row r="15" spans="1:6" x14ac:dyDescent="0.25">
      <c r="A15" s="84" t="str">
        <f t="shared" si="0"/>
        <v>__</v>
      </c>
      <c r="B15" s="93"/>
      <c r="C15" s="93"/>
      <c r="D15" s="94"/>
      <c r="E15" s="95"/>
      <c r="F15" s="85" t="str">
        <f>IF(ISERROR(HLOOKUP(D15,Data!$1:$1,1,FALSE)),"PROBLEM - Scheduled time not found.","")</f>
        <v/>
      </c>
    </row>
    <row r="16" spans="1:6" x14ac:dyDescent="0.25">
      <c r="A16" s="84" t="str">
        <f t="shared" si="0"/>
        <v>__</v>
      </c>
      <c r="B16" s="93"/>
      <c r="C16" s="93"/>
      <c r="D16" s="94"/>
      <c r="E16" s="95"/>
      <c r="F16" s="85" t="str">
        <f>IF(ISERROR(HLOOKUP(D16,Data!$1:$1,1,FALSE)),"PROBLEM - Scheduled time not found.","")</f>
        <v/>
      </c>
    </row>
    <row r="17" spans="1:6" x14ac:dyDescent="0.25">
      <c r="A17" s="84" t="str">
        <f t="shared" si="0"/>
        <v>__</v>
      </c>
      <c r="B17" s="93"/>
      <c r="C17" s="93"/>
      <c r="D17" s="94"/>
      <c r="E17" s="95"/>
      <c r="F17" s="85" t="str">
        <f>IF(ISERROR(HLOOKUP(D17,Data!$1:$1,1,FALSE)),"PROBLEM - Scheduled time not found.","")</f>
        <v/>
      </c>
    </row>
    <row r="18" spans="1:6" x14ac:dyDescent="0.25">
      <c r="A18" s="84" t="str">
        <f t="shared" si="0"/>
        <v>__</v>
      </c>
      <c r="B18" s="93"/>
      <c r="C18" s="93"/>
      <c r="D18" s="94"/>
      <c r="E18" s="95"/>
      <c r="F18" s="85" t="str">
        <f>IF(ISERROR(HLOOKUP(D18,Data!$1:$1,1,FALSE)),"PROBLEM - Scheduled time not found.","")</f>
        <v/>
      </c>
    </row>
    <row r="19" spans="1:6" x14ac:dyDescent="0.25">
      <c r="A19" s="84" t="str">
        <f t="shared" si="0"/>
        <v>__</v>
      </c>
      <c r="B19" s="93"/>
      <c r="C19" s="93"/>
      <c r="D19" s="94"/>
      <c r="E19" s="95"/>
      <c r="F19" s="85" t="str">
        <f>IF(ISERROR(HLOOKUP(D19,Data!$1:$1,1,FALSE)),"PROBLEM - Scheduled time not found.","")</f>
        <v/>
      </c>
    </row>
    <row r="20" spans="1:6" x14ac:dyDescent="0.25">
      <c r="A20" s="84" t="str">
        <f t="shared" si="0"/>
        <v>__</v>
      </c>
      <c r="B20" s="93"/>
      <c r="C20" s="93"/>
      <c r="D20" s="94"/>
      <c r="E20" s="95"/>
      <c r="F20" s="85" t="str">
        <f>IF(ISERROR(HLOOKUP(D20,Data!$1:$1,1,FALSE)),"PROBLEM - Scheduled time not found.","")</f>
        <v/>
      </c>
    </row>
    <row r="21" spans="1:6" x14ac:dyDescent="0.25">
      <c r="A21" s="84" t="str">
        <f t="shared" si="0"/>
        <v>__</v>
      </c>
      <c r="B21" s="93"/>
      <c r="C21" s="93"/>
      <c r="D21" s="94"/>
      <c r="E21" s="95"/>
      <c r="F21" s="85" t="str">
        <f>IF(ISERROR(HLOOKUP(D21,Data!$1:$1,1,FALSE)),"PROBLEM - Scheduled time not found.","")</f>
        <v/>
      </c>
    </row>
    <row r="22" spans="1:6" x14ac:dyDescent="0.25">
      <c r="A22" s="84" t="str">
        <f t="shared" si="0"/>
        <v>__</v>
      </c>
      <c r="B22" s="93"/>
      <c r="C22" s="93"/>
      <c r="D22" s="94"/>
      <c r="E22" s="95"/>
      <c r="F22" s="85" t="str">
        <f>IF(ISERROR(HLOOKUP(D22,Data!$1:$1,1,FALSE)),"PROBLEM - Scheduled time not found.","")</f>
        <v/>
      </c>
    </row>
    <row r="23" spans="1:6" x14ac:dyDescent="0.25">
      <c r="A23" s="84" t="str">
        <f t="shared" si="0"/>
        <v>__</v>
      </c>
      <c r="B23" s="93"/>
      <c r="C23" s="93"/>
      <c r="D23" s="94"/>
      <c r="E23" s="95"/>
      <c r="F23" s="85" t="str">
        <f>IF(ISERROR(HLOOKUP(D23,Data!$1:$1,1,FALSE)),"PROBLEM - Scheduled time not found.","")</f>
        <v/>
      </c>
    </row>
    <row r="24" spans="1:6" x14ac:dyDescent="0.25">
      <c r="A24" s="84" t="str">
        <f t="shared" si="0"/>
        <v>__</v>
      </c>
      <c r="B24" s="93"/>
      <c r="C24" s="93"/>
      <c r="D24" s="94"/>
      <c r="E24" s="95"/>
      <c r="F24" s="85" t="str">
        <f>IF(ISERROR(HLOOKUP(D24,Data!$1:$1,1,FALSE)),"PROBLEM - Scheduled time not found.","")</f>
        <v/>
      </c>
    </row>
    <row r="25" spans="1:6" x14ac:dyDescent="0.25">
      <c r="A25" s="84" t="str">
        <f t="shared" si="0"/>
        <v>__</v>
      </c>
      <c r="B25" s="93"/>
      <c r="C25" s="93"/>
      <c r="D25" s="94"/>
      <c r="E25" s="95"/>
      <c r="F25" s="85" t="str">
        <f>IF(ISERROR(HLOOKUP(D25,Data!$1:$1,1,FALSE)),"PROBLEM - Scheduled time not found.","")</f>
        <v/>
      </c>
    </row>
    <row r="26" spans="1:6" x14ac:dyDescent="0.25">
      <c r="A26" s="84" t="str">
        <f t="shared" si="0"/>
        <v>__</v>
      </c>
      <c r="B26" s="93"/>
      <c r="C26" s="93"/>
      <c r="D26" s="94"/>
      <c r="E26" s="95"/>
      <c r="F26" s="85" t="str">
        <f>IF(ISERROR(HLOOKUP(D26,Data!$1:$1,1,FALSE)),"PROBLEM - Scheduled time not found.","")</f>
        <v/>
      </c>
    </row>
    <row r="27" spans="1:6" x14ac:dyDescent="0.25">
      <c r="A27" s="84" t="str">
        <f t="shared" si="0"/>
        <v>__</v>
      </c>
      <c r="B27" s="93"/>
      <c r="C27" s="93"/>
      <c r="D27" s="94"/>
      <c r="E27" s="95"/>
      <c r="F27" s="85" t="str">
        <f>IF(ISERROR(HLOOKUP(D27,Data!$1:$1,1,FALSE)),"PROBLEM - Scheduled time not found.","")</f>
        <v/>
      </c>
    </row>
    <row r="28" spans="1:6" x14ac:dyDescent="0.25">
      <c r="A28" s="84" t="str">
        <f t="shared" si="0"/>
        <v>__</v>
      </c>
      <c r="B28" s="93"/>
      <c r="C28" s="93"/>
      <c r="D28" s="94"/>
      <c r="E28" s="95"/>
      <c r="F28" s="85" t="str">
        <f>IF(ISERROR(HLOOKUP(D28,Data!$1:$1,1,FALSE)),"PROBLEM - Scheduled time not found.","")</f>
        <v/>
      </c>
    </row>
    <row r="29" spans="1:6" x14ac:dyDescent="0.25">
      <c r="A29" s="84" t="str">
        <f t="shared" si="0"/>
        <v>__</v>
      </c>
      <c r="B29" s="93"/>
      <c r="C29" s="93"/>
      <c r="D29" s="94"/>
      <c r="E29" s="95"/>
      <c r="F29" s="85" t="str">
        <f>IF(ISERROR(HLOOKUP(D29,Data!$1:$1,1,FALSE)),"PROBLEM - Scheduled time not found.","")</f>
        <v/>
      </c>
    </row>
    <row r="30" spans="1:6" x14ac:dyDescent="0.25">
      <c r="A30" s="84" t="str">
        <f t="shared" si="0"/>
        <v>__</v>
      </c>
      <c r="B30" s="93"/>
      <c r="C30" s="93"/>
      <c r="D30" s="94"/>
      <c r="E30" s="95"/>
      <c r="F30" s="85" t="str">
        <f>IF(ISERROR(HLOOKUP(D30,Data!$1:$1,1,FALSE)),"PROBLEM - Scheduled time not found.","")</f>
        <v/>
      </c>
    </row>
    <row r="31" spans="1:6" x14ac:dyDescent="0.25">
      <c r="A31" s="84" t="str">
        <f t="shared" si="0"/>
        <v>__</v>
      </c>
      <c r="B31" s="93"/>
      <c r="C31" s="93"/>
      <c r="D31" s="94"/>
      <c r="E31" s="95"/>
      <c r="F31" s="85" t="str">
        <f>IF(ISERROR(HLOOKUP(D31,Data!$1:$1,1,FALSE)),"PROBLEM - Scheduled time not found.","")</f>
        <v/>
      </c>
    </row>
    <row r="32" spans="1:6" x14ac:dyDescent="0.25">
      <c r="A32" s="84" t="str">
        <f t="shared" si="0"/>
        <v>__</v>
      </c>
      <c r="B32" s="93"/>
      <c r="C32" s="93"/>
      <c r="D32" s="94"/>
      <c r="E32" s="95"/>
      <c r="F32" s="85" t="str">
        <f>IF(ISERROR(HLOOKUP(D32,Data!$1:$1,1,FALSE)),"PROBLEM - Scheduled time not found.","")</f>
        <v/>
      </c>
    </row>
    <row r="33" spans="1:6" x14ac:dyDescent="0.25">
      <c r="A33" s="84" t="str">
        <f t="shared" si="0"/>
        <v>__</v>
      </c>
      <c r="B33" s="93"/>
      <c r="C33" s="93"/>
      <c r="D33" s="94"/>
      <c r="E33" s="95"/>
      <c r="F33" s="85" t="str">
        <f>IF(ISERROR(HLOOKUP(D33,Data!$1:$1,1,FALSE)),"PROBLEM - Scheduled time not found.","")</f>
        <v/>
      </c>
    </row>
    <row r="34" spans="1:6" x14ac:dyDescent="0.25">
      <c r="A34" s="84" t="str">
        <f t="shared" si="0"/>
        <v>__</v>
      </c>
      <c r="B34" s="93"/>
      <c r="C34" s="93"/>
      <c r="D34" s="94"/>
      <c r="E34" s="95"/>
      <c r="F34" s="85" t="str">
        <f>IF(ISERROR(HLOOKUP(D34,Data!$1:$1,1,FALSE)),"PROBLEM - Scheduled time not found.","")</f>
        <v/>
      </c>
    </row>
    <row r="35" spans="1:6" x14ac:dyDescent="0.25">
      <c r="A35" s="84" t="str">
        <f t="shared" si="0"/>
        <v>__</v>
      </c>
      <c r="B35" s="93"/>
      <c r="C35" s="93"/>
      <c r="D35" s="94"/>
      <c r="E35" s="95"/>
      <c r="F35" s="85" t="str">
        <f>IF(ISERROR(HLOOKUP(D35,Data!$1:$1,1,FALSE)),"PROBLEM - Scheduled time not found.","")</f>
        <v/>
      </c>
    </row>
    <row r="36" spans="1:6" x14ac:dyDescent="0.25">
      <c r="A36" s="84" t="str">
        <f t="shared" si="0"/>
        <v>__</v>
      </c>
      <c r="B36" s="93"/>
      <c r="C36" s="93"/>
      <c r="D36" s="94"/>
      <c r="E36" s="95"/>
      <c r="F36" s="85" t="str">
        <f>IF(ISERROR(HLOOKUP(D36,Data!$1:$1,1,FALSE)),"PROBLEM - Scheduled time not found.","")</f>
        <v/>
      </c>
    </row>
    <row r="37" spans="1:6" x14ac:dyDescent="0.25">
      <c r="A37" s="84" t="str">
        <f t="shared" si="0"/>
        <v>__</v>
      </c>
      <c r="B37" s="93"/>
      <c r="C37" s="93"/>
      <c r="D37" s="94"/>
      <c r="E37" s="95"/>
      <c r="F37" s="85" t="str">
        <f>IF(ISERROR(HLOOKUP(D37,Data!$1:$1,1,FALSE)),"PROBLEM - Scheduled time not found.","")</f>
        <v/>
      </c>
    </row>
    <row r="38" spans="1:6" x14ac:dyDescent="0.25">
      <c r="A38" s="84" t="str">
        <f t="shared" si="0"/>
        <v>__</v>
      </c>
      <c r="B38" s="93"/>
      <c r="C38" s="93"/>
      <c r="D38" s="94"/>
      <c r="E38" s="95"/>
      <c r="F38" s="85" t="str">
        <f>IF(ISERROR(HLOOKUP(D38,Data!$1:$1,1,FALSE)),"PROBLEM - Scheduled time not found.","")</f>
        <v/>
      </c>
    </row>
    <row r="39" spans="1:6" x14ac:dyDescent="0.25">
      <c r="A39" s="84" t="str">
        <f t="shared" si="0"/>
        <v>__</v>
      </c>
      <c r="B39" s="93"/>
      <c r="C39" s="93"/>
      <c r="D39" s="94"/>
      <c r="E39" s="95"/>
      <c r="F39" s="85" t="str">
        <f>IF(ISERROR(HLOOKUP(D39,Data!$1:$1,1,FALSE)),"PROBLEM - Scheduled time not found.","")</f>
        <v/>
      </c>
    </row>
    <row r="40" spans="1:6" x14ac:dyDescent="0.25">
      <c r="A40" s="84" t="str">
        <f t="shared" si="0"/>
        <v>__</v>
      </c>
      <c r="B40" s="93"/>
      <c r="C40" s="93"/>
      <c r="D40" s="94"/>
      <c r="E40" s="95"/>
      <c r="F40" s="85" t="str">
        <f>IF(ISERROR(HLOOKUP(D40,Data!$1:$1,1,FALSE)),"PROBLEM - Scheduled time not found.","")</f>
        <v/>
      </c>
    </row>
    <row r="41" spans="1:6" x14ac:dyDescent="0.25">
      <c r="A41" s="84" t="str">
        <f t="shared" si="0"/>
        <v>__</v>
      </c>
      <c r="B41" s="93"/>
      <c r="C41" s="93"/>
      <c r="D41" s="94"/>
      <c r="E41" s="95"/>
      <c r="F41" s="85" t="str">
        <f>IF(ISERROR(HLOOKUP(D41,Data!$1:$1,1,FALSE)),"PROBLEM - Scheduled time not found.","")</f>
        <v/>
      </c>
    </row>
    <row r="42" spans="1:6" x14ac:dyDescent="0.25">
      <c r="A42" s="84" t="str">
        <f t="shared" si="0"/>
        <v>__</v>
      </c>
      <c r="B42" s="93"/>
      <c r="C42" s="93"/>
      <c r="D42" s="94"/>
      <c r="E42" s="95"/>
      <c r="F42" s="85" t="str">
        <f>IF(ISERROR(HLOOKUP(D42,Data!$1:$1,1,FALSE)),"PROBLEM - Scheduled time not found.","")</f>
        <v/>
      </c>
    </row>
    <row r="43" spans="1:6" x14ac:dyDescent="0.25">
      <c r="A43" s="84" t="str">
        <f t="shared" si="0"/>
        <v>__</v>
      </c>
      <c r="B43" s="93"/>
      <c r="C43" s="93"/>
      <c r="D43" s="94"/>
      <c r="E43" s="95"/>
      <c r="F43" s="85" t="str">
        <f>IF(ISERROR(HLOOKUP(D43,Data!$1:$1,1,FALSE)),"PROBLEM - Scheduled time not found.","")</f>
        <v/>
      </c>
    </row>
    <row r="44" spans="1:6" x14ac:dyDescent="0.25">
      <c r="A44" s="84" t="str">
        <f t="shared" si="0"/>
        <v>__</v>
      </c>
      <c r="B44" s="93"/>
      <c r="C44" s="93"/>
      <c r="D44" s="94"/>
      <c r="E44" s="95"/>
      <c r="F44" s="85" t="str">
        <f>IF(ISERROR(HLOOKUP(D44,Data!$1:$1,1,FALSE)),"PROBLEM - Scheduled time not found.","")</f>
        <v/>
      </c>
    </row>
    <row r="45" spans="1:6" x14ac:dyDescent="0.25">
      <c r="A45" s="84" t="str">
        <f t="shared" si="0"/>
        <v>__</v>
      </c>
      <c r="B45" s="93"/>
      <c r="C45" s="93"/>
      <c r="D45" s="94"/>
      <c r="E45" s="95"/>
      <c r="F45" s="85" t="str">
        <f>IF(ISERROR(HLOOKUP(D45,Data!$1:$1,1,FALSE)),"PROBLEM - Scheduled time not found.","")</f>
        <v/>
      </c>
    </row>
    <row r="46" spans="1:6" x14ac:dyDescent="0.25">
      <c r="A46" s="84" t="str">
        <f t="shared" si="0"/>
        <v>__</v>
      </c>
      <c r="B46" s="93"/>
      <c r="C46" s="93"/>
      <c r="D46" s="94"/>
      <c r="E46" s="95"/>
      <c r="F46" s="85" t="str">
        <f>IF(ISERROR(HLOOKUP(D46,Data!$1:$1,1,FALSE)),"PROBLEM - Scheduled time not found.","")</f>
        <v/>
      </c>
    </row>
    <row r="47" spans="1:6" x14ac:dyDescent="0.25">
      <c r="A47" s="84" t="str">
        <f t="shared" si="0"/>
        <v>__</v>
      </c>
      <c r="B47" s="93"/>
      <c r="C47" s="93"/>
      <c r="D47" s="94"/>
      <c r="E47" s="95"/>
      <c r="F47" s="85" t="str">
        <f>IF(ISERROR(HLOOKUP(D47,Data!$1:$1,1,FALSE)),"PROBLEM - Scheduled time not found.","")</f>
        <v/>
      </c>
    </row>
    <row r="48" spans="1:6" x14ac:dyDescent="0.25">
      <c r="A48" s="84" t="str">
        <f t="shared" si="0"/>
        <v>__</v>
      </c>
      <c r="B48" s="93"/>
      <c r="C48" s="93"/>
      <c r="D48" s="94"/>
      <c r="E48" s="95"/>
      <c r="F48" s="85" t="str">
        <f>IF(ISERROR(HLOOKUP(D48,Data!$1:$1,1,FALSE)),"PROBLEM - Scheduled time not found.","")</f>
        <v/>
      </c>
    </row>
    <row r="49" spans="1:7" x14ac:dyDescent="0.25">
      <c r="A49" s="84" t="str">
        <f t="shared" si="0"/>
        <v>__</v>
      </c>
      <c r="B49" s="93"/>
      <c r="C49" s="93"/>
      <c r="D49" s="94"/>
      <c r="E49" s="95"/>
      <c r="F49" s="85" t="str">
        <f>IF(ISERROR(HLOOKUP(D49,Data!$1:$1,1,FALSE)),"PROBLEM - Scheduled time not found.","")</f>
        <v/>
      </c>
    </row>
    <row r="50" spans="1:7" x14ac:dyDescent="0.25">
      <c r="A50" s="84" t="str">
        <f t="shared" si="0"/>
        <v>__</v>
      </c>
      <c r="B50" s="93"/>
      <c r="C50" s="93"/>
      <c r="D50" s="94"/>
      <c r="E50" s="95"/>
      <c r="F50" s="85" t="str">
        <f>IF(ISERROR(HLOOKUP(D50,Data!$1:$1,1,FALSE)),"PROBLEM - Scheduled time not found.","")</f>
        <v/>
      </c>
    </row>
    <row r="51" spans="1:7" x14ac:dyDescent="0.25">
      <c r="A51" s="84" t="str">
        <f t="shared" si="0"/>
        <v>__</v>
      </c>
      <c r="B51" s="93"/>
      <c r="C51" s="93"/>
      <c r="D51" s="94"/>
      <c r="E51" s="95"/>
      <c r="F51" s="85" t="str">
        <f>IF(ISERROR(HLOOKUP(D51,Data!$1:$1,1,FALSE)),"PROBLEM - Scheduled time not found.","")</f>
        <v/>
      </c>
    </row>
    <row r="52" spans="1:7" x14ac:dyDescent="0.25">
      <c r="A52" s="84" t="str">
        <f t="shared" si="0"/>
        <v>__</v>
      </c>
      <c r="B52" s="93"/>
      <c r="C52" s="93"/>
      <c r="D52" s="94"/>
      <c r="E52" s="95"/>
      <c r="F52" s="85" t="str">
        <f>IF(ISERROR(HLOOKUP(D52,Data!$1:$1,1,FALSE)),"PROBLEM - Scheduled time not found.","")</f>
        <v/>
      </c>
    </row>
    <row r="53" spans="1:7" x14ac:dyDescent="0.25">
      <c r="A53" s="84" t="str">
        <f t="shared" si="0"/>
        <v>__</v>
      </c>
      <c r="B53" s="93"/>
      <c r="C53" s="93"/>
      <c r="D53" s="94"/>
      <c r="E53" s="95"/>
      <c r="F53" s="85" t="str">
        <f>IF(ISERROR(HLOOKUP(D53,Data!$1:$1,1,FALSE)),"PROBLEM - Scheduled time not found.","")</f>
        <v/>
      </c>
    </row>
    <row r="54" spans="1:7" x14ac:dyDescent="0.25">
      <c r="A54" s="84" t="str">
        <f t="shared" si="0"/>
        <v>__</v>
      </c>
      <c r="B54" s="93"/>
      <c r="C54" s="93"/>
      <c r="D54" s="94"/>
      <c r="E54" s="95"/>
      <c r="F54" s="85" t="str">
        <f>IF(ISERROR(HLOOKUP(D54,Data!$1:$1,1,FALSE)),"PROBLEM - Scheduled time not found.","")</f>
        <v/>
      </c>
    </row>
    <row r="55" spans="1:7" x14ac:dyDescent="0.25">
      <c r="A55" s="84" t="str">
        <f t="shared" si="0"/>
        <v>__</v>
      </c>
      <c r="B55" s="93"/>
      <c r="C55" s="93"/>
      <c r="D55" s="94"/>
      <c r="E55" s="95"/>
      <c r="F55" s="85" t="str">
        <f>IF(ISERROR(HLOOKUP(D55,Data!$1:$1,1,FALSE)),"PROBLEM - Scheduled time not found.","")</f>
        <v/>
      </c>
      <c r="G55" s="86"/>
    </row>
    <row r="56" spans="1:7" x14ac:dyDescent="0.25">
      <c r="A56" s="84" t="str">
        <f t="shared" si="0"/>
        <v>__</v>
      </c>
      <c r="B56" s="93"/>
      <c r="C56" s="93"/>
      <c r="D56" s="94"/>
      <c r="E56" s="95"/>
      <c r="F56" s="85" t="str">
        <f>IF(ISERROR(HLOOKUP(D56,Data!$1:$1,1,FALSE)),"PROBLEM - Scheduled time not found.","")</f>
        <v/>
      </c>
    </row>
    <row r="57" spans="1:7" x14ac:dyDescent="0.25">
      <c r="A57" s="84" t="str">
        <f t="shared" si="0"/>
        <v>__</v>
      </c>
      <c r="B57" s="93"/>
      <c r="C57" s="93"/>
      <c r="D57" s="94"/>
      <c r="E57" s="95"/>
      <c r="F57" s="85" t="str">
        <f>IF(ISERROR(HLOOKUP(D57,Data!$1:$1,1,FALSE)),"PROBLEM - Scheduled time not found.","")</f>
        <v/>
      </c>
    </row>
    <row r="58" spans="1:7" x14ac:dyDescent="0.25">
      <c r="A58" s="84" t="str">
        <f t="shared" si="0"/>
        <v>__</v>
      </c>
      <c r="B58" s="93"/>
      <c r="C58" s="93"/>
      <c r="D58" s="94"/>
      <c r="E58" s="95"/>
      <c r="F58" s="85" t="str">
        <f>IF(ISERROR(HLOOKUP(D58,Data!$1:$1,1,FALSE)),"PROBLEM - Scheduled time not found.","")</f>
        <v/>
      </c>
    </row>
    <row r="59" spans="1:7" x14ac:dyDescent="0.25">
      <c r="A59" s="84" t="str">
        <f t="shared" si="0"/>
        <v>__</v>
      </c>
      <c r="B59" s="93"/>
      <c r="C59" s="93"/>
      <c r="D59" s="94"/>
      <c r="E59" s="95"/>
      <c r="F59" s="85" t="str">
        <f>IF(ISERROR(HLOOKUP(D59,Data!$1:$1,1,FALSE)),"PROBLEM - Scheduled time not found.","")</f>
        <v/>
      </c>
    </row>
    <row r="60" spans="1:7" x14ac:dyDescent="0.25">
      <c r="A60" s="84" t="str">
        <f t="shared" si="0"/>
        <v>__</v>
      </c>
      <c r="B60" s="93"/>
      <c r="C60" s="93"/>
      <c r="D60" s="94"/>
      <c r="E60" s="95"/>
      <c r="F60" s="85" t="str">
        <f>IF(ISERROR(HLOOKUP(D60,Data!$1:$1,1,FALSE)),"PROBLEM - Scheduled time not found.","")</f>
        <v/>
      </c>
    </row>
    <row r="61" spans="1:7" x14ac:dyDescent="0.25">
      <c r="A61" s="84" t="str">
        <f t="shared" si="0"/>
        <v>__</v>
      </c>
      <c r="B61" s="93"/>
      <c r="C61" s="93"/>
      <c r="D61" s="94"/>
      <c r="E61" s="95"/>
      <c r="F61" s="85" t="str">
        <f>IF(ISERROR(HLOOKUP(D61,Data!$1:$1,1,FALSE)),"PROBLEM - Scheduled time not found.","")</f>
        <v/>
      </c>
    </row>
    <row r="62" spans="1:7" x14ac:dyDescent="0.25">
      <c r="A62" s="84" t="str">
        <f t="shared" si="0"/>
        <v>__</v>
      </c>
      <c r="B62" s="93"/>
      <c r="C62" s="93"/>
      <c r="D62" s="94"/>
      <c r="E62" s="95"/>
      <c r="F62" s="85" t="str">
        <f>IF(ISERROR(HLOOKUP(D62,Data!$1:$1,1,FALSE)),"PROBLEM - Scheduled time not found.","")</f>
        <v/>
      </c>
    </row>
    <row r="63" spans="1:7" x14ac:dyDescent="0.25">
      <c r="A63" s="84" t="str">
        <f t="shared" si="0"/>
        <v>__</v>
      </c>
      <c r="B63" s="93"/>
      <c r="C63" s="93"/>
      <c r="D63" s="94"/>
      <c r="E63" s="95"/>
      <c r="F63" s="85" t="str">
        <f>IF(ISERROR(HLOOKUP(D63,Data!$1:$1,1,FALSE)),"PROBLEM - Scheduled time not found.","")</f>
        <v/>
      </c>
    </row>
    <row r="64" spans="1:7" x14ac:dyDescent="0.25">
      <c r="A64" s="84" t="str">
        <f t="shared" si="0"/>
        <v>__</v>
      </c>
      <c r="B64" s="93"/>
      <c r="C64" s="93"/>
      <c r="D64" s="94"/>
      <c r="E64" s="95"/>
      <c r="F64" s="85" t="str">
        <f>IF(ISERROR(HLOOKUP(D64,Data!$1:$1,1,FALSE)),"PROBLEM - Scheduled time not found.","")</f>
        <v/>
      </c>
    </row>
    <row r="65" spans="1:6" x14ac:dyDescent="0.25">
      <c r="A65" s="84" t="str">
        <f t="shared" si="0"/>
        <v>__</v>
      </c>
      <c r="B65" s="93"/>
      <c r="C65" s="93"/>
      <c r="D65" s="94"/>
      <c r="E65" s="95"/>
      <c r="F65" s="85" t="str">
        <f>IF(ISERROR(HLOOKUP(D65,Data!$1:$1,1,FALSE)),"PROBLEM - Scheduled time not found.","")</f>
        <v/>
      </c>
    </row>
    <row r="66" spans="1:6" x14ac:dyDescent="0.25">
      <c r="A66" s="84" t="str">
        <f t="shared" si="0"/>
        <v>__</v>
      </c>
      <c r="B66" s="93"/>
      <c r="C66" s="93"/>
      <c r="D66" s="94"/>
      <c r="E66" s="95"/>
      <c r="F66" s="85" t="str">
        <f>IF(ISERROR(HLOOKUP(D66,Data!$1:$1,1,FALSE)),"PROBLEM - Scheduled time not found.","")</f>
        <v/>
      </c>
    </row>
    <row r="67" spans="1:6" x14ac:dyDescent="0.25">
      <c r="A67" s="84" t="str">
        <f t="shared" ref="A67:A130" si="1">B67&amp;"_"&amp;C67&amp;"_"&amp;D67</f>
        <v>__</v>
      </c>
      <c r="B67" s="93"/>
      <c r="C67" s="93"/>
      <c r="D67" s="94"/>
      <c r="E67" s="95"/>
      <c r="F67" s="85" t="str">
        <f>IF(ISERROR(HLOOKUP(D67,Data!$1:$1,1,FALSE)),"PROBLEM - Scheduled time not found.","")</f>
        <v/>
      </c>
    </row>
    <row r="68" spans="1:6" x14ac:dyDescent="0.25">
      <c r="A68" s="84" t="str">
        <f t="shared" si="1"/>
        <v>__</v>
      </c>
      <c r="B68" s="93"/>
      <c r="C68" s="93"/>
      <c r="D68" s="94"/>
      <c r="E68" s="95"/>
      <c r="F68" s="85" t="str">
        <f>IF(ISERROR(HLOOKUP(D68,Data!$1:$1,1,FALSE)),"PROBLEM - Scheduled time not found.","")</f>
        <v/>
      </c>
    </row>
    <row r="69" spans="1:6" x14ac:dyDescent="0.25">
      <c r="A69" s="84" t="str">
        <f t="shared" si="1"/>
        <v>__</v>
      </c>
      <c r="B69" s="93"/>
      <c r="C69" s="93"/>
      <c r="D69" s="94"/>
      <c r="E69" s="95"/>
      <c r="F69" s="85" t="str">
        <f>IF(ISERROR(HLOOKUP(D69,Data!$1:$1,1,FALSE)),"PROBLEM - Scheduled time not found.","")</f>
        <v/>
      </c>
    </row>
    <row r="70" spans="1:6" x14ac:dyDescent="0.25">
      <c r="A70" s="84" t="str">
        <f t="shared" si="1"/>
        <v>__</v>
      </c>
      <c r="B70" s="93"/>
      <c r="C70" s="93"/>
      <c r="D70" s="94"/>
      <c r="E70" s="95"/>
      <c r="F70" s="85" t="str">
        <f>IF(ISERROR(HLOOKUP(D70,Data!$1:$1,1,FALSE)),"PROBLEM - Scheduled time not found.","")</f>
        <v/>
      </c>
    </row>
    <row r="71" spans="1:6" x14ac:dyDescent="0.25">
      <c r="A71" s="84" t="str">
        <f t="shared" si="1"/>
        <v>__</v>
      </c>
      <c r="B71" s="93"/>
      <c r="C71" s="93"/>
      <c r="D71" s="94"/>
      <c r="E71" s="95"/>
      <c r="F71" s="85" t="str">
        <f>IF(ISERROR(HLOOKUP(D71,Data!$1:$1,1,FALSE)),"PROBLEM - Scheduled time not found.","")</f>
        <v/>
      </c>
    </row>
    <row r="72" spans="1:6" x14ac:dyDescent="0.25">
      <c r="A72" s="84" t="str">
        <f t="shared" si="1"/>
        <v>__</v>
      </c>
      <c r="B72" s="93"/>
      <c r="C72" s="93"/>
      <c r="D72" s="94"/>
      <c r="E72" s="95"/>
      <c r="F72" s="85" t="str">
        <f>IF(ISERROR(HLOOKUP(D72,Data!$1:$1,1,FALSE)),"PROBLEM - Scheduled time not found.","")</f>
        <v/>
      </c>
    </row>
    <row r="73" spans="1:6" x14ac:dyDescent="0.25">
      <c r="A73" s="84" t="str">
        <f t="shared" si="1"/>
        <v>__</v>
      </c>
      <c r="B73" s="93"/>
      <c r="C73" s="93"/>
      <c r="D73" s="94"/>
      <c r="E73" s="95"/>
      <c r="F73" s="85" t="str">
        <f>IF(ISERROR(HLOOKUP(D73,Data!$1:$1,1,FALSE)),"PROBLEM - Scheduled time not found.","")</f>
        <v/>
      </c>
    </row>
    <row r="74" spans="1:6" x14ac:dyDescent="0.25">
      <c r="A74" s="84" t="str">
        <f t="shared" si="1"/>
        <v>__</v>
      </c>
      <c r="B74" s="93"/>
      <c r="C74" s="93"/>
      <c r="D74" s="94"/>
      <c r="E74" s="95"/>
      <c r="F74" s="85" t="str">
        <f>IF(ISERROR(HLOOKUP(D74,Data!$1:$1,1,FALSE)),"PROBLEM - Scheduled time not found.","")</f>
        <v/>
      </c>
    </row>
    <row r="75" spans="1:6" x14ac:dyDescent="0.25">
      <c r="A75" s="84" t="str">
        <f t="shared" si="1"/>
        <v>__</v>
      </c>
      <c r="B75" s="93"/>
      <c r="C75" s="93"/>
      <c r="D75" s="94"/>
      <c r="E75" s="95"/>
      <c r="F75" s="85" t="str">
        <f>IF(ISERROR(HLOOKUP(D75,Data!$1:$1,1,FALSE)),"PROBLEM - Scheduled time not found.","")</f>
        <v/>
      </c>
    </row>
    <row r="76" spans="1:6" x14ac:dyDescent="0.25">
      <c r="A76" s="84" t="str">
        <f t="shared" si="1"/>
        <v>__</v>
      </c>
      <c r="B76" s="93"/>
      <c r="C76" s="93"/>
      <c r="D76" s="94"/>
      <c r="E76" s="95"/>
      <c r="F76" s="85" t="str">
        <f>IF(ISERROR(HLOOKUP(D76,Data!$1:$1,1,FALSE)),"PROBLEM - Scheduled time not found.","")</f>
        <v/>
      </c>
    </row>
    <row r="77" spans="1:6" x14ac:dyDescent="0.25">
      <c r="A77" s="84" t="str">
        <f t="shared" si="1"/>
        <v>__</v>
      </c>
      <c r="B77" s="93"/>
      <c r="C77" s="93"/>
      <c r="D77" s="94"/>
      <c r="E77" s="95"/>
      <c r="F77" s="85" t="str">
        <f>IF(ISERROR(HLOOKUP(D77,Data!$1:$1,1,FALSE)),"PROBLEM - Scheduled time not found.","")</f>
        <v/>
      </c>
    </row>
    <row r="78" spans="1:6" x14ac:dyDescent="0.25">
      <c r="A78" s="84" t="str">
        <f t="shared" si="1"/>
        <v>__</v>
      </c>
      <c r="B78" s="93"/>
      <c r="C78" s="93"/>
      <c r="D78" s="94"/>
      <c r="E78" s="95"/>
      <c r="F78" s="85" t="str">
        <f>IF(ISERROR(HLOOKUP(D78,Data!$1:$1,1,FALSE)),"PROBLEM - Scheduled time not found.","")</f>
        <v/>
      </c>
    </row>
    <row r="79" spans="1:6" x14ac:dyDescent="0.25">
      <c r="A79" s="84" t="str">
        <f t="shared" si="1"/>
        <v>__</v>
      </c>
      <c r="B79" s="93"/>
      <c r="C79" s="93"/>
      <c r="D79" s="94"/>
      <c r="E79" s="95"/>
      <c r="F79" s="85" t="str">
        <f>IF(ISERROR(HLOOKUP(D79,Data!$1:$1,1,FALSE)),"PROBLEM - Scheduled time not found.","")</f>
        <v/>
      </c>
    </row>
    <row r="80" spans="1:6" x14ac:dyDescent="0.25">
      <c r="A80" s="84" t="str">
        <f t="shared" si="1"/>
        <v>__</v>
      </c>
      <c r="B80" s="93"/>
      <c r="C80" s="93"/>
      <c r="D80" s="94"/>
      <c r="E80" s="95"/>
      <c r="F80" s="85" t="str">
        <f>IF(ISERROR(HLOOKUP(D80,Data!$1:$1,1,FALSE)),"PROBLEM - Scheduled time not found.","")</f>
        <v/>
      </c>
    </row>
    <row r="81" spans="1:6" x14ac:dyDescent="0.25">
      <c r="A81" s="84" t="str">
        <f t="shared" si="1"/>
        <v>__</v>
      </c>
      <c r="B81" s="93"/>
      <c r="C81" s="93"/>
      <c r="D81" s="94"/>
      <c r="E81" s="95"/>
      <c r="F81" s="85" t="str">
        <f>IF(ISERROR(HLOOKUP(D81,Data!$1:$1,1,FALSE)),"PROBLEM - Scheduled time not found.","")</f>
        <v/>
      </c>
    </row>
    <row r="82" spans="1:6" x14ac:dyDescent="0.25">
      <c r="A82" s="84" t="str">
        <f t="shared" si="1"/>
        <v>__</v>
      </c>
      <c r="B82" s="93"/>
      <c r="C82" s="93"/>
      <c r="D82" s="94"/>
      <c r="E82" s="95"/>
      <c r="F82" s="85" t="str">
        <f>IF(ISERROR(HLOOKUP(D82,Data!$1:$1,1,FALSE)),"PROBLEM - Scheduled time not found.","")</f>
        <v/>
      </c>
    </row>
    <row r="83" spans="1:6" x14ac:dyDescent="0.25">
      <c r="A83" s="84" t="str">
        <f t="shared" si="1"/>
        <v>__</v>
      </c>
      <c r="B83" s="93"/>
      <c r="C83" s="93"/>
      <c r="D83" s="94"/>
      <c r="E83" s="95"/>
      <c r="F83" s="85" t="str">
        <f>IF(ISERROR(HLOOKUP(D83,Data!$1:$1,1,FALSE)),"PROBLEM - Scheduled time not found.","")</f>
        <v/>
      </c>
    </row>
    <row r="84" spans="1:6" x14ac:dyDescent="0.25">
      <c r="A84" s="84" t="str">
        <f t="shared" si="1"/>
        <v>__</v>
      </c>
      <c r="B84" s="93"/>
      <c r="C84" s="93"/>
      <c r="D84" s="94"/>
      <c r="E84" s="95"/>
      <c r="F84" s="85" t="str">
        <f>IF(ISERROR(HLOOKUP(D84,Data!$1:$1,1,FALSE)),"PROBLEM - Scheduled time not found.","")</f>
        <v/>
      </c>
    </row>
    <row r="85" spans="1:6" x14ac:dyDescent="0.25">
      <c r="A85" s="84" t="str">
        <f t="shared" si="1"/>
        <v>__</v>
      </c>
      <c r="B85" s="93"/>
      <c r="C85" s="93"/>
      <c r="D85" s="94"/>
      <c r="E85" s="95"/>
      <c r="F85" s="85" t="str">
        <f>IF(ISERROR(HLOOKUP(D85,Data!$1:$1,1,FALSE)),"PROBLEM - Scheduled time not found.","")</f>
        <v/>
      </c>
    </row>
    <row r="86" spans="1:6" x14ac:dyDescent="0.25">
      <c r="A86" s="84" t="str">
        <f t="shared" si="1"/>
        <v>__</v>
      </c>
      <c r="B86" s="93"/>
      <c r="C86" s="93"/>
      <c r="D86" s="94"/>
      <c r="E86" s="95"/>
      <c r="F86" s="85" t="str">
        <f>IF(ISERROR(HLOOKUP(D86,Data!$1:$1,1,FALSE)),"PROBLEM - Scheduled time not found.","")</f>
        <v/>
      </c>
    </row>
    <row r="87" spans="1:6" x14ac:dyDescent="0.25">
      <c r="A87" s="84" t="str">
        <f t="shared" si="1"/>
        <v>__</v>
      </c>
      <c r="B87" s="93"/>
      <c r="C87" s="93"/>
      <c r="D87" s="94"/>
      <c r="E87" s="95"/>
      <c r="F87" s="85" t="str">
        <f>IF(ISERROR(HLOOKUP(D87,Data!$1:$1,1,FALSE)),"PROBLEM - Scheduled time not found.","")</f>
        <v/>
      </c>
    </row>
    <row r="88" spans="1:6" x14ac:dyDescent="0.25">
      <c r="A88" s="84" t="str">
        <f t="shared" si="1"/>
        <v>__</v>
      </c>
      <c r="B88" s="93"/>
      <c r="C88" s="93"/>
      <c r="D88" s="94"/>
      <c r="E88" s="95"/>
      <c r="F88" s="85" t="str">
        <f>IF(ISERROR(HLOOKUP(D88,Data!$1:$1,1,FALSE)),"PROBLEM - Scheduled time not found.","")</f>
        <v/>
      </c>
    </row>
    <row r="89" spans="1:6" x14ac:dyDescent="0.25">
      <c r="A89" s="84" t="str">
        <f t="shared" si="1"/>
        <v>__</v>
      </c>
      <c r="B89" s="93"/>
      <c r="C89" s="93"/>
      <c r="D89" s="94"/>
      <c r="E89" s="95"/>
      <c r="F89" s="85" t="str">
        <f>IF(ISERROR(HLOOKUP(D89,Data!$1:$1,1,FALSE)),"PROBLEM - Scheduled time not found.","")</f>
        <v/>
      </c>
    </row>
    <row r="90" spans="1:6" x14ac:dyDescent="0.25">
      <c r="A90" s="84" t="str">
        <f t="shared" si="1"/>
        <v>__</v>
      </c>
      <c r="B90" s="93"/>
      <c r="C90" s="93"/>
      <c r="D90" s="94"/>
      <c r="E90" s="95"/>
      <c r="F90" s="85" t="str">
        <f>IF(ISERROR(HLOOKUP(D90,Data!$1:$1,1,FALSE)),"PROBLEM - Scheduled time not found.","")</f>
        <v/>
      </c>
    </row>
    <row r="91" spans="1:6" x14ac:dyDescent="0.25">
      <c r="A91" s="84" t="str">
        <f t="shared" si="1"/>
        <v>__</v>
      </c>
      <c r="B91" s="93"/>
      <c r="C91" s="93"/>
      <c r="D91" s="94"/>
      <c r="E91" s="95"/>
      <c r="F91" s="85" t="str">
        <f>IF(ISERROR(HLOOKUP(D91,Data!$1:$1,1,FALSE)),"PROBLEM - Scheduled time not found.","")</f>
        <v/>
      </c>
    </row>
    <row r="92" spans="1:6" x14ac:dyDescent="0.25">
      <c r="A92" s="84" t="str">
        <f t="shared" si="1"/>
        <v>__</v>
      </c>
      <c r="B92" s="93"/>
      <c r="C92" s="93"/>
      <c r="D92" s="94"/>
      <c r="E92" s="95"/>
      <c r="F92" s="85" t="str">
        <f>IF(ISERROR(HLOOKUP(D92,Data!$1:$1,1,FALSE)),"PROBLEM - Scheduled time not found.","")</f>
        <v/>
      </c>
    </row>
    <row r="93" spans="1:6" x14ac:dyDescent="0.25">
      <c r="A93" s="84" t="str">
        <f t="shared" si="1"/>
        <v>__</v>
      </c>
      <c r="B93" s="93"/>
      <c r="C93" s="93"/>
      <c r="D93" s="94"/>
      <c r="E93" s="95"/>
      <c r="F93" s="85" t="str">
        <f>IF(ISERROR(HLOOKUP(D93,Data!$1:$1,1,FALSE)),"PROBLEM - Scheduled time not found.","")</f>
        <v/>
      </c>
    </row>
    <row r="94" spans="1:6" x14ac:dyDescent="0.25">
      <c r="A94" s="84" t="str">
        <f t="shared" si="1"/>
        <v>__</v>
      </c>
      <c r="B94" s="93"/>
      <c r="C94" s="93"/>
      <c r="D94" s="94"/>
      <c r="E94" s="95"/>
      <c r="F94" s="85" t="str">
        <f>IF(ISERROR(HLOOKUP(D94,Data!$1:$1,1,FALSE)),"PROBLEM - Scheduled time not found.","")</f>
        <v/>
      </c>
    </row>
    <row r="95" spans="1:6" x14ac:dyDescent="0.25">
      <c r="A95" s="84" t="str">
        <f t="shared" si="1"/>
        <v>__</v>
      </c>
      <c r="B95" s="93"/>
      <c r="C95" s="93"/>
      <c r="D95" s="94"/>
      <c r="E95" s="95"/>
      <c r="F95" s="85" t="str">
        <f>IF(ISERROR(HLOOKUP(D95,Data!$1:$1,1,FALSE)),"PROBLEM - Scheduled time not found.","")</f>
        <v/>
      </c>
    </row>
    <row r="96" spans="1:6" x14ac:dyDescent="0.25">
      <c r="A96" s="84" t="str">
        <f t="shared" si="1"/>
        <v>__</v>
      </c>
      <c r="B96" s="93"/>
      <c r="C96" s="93"/>
      <c r="D96" s="94"/>
      <c r="E96" s="95"/>
      <c r="F96" s="85" t="str">
        <f>IF(ISERROR(HLOOKUP(D96,Data!$1:$1,1,FALSE)),"PROBLEM - Scheduled time not found.","")</f>
        <v/>
      </c>
    </row>
    <row r="97" spans="1:6" x14ac:dyDescent="0.25">
      <c r="A97" s="84" t="str">
        <f t="shared" si="1"/>
        <v>__</v>
      </c>
      <c r="B97" s="93"/>
      <c r="C97" s="93"/>
      <c r="D97" s="94"/>
      <c r="E97" s="95"/>
      <c r="F97" s="85" t="str">
        <f>IF(ISERROR(HLOOKUP(D97,Data!$1:$1,1,FALSE)),"PROBLEM - Scheduled time not found.","")</f>
        <v/>
      </c>
    </row>
    <row r="98" spans="1:6" x14ac:dyDescent="0.25">
      <c r="A98" s="84" t="str">
        <f t="shared" si="1"/>
        <v>__</v>
      </c>
      <c r="B98" s="93"/>
      <c r="C98" s="93"/>
      <c r="D98" s="94"/>
      <c r="E98" s="95"/>
      <c r="F98" s="85" t="str">
        <f>IF(ISERROR(HLOOKUP(D98,Data!$1:$1,1,FALSE)),"PROBLEM - Scheduled time not found.","")</f>
        <v/>
      </c>
    </row>
    <row r="99" spans="1:6" x14ac:dyDescent="0.25">
      <c r="A99" s="84" t="str">
        <f t="shared" si="1"/>
        <v>__</v>
      </c>
      <c r="B99" s="93"/>
      <c r="C99" s="93"/>
      <c r="D99" s="94"/>
      <c r="E99" s="95"/>
      <c r="F99" s="85" t="str">
        <f>IF(ISERROR(HLOOKUP(D99,Data!$1:$1,1,FALSE)),"PROBLEM - Scheduled time not found.","")</f>
        <v/>
      </c>
    </row>
    <row r="100" spans="1:6" x14ac:dyDescent="0.25">
      <c r="A100" s="84" t="str">
        <f t="shared" si="1"/>
        <v>__</v>
      </c>
      <c r="B100" s="93"/>
      <c r="C100" s="93"/>
      <c r="D100" s="94"/>
      <c r="E100" s="95"/>
      <c r="F100" s="85" t="str">
        <f>IF(ISERROR(HLOOKUP(D100,Data!$1:$1,1,FALSE)),"PROBLEM - Scheduled time not found.","")</f>
        <v/>
      </c>
    </row>
    <row r="101" spans="1:6" x14ac:dyDescent="0.25">
      <c r="A101" s="84" t="str">
        <f t="shared" si="1"/>
        <v>__</v>
      </c>
      <c r="B101" s="93"/>
      <c r="C101" s="93"/>
      <c r="D101" s="94"/>
      <c r="E101" s="95"/>
      <c r="F101" s="85" t="str">
        <f>IF(ISERROR(HLOOKUP(D101,Data!$1:$1,1,FALSE)),"PROBLEM - Scheduled time not found.","")</f>
        <v/>
      </c>
    </row>
    <row r="102" spans="1:6" x14ac:dyDescent="0.25">
      <c r="A102" s="84" t="str">
        <f t="shared" si="1"/>
        <v>__</v>
      </c>
      <c r="B102" s="93"/>
      <c r="C102" s="93"/>
      <c r="D102" s="94"/>
      <c r="E102" s="95"/>
      <c r="F102" s="85" t="str">
        <f>IF(ISERROR(HLOOKUP(D102,Data!$1:$1,1,FALSE)),"PROBLEM - Scheduled time not found.","")</f>
        <v/>
      </c>
    </row>
    <row r="103" spans="1:6" x14ac:dyDescent="0.25">
      <c r="A103" s="84" t="str">
        <f t="shared" si="1"/>
        <v>__</v>
      </c>
      <c r="B103" s="93"/>
      <c r="C103" s="93"/>
      <c r="D103" s="94"/>
      <c r="E103" s="95"/>
      <c r="F103" s="85" t="str">
        <f>IF(ISERROR(HLOOKUP(D103,Data!$1:$1,1,FALSE)),"PROBLEM - Scheduled time not found.","")</f>
        <v/>
      </c>
    </row>
    <row r="104" spans="1:6" x14ac:dyDescent="0.25">
      <c r="A104" s="84" t="str">
        <f t="shared" si="1"/>
        <v>__</v>
      </c>
      <c r="B104" s="93"/>
      <c r="C104" s="93"/>
      <c r="D104" s="94"/>
      <c r="E104" s="95"/>
      <c r="F104" s="85" t="str">
        <f>IF(ISERROR(HLOOKUP(D104,Data!$1:$1,1,FALSE)),"PROBLEM - Scheduled time not found.","")</f>
        <v/>
      </c>
    </row>
    <row r="105" spans="1:6" x14ac:dyDescent="0.25">
      <c r="A105" s="84" t="str">
        <f t="shared" si="1"/>
        <v>__</v>
      </c>
      <c r="B105" s="93"/>
      <c r="C105" s="93"/>
      <c r="D105" s="94"/>
      <c r="E105" s="95"/>
      <c r="F105" s="85" t="str">
        <f>IF(ISERROR(HLOOKUP(D105,Data!$1:$1,1,FALSE)),"PROBLEM - Scheduled time not found.","")</f>
        <v/>
      </c>
    </row>
    <row r="106" spans="1:6" x14ac:dyDescent="0.25">
      <c r="A106" s="84" t="str">
        <f t="shared" si="1"/>
        <v>__</v>
      </c>
      <c r="B106" s="93"/>
      <c r="C106" s="93"/>
      <c r="D106" s="94"/>
      <c r="E106" s="95"/>
      <c r="F106" s="85" t="str">
        <f>IF(ISERROR(HLOOKUP(D106,Data!$1:$1,1,FALSE)),"PROBLEM - Scheduled time not found.","")</f>
        <v/>
      </c>
    </row>
    <row r="107" spans="1:6" x14ac:dyDescent="0.25">
      <c r="A107" s="84" t="str">
        <f t="shared" si="1"/>
        <v>__</v>
      </c>
      <c r="B107" s="93"/>
      <c r="C107" s="93"/>
      <c r="D107" s="94"/>
      <c r="E107" s="95"/>
      <c r="F107" s="85" t="str">
        <f>IF(ISERROR(HLOOKUP(D107,Data!$1:$1,1,FALSE)),"PROBLEM - Scheduled time not found.","")</f>
        <v/>
      </c>
    </row>
    <row r="108" spans="1:6" x14ac:dyDescent="0.25">
      <c r="A108" s="84" t="str">
        <f t="shared" si="1"/>
        <v>__</v>
      </c>
      <c r="B108" s="93"/>
      <c r="C108" s="93"/>
      <c r="D108" s="94"/>
      <c r="E108" s="95"/>
      <c r="F108" s="85" t="str">
        <f>IF(ISERROR(HLOOKUP(D108,Data!$1:$1,1,FALSE)),"PROBLEM - Scheduled time not found.","")</f>
        <v/>
      </c>
    </row>
    <row r="109" spans="1:6" x14ac:dyDescent="0.25">
      <c r="A109" s="84" t="str">
        <f t="shared" si="1"/>
        <v>__</v>
      </c>
      <c r="B109" s="93"/>
      <c r="C109" s="93"/>
      <c r="D109" s="94"/>
      <c r="E109" s="95"/>
      <c r="F109" s="85" t="str">
        <f>IF(ISERROR(HLOOKUP(D109,Data!$1:$1,1,FALSE)),"PROBLEM - Scheduled time not found.","")</f>
        <v/>
      </c>
    </row>
    <row r="110" spans="1:6" x14ac:dyDescent="0.25">
      <c r="A110" s="84" t="str">
        <f t="shared" si="1"/>
        <v>__</v>
      </c>
      <c r="B110" s="93"/>
      <c r="C110" s="93"/>
      <c r="D110" s="94"/>
      <c r="E110" s="95"/>
      <c r="F110" s="85" t="str">
        <f>IF(ISERROR(HLOOKUP(D110,Data!$1:$1,1,FALSE)),"PROBLEM - Scheduled time not found.","")</f>
        <v/>
      </c>
    </row>
    <row r="111" spans="1:6" x14ac:dyDescent="0.25">
      <c r="A111" s="84" t="str">
        <f t="shared" si="1"/>
        <v>__</v>
      </c>
      <c r="B111" s="93"/>
      <c r="C111" s="93"/>
      <c r="D111" s="94"/>
      <c r="E111" s="95"/>
      <c r="F111" s="85" t="str">
        <f>IF(ISERROR(HLOOKUP(D111,Data!$1:$1,1,FALSE)),"PROBLEM - Scheduled time not found.","")</f>
        <v/>
      </c>
    </row>
    <row r="112" spans="1:6" x14ac:dyDescent="0.25">
      <c r="A112" s="84" t="str">
        <f t="shared" si="1"/>
        <v>__</v>
      </c>
      <c r="B112" s="93"/>
      <c r="C112" s="93"/>
      <c r="D112" s="94"/>
      <c r="E112" s="95"/>
      <c r="F112" s="85" t="str">
        <f>IF(ISERROR(HLOOKUP(D112,Data!$1:$1,1,FALSE)),"PROBLEM - Scheduled time not found.","")</f>
        <v/>
      </c>
    </row>
    <row r="113" spans="1:6" x14ac:dyDescent="0.25">
      <c r="A113" s="84" t="str">
        <f t="shared" si="1"/>
        <v>__</v>
      </c>
      <c r="B113" s="93"/>
      <c r="C113" s="93"/>
      <c r="D113" s="94"/>
      <c r="E113" s="95"/>
      <c r="F113" s="85" t="str">
        <f>IF(ISERROR(HLOOKUP(D113,Data!$1:$1,1,FALSE)),"PROBLEM - Scheduled time not found.","")</f>
        <v/>
      </c>
    </row>
    <row r="114" spans="1:6" x14ac:dyDescent="0.25">
      <c r="A114" s="84" t="str">
        <f t="shared" si="1"/>
        <v>__</v>
      </c>
      <c r="B114" s="93"/>
      <c r="C114" s="93"/>
      <c r="D114" s="94"/>
      <c r="E114" s="95"/>
      <c r="F114" s="85" t="str">
        <f>IF(ISERROR(HLOOKUP(D114,Data!$1:$1,1,FALSE)),"PROBLEM - Scheduled time not found.","")</f>
        <v/>
      </c>
    </row>
    <row r="115" spans="1:6" x14ac:dyDescent="0.25">
      <c r="A115" s="84" t="str">
        <f t="shared" si="1"/>
        <v>__</v>
      </c>
      <c r="B115" s="93"/>
      <c r="C115" s="93"/>
      <c r="D115" s="94"/>
      <c r="E115" s="95"/>
      <c r="F115" s="85" t="str">
        <f>IF(ISERROR(HLOOKUP(D115,Data!$1:$1,1,FALSE)),"PROBLEM - Scheduled time not found.","")</f>
        <v/>
      </c>
    </row>
    <row r="116" spans="1:6" x14ac:dyDescent="0.25">
      <c r="A116" s="84" t="str">
        <f t="shared" si="1"/>
        <v>__</v>
      </c>
      <c r="B116" s="93"/>
      <c r="C116" s="93"/>
      <c r="D116" s="94"/>
      <c r="E116" s="95"/>
      <c r="F116" s="85" t="str">
        <f>IF(ISERROR(HLOOKUP(D116,Data!$1:$1,1,FALSE)),"PROBLEM - Scheduled time not found.","")</f>
        <v/>
      </c>
    </row>
    <row r="117" spans="1:6" x14ac:dyDescent="0.25">
      <c r="A117" s="84" t="str">
        <f t="shared" si="1"/>
        <v>__</v>
      </c>
      <c r="B117" s="93"/>
      <c r="C117" s="93"/>
      <c r="D117" s="94"/>
      <c r="E117" s="95"/>
      <c r="F117" s="85" t="str">
        <f>IF(ISERROR(HLOOKUP(D117,Data!$1:$1,1,FALSE)),"PROBLEM - Scheduled time not found.","")</f>
        <v/>
      </c>
    </row>
    <row r="118" spans="1:6" x14ac:dyDescent="0.25">
      <c r="A118" s="84" t="str">
        <f t="shared" si="1"/>
        <v>__</v>
      </c>
      <c r="B118" s="93"/>
      <c r="C118" s="93"/>
      <c r="D118" s="94"/>
      <c r="E118" s="95"/>
      <c r="F118" s="85" t="str">
        <f>IF(ISERROR(HLOOKUP(D118,Data!$1:$1,1,FALSE)),"PROBLEM - Scheduled time not found.","")</f>
        <v/>
      </c>
    </row>
    <row r="119" spans="1:6" x14ac:dyDescent="0.25">
      <c r="A119" s="84" t="str">
        <f t="shared" si="1"/>
        <v>__</v>
      </c>
      <c r="B119" s="93"/>
      <c r="C119" s="93"/>
      <c r="D119" s="94"/>
      <c r="E119" s="95"/>
      <c r="F119" s="85" t="str">
        <f>IF(ISERROR(HLOOKUP(D119,Data!$1:$1,1,FALSE)),"PROBLEM - Scheduled time not found.","")</f>
        <v/>
      </c>
    </row>
    <row r="120" spans="1:6" x14ac:dyDescent="0.25">
      <c r="A120" s="84" t="str">
        <f t="shared" si="1"/>
        <v>__</v>
      </c>
      <c r="B120" s="93"/>
      <c r="C120" s="93"/>
      <c r="D120" s="94"/>
      <c r="E120" s="95"/>
      <c r="F120" s="85" t="str">
        <f>IF(ISERROR(HLOOKUP(D120,Data!$1:$1,1,FALSE)),"PROBLEM - Scheduled time not found.","")</f>
        <v/>
      </c>
    </row>
    <row r="121" spans="1:6" x14ac:dyDescent="0.25">
      <c r="A121" s="84" t="str">
        <f t="shared" si="1"/>
        <v>__</v>
      </c>
      <c r="B121" s="93"/>
      <c r="C121" s="93"/>
      <c r="D121" s="94"/>
      <c r="E121" s="95"/>
      <c r="F121" s="85" t="str">
        <f>IF(ISERROR(HLOOKUP(D121,Data!$1:$1,1,FALSE)),"PROBLEM - Scheduled time not found.","")</f>
        <v/>
      </c>
    </row>
    <row r="122" spans="1:6" x14ac:dyDescent="0.25">
      <c r="A122" s="84" t="str">
        <f t="shared" si="1"/>
        <v>__</v>
      </c>
      <c r="B122" s="93"/>
      <c r="C122" s="93"/>
      <c r="D122" s="94"/>
      <c r="E122" s="95"/>
      <c r="F122" s="85" t="str">
        <f>IF(ISERROR(HLOOKUP(D122,Data!$1:$1,1,FALSE)),"PROBLEM - Scheduled time not found.","")</f>
        <v/>
      </c>
    </row>
    <row r="123" spans="1:6" x14ac:dyDescent="0.25">
      <c r="A123" s="84" t="str">
        <f t="shared" si="1"/>
        <v>__</v>
      </c>
      <c r="B123" s="93"/>
      <c r="C123" s="93"/>
      <c r="D123" s="94"/>
      <c r="E123" s="95"/>
      <c r="F123" s="85" t="str">
        <f>IF(ISERROR(HLOOKUP(D123,Data!$1:$1,1,FALSE)),"PROBLEM - Scheduled time not found.","")</f>
        <v/>
      </c>
    </row>
    <row r="124" spans="1:6" x14ac:dyDescent="0.25">
      <c r="A124" s="84" t="str">
        <f t="shared" si="1"/>
        <v>__</v>
      </c>
      <c r="B124" s="93"/>
      <c r="C124" s="93"/>
      <c r="D124" s="94"/>
      <c r="E124" s="95"/>
      <c r="F124" s="85" t="str">
        <f>IF(ISERROR(HLOOKUP(D124,Data!$1:$1,1,FALSE)),"PROBLEM - Scheduled time not found.","")</f>
        <v/>
      </c>
    </row>
    <row r="125" spans="1:6" x14ac:dyDescent="0.25">
      <c r="A125" s="84" t="str">
        <f t="shared" si="1"/>
        <v>__</v>
      </c>
      <c r="B125" s="93"/>
      <c r="C125" s="93"/>
      <c r="D125" s="94"/>
      <c r="E125" s="95"/>
      <c r="F125" s="85" t="str">
        <f>IF(ISERROR(HLOOKUP(D125,Data!$1:$1,1,FALSE)),"PROBLEM - Scheduled time not found.","")</f>
        <v/>
      </c>
    </row>
    <row r="126" spans="1:6" x14ac:dyDescent="0.25">
      <c r="A126" s="84" t="str">
        <f t="shared" si="1"/>
        <v>__</v>
      </c>
      <c r="B126" s="93"/>
      <c r="C126" s="93"/>
      <c r="D126" s="94"/>
      <c r="E126" s="95"/>
      <c r="F126" s="85" t="str">
        <f>IF(ISERROR(HLOOKUP(D126,Data!$1:$1,1,FALSE)),"PROBLEM - Scheduled time not found.","")</f>
        <v/>
      </c>
    </row>
    <row r="127" spans="1:6" x14ac:dyDescent="0.25">
      <c r="A127" s="84" t="str">
        <f t="shared" si="1"/>
        <v>__</v>
      </c>
      <c r="B127" s="93"/>
      <c r="C127" s="93"/>
      <c r="D127" s="94"/>
      <c r="E127" s="95"/>
      <c r="F127" s="85" t="str">
        <f>IF(ISERROR(HLOOKUP(D127,Data!$1:$1,1,FALSE)),"PROBLEM - Scheduled time not found.","")</f>
        <v/>
      </c>
    </row>
    <row r="128" spans="1:6" x14ac:dyDescent="0.25">
      <c r="A128" s="84" t="str">
        <f t="shared" si="1"/>
        <v>__</v>
      </c>
      <c r="B128" s="93"/>
      <c r="C128" s="93"/>
      <c r="D128" s="94"/>
      <c r="E128" s="95"/>
      <c r="F128" s="85" t="str">
        <f>IF(ISERROR(HLOOKUP(D128,Data!$1:$1,1,FALSE)),"PROBLEM - Scheduled time not found.","")</f>
        <v/>
      </c>
    </row>
    <row r="129" spans="1:6" x14ac:dyDescent="0.25">
      <c r="A129" s="84" t="str">
        <f t="shared" si="1"/>
        <v>__</v>
      </c>
      <c r="B129" s="93"/>
      <c r="C129" s="93"/>
      <c r="D129" s="94"/>
      <c r="E129" s="95"/>
      <c r="F129" s="85" t="str">
        <f>IF(ISERROR(HLOOKUP(D129,Data!$1:$1,1,FALSE)),"PROBLEM - Scheduled time not found.","")</f>
        <v/>
      </c>
    </row>
    <row r="130" spans="1:6" x14ac:dyDescent="0.25">
      <c r="A130" s="84" t="str">
        <f t="shared" si="1"/>
        <v>__</v>
      </c>
      <c r="B130" s="93"/>
      <c r="C130" s="93"/>
      <c r="D130" s="94"/>
      <c r="E130" s="95"/>
      <c r="F130" s="85" t="str">
        <f>IF(ISERROR(HLOOKUP(D130,Data!$1:$1,1,FALSE)),"PROBLEM - Scheduled time not found.","")</f>
        <v/>
      </c>
    </row>
    <row r="131" spans="1:6" x14ac:dyDescent="0.25">
      <c r="A131" s="84" t="str">
        <f t="shared" ref="A131:A194" si="2">B131&amp;"_"&amp;C131&amp;"_"&amp;D131</f>
        <v>__</v>
      </c>
      <c r="B131" s="93"/>
      <c r="C131" s="93"/>
      <c r="D131" s="94"/>
      <c r="E131" s="95"/>
      <c r="F131" s="85" t="str">
        <f>IF(ISERROR(HLOOKUP(D131,Data!$1:$1,1,FALSE)),"PROBLEM - Scheduled time not found.","")</f>
        <v/>
      </c>
    </row>
    <row r="132" spans="1:6" x14ac:dyDescent="0.25">
      <c r="A132" s="84" t="str">
        <f t="shared" si="2"/>
        <v>__</v>
      </c>
      <c r="B132" s="93"/>
      <c r="C132" s="93"/>
      <c r="D132" s="94"/>
      <c r="E132" s="95"/>
      <c r="F132" s="85" t="str">
        <f>IF(ISERROR(HLOOKUP(D132,Data!$1:$1,1,FALSE)),"PROBLEM - Scheduled time not found.","")</f>
        <v/>
      </c>
    </row>
    <row r="133" spans="1:6" x14ac:dyDescent="0.25">
      <c r="A133" s="84" t="str">
        <f t="shared" si="2"/>
        <v>__</v>
      </c>
      <c r="B133" s="93"/>
      <c r="C133" s="93"/>
      <c r="D133" s="94"/>
      <c r="E133" s="95"/>
      <c r="F133" s="85" t="str">
        <f>IF(ISERROR(HLOOKUP(D133,Data!$1:$1,1,FALSE)),"PROBLEM - Scheduled time not found.","")</f>
        <v/>
      </c>
    </row>
    <row r="134" spans="1:6" x14ac:dyDescent="0.25">
      <c r="A134" s="84" t="str">
        <f t="shared" si="2"/>
        <v>__</v>
      </c>
      <c r="B134" s="93"/>
      <c r="C134" s="93"/>
      <c r="D134" s="94"/>
      <c r="E134" s="95"/>
      <c r="F134" s="85" t="str">
        <f>IF(ISERROR(HLOOKUP(D134,Data!$1:$1,1,FALSE)),"PROBLEM - Scheduled time not found.","")</f>
        <v/>
      </c>
    </row>
    <row r="135" spans="1:6" x14ac:dyDescent="0.25">
      <c r="A135" s="84" t="str">
        <f t="shared" si="2"/>
        <v>__</v>
      </c>
      <c r="B135" s="93"/>
      <c r="C135" s="93"/>
      <c r="D135" s="94"/>
      <c r="E135" s="95"/>
      <c r="F135" s="85" t="str">
        <f>IF(ISERROR(HLOOKUP(D135,Data!$1:$1,1,FALSE)),"PROBLEM - Scheduled time not found.","")</f>
        <v/>
      </c>
    </row>
    <row r="136" spans="1:6" x14ac:dyDescent="0.25">
      <c r="A136" s="84" t="str">
        <f t="shared" si="2"/>
        <v>__</v>
      </c>
      <c r="B136" s="93"/>
      <c r="C136" s="93"/>
      <c r="D136" s="94"/>
      <c r="E136" s="95"/>
      <c r="F136" s="85" t="str">
        <f>IF(ISERROR(HLOOKUP(D136,Data!$1:$1,1,FALSE)),"PROBLEM - Scheduled time not found.","")</f>
        <v/>
      </c>
    </row>
    <row r="137" spans="1:6" x14ac:dyDescent="0.25">
      <c r="A137" s="84" t="str">
        <f t="shared" si="2"/>
        <v>__</v>
      </c>
      <c r="B137" s="93"/>
      <c r="C137" s="93"/>
      <c r="D137" s="94"/>
      <c r="E137" s="95"/>
      <c r="F137" s="85" t="str">
        <f>IF(ISERROR(HLOOKUP(D137,Data!$1:$1,1,FALSE)),"PROBLEM - Scheduled time not found.","")</f>
        <v/>
      </c>
    </row>
    <row r="138" spans="1:6" x14ac:dyDescent="0.25">
      <c r="A138" s="84" t="str">
        <f t="shared" si="2"/>
        <v>__</v>
      </c>
      <c r="B138" s="93"/>
      <c r="C138" s="93"/>
      <c r="D138" s="94"/>
      <c r="E138" s="95"/>
      <c r="F138" s="85" t="str">
        <f>IF(ISERROR(HLOOKUP(D138,Data!$1:$1,1,FALSE)),"PROBLEM - Scheduled time not found.","")</f>
        <v/>
      </c>
    </row>
    <row r="139" spans="1:6" x14ac:dyDescent="0.25">
      <c r="A139" s="84" t="str">
        <f t="shared" si="2"/>
        <v>__</v>
      </c>
      <c r="B139" s="93"/>
      <c r="C139" s="93"/>
      <c r="D139" s="94"/>
      <c r="E139" s="95"/>
      <c r="F139" s="85" t="str">
        <f>IF(ISERROR(HLOOKUP(D139,Data!$1:$1,1,FALSE)),"PROBLEM - Scheduled time not found.","")</f>
        <v/>
      </c>
    </row>
    <row r="140" spans="1:6" x14ac:dyDescent="0.25">
      <c r="A140" s="84" t="str">
        <f t="shared" si="2"/>
        <v>__</v>
      </c>
      <c r="B140" s="93"/>
      <c r="C140" s="93"/>
      <c r="D140" s="94"/>
      <c r="E140" s="95"/>
      <c r="F140" s="85" t="str">
        <f>IF(ISERROR(HLOOKUP(D140,Data!$1:$1,1,FALSE)),"PROBLEM - Scheduled time not found.","")</f>
        <v/>
      </c>
    </row>
    <row r="141" spans="1:6" x14ac:dyDescent="0.25">
      <c r="A141" s="84" t="str">
        <f t="shared" si="2"/>
        <v>__</v>
      </c>
      <c r="B141" s="93"/>
      <c r="C141" s="93"/>
      <c r="D141" s="94"/>
      <c r="E141" s="95"/>
      <c r="F141" s="85" t="str">
        <f>IF(ISERROR(HLOOKUP(D141,Data!$1:$1,1,FALSE)),"PROBLEM - Scheduled time not found.","")</f>
        <v/>
      </c>
    </row>
    <row r="142" spans="1:6" x14ac:dyDescent="0.25">
      <c r="A142" s="84" t="str">
        <f t="shared" si="2"/>
        <v>__</v>
      </c>
      <c r="B142" s="93"/>
      <c r="C142" s="93"/>
      <c r="D142" s="94"/>
      <c r="E142" s="95"/>
      <c r="F142" s="85" t="str">
        <f>IF(ISERROR(HLOOKUP(D142,Data!$1:$1,1,FALSE)),"PROBLEM - Scheduled time not found.","")</f>
        <v/>
      </c>
    </row>
    <row r="143" spans="1:6" x14ac:dyDescent="0.25">
      <c r="A143" s="84" t="str">
        <f t="shared" si="2"/>
        <v>__</v>
      </c>
      <c r="B143" s="93"/>
      <c r="C143" s="93"/>
      <c r="D143" s="94"/>
      <c r="E143" s="95"/>
      <c r="F143" s="85" t="str">
        <f>IF(ISERROR(HLOOKUP(D143,Data!$1:$1,1,FALSE)),"PROBLEM - Scheduled time not found.","")</f>
        <v/>
      </c>
    </row>
    <row r="144" spans="1:6" x14ac:dyDescent="0.25">
      <c r="A144" s="84" t="str">
        <f t="shared" si="2"/>
        <v>__</v>
      </c>
      <c r="B144" s="93"/>
      <c r="C144" s="93"/>
      <c r="D144" s="94"/>
      <c r="E144" s="95"/>
      <c r="F144" s="85" t="str">
        <f>IF(ISERROR(HLOOKUP(D144,Data!$1:$1,1,FALSE)),"PROBLEM - Scheduled time not found.","")</f>
        <v/>
      </c>
    </row>
    <row r="145" spans="1:6" x14ac:dyDescent="0.25">
      <c r="A145" s="84" t="str">
        <f t="shared" si="2"/>
        <v>__</v>
      </c>
      <c r="B145" s="93"/>
      <c r="C145" s="93"/>
      <c r="D145" s="94"/>
      <c r="E145" s="95"/>
      <c r="F145" s="85" t="str">
        <f>IF(ISERROR(HLOOKUP(D145,Data!$1:$1,1,FALSE)),"PROBLEM - Scheduled time not found.","")</f>
        <v/>
      </c>
    </row>
    <row r="146" spans="1:6" x14ac:dyDescent="0.25">
      <c r="A146" s="84" t="str">
        <f t="shared" si="2"/>
        <v>__</v>
      </c>
      <c r="B146" s="93"/>
      <c r="C146" s="93"/>
      <c r="D146" s="94"/>
      <c r="E146" s="95"/>
      <c r="F146" s="85" t="str">
        <f>IF(ISERROR(HLOOKUP(D146,Data!$1:$1,1,FALSE)),"PROBLEM - Scheduled time not found.","")</f>
        <v/>
      </c>
    </row>
    <row r="147" spans="1:6" x14ac:dyDescent="0.25">
      <c r="A147" s="84" t="str">
        <f t="shared" si="2"/>
        <v>__</v>
      </c>
      <c r="B147" s="93"/>
      <c r="C147" s="93"/>
      <c r="D147" s="94"/>
      <c r="E147" s="95"/>
      <c r="F147" s="85" t="str">
        <f>IF(ISERROR(HLOOKUP(D147,Data!$1:$1,1,FALSE)),"PROBLEM - Scheduled time not found.","")</f>
        <v/>
      </c>
    </row>
    <row r="148" spans="1:6" x14ac:dyDescent="0.25">
      <c r="A148" s="84" t="str">
        <f t="shared" si="2"/>
        <v>__</v>
      </c>
      <c r="B148" s="93"/>
      <c r="C148" s="93"/>
      <c r="D148" s="94"/>
      <c r="E148" s="95"/>
      <c r="F148" s="85" t="str">
        <f>IF(ISERROR(HLOOKUP(D148,Data!$1:$1,1,FALSE)),"PROBLEM - Scheduled time not found.","")</f>
        <v/>
      </c>
    </row>
    <row r="149" spans="1:6" x14ac:dyDescent="0.25">
      <c r="A149" s="84" t="str">
        <f t="shared" si="2"/>
        <v>__</v>
      </c>
      <c r="B149" s="93"/>
      <c r="C149" s="93"/>
      <c r="D149" s="94"/>
      <c r="E149" s="95"/>
      <c r="F149" s="85" t="str">
        <f>IF(ISERROR(HLOOKUP(D149,Data!$1:$1,1,FALSE)),"PROBLEM - Scheduled time not found.","")</f>
        <v/>
      </c>
    </row>
    <row r="150" spans="1:6" x14ac:dyDescent="0.25">
      <c r="A150" s="84" t="str">
        <f t="shared" si="2"/>
        <v>__</v>
      </c>
      <c r="B150" s="93"/>
      <c r="C150" s="93"/>
      <c r="D150" s="94"/>
      <c r="E150" s="95"/>
      <c r="F150" s="85" t="str">
        <f>IF(ISERROR(HLOOKUP(D150,Data!$1:$1,1,FALSE)),"PROBLEM - Scheduled time not found.","")</f>
        <v/>
      </c>
    </row>
    <row r="151" spans="1:6" x14ac:dyDescent="0.25">
      <c r="A151" s="84" t="str">
        <f t="shared" si="2"/>
        <v>__</v>
      </c>
      <c r="B151" s="93"/>
      <c r="C151" s="93"/>
      <c r="D151" s="94"/>
      <c r="E151" s="95"/>
      <c r="F151" s="85" t="str">
        <f>IF(ISERROR(HLOOKUP(D151,Data!$1:$1,1,FALSE)),"PROBLEM - Scheduled time not found.","")</f>
        <v/>
      </c>
    </row>
    <row r="152" spans="1:6" x14ac:dyDescent="0.25">
      <c r="A152" s="84" t="str">
        <f t="shared" si="2"/>
        <v>__</v>
      </c>
      <c r="B152" s="93"/>
      <c r="C152" s="93"/>
      <c r="D152" s="94"/>
      <c r="E152" s="95"/>
      <c r="F152" s="85" t="str">
        <f>IF(ISERROR(HLOOKUP(D152,Data!$1:$1,1,FALSE)),"PROBLEM - Scheduled time not found.","")</f>
        <v/>
      </c>
    </row>
    <row r="153" spans="1:6" x14ac:dyDescent="0.25">
      <c r="A153" s="84" t="str">
        <f t="shared" si="2"/>
        <v>__</v>
      </c>
      <c r="B153" s="93"/>
      <c r="C153" s="93"/>
      <c r="D153" s="94"/>
      <c r="E153" s="95"/>
      <c r="F153" s="85" t="str">
        <f>IF(ISERROR(HLOOKUP(D153,Data!$1:$1,1,FALSE)),"PROBLEM - Scheduled time not found.","")</f>
        <v/>
      </c>
    </row>
    <row r="154" spans="1:6" x14ac:dyDescent="0.25">
      <c r="A154" s="84" t="str">
        <f t="shared" si="2"/>
        <v>__</v>
      </c>
      <c r="B154" s="93"/>
      <c r="C154" s="93"/>
      <c r="D154" s="94"/>
      <c r="E154" s="95"/>
      <c r="F154" s="85" t="str">
        <f>IF(ISERROR(HLOOKUP(D154,Data!$1:$1,1,FALSE)),"PROBLEM - Scheduled time not found.","")</f>
        <v/>
      </c>
    </row>
    <row r="155" spans="1:6" x14ac:dyDescent="0.25">
      <c r="A155" s="84" t="str">
        <f t="shared" si="2"/>
        <v>__</v>
      </c>
      <c r="B155" s="93"/>
      <c r="C155" s="93"/>
      <c r="D155" s="94"/>
      <c r="E155" s="95"/>
      <c r="F155" s="85" t="str">
        <f>IF(ISERROR(HLOOKUP(D155,Data!$1:$1,1,FALSE)),"PROBLEM - Scheduled time not found.","")</f>
        <v/>
      </c>
    </row>
    <row r="156" spans="1:6" x14ac:dyDescent="0.25">
      <c r="A156" s="84" t="str">
        <f t="shared" si="2"/>
        <v>__</v>
      </c>
      <c r="B156" s="93"/>
      <c r="C156" s="93"/>
      <c r="D156" s="94"/>
      <c r="E156" s="95"/>
      <c r="F156" s="85" t="str">
        <f>IF(ISERROR(HLOOKUP(D156,Data!$1:$1,1,FALSE)),"PROBLEM - Scheduled time not found.","")</f>
        <v/>
      </c>
    </row>
    <row r="157" spans="1:6" x14ac:dyDescent="0.25">
      <c r="A157" s="84" t="str">
        <f t="shared" si="2"/>
        <v>__</v>
      </c>
      <c r="B157" s="93"/>
      <c r="C157" s="93"/>
      <c r="D157" s="94"/>
      <c r="E157" s="95"/>
      <c r="F157" s="85" t="str">
        <f>IF(ISERROR(HLOOKUP(D157,Data!$1:$1,1,FALSE)),"PROBLEM - Scheduled time not found.","")</f>
        <v/>
      </c>
    </row>
    <row r="158" spans="1:6" x14ac:dyDescent="0.25">
      <c r="A158" s="84" t="str">
        <f t="shared" si="2"/>
        <v>__</v>
      </c>
      <c r="B158" s="93"/>
      <c r="C158" s="93"/>
      <c r="D158" s="94"/>
      <c r="E158" s="95"/>
      <c r="F158" s="85" t="str">
        <f>IF(ISERROR(HLOOKUP(D158,Data!$1:$1,1,FALSE)),"PROBLEM - Scheduled time not found.","")</f>
        <v/>
      </c>
    </row>
    <row r="159" spans="1:6" x14ac:dyDescent="0.25">
      <c r="A159" s="84" t="str">
        <f t="shared" si="2"/>
        <v>__</v>
      </c>
      <c r="B159" s="93"/>
      <c r="C159" s="93"/>
      <c r="D159" s="94"/>
      <c r="E159" s="95"/>
      <c r="F159" s="85" t="str">
        <f>IF(ISERROR(HLOOKUP(D159,Data!$1:$1,1,FALSE)),"PROBLEM - Scheduled time not found.","")</f>
        <v/>
      </c>
    </row>
    <row r="160" spans="1:6" x14ac:dyDescent="0.25">
      <c r="A160" s="84" t="str">
        <f t="shared" si="2"/>
        <v>__</v>
      </c>
      <c r="B160" s="93"/>
      <c r="C160" s="93"/>
      <c r="D160" s="94"/>
      <c r="E160" s="95"/>
      <c r="F160" s="85" t="str">
        <f>IF(ISERROR(HLOOKUP(D160,Data!$1:$1,1,FALSE)),"PROBLEM - Scheduled time not found.","")</f>
        <v/>
      </c>
    </row>
    <row r="161" spans="1:6" x14ac:dyDescent="0.25">
      <c r="A161" s="84" t="str">
        <f t="shared" si="2"/>
        <v>__</v>
      </c>
      <c r="B161" s="93"/>
      <c r="C161" s="93"/>
      <c r="D161" s="94"/>
      <c r="E161" s="95"/>
      <c r="F161" s="85" t="str">
        <f>IF(ISERROR(HLOOKUP(D161,Data!$1:$1,1,FALSE)),"PROBLEM - Scheduled time not found.","")</f>
        <v/>
      </c>
    </row>
    <row r="162" spans="1:6" x14ac:dyDescent="0.25">
      <c r="A162" s="84" t="str">
        <f t="shared" si="2"/>
        <v>__</v>
      </c>
      <c r="B162" s="93"/>
      <c r="C162" s="93"/>
      <c r="D162" s="94"/>
      <c r="E162" s="95"/>
      <c r="F162" s="85" t="str">
        <f>IF(ISERROR(HLOOKUP(D162,Data!$1:$1,1,FALSE)),"PROBLEM - Scheduled time not found.","")</f>
        <v/>
      </c>
    </row>
    <row r="163" spans="1:6" x14ac:dyDescent="0.25">
      <c r="A163" s="84" t="str">
        <f t="shared" si="2"/>
        <v>__</v>
      </c>
      <c r="B163" s="93"/>
      <c r="C163" s="93"/>
      <c r="D163" s="94"/>
      <c r="E163" s="95"/>
      <c r="F163" s="85" t="str">
        <f>IF(ISERROR(HLOOKUP(D163,Data!$1:$1,1,FALSE)),"PROBLEM - Scheduled time not found.","")</f>
        <v/>
      </c>
    </row>
    <row r="164" spans="1:6" x14ac:dyDescent="0.25">
      <c r="A164" s="84" t="str">
        <f t="shared" si="2"/>
        <v>__</v>
      </c>
      <c r="B164" s="93"/>
      <c r="C164" s="93"/>
      <c r="D164" s="94"/>
      <c r="E164" s="95"/>
      <c r="F164" s="85" t="str">
        <f>IF(ISERROR(HLOOKUP(D164,Data!$1:$1,1,FALSE)),"PROBLEM - Scheduled time not found.","")</f>
        <v/>
      </c>
    </row>
    <row r="165" spans="1:6" x14ac:dyDescent="0.25">
      <c r="A165" s="84" t="str">
        <f t="shared" si="2"/>
        <v>__</v>
      </c>
      <c r="B165" s="93"/>
      <c r="C165" s="93"/>
      <c r="D165" s="94"/>
      <c r="E165" s="95"/>
      <c r="F165" s="85" t="str">
        <f>IF(ISERROR(HLOOKUP(D165,Data!$1:$1,1,FALSE)),"PROBLEM - Scheduled time not found.","")</f>
        <v/>
      </c>
    </row>
    <row r="166" spans="1:6" x14ac:dyDescent="0.25">
      <c r="A166" s="84" t="str">
        <f t="shared" si="2"/>
        <v>__</v>
      </c>
      <c r="B166" s="93"/>
      <c r="C166" s="93"/>
      <c r="D166" s="94"/>
      <c r="E166" s="95"/>
      <c r="F166" s="85" t="str">
        <f>IF(ISERROR(HLOOKUP(D166,Data!$1:$1,1,FALSE)),"PROBLEM - Scheduled time not found.","")</f>
        <v/>
      </c>
    </row>
    <row r="167" spans="1:6" x14ac:dyDescent="0.25">
      <c r="A167" s="84" t="str">
        <f t="shared" si="2"/>
        <v>__</v>
      </c>
      <c r="B167" s="93"/>
      <c r="C167" s="93"/>
      <c r="D167" s="94"/>
      <c r="E167" s="95"/>
      <c r="F167" s="85" t="str">
        <f>IF(ISERROR(HLOOKUP(D167,Data!$1:$1,1,FALSE)),"PROBLEM - Scheduled time not found.","")</f>
        <v/>
      </c>
    </row>
    <row r="168" spans="1:6" x14ac:dyDescent="0.25">
      <c r="A168" s="84" t="str">
        <f t="shared" si="2"/>
        <v>__</v>
      </c>
      <c r="B168" s="93"/>
      <c r="C168" s="93"/>
      <c r="D168" s="94"/>
      <c r="E168" s="95"/>
      <c r="F168" s="85" t="str">
        <f>IF(ISERROR(HLOOKUP(D168,Data!$1:$1,1,FALSE)),"PROBLEM - Scheduled time not found.","")</f>
        <v/>
      </c>
    </row>
    <row r="169" spans="1:6" x14ac:dyDescent="0.25">
      <c r="A169" s="84" t="str">
        <f t="shared" si="2"/>
        <v>__</v>
      </c>
      <c r="B169" s="93"/>
      <c r="C169" s="93"/>
      <c r="D169" s="94"/>
      <c r="E169" s="95"/>
      <c r="F169" s="85" t="str">
        <f>IF(ISERROR(HLOOKUP(D169,Data!$1:$1,1,FALSE)),"PROBLEM - Scheduled time not found.","")</f>
        <v/>
      </c>
    </row>
    <row r="170" spans="1:6" x14ac:dyDescent="0.25">
      <c r="A170" s="84" t="str">
        <f t="shared" si="2"/>
        <v>__</v>
      </c>
      <c r="B170" s="93"/>
      <c r="C170" s="93"/>
      <c r="D170" s="94"/>
      <c r="E170" s="95"/>
      <c r="F170" s="85" t="str">
        <f>IF(ISERROR(HLOOKUP(D170,Data!$1:$1,1,FALSE)),"PROBLEM - Scheduled time not found.","")</f>
        <v/>
      </c>
    </row>
    <row r="171" spans="1:6" x14ac:dyDescent="0.25">
      <c r="A171" s="84" t="str">
        <f t="shared" si="2"/>
        <v>__</v>
      </c>
      <c r="B171" s="93"/>
      <c r="C171" s="93"/>
      <c r="D171" s="94"/>
      <c r="E171" s="95"/>
      <c r="F171" s="85" t="str">
        <f>IF(ISERROR(HLOOKUP(D171,Data!$1:$1,1,FALSE)),"PROBLEM - Scheduled time not found.","")</f>
        <v/>
      </c>
    </row>
    <row r="172" spans="1:6" x14ac:dyDescent="0.25">
      <c r="A172" s="84" t="str">
        <f t="shared" si="2"/>
        <v>__</v>
      </c>
      <c r="B172" s="93"/>
      <c r="C172" s="93"/>
      <c r="D172" s="94"/>
      <c r="E172" s="95"/>
      <c r="F172" s="85" t="str">
        <f>IF(ISERROR(HLOOKUP(D172,Data!$1:$1,1,FALSE)),"PROBLEM - Scheduled time not found.","")</f>
        <v/>
      </c>
    </row>
    <row r="173" spans="1:6" x14ac:dyDescent="0.25">
      <c r="A173" s="84" t="str">
        <f t="shared" si="2"/>
        <v>__</v>
      </c>
      <c r="B173" s="93"/>
      <c r="C173" s="93"/>
      <c r="D173" s="94"/>
      <c r="E173" s="95"/>
      <c r="F173" s="85" t="str">
        <f>IF(ISERROR(HLOOKUP(D173,Data!$1:$1,1,FALSE)),"PROBLEM - Scheduled time not found.","")</f>
        <v/>
      </c>
    </row>
    <row r="174" spans="1:6" x14ac:dyDescent="0.25">
      <c r="A174" s="84" t="str">
        <f t="shared" si="2"/>
        <v>__</v>
      </c>
      <c r="B174" s="93"/>
      <c r="C174" s="93"/>
      <c r="D174" s="94"/>
      <c r="E174" s="95"/>
      <c r="F174" s="85" t="str">
        <f>IF(ISERROR(HLOOKUP(D174,Data!$1:$1,1,FALSE)),"PROBLEM - Scheduled time not found.","")</f>
        <v/>
      </c>
    </row>
    <row r="175" spans="1:6" x14ac:dyDescent="0.25">
      <c r="A175" s="84" t="str">
        <f t="shared" si="2"/>
        <v>__</v>
      </c>
      <c r="B175" s="93"/>
      <c r="C175" s="93"/>
      <c r="D175" s="94"/>
      <c r="E175" s="95"/>
      <c r="F175" s="85" t="str">
        <f>IF(ISERROR(HLOOKUP(D175,Data!$1:$1,1,FALSE)),"PROBLEM - Scheduled time not found.","")</f>
        <v/>
      </c>
    </row>
    <row r="176" spans="1:6" x14ac:dyDescent="0.25">
      <c r="A176" s="84" t="str">
        <f t="shared" si="2"/>
        <v>__</v>
      </c>
      <c r="B176" s="93"/>
      <c r="C176" s="93"/>
      <c r="D176" s="94"/>
      <c r="E176" s="95"/>
      <c r="F176" s="85" t="str">
        <f>IF(ISERROR(HLOOKUP(D176,Data!$1:$1,1,FALSE)),"PROBLEM - Scheduled time not found.","")</f>
        <v/>
      </c>
    </row>
    <row r="177" spans="1:6" x14ac:dyDescent="0.25">
      <c r="A177" s="84" t="str">
        <f t="shared" si="2"/>
        <v>__</v>
      </c>
      <c r="B177" s="93"/>
      <c r="C177" s="93"/>
      <c r="D177" s="94"/>
      <c r="E177" s="95"/>
      <c r="F177" s="85" t="str">
        <f>IF(ISERROR(HLOOKUP(D177,Data!$1:$1,1,FALSE)),"PROBLEM - Scheduled time not found.","")</f>
        <v/>
      </c>
    </row>
    <row r="178" spans="1:6" x14ac:dyDescent="0.25">
      <c r="A178" s="84" t="str">
        <f t="shared" si="2"/>
        <v>__</v>
      </c>
      <c r="B178" s="93"/>
      <c r="C178" s="93"/>
      <c r="D178" s="94"/>
      <c r="E178" s="95"/>
      <c r="F178" s="85" t="str">
        <f>IF(ISERROR(HLOOKUP(D178,Data!$1:$1,1,FALSE)),"PROBLEM - Scheduled time not found.","")</f>
        <v/>
      </c>
    </row>
    <row r="179" spans="1:6" x14ac:dyDescent="0.25">
      <c r="A179" s="84" t="str">
        <f t="shared" si="2"/>
        <v>__</v>
      </c>
      <c r="B179" s="93"/>
      <c r="C179" s="93"/>
      <c r="D179" s="94"/>
      <c r="E179" s="95"/>
      <c r="F179" s="85" t="str">
        <f>IF(ISERROR(HLOOKUP(D179,Data!$1:$1,1,FALSE)),"PROBLEM - Scheduled time not found.","")</f>
        <v/>
      </c>
    </row>
    <row r="180" spans="1:6" x14ac:dyDescent="0.25">
      <c r="A180" s="84" t="str">
        <f t="shared" si="2"/>
        <v>__</v>
      </c>
      <c r="B180" s="93"/>
      <c r="C180" s="93"/>
      <c r="D180" s="94"/>
      <c r="E180" s="95"/>
      <c r="F180" s="85" t="str">
        <f>IF(ISERROR(HLOOKUP(D180,Data!$1:$1,1,FALSE)),"PROBLEM - Scheduled time not found.","")</f>
        <v/>
      </c>
    </row>
    <row r="181" spans="1:6" x14ac:dyDescent="0.25">
      <c r="A181" s="84" t="str">
        <f t="shared" si="2"/>
        <v>__</v>
      </c>
      <c r="B181" s="93"/>
      <c r="C181" s="93"/>
      <c r="D181" s="94"/>
      <c r="E181" s="95"/>
      <c r="F181" s="85" t="str">
        <f>IF(ISERROR(HLOOKUP(D181,Data!$1:$1,1,FALSE)),"PROBLEM - Scheduled time not found.","")</f>
        <v/>
      </c>
    </row>
    <row r="182" spans="1:6" x14ac:dyDescent="0.25">
      <c r="A182" s="84" t="str">
        <f t="shared" si="2"/>
        <v>__</v>
      </c>
      <c r="B182" s="93"/>
      <c r="C182" s="93"/>
      <c r="D182" s="94"/>
      <c r="E182" s="95"/>
      <c r="F182" s="85" t="str">
        <f>IF(ISERROR(HLOOKUP(D182,Data!$1:$1,1,FALSE)),"PROBLEM - Scheduled time not found.","")</f>
        <v/>
      </c>
    </row>
    <row r="183" spans="1:6" x14ac:dyDescent="0.25">
      <c r="A183" s="84" t="str">
        <f t="shared" si="2"/>
        <v>__</v>
      </c>
      <c r="B183" s="93"/>
      <c r="C183" s="93"/>
      <c r="D183" s="94"/>
      <c r="E183" s="95"/>
      <c r="F183" s="85" t="str">
        <f>IF(ISERROR(HLOOKUP(D183,Data!$1:$1,1,FALSE)),"PROBLEM - Scheduled time not found.","")</f>
        <v/>
      </c>
    </row>
    <row r="184" spans="1:6" x14ac:dyDescent="0.25">
      <c r="A184" s="84" t="str">
        <f t="shared" si="2"/>
        <v>__</v>
      </c>
      <c r="B184" s="93"/>
      <c r="C184" s="93"/>
      <c r="D184" s="94"/>
      <c r="E184" s="95"/>
      <c r="F184" s="85" t="str">
        <f>IF(ISERROR(HLOOKUP(D184,Data!$1:$1,1,FALSE)),"PROBLEM - Scheduled time not found.","")</f>
        <v/>
      </c>
    </row>
    <row r="185" spans="1:6" x14ac:dyDescent="0.25">
      <c r="A185" s="84" t="str">
        <f t="shared" si="2"/>
        <v>__</v>
      </c>
      <c r="B185" s="93"/>
      <c r="C185" s="93"/>
      <c r="D185" s="94"/>
      <c r="E185" s="95"/>
      <c r="F185" s="85" t="str">
        <f>IF(ISERROR(HLOOKUP(D185,Data!$1:$1,1,FALSE)),"PROBLEM - Scheduled time not found.","")</f>
        <v/>
      </c>
    </row>
    <row r="186" spans="1:6" x14ac:dyDescent="0.25">
      <c r="A186" s="84" t="str">
        <f t="shared" si="2"/>
        <v>__</v>
      </c>
      <c r="B186" s="93"/>
      <c r="C186" s="93"/>
      <c r="D186" s="94"/>
      <c r="E186" s="95"/>
      <c r="F186" s="85" t="str">
        <f>IF(ISERROR(HLOOKUP(D186,Data!$1:$1,1,FALSE)),"PROBLEM - Scheduled time not found.","")</f>
        <v/>
      </c>
    </row>
    <row r="187" spans="1:6" x14ac:dyDescent="0.25">
      <c r="A187" s="84" t="str">
        <f t="shared" si="2"/>
        <v>__</v>
      </c>
      <c r="B187" s="93"/>
      <c r="C187" s="93"/>
      <c r="D187" s="94"/>
      <c r="E187" s="95"/>
      <c r="F187" s="85" t="str">
        <f>IF(ISERROR(HLOOKUP(D187,Data!$1:$1,1,FALSE)),"PROBLEM - Scheduled time not found.","")</f>
        <v/>
      </c>
    </row>
    <row r="188" spans="1:6" x14ac:dyDescent="0.25">
      <c r="A188" s="84" t="str">
        <f t="shared" si="2"/>
        <v>__</v>
      </c>
      <c r="B188" s="93"/>
      <c r="C188" s="93"/>
      <c r="D188" s="94"/>
      <c r="E188" s="95"/>
      <c r="F188" s="85" t="str">
        <f>IF(ISERROR(HLOOKUP(D188,Data!$1:$1,1,FALSE)),"PROBLEM - Scheduled time not found.","")</f>
        <v/>
      </c>
    </row>
    <row r="189" spans="1:6" x14ac:dyDescent="0.25">
      <c r="A189" s="84" t="str">
        <f t="shared" si="2"/>
        <v>__</v>
      </c>
      <c r="B189" s="93"/>
      <c r="C189" s="93"/>
      <c r="D189" s="94"/>
      <c r="E189" s="95"/>
      <c r="F189" s="85" t="str">
        <f>IF(ISERROR(HLOOKUP(D189,Data!$1:$1,1,FALSE)),"PROBLEM - Scheduled time not found.","")</f>
        <v/>
      </c>
    </row>
    <row r="190" spans="1:6" x14ac:dyDescent="0.25">
      <c r="A190" s="84" t="str">
        <f t="shared" si="2"/>
        <v>__</v>
      </c>
      <c r="B190" s="93"/>
      <c r="C190" s="93"/>
      <c r="D190" s="94"/>
      <c r="E190" s="95"/>
      <c r="F190" s="85" t="str">
        <f>IF(ISERROR(HLOOKUP(D190,Data!$1:$1,1,FALSE)),"PROBLEM - Scheduled time not found.","")</f>
        <v/>
      </c>
    </row>
    <row r="191" spans="1:6" x14ac:dyDescent="0.25">
      <c r="A191" s="84" t="str">
        <f t="shared" si="2"/>
        <v>__</v>
      </c>
      <c r="B191" s="93"/>
      <c r="C191" s="93"/>
      <c r="D191" s="94"/>
      <c r="E191" s="95"/>
      <c r="F191" s="85" t="str">
        <f>IF(ISERROR(HLOOKUP(D191,Data!$1:$1,1,FALSE)),"PROBLEM - Scheduled time not found.","")</f>
        <v/>
      </c>
    </row>
    <row r="192" spans="1:6" x14ac:dyDescent="0.25">
      <c r="A192" s="84" t="str">
        <f t="shared" si="2"/>
        <v>__</v>
      </c>
      <c r="B192" s="93"/>
      <c r="C192" s="93"/>
      <c r="D192" s="94"/>
      <c r="E192" s="95"/>
      <c r="F192" s="85" t="str">
        <f>IF(ISERROR(HLOOKUP(D192,Data!$1:$1,1,FALSE)),"PROBLEM - Scheduled time not found.","")</f>
        <v/>
      </c>
    </row>
    <row r="193" spans="1:6" x14ac:dyDescent="0.25">
      <c r="A193" s="84" t="str">
        <f t="shared" si="2"/>
        <v>__</v>
      </c>
      <c r="B193" s="93"/>
      <c r="C193" s="93"/>
      <c r="D193" s="94"/>
      <c r="E193" s="95"/>
      <c r="F193" s="85" t="str">
        <f>IF(ISERROR(HLOOKUP(D193,Data!$1:$1,1,FALSE)),"PROBLEM - Scheduled time not found.","")</f>
        <v/>
      </c>
    </row>
    <row r="194" spans="1:6" x14ac:dyDescent="0.25">
      <c r="A194" s="84" t="str">
        <f t="shared" si="2"/>
        <v>__</v>
      </c>
      <c r="B194" s="93"/>
      <c r="C194" s="93"/>
      <c r="D194" s="94"/>
      <c r="E194" s="95"/>
      <c r="F194" s="85" t="str">
        <f>IF(ISERROR(HLOOKUP(D194,Data!$1:$1,1,FALSE)),"PROBLEM - Scheduled time not found.","")</f>
        <v/>
      </c>
    </row>
    <row r="195" spans="1:6" x14ac:dyDescent="0.25">
      <c r="A195" s="84" t="str">
        <f t="shared" ref="A195:A258" si="3">B195&amp;"_"&amp;C195&amp;"_"&amp;D195</f>
        <v>__</v>
      </c>
      <c r="B195" s="93"/>
      <c r="C195" s="93"/>
      <c r="D195" s="94"/>
      <c r="E195" s="95"/>
      <c r="F195" s="85" t="str">
        <f>IF(ISERROR(HLOOKUP(D195,Data!$1:$1,1,FALSE)),"PROBLEM - Scheduled time not found.","")</f>
        <v/>
      </c>
    </row>
    <row r="196" spans="1:6" x14ac:dyDescent="0.25">
      <c r="A196" s="84" t="str">
        <f t="shared" si="3"/>
        <v>__</v>
      </c>
      <c r="B196" s="93"/>
      <c r="C196" s="93"/>
      <c r="D196" s="94"/>
      <c r="E196" s="95"/>
      <c r="F196" s="85" t="str">
        <f>IF(ISERROR(HLOOKUP(D196,Data!$1:$1,1,FALSE)),"PROBLEM - Scheduled time not found.","")</f>
        <v/>
      </c>
    </row>
    <row r="197" spans="1:6" x14ac:dyDescent="0.25">
      <c r="A197" s="84" t="str">
        <f t="shared" si="3"/>
        <v>__</v>
      </c>
      <c r="B197" s="93"/>
      <c r="C197" s="93"/>
      <c r="D197" s="94"/>
      <c r="E197" s="95"/>
      <c r="F197" s="85" t="str">
        <f>IF(ISERROR(HLOOKUP(D197,Data!$1:$1,1,FALSE)),"PROBLEM - Scheduled time not found.","")</f>
        <v/>
      </c>
    </row>
    <row r="198" spans="1:6" x14ac:dyDescent="0.25">
      <c r="A198" s="84" t="str">
        <f t="shared" si="3"/>
        <v>__</v>
      </c>
      <c r="B198" s="93"/>
      <c r="C198" s="93"/>
      <c r="D198" s="94"/>
      <c r="E198" s="95"/>
      <c r="F198" s="85" t="str">
        <f>IF(ISERROR(HLOOKUP(D198,Data!$1:$1,1,FALSE)),"PROBLEM - Scheduled time not found.","")</f>
        <v/>
      </c>
    </row>
    <row r="199" spans="1:6" x14ac:dyDescent="0.25">
      <c r="A199" s="84" t="str">
        <f t="shared" si="3"/>
        <v>__</v>
      </c>
      <c r="B199" s="93"/>
      <c r="C199" s="93"/>
      <c r="D199" s="94"/>
      <c r="E199" s="95"/>
      <c r="F199" s="85" t="str">
        <f>IF(ISERROR(HLOOKUP(D199,Data!$1:$1,1,FALSE)),"PROBLEM - Scheduled time not found.","")</f>
        <v/>
      </c>
    </row>
    <row r="200" spans="1:6" x14ac:dyDescent="0.25">
      <c r="A200" s="84" t="str">
        <f t="shared" si="3"/>
        <v>__</v>
      </c>
      <c r="B200" s="93"/>
      <c r="C200" s="93"/>
      <c r="D200" s="94"/>
      <c r="E200" s="95"/>
      <c r="F200" s="85" t="str">
        <f>IF(ISERROR(HLOOKUP(D200,Data!$1:$1,1,FALSE)),"PROBLEM - Scheduled time not found.","")</f>
        <v/>
      </c>
    </row>
    <row r="201" spans="1:6" x14ac:dyDescent="0.25">
      <c r="A201" s="84" t="str">
        <f t="shared" si="3"/>
        <v>__</v>
      </c>
      <c r="B201" s="93"/>
      <c r="C201" s="93"/>
      <c r="D201" s="94"/>
      <c r="E201" s="95"/>
      <c r="F201" s="85" t="str">
        <f>IF(ISERROR(HLOOKUP(D201,Data!$1:$1,1,FALSE)),"PROBLEM - Scheduled time not found.","")</f>
        <v/>
      </c>
    </row>
    <row r="202" spans="1:6" x14ac:dyDescent="0.25">
      <c r="A202" s="84" t="str">
        <f t="shared" si="3"/>
        <v>__</v>
      </c>
      <c r="B202" s="93"/>
      <c r="C202" s="93"/>
      <c r="D202" s="94"/>
      <c r="E202" s="95"/>
      <c r="F202" s="85" t="str">
        <f>IF(ISERROR(HLOOKUP(D202,Data!$1:$1,1,FALSE)),"PROBLEM - Scheduled time not found.","")</f>
        <v/>
      </c>
    </row>
    <row r="203" spans="1:6" x14ac:dyDescent="0.25">
      <c r="A203" s="84" t="str">
        <f t="shared" si="3"/>
        <v>__</v>
      </c>
      <c r="B203" s="93"/>
      <c r="C203" s="93"/>
      <c r="D203" s="94"/>
      <c r="E203" s="95"/>
      <c r="F203" s="85" t="str">
        <f>IF(ISERROR(HLOOKUP(D203,Data!$1:$1,1,FALSE)),"PROBLEM - Scheduled time not found.","")</f>
        <v/>
      </c>
    </row>
    <row r="204" spans="1:6" x14ac:dyDescent="0.25">
      <c r="A204" s="84" t="str">
        <f t="shared" si="3"/>
        <v>__</v>
      </c>
      <c r="B204" s="93"/>
      <c r="C204" s="93"/>
      <c r="D204" s="94"/>
      <c r="E204" s="95"/>
      <c r="F204" s="85" t="str">
        <f>IF(ISERROR(HLOOKUP(D204,Data!$1:$1,1,FALSE)),"PROBLEM - Scheduled time not found.","")</f>
        <v/>
      </c>
    </row>
    <row r="205" spans="1:6" x14ac:dyDescent="0.25">
      <c r="A205" s="84" t="str">
        <f t="shared" si="3"/>
        <v>__</v>
      </c>
      <c r="B205" s="93"/>
      <c r="C205" s="93"/>
      <c r="D205" s="94"/>
      <c r="E205" s="95"/>
      <c r="F205" s="85" t="str">
        <f>IF(ISERROR(HLOOKUP(D205,Data!$1:$1,1,FALSE)),"PROBLEM - Scheduled time not found.","")</f>
        <v/>
      </c>
    </row>
    <row r="206" spans="1:6" x14ac:dyDescent="0.25">
      <c r="A206" s="84" t="str">
        <f t="shared" si="3"/>
        <v>__</v>
      </c>
      <c r="B206" s="93"/>
      <c r="C206" s="93"/>
      <c r="D206" s="94"/>
      <c r="E206" s="95"/>
      <c r="F206" s="85" t="str">
        <f>IF(ISERROR(HLOOKUP(D206,Data!$1:$1,1,FALSE)),"PROBLEM - Scheduled time not found.","")</f>
        <v/>
      </c>
    </row>
    <row r="207" spans="1:6" x14ac:dyDescent="0.25">
      <c r="A207" s="84" t="str">
        <f t="shared" si="3"/>
        <v>__</v>
      </c>
      <c r="B207" s="93"/>
      <c r="C207" s="93"/>
      <c r="D207" s="94"/>
      <c r="E207" s="95"/>
      <c r="F207" s="85" t="str">
        <f>IF(ISERROR(HLOOKUP(D207,Data!$1:$1,1,FALSE)),"PROBLEM - Scheduled time not found.","")</f>
        <v/>
      </c>
    </row>
    <row r="208" spans="1:6" x14ac:dyDescent="0.25">
      <c r="A208" s="84" t="str">
        <f t="shared" si="3"/>
        <v>__</v>
      </c>
      <c r="B208" s="93"/>
      <c r="C208" s="93"/>
      <c r="D208" s="94"/>
      <c r="E208" s="95"/>
      <c r="F208" s="85" t="str">
        <f>IF(ISERROR(HLOOKUP(D208,Data!$1:$1,1,FALSE)),"PROBLEM - Scheduled time not found.","")</f>
        <v/>
      </c>
    </row>
    <row r="209" spans="1:6" x14ac:dyDescent="0.25">
      <c r="A209" s="84" t="str">
        <f t="shared" si="3"/>
        <v>__</v>
      </c>
      <c r="B209" s="93"/>
      <c r="C209" s="93"/>
      <c r="D209" s="94"/>
      <c r="E209" s="95"/>
      <c r="F209" s="85" t="str">
        <f>IF(ISERROR(HLOOKUP(D209,Data!$1:$1,1,FALSE)),"PROBLEM - Scheduled time not found.","")</f>
        <v/>
      </c>
    </row>
    <row r="210" spans="1:6" x14ac:dyDescent="0.25">
      <c r="A210" s="84" t="str">
        <f t="shared" si="3"/>
        <v>__</v>
      </c>
      <c r="B210" s="93"/>
      <c r="C210" s="93"/>
      <c r="D210" s="94"/>
      <c r="E210" s="95"/>
      <c r="F210" s="85" t="str">
        <f>IF(ISERROR(HLOOKUP(D210,Data!$1:$1,1,FALSE)),"PROBLEM - Scheduled time not found.","")</f>
        <v/>
      </c>
    </row>
    <row r="211" spans="1:6" x14ac:dyDescent="0.25">
      <c r="A211" s="84" t="str">
        <f t="shared" si="3"/>
        <v>__</v>
      </c>
      <c r="B211" s="93"/>
      <c r="C211" s="93"/>
      <c r="D211" s="94"/>
      <c r="E211" s="95"/>
      <c r="F211" s="85" t="str">
        <f>IF(ISERROR(HLOOKUP(D211,Data!$1:$1,1,FALSE)),"PROBLEM - Scheduled time not found.","")</f>
        <v/>
      </c>
    </row>
    <row r="212" spans="1:6" x14ac:dyDescent="0.25">
      <c r="A212" s="84" t="str">
        <f t="shared" si="3"/>
        <v>__</v>
      </c>
      <c r="B212" s="93"/>
      <c r="C212" s="93"/>
      <c r="D212" s="94"/>
      <c r="E212" s="95"/>
      <c r="F212" s="85" t="str">
        <f>IF(ISERROR(HLOOKUP(D212,Data!$1:$1,1,FALSE)),"PROBLEM - Scheduled time not found.","")</f>
        <v/>
      </c>
    </row>
    <row r="213" spans="1:6" x14ac:dyDescent="0.25">
      <c r="A213" s="84" t="str">
        <f t="shared" si="3"/>
        <v>__</v>
      </c>
      <c r="B213" s="93"/>
      <c r="C213" s="93"/>
      <c r="D213" s="94"/>
      <c r="E213" s="95"/>
      <c r="F213" s="85" t="str">
        <f>IF(ISERROR(HLOOKUP(D213,Data!$1:$1,1,FALSE)),"PROBLEM - Scheduled time not found.","")</f>
        <v/>
      </c>
    </row>
    <row r="214" spans="1:6" x14ac:dyDescent="0.25">
      <c r="A214" s="84" t="str">
        <f t="shared" si="3"/>
        <v>__</v>
      </c>
      <c r="B214" s="93"/>
      <c r="C214" s="93"/>
      <c r="D214" s="94"/>
      <c r="E214" s="95"/>
      <c r="F214" s="85" t="str">
        <f>IF(ISERROR(HLOOKUP(D214,Data!$1:$1,1,FALSE)),"PROBLEM - Scheduled time not found.","")</f>
        <v/>
      </c>
    </row>
    <row r="215" spans="1:6" x14ac:dyDescent="0.25">
      <c r="A215" s="84" t="str">
        <f t="shared" si="3"/>
        <v>__</v>
      </c>
      <c r="B215" s="93"/>
      <c r="C215" s="93"/>
      <c r="D215" s="94"/>
      <c r="E215" s="95"/>
      <c r="F215" s="85" t="str">
        <f>IF(ISERROR(HLOOKUP(D215,Data!$1:$1,1,FALSE)),"PROBLEM - Scheduled time not found.","")</f>
        <v/>
      </c>
    </row>
    <row r="216" spans="1:6" x14ac:dyDescent="0.25">
      <c r="A216" s="84" t="str">
        <f t="shared" si="3"/>
        <v>__</v>
      </c>
      <c r="B216" s="93"/>
      <c r="C216" s="93"/>
      <c r="D216" s="94"/>
      <c r="E216" s="95"/>
      <c r="F216" s="85" t="str">
        <f>IF(ISERROR(HLOOKUP(D216,Data!$1:$1,1,FALSE)),"PROBLEM - Scheduled time not found.","")</f>
        <v/>
      </c>
    </row>
    <row r="217" spans="1:6" x14ac:dyDescent="0.25">
      <c r="A217" s="84" t="str">
        <f t="shared" si="3"/>
        <v>__</v>
      </c>
      <c r="B217" s="93"/>
      <c r="C217" s="93"/>
      <c r="D217" s="94"/>
      <c r="E217" s="95"/>
      <c r="F217" s="85" t="str">
        <f>IF(ISERROR(HLOOKUP(D217,Data!$1:$1,1,FALSE)),"PROBLEM - Scheduled time not found.","")</f>
        <v/>
      </c>
    </row>
    <row r="218" spans="1:6" x14ac:dyDescent="0.25">
      <c r="A218" s="84" t="str">
        <f t="shared" si="3"/>
        <v>__</v>
      </c>
      <c r="B218" s="93"/>
      <c r="C218" s="93"/>
      <c r="D218" s="94"/>
      <c r="E218" s="95"/>
      <c r="F218" s="85" t="str">
        <f>IF(ISERROR(HLOOKUP(D218,Data!$1:$1,1,FALSE)),"PROBLEM - Scheduled time not found.","")</f>
        <v/>
      </c>
    </row>
    <row r="219" spans="1:6" x14ac:dyDescent="0.25">
      <c r="A219" s="84" t="str">
        <f t="shared" si="3"/>
        <v>__</v>
      </c>
      <c r="B219" s="93"/>
      <c r="C219" s="93"/>
      <c r="D219" s="94"/>
      <c r="E219" s="95"/>
      <c r="F219" s="85" t="str">
        <f>IF(ISERROR(HLOOKUP(D219,Data!$1:$1,1,FALSE)),"PROBLEM - Scheduled time not found.","")</f>
        <v/>
      </c>
    </row>
    <row r="220" spans="1:6" x14ac:dyDescent="0.25">
      <c r="A220" s="84" t="str">
        <f t="shared" si="3"/>
        <v>__</v>
      </c>
      <c r="B220" s="93"/>
      <c r="C220" s="93"/>
      <c r="D220" s="94"/>
      <c r="E220" s="95"/>
      <c r="F220" s="85" t="str">
        <f>IF(ISERROR(HLOOKUP(D220,Data!$1:$1,1,FALSE)),"PROBLEM - Scheduled time not found.","")</f>
        <v/>
      </c>
    </row>
    <row r="221" spans="1:6" x14ac:dyDescent="0.25">
      <c r="A221" s="84" t="str">
        <f t="shared" si="3"/>
        <v>__</v>
      </c>
      <c r="B221" s="93"/>
      <c r="C221" s="93"/>
      <c r="D221" s="94"/>
      <c r="E221" s="95"/>
      <c r="F221" s="85" t="str">
        <f>IF(ISERROR(HLOOKUP(D221,Data!$1:$1,1,FALSE)),"PROBLEM - Scheduled time not found.","")</f>
        <v/>
      </c>
    </row>
    <row r="222" spans="1:6" x14ac:dyDescent="0.25">
      <c r="A222" s="84" t="str">
        <f t="shared" si="3"/>
        <v>__</v>
      </c>
      <c r="B222" s="93"/>
      <c r="C222" s="93"/>
      <c r="D222" s="94"/>
      <c r="E222" s="95"/>
      <c r="F222" s="85" t="str">
        <f>IF(ISERROR(HLOOKUP(D222,Data!$1:$1,1,FALSE)),"PROBLEM - Scheduled time not found.","")</f>
        <v/>
      </c>
    </row>
    <row r="223" spans="1:6" x14ac:dyDescent="0.25">
      <c r="A223" s="84" t="str">
        <f t="shared" si="3"/>
        <v>__</v>
      </c>
      <c r="B223" s="93"/>
      <c r="C223" s="93"/>
      <c r="D223" s="94"/>
      <c r="E223" s="95"/>
      <c r="F223" s="85" t="str">
        <f>IF(ISERROR(HLOOKUP(D223,Data!$1:$1,1,FALSE)),"PROBLEM - Scheduled time not found.","")</f>
        <v/>
      </c>
    </row>
    <row r="224" spans="1:6" x14ac:dyDescent="0.25">
      <c r="A224" s="84" t="str">
        <f t="shared" si="3"/>
        <v>__</v>
      </c>
      <c r="B224" s="93"/>
      <c r="C224" s="93"/>
      <c r="D224" s="94"/>
      <c r="E224" s="95"/>
      <c r="F224" s="85" t="str">
        <f>IF(ISERROR(HLOOKUP(D224,Data!$1:$1,1,FALSE)),"PROBLEM - Scheduled time not found.","")</f>
        <v/>
      </c>
    </row>
    <row r="225" spans="1:6" x14ac:dyDescent="0.25">
      <c r="A225" s="84" t="str">
        <f t="shared" si="3"/>
        <v>__</v>
      </c>
      <c r="B225" s="93"/>
      <c r="C225" s="93"/>
      <c r="D225" s="94"/>
      <c r="E225" s="95"/>
      <c r="F225" s="85" t="str">
        <f>IF(ISERROR(HLOOKUP(D225,Data!$1:$1,1,FALSE)),"PROBLEM - Scheduled time not found.","")</f>
        <v/>
      </c>
    </row>
    <row r="226" spans="1:6" x14ac:dyDescent="0.25">
      <c r="A226" s="84" t="str">
        <f t="shared" si="3"/>
        <v>__</v>
      </c>
      <c r="B226" s="93"/>
      <c r="C226" s="93"/>
      <c r="D226" s="94"/>
      <c r="E226" s="95"/>
      <c r="F226" s="85" t="str">
        <f>IF(ISERROR(HLOOKUP(D226,Data!$1:$1,1,FALSE)),"PROBLEM - Scheduled time not found.","")</f>
        <v/>
      </c>
    </row>
    <row r="227" spans="1:6" x14ac:dyDescent="0.25">
      <c r="A227" s="84" t="str">
        <f t="shared" si="3"/>
        <v>__</v>
      </c>
      <c r="B227" s="93"/>
      <c r="C227" s="93"/>
      <c r="D227" s="94"/>
      <c r="E227" s="95"/>
      <c r="F227" s="85" t="str">
        <f>IF(ISERROR(HLOOKUP(D227,Data!$1:$1,1,FALSE)),"PROBLEM - Scheduled time not found.","")</f>
        <v/>
      </c>
    </row>
    <row r="228" spans="1:6" x14ac:dyDescent="0.25">
      <c r="A228" s="84" t="str">
        <f t="shared" si="3"/>
        <v>__</v>
      </c>
      <c r="B228" s="93"/>
      <c r="C228" s="93"/>
      <c r="D228" s="94"/>
      <c r="E228" s="95"/>
      <c r="F228" s="85" t="str">
        <f>IF(ISERROR(HLOOKUP(D228,Data!$1:$1,1,FALSE)),"PROBLEM - Scheduled time not found.","")</f>
        <v/>
      </c>
    </row>
    <row r="229" spans="1:6" x14ac:dyDescent="0.25">
      <c r="A229" s="84" t="str">
        <f t="shared" si="3"/>
        <v>__</v>
      </c>
      <c r="B229" s="93"/>
      <c r="C229" s="93"/>
      <c r="D229" s="94"/>
      <c r="E229" s="95"/>
      <c r="F229" s="85" t="str">
        <f>IF(ISERROR(HLOOKUP(D229,Data!$1:$1,1,FALSE)),"PROBLEM - Scheduled time not found.","")</f>
        <v/>
      </c>
    </row>
    <row r="230" spans="1:6" x14ac:dyDescent="0.25">
      <c r="A230" s="84" t="str">
        <f t="shared" si="3"/>
        <v>__</v>
      </c>
      <c r="B230" s="93"/>
      <c r="C230" s="93"/>
      <c r="D230" s="94"/>
      <c r="E230" s="95"/>
      <c r="F230" s="85" t="str">
        <f>IF(ISERROR(HLOOKUP(D230,Data!$1:$1,1,FALSE)),"PROBLEM - Scheduled time not found.","")</f>
        <v/>
      </c>
    </row>
    <row r="231" spans="1:6" x14ac:dyDescent="0.25">
      <c r="A231" s="84" t="str">
        <f t="shared" si="3"/>
        <v>__</v>
      </c>
      <c r="B231" s="93"/>
      <c r="C231" s="93"/>
      <c r="D231" s="94"/>
      <c r="E231" s="95"/>
      <c r="F231" s="85" t="str">
        <f>IF(ISERROR(HLOOKUP(D231,Data!$1:$1,1,FALSE)),"PROBLEM - Scheduled time not found.","")</f>
        <v/>
      </c>
    </row>
    <row r="232" spans="1:6" x14ac:dyDescent="0.25">
      <c r="A232" s="84" t="str">
        <f t="shared" si="3"/>
        <v>__</v>
      </c>
      <c r="B232" s="93"/>
      <c r="C232" s="93"/>
      <c r="D232" s="94"/>
      <c r="E232" s="95"/>
      <c r="F232" s="85" t="str">
        <f>IF(ISERROR(HLOOKUP(D232,Data!$1:$1,1,FALSE)),"PROBLEM - Scheduled time not found.","")</f>
        <v/>
      </c>
    </row>
    <row r="233" spans="1:6" x14ac:dyDescent="0.25">
      <c r="A233" s="84" t="str">
        <f t="shared" si="3"/>
        <v>__</v>
      </c>
      <c r="B233" s="93"/>
      <c r="C233" s="93"/>
      <c r="D233" s="94"/>
      <c r="E233" s="95"/>
      <c r="F233" s="85" t="str">
        <f>IF(ISERROR(HLOOKUP(D233,Data!$1:$1,1,FALSE)),"PROBLEM - Scheduled time not found.","")</f>
        <v/>
      </c>
    </row>
    <row r="234" spans="1:6" x14ac:dyDescent="0.25">
      <c r="A234" s="84" t="str">
        <f t="shared" si="3"/>
        <v>__</v>
      </c>
      <c r="B234" s="93"/>
      <c r="C234" s="93"/>
      <c r="D234" s="94"/>
      <c r="E234" s="95"/>
      <c r="F234" s="85" t="str">
        <f>IF(ISERROR(HLOOKUP(D234,Data!$1:$1,1,FALSE)),"PROBLEM - Scheduled time not found.","")</f>
        <v/>
      </c>
    </row>
    <row r="235" spans="1:6" x14ac:dyDescent="0.25">
      <c r="A235" s="84" t="str">
        <f t="shared" si="3"/>
        <v>__</v>
      </c>
      <c r="B235" s="93"/>
      <c r="C235" s="93"/>
      <c r="D235" s="94"/>
      <c r="E235" s="95"/>
      <c r="F235" s="85" t="str">
        <f>IF(ISERROR(HLOOKUP(D235,Data!$1:$1,1,FALSE)),"PROBLEM - Scheduled time not found.","")</f>
        <v/>
      </c>
    </row>
    <row r="236" spans="1:6" x14ac:dyDescent="0.25">
      <c r="A236" s="84" t="str">
        <f t="shared" si="3"/>
        <v>__</v>
      </c>
      <c r="B236" s="93"/>
      <c r="C236" s="93"/>
      <c r="D236" s="94"/>
      <c r="E236" s="95"/>
      <c r="F236" s="85" t="str">
        <f>IF(ISERROR(HLOOKUP(D236,Data!$1:$1,1,FALSE)),"PROBLEM - Scheduled time not found.","")</f>
        <v/>
      </c>
    </row>
    <row r="237" spans="1:6" x14ac:dyDescent="0.25">
      <c r="A237" s="84" t="str">
        <f t="shared" si="3"/>
        <v>__</v>
      </c>
      <c r="B237" s="93"/>
      <c r="C237" s="93"/>
      <c r="D237" s="94"/>
      <c r="E237" s="95"/>
      <c r="F237" s="85" t="str">
        <f>IF(ISERROR(HLOOKUP(D237,Data!$1:$1,1,FALSE)),"PROBLEM - Scheduled time not found.","")</f>
        <v/>
      </c>
    </row>
    <row r="238" spans="1:6" x14ac:dyDescent="0.25">
      <c r="A238" s="84" t="str">
        <f t="shared" si="3"/>
        <v>__</v>
      </c>
      <c r="B238" s="93"/>
      <c r="C238" s="93"/>
      <c r="D238" s="94"/>
      <c r="E238" s="95"/>
      <c r="F238" s="85" t="str">
        <f>IF(ISERROR(HLOOKUP(D238,Data!$1:$1,1,FALSE)),"PROBLEM - Scheduled time not found.","")</f>
        <v/>
      </c>
    </row>
    <row r="239" spans="1:6" x14ac:dyDescent="0.25">
      <c r="A239" s="84" t="str">
        <f t="shared" si="3"/>
        <v>__</v>
      </c>
      <c r="B239" s="93"/>
      <c r="C239" s="93"/>
      <c r="D239" s="94"/>
      <c r="E239" s="95"/>
      <c r="F239" s="85" t="str">
        <f>IF(ISERROR(HLOOKUP(D239,Data!$1:$1,1,FALSE)),"PROBLEM - Scheduled time not found.","")</f>
        <v/>
      </c>
    </row>
    <row r="240" spans="1:6" x14ac:dyDescent="0.25">
      <c r="A240" s="84" t="str">
        <f t="shared" si="3"/>
        <v>__</v>
      </c>
      <c r="B240" s="93"/>
      <c r="C240" s="93"/>
      <c r="D240" s="94"/>
      <c r="E240" s="95"/>
      <c r="F240" s="85" t="str">
        <f>IF(ISERROR(HLOOKUP(D240,Data!$1:$1,1,FALSE)),"PROBLEM - Scheduled time not found.","")</f>
        <v/>
      </c>
    </row>
    <row r="241" spans="1:6" x14ac:dyDescent="0.25">
      <c r="A241" s="84" t="str">
        <f t="shared" si="3"/>
        <v>__</v>
      </c>
      <c r="B241" s="93"/>
      <c r="C241" s="93"/>
      <c r="D241" s="94"/>
      <c r="E241" s="95"/>
      <c r="F241" s="85" t="str">
        <f>IF(ISERROR(HLOOKUP(D241,Data!$1:$1,1,FALSE)),"PROBLEM - Scheduled time not found.","")</f>
        <v/>
      </c>
    </row>
    <row r="242" spans="1:6" x14ac:dyDescent="0.25">
      <c r="A242" s="84" t="str">
        <f t="shared" si="3"/>
        <v>__</v>
      </c>
      <c r="B242" s="93"/>
      <c r="C242" s="93"/>
      <c r="D242" s="94"/>
      <c r="E242" s="95"/>
      <c r="F242" s="85" t="str">
        <f>IF(ISERROR(HLOOKUP(D242,Data!$1:$1,1,FALSE)),"PROBLEM - Scheduled time not found.","")</f>
        <v/>
      </c>
    </row>
    <row r="243" spans="1:6" x14ac:dyDescent="0.25">
      <c r="A243" s="84" t="str">
        <f t="shared" si="3"/>
        <v>__</v>
      </c>
      <c r="B243" s="93"/>
      <c r="C243" s="93"/>
      <c r="D243" s="94"/>
      <c r="E243" s="95"/>
      <c r="F243" s="85" t="str">
        <f>IF(ISERROR(HLOOKUP(D243,Data!$1:$1,1,FALSE)),"PROBLEM - Scheduled time not found.","")</f>
        <v/>
      </c>
    </row>
    <row r="244" spans="1:6" x14ac:dyDescent="0.25">
      <c r="A244" s="84" t="str">
        <f t="shared" si="3"/>
        <v>__</v>
      </c>
      <c r="B244" s="93"/>
      <c r="C244" s="93"/>
      <c r="D244" s="94"/>
      <c r="E244" s="95"/>
      <c r="F244" s="85" t="str">
        <f>IF(ISERROR(HLOOKUP(D244,Data!$1:$1,1,FALSE)),"PROBLEM - Scheduled time not found.","")</f>
        <v/>
      </c>
    </row>
    <row r="245" spans="1:6" x14ac:dyDescent="0.25">
      <c r="A245" s="84" t="str">
        <f t="shared" si="3"/>
        <v>__</v>
      </c>
      <c r="B245" s="93"/>
      <c r="C245" s="93"/>
      <c r="D245" s="94"/>
      <c r="E245" s="95"/>
      <c r="F245" s="85" t="str">
        <f>IF(ISERROR(HLOOKUP(D245,Data!$1:$1,1,FALSE)),"PROBLEM - Scheduled time not found.","")</f>
        <v/>
      </c>
    </row>
    <row r="246" spans="1:6" x14ac:dyDescent="0.25">
      <c r="A246" s="84" t="str">
        <f t="shared" si="3"/>
        <v>__</v>
      </c>
      <c r="B246" s="93"/>
      <c r="C246" s="93"/>
      <c r="D246" s="94"/>
      <c r="E246" s="95"/>
      <c r="F246" s="85" t="str">
        <f>IF(ISERROR(HLOOKUP(D246,Data!$1:$1,1,FALSE)),"PROBLEM - Scheduled time not found.","")</f>
        <v/>
      </c>
    </row>
    <row r="247" spans="1:6" x14ac:dyDescent="0.25">
      <c r="A247" s="84" t="str">
        <f t="shared" si="3"/>
        <v>__</v>
      </c>
      <c r="B247" s="93"/>
      <c r="C247" s="93"/>
      <c r="D247" s="94"/>
      <c r="E247" s="95"/>
      <c r="F247" s="85" t="str">
        <f>IF(ISERROR(HLOOKUP(D247,Data!$1:$1,1,FALSE)),"PROBLEM - Scheduled time not found.","")</f>
        <v/>
      </c>
    </row>
    <row r="248" spans="1:6" x14ac:dyDescent="0.25">
      <c r="A248" s="84" t="str">
        <f t="shared" si="3"/>
        <v>__</v>
      </c>
      <c r="B248" s="93"/>
      <c r="C248" s="93"/>
      <c r="D248" s="94"/>
      <c r="E248" s="95"/>
      <c r="F248" s="85" t="str">
        <f>IF(ISERROR(HLOOKUP(D248,Data!$1:$1,1,FALSE)),"PROBLEM - Scheduled time not found.","")</f>
        <v/>
      </c>
    </row>
    <row r="249" spans="1:6" x14ac:dyDescent="0.25">
      <c r="A249" s="84" t="str">
        <f t="shared" si="3"/>
        <v>__</v>
      </c>
      <c r="B249" s="93"/>
      <c r="C249" s="93"/>
      <c r="D249" s="94"/>
      <c r="E249" s="95"/>
      <c r="F249" s="85" t="str">
        <f>IF(ISERROR(HLOOKUP(D249,Data!$1:$1,1,FALSE)),"PROBLEM - Scheduled time not found.","")</f>
        <v/>
      </c>
    </row>
    <row r="250" spans="1:6" x14ac:dyDescent="0.25">
      <c r="A250" s="84" t="str">
        <f t="shared" si="3"/>
        <v>__</v>
      </c>
      <c r="B250" s="93"/>
      <c r="C250" s="93"/>
      <c r="D250" s="94"/>
      <c r="E250" s="96"/>
      <c r="F250" s="85" t="str">
        <f>IF(ISERROR(HLOOKUP(D250,Data!$1:$1,1,FALSE)),"PROBLEM - Scheduled time not found.","")</f>
        <v/>
      </c>
    </row>
    <row r="251" spans="1:6" x14ac:dyDescent="0.25">
      <c r="A251" s="84" t="str">
        <f t="shared" si="3"/>
        <v>__</v>
      </c>
      <c r="B251" s="93"/>
      <c r="C251" s="93"/>
      <c r="D251" s="94"/>
      <c r="E251" s="95"/>
      <c r="F251" s="85" t="str">
        <f>IF(ISERROR(HLOOKUP(D251,Data!$1:$1,1,FALSE)),"PROBLEM - Scheduled time not found.","")</f>
        <v/>
      </c>
    </row>
    <row r="252" spans="1:6" x14ac:dyDescent="0.25">
      <c r="A252" s="84" t="str">
        <f t="shared" si="3"/>
        <v>__</v>
      </c>
      <c r="B252" s="93"/>
      <c r="C252" s="93"/>
      <c r="D252" s="94"/>
      <c r="E252" s="95"/>
      <c r="F252" s="85" t="str">
        <f>IF(ISERROR(HLOOKUP(D252,Data!$1:$1,1,FALSE)),"PROBLEM - Scheduled time not found.","")</f>
        <v/>
      </c>
    </row>
    <row r="253" spans="1:6" x14ac:dyDescent="0.25">
      <c r="A253" s="84" t="str">
        <f t="shared" si="3"/>
        <v>__</v>
      </c>
      <c r="B253" s="93"/>
      <c r="C253" s="93"/>
      <c r="D253" s="94"/>
      <c r="E253" s="95"/>
      <c r="F253" s="85" t="str">
        <f>IF(ISERROR(HLOOKUP(D253,Data!$1:$1,1,FALSE)),"PROBLEM - Scheduled time not found.","")</f>
        <v/>
      </c>
    </row>
    <row r="254" spans="1:6" x14ac:dyDescent="0.25">
      <c r="A254" s="84" t="str">
        <f t="shared" si="3"/>
        <v>__</v>
      </c>
      <c r="B254" s="93"/>
      <c r="C254" s="93"/>
      <c r="D254" s="94"/>
      <c r="E254" s="95"/>
      <c r="F254" s="85" t="str">
        <f>IF(ISERROR(HLOOKUP(D254,Data!$1:$1,1,FALSE)),"PROBLEM - Scheduled time not found.","")</f>
        <v/>
      </c>
    </row>
    <row r="255" spans="1:6" x14ac:dyDescent="0.25">
      <c r="A255" s="84" t="str">
        <f t="shared" si="3"/>
        <v>__</v>
      </c>
      <c r="B255" s="93"/>
      <c r="C255" s="93"/>
      <c r="D255" s="94"/>
      <c r="E255" s="95"/>
      <c r="F255" s="85" t="str">
        <f>IF(ISERROR(HLOOKUP(D255,Data!$1:$1,1,FALSE)),"PROBLEM - Scheduled time not found.","")</f>
        <v/>
      </c>
    </row>
    <row r="256" spans="1:6" x14ac:dyDescent="0.25">
      <c r="A256" s="84" t="str">
        <f t="shared" si="3"/>
        <v>__</v>
      </c>
      <c r="B256" s="93"/>
      <c r="C256" s="93"/>
      <c r="D256" s="94"/>
      <c r="E256" s="95"/>
      <c r="F256" s="85" t="str">
        <f>IF(ISERROR(HLOOKUP(D256,Data!$1:$1,1,FALSE)),"PROBLEM - Scheduled time not found.","")</f>
        <v/>
      </c>
    </row>
    <row r="257" spans="1:6" x14ac:dyDescent="0.25">
      <c r="A257" s="84" t="str">
        <f t="shared" si="3"/>
        <v>__</v>
      </c>
      <c r="B257" s="93"/>
      <c r="C257" s="93"/>
      <c r="D257" s="94"/>
      <c r="E257" s="95"/>
      <c r="F257" s="85" t="str">
        <f>IF(ISERROR(HLOOKUP(D257,Data!$1:$1,1,FALSE)),"PROBLEM - Scheduled time not found.","")</f>
        <v/>
      </c>
    </row>
    <row r="258" spans="1:6" x14ac:dyDescent="0.25">
      <c r="A258" s="84" t="str">
        <f t="shared" si="3"/>
        <v>__</v>
      </c>
      <c r="B258" s="93"/>
      <c r="C258" s="93"/>
      <c r="D258" s="94"/>
      <c r="E258" s="95"/>
      <c r="F258" s="85" t="str">
        <f>IF(ISERROR(HLOOKUP(D258,Data!$1:$1,1,FALSE)),"PROBLEM - Scheduled time not found.","")</f>
        <v/>
      </c>
    </row>
    <row r="259" spans="1:6" x14ac:dyDescent="0.25">
      <c r="A259" s="84" t="str">
        <f t="shared" ref="A259:A322" si="4">B259&amp;"_"&amp;C259&amp;"_"&amp;D259</f>
        <v>__</v>
      </c>
      <c r="B259" s="93"/>
      <c r="C259" s="93"/>
      <c r="D259" s="94"/>
      <c r="E259" s="95"/>
      <c r="F259" s="85" t="str">
        <f>IF(ISERROR(HLOOKUP(D259,Data!$1:$1,1,FALSE)),"PROBLEM - Scheduled time not found.","")</f>
        <v/>
      </c>
    </row>
    <row r="260" spans="1:6" x14ac:dyDescent="0.25">
      <c r="A260" s="84" t="str">
        <f t="shared" si="4"/>
        <v>__</v>
      </c>
      <c r="B260" s="93"/>
      <c r="C260" s="93"/>
      <c r="D260" s="94"/>
      <c r="E260" s="95"/>
      <c r="F260" s="85" t="str">
        <f>IF(ISERROR(HLOOKUP(D260,Data!$1:$1,1,FALSE)),"PROBLEM - Scheduled time not found.","")</f>
        <v/>
      </c>
    </row>
    <row r="261" spans="1:6" x14ac:dyDescent="0.25">
      <c r="A261" s="84" t="str">
        <f t="shared" si="4"/>
        <v>__</v>
      </c>
      <c r="B261" s="93"/>
      <c r="C261" s="93"/>
      <c r="D261" s="94"/>
      <c r="E261" s="95"/>
      <c r="F261" s="85" t="str">
        <f>IF(ISERROR(HLOOKUP(D261,Data!$1:$1,1,FALSE)),"PROBLEM - Scheduled time not found.","")</f>
        <v/>
      </c>
    </row>
    <row r="262" spans="1:6" x14ac:dyDescent="0.25">
      <c r="A262" s="84" t="str">
        <f t="shared" si="4"/>
        <v>__</v>
      </c>
      <c r="B262" s="93"/>
      <c r="C262" s="93"/>
      <c r="D262" s="94"/>
      <c r="E262" s="95"/>
      <c r="F262" s="85" t="str">
        <f>IF(ISERROR(HLOOKUP(D262,Data!$1:$1,1,FALSE)),"PROBLEM - Scheduled time not found.","")</f>
        <v/>
      </c>
    </row>
    <row r="263" spans="1:6" x14ac:dyDescent="0.25">
      <c r="A263" s="84" t="str">
        <f t="shared" si="4"/>
        <v>__</v>
      </c>
      <c r="B263" s="93"/>
      <c r="C263" s="93"/>
      <c r="D263" s="94"/>
      <c r="E263" s="95"/>
      <c r="F263" s="85" t="str">
        <f>IF(ISERROR(HLOOKUP(D263,Data!$1:$1,1,FALSE)),"PROBLEM - Scheduled time not found.","")</f>
        <v/>
      </c>
    </row>
    <row r="264" spans="1:6" x14ac:dyDescent="0.25">
      <c r="A264" s="84" t="str">
        <f t="shared" si="4"/>
        <v>__</v>
      </c>
      <c r="B264" s="93"/>
      <c r="C264" s="93"/>
      <c r="D264" s="94"/>
      <c r="E264" s="95"/>
      <c r="F264" s="85" t="str">
        <f>IF(ISERROR(HLOOKUP(D264,Data!$1:$1,1,FALSE)),"PROBLEM - Scheduled time not found.","")</f>
        <v/>
      </c>
    </row>
    <row r="265" spans="1:6" x14ac:dyDescent="0.25">
      <c r="A265" s="84" t="str">
        <f t="shared" si="4"/>
        <v>__</v>
      </c>
      <c r="B265" s="93"/>
      <c r="C265" s="93"/>
      <c r="D265" s="94"/>
      <c r="E265" s="95"/>
      <c r="F265" s="85" t="str">
        <f>IF(ISERROR(HLOOKUP(D265,Data!$1:$1,1,FALSE)),"PROBLEM - Scheduled time not found.","")</f>
        <v/>
      </c>
    </row>
    <row r="266" spans="1:6" x14ac:dyDescent="0.25">
      <c r="A266" s="84" t="str">
        <f t="shared" si="4"/>
        <v>__</v>
      </c>
      <c r="B266" s="93"/>
      <c r="C266" s="93"/>
      <c r="D266" s="94"/>
      <c r="E266" s="95"/>
      <c r="F266" s="85" t="str">
        <f>IF(ISERROR(HLOOKUP(D266,Data!$1:$1,1,FALSE)),"PROBLEM - Scheduled time not found.","")</f>
        <v/>
      </c>
    </row>
    <row r="267" spans="1:6" x14ac:dyDescent="0.25">
      <c r="A267" s="84" t="str">
        <f t="shared" si="4"/>
        <v>__</v>
      </c>
      <c r="B267" s="93"/>
      <c r="C267" s="93"/>
      <c r="D267" s="94"/>
      <c r="E267" s="95"/>
      <c r="F267" s="85" t="str">
        <f>IF(ISERROR(HLOOKUP(D267,Data!$1:$1,1,FALSE)),"PROBLEM - Scheduled time not found.","")</f>
        <v/>
      </c>
    </row>
    <row r="268" spans="1:6" x14ac:dyDescent="0.25">
      <c r="A268" s="84" t="str">
        <f t="shared" si="4"/>
        <v>__</v>
      </c>
      <c r="B268" s="93"/>
      <c r="C268" s="93"/>
      <c r="D268" s="94"/>
      <c r="E268" s="95"/>
      <c r="F268" s="85" t="str">
        <f>IF(ISERROR(HLOOKUP(D268,Data!$1:$1,1,FALSE)),"PROBLEM - Scheduled time not found.","")</f>
        <v/>
      </c>
    </row>
    <row r="269" spans="1:6" x14ac:dyDescent="0.25">
      <c r="A269" s="84" t="str">
        <f t="shared" si="4"/>
        <v>__</v>
      </c>
      <c r="B269" s="93"/>
      <c r="C269" s="93"/>
      <c r="D269" s="94"/>
      <c r="E269" s="95"/>
      <c r="F269" s="85" t="str">
        <f>IF(ISERROR(HLOOKUP(D269,Data!$1:$1,1,FALSE)),"PROBLEM - Scheduled time not found.","")</f>
        <v/>
      </c>
    </row>
    <row r="270" spans="1:6" x14ac:dyDescent="0.25">
      <c r="A270" s="84" t="str">
        <f t="shared" si="4"/>
        <v>__</v>
      </c>
      <c r="B270" s="93"/>
      <c r="C270" s="93"/>
      <c r="D270" s="94"/>
      <c r="E270" s="95"/>
      <c r="F270" s="85" t="str">
        <f>IF(ISERROR(HLOOKUP(D270,Data!$1:$1,1,FALSE)),"PROBLEM - Scheduled time not found.","")</f>
        <v/>
      </c>
    </row>
    <row r="271" spans="1:6" x14ac:dyDescent="0.25">
      <c r="A271" s="84" t="str">
        <f t="shared" si="4"/>
        <v>__</v>
      </c>
      <c r="B271" s="93"/>
      <c r="C271" s="93"/>
      <c r="D271" s="94"/>
      <c r="E271" s="95"/>
      <c r="F271" s="85" t="str">
        <f>IF(ISERROR(HLOOKUP(D271,Data!$1:$1,1,FALSE)),"PROBLEM - Scheduled time not found.","")</f>
        <v/>
      </c>
    </row>
    <row r="272" spans="1:6" x14ac:dyDescent="0.25">
      <c r="A272" s="84" t="str">
        <f t="shared" si="4"/>
        <v>__</v>
      </c>
      <c r="B272" s="93"/>
      <c r="C272" s="93"/>
      <c r="D272" s="94"/>
      <c r="E272" s="95"/>
      <c r="F272" s="85" t="str">
        <f>IF(ISERROR(HLOOKUP(D272,Data!$1:$1,1,FALSE)),"PROBLEM - Scheduled time not found.","")</f>
        <v/>
      </c>
    </row>
    <row r="273" spans="1:6" x14ac:dyDescent="0.25">
      <c r="A273" s="84" t="str">
        <f t="shared" si="4"/>
        <v>__</v>
      </c>
      <c r="B273" s="93"/>
      <c r="C273" s="93"/>
      <c r="D273" s="94"/>
      <c r="E273" s="95"/>
      <c r="F273" s="85" t="str">
        <f>IF(ISERROR(HLOOKUP(D273,Data!$1:$1,1,FALSE)),"PROBLEM - Scheduled time not found.","")</f>
        <v/>
      </c>
    </row>
    <row r="274" spans="1:6" x14ac:dyDescent="0.25">
      <c r="A274" s="84" t="str">
        <f t="shared" si="4"/>
        <v>__</v>
      </c>
      <c r="B274" s="93"/>
      <c r="C274" s="93"/>
      <c r="D274" s="94"/>
      <c r="E274" s="95"/>
      <c r="F274" s="85" t="str">
        <f>IF(ISERROR(HLOOKUP(D274,Data!$1:$1,1,FALSE)),"PROBLEM - Scheduled time not found.","")</f>
        <v/>
      </c>
    </row>
    <row r="275" spans="1:6" x14ac:dyDescent="0.25">
      <c r="A275" s="84" t="str">
        <f t="shared" si="4"/>
        <v>__</v>
      </c>
      <c r="B275" s="93"/>
      <c r="C275" s="93"/>
      <c r="D275" s="94"/>
      <c r="E275" s="95"/>
      <c r="F275" s="85" t="str">
        <f>IF(ISERROR(HLOOKUP(D275,Data!$1:$1,1,FALSE)),"PROBLEM - Scheduled time not found.","")</f>
        <v/>
      </c>
    </row>
    <row r="276" spans="1:6" x14ac:dyDescent="0.25">
      <c r="A276" s="84" t="str">
        <f t="shared" si="4"/>
        <v>__</v>
      </c>
      <c r="B276" s="93"/>
      <c r="C276" s="93"/>
      <c r="D276" s="94"/>
      <c r="E276" s="95"/>
      <c r="F276" s="85" t="str">
        <f>IF(ISERROR(HLOOKUP(D276,Data!$1:$1,1,FALSE)),"PROBLEM - Scheduled time not found.","")</f>
        <v/>
      </c>
    </row>
    <row r="277" spans="1:6" x14ac:dyDescent="0.25">
      <c r="A277" s="84" t="str">
        <f t="shared" si="4"/>
        <v>__</v>
      </c>
      <c r="B277" s="93"/>
      <c r="C277" s="93"/>
      <c r="D277" s="94"/>
      <c r="E277" s="95"/>
      <c r="F277" s="85" t="str">
        <f>IF(ISERROR(HLOOKUP(D277,Data!$1:$1,1,FALSE)),"PROBLEM - Scheduled time not found.","")</f>
        <v/>
      </c>
    </row>
    <row r="278" spans="1:6" x14ac:dyDescent="0.25">
      <c r="A278" s="84" t="str">
        <f t="shared" si="4"/>
        <v>__</v>
      </c>
      <c r="B278" s="93"/>
      <c r="C278" s="93"/>
      <c r="D278" s="94"/>
      <c r="E278" s="95"/>
      <c r="F278" s="85" t="str">
        <f>IF(ISERROR(HLOOKUP(D278,Data!$1:$1,1,FALSE)),"PROBLEM - Scheduled time not found.","")</f>
        <v/>
      </c>
    </row>
    <row r="279" spans="1:6" x14ac:dyDescent="0.25">
      <c r="A279" s="84" t="str">
        <f t="shared" si="4"/>
        <v>__</v>
      </c>
      <c r="B279" s="93"/>
      <c r="C279" s="93"/>
      <c r="D279" s="94"/>
      <c r="E279" s="95"/>
      <c r="F279" s="85" t="str">
        <f>IF(ISERROR(HLOOKUP(D279,Data!$1:$1,1,FALSE)),"PROBLEM - Scheduled time not found.","")</f>
        <v/>
      </c>
    </row>
    <row r="280" spans="1:6" x14ac:dyDescent="0.25">
      <c r="A280" s="84" t="str">
        <f t="shared" si="4"/>
        <v>__</v>
      </c>
      <c r="B280" s="93"/>
      <c r="C280" s="93"/>
      <c r="D280" s="94"/>
      <c r="E280" s="95"/>
      <c r="F280" s="85" t="str">
        <f>IF(ISERROR(HLOOKUP(D280,Data!$1:$1,1,FALSE)),"PROBLEM - Scheduled time not found.","")</f>
        <v/>
      </c>
    </row>
    <row r="281" spans="1:6" x14ac:dyDescent="0.25">
      <c r="A281" s="84" t="str">
        <f t="shared" si="4"/>
        <v>__</v>
      </c>
      <c r="B281" s="93"/>
      <c r="C281" s="93"/>
      <c r="D281" s="94"/>
      <c r="E281" s="95"/>
      <c r="F281" s="85" t="str">
        <f>IF(ISERROR(HLOOKUP(D281,Data!$1:$1,1,FALSE)),"PROBLEM - Scheduled time not found.","")</f>
        <v/>
      </c>
    </row>
    <row r="282" spans="1:6" x14ac:dyDescent="0.25">
      <c r="A282" s="84" t="str">
        <f t="shared" si="4"/>
        <v>__</v>
      </c>
      <c r="B282" s="93"/>
      <c r="C282" s="93"/>
      <c r="D282" s="94"/>
      <c r="E282" s="95"/>
      <c r="F282" s="85" t="str">
        <f>IF(ISERROR(HLOOKUP(D282,Data!$1:$1,1,FALSE)),"PROBLEM - Scheduled time not found.","")</f>
        <v/>
      </c>
    </row>
    <row r="283" spans="1:6" x14ac:dyDescent="0.25">
      <c r="A283" s="84" t="str">
        <f t="shared" si="4"/>
        <v>__</v>
      </c>
      <c r="B283" s="93"/>
      <c r="C283" s="93"/>
      <c r="D283" s="94"/>
      <c r="E283" s="95"/>
      <c r="F283" s="85" t="str">
        <f>IF(ISERROR(HLOOKUP(D283,Data!$1:$1,1,FALSE)),"PROBLEM - Scheduled time not found.","")</f>
        <v/>
      </c>
    </row>
    <row r="284" spans="1:6" x14ac:dyDescent="0.25">
      <c r="A284" s="84" t="str">
        <f t="shared" si="4"/>
        <v>__</v>
      </c>
      <c r="B284" s="93"/>
      <c r="C284" s="93"/>
      <c r="D284" s="94"/>
      <c r="E284" s="95"/>
      <c r="F284" s="85" t="str">
        <f>IF(ISERROR(HLOOKUP(D284,Data!$1:$1,1,FALSE)),"PROBLEM - Scheduled time not found.","")</f>
        <v/>
      </c>
    </row>
    <row r="285" spans="1:6" x14ac:dyDescent="0.25">
      <c r="A285" s="84" t="str">
        <f t="shared" si="4"/>
        <v>__</v>
      </c>
      <c r="B285" s="93"/>
      <c r="C285" s="93"/>
      <c r="D285" s="94"/>
      <c r="E285" s="95"/>
      <c r="F285" s="85" t="str">
        <f>IF(ISERROR(HLOOKUP(D285,Data!$1:$1,1,FALSE)),"PROBLEM - Scheduled time not found.","")</f>
        <v/>
      </c>
    </row>
    <row r="286" spans="1:6" x14ac:dyDescent="0.25">
      <c r="A286" s="84" t="str">
        <f t="shared" si="4"/>
        <v>__</v>
      </c>
      <c r="B286" s="93"/>
      <c r="C286" s="93"/>
      <c r="D286" s="94"/>
      <c r="E286" s="95"/>
      <c r="F286" s="85" t="str">
        <f>IF(ISERROR(HLOOKUP(D286,Data!$1:$1,1,FALSE)),"PROBLEM - Scheduled time not found.","")</f>
        <v/>
      </c>
    </row>
    <row r="287" spans="1:6" x14ac:dyDescent="0.25">
      <c r="A287" s="84" t="str">
        <f t="shared" si="4"/>
        <v>__</v>
      </c>
      <c r="B287" s="93"/>
      <c r="C287" s="93"/>
      <c r="D287" s="94"/>
      <c r="E287" s="95"/>
      <c r="F287" s="85" t="str">
        <f>IF(ISERROR(HLOOKUP(D287,Data!$1:$1,1,FALSE)),"PROBLEM - Scheduled time not found.","")</f>
        <v/>
      </c>
    </row>
    <row r="288" spans="1:6" x14ac:dyDescent="0.25">
      <c r="A288" s="84" t="str">
        <f t="shared" si="4"/>
        <v>__</v>
      </c>
      <c r="B288" s="93"/>
      <c r="C288" s="93"/>
      <c r="D288" s="94"/>
      <c r="E288" s="95"/>
      <c r="F288" s="85" t="str">
        <f>IF(ISERROR(HLOOKUP(D288,Data!$1:$1,1,FALSE)),"PROBLEM - Scheduled time not found.","")</f>
        <v/>
      </c>
    </row>
    <row r="289" spans="1:6" x14ac:dyDescent="0.25">
      <c r="A289" s="84" t="str">
        <f t="shared" si="4"/>
        <v>__</v>
      </c>
      <c r="B289" s="93"/>
      <c r="C289" s="93"/>
      <c r="D289" s="94"/>
      <c r="E289" s="95"/>
      <c r="F289" s="85" t="str">
        <f>IF(ISERROR(HLOOKUP(D289,Data!$1:$1,1,FALSE)),"PROBLEM - Scheduled time not found.","")</f>
        <v/>
      </c>
    </row>
    <row r="290" spans="1:6" x14ac:dyDescent="0.25">
      <c r="A290" s="84" t="str">
        <f t="shared" si="4"/>
        <v>__</v>
      </c>
      <c r="B290" s="93"/>
      <c r="C290" s="93"/>
      <c r="D290" s="94"/>
      <c r="E290" s="95"/>
      <c r="F290" s="85" t="str">
        <f>IF(ISERROR(HLOOKUP(D290,Data!$1:$1,1,FALSE)),"PROBLEM - Scheduled time not found.","")</f>
        <v/>
      </c>
    </row>
    <row r="291" spans="1:6" x14ac:dyDescent="0.25">
      <c r="A291" s="84" t="str">
        <f t="shared" si="4"/>
        <v>__</v>
      </c>
      <c r="B291" s="93"/>
      <c r="C291" s="93"/>
      <c r="D291" s="94"/>
      <c r="E291" s="95"/>
      <c r="F291" s="85" t="str">
        <f>IF(ISERROR(HLOOKUP(D291,Data!$1:$1,1,FALSE)),"PROBLEM - Scheduled time not found.","")</f>
        <v/>
      </c>
    </row>
    <row r="292" spans="1:6" x14ac:dyDescent="0.25">
      <c r="A292" s="84" t="str">
        <f t="shared" si="4"/>
        <v>__</v>
      </c>
      <c r="B292" s="93"/>
      <c r="C292" s="93"/>
      <c r="D292" s="94"/>
      <c r="E292" s="95"/>
      <c r="F292" s="85" t="str">
        <f>IF(ISERROR(HLOOKUP(D292,Data!$1:$1,1,FALSE)),"PROBLEM - Scheduled time not found.","")</f>
        <v/>
      </c>
    </row>
    <row r="293" spans="1:6" x14ac:dyDescent="0.25">
      <c r="A293" s="84" t="str">
        <f t="shared" si="4"/>
        <v>__</v>
      </c>
      <c r="B293" s="93"/>
      <c r="C293" s="93"/>
      <c r="D293" s="94"/>
      <c r="E293" s="95"/>
      <c r="F293" s="85" t="str">
        <f>IF(ISERROR(HLOOKUP(D293,Data!$1:$1,1,FALSE)),"PROBLEM - Scheduled time not found.","")</f>
        <v/>
      </c>
    </row>
    <row r="294" spans="1:6" x14ac:dyDescent="0.25">
      <c r="A294" s="84" t="str">
        <f t="shared" si="4"/>
        <v>__</v>
      </c>
      <c r="B294" s="93"/>
      <c r="C294" s="93"/>
      <c r="D294" s="94"/>
      <c r="E294" s="95"/>
      <c r="F294" s="85" t="str">
        <f>IF(ISERROR(HLOOKUP(D294,Data!$1:$1,1,FALSE)),"PROBLEM - Scheduled time not found.","")</f>
        <v/>
      </c>
    </row>
    <row r="295" spans="1:6" x14ac:dyDescent="0.25">
      <c r="A295" s="84" t="str">
        <f t="shared" si="4"/>
        <v>__</v>
      </c>
      <c r="B295" s="93"/>
      <c r="C295" s="93"/>
      <c r="D295" s="94"/>
      <c r="E295" s="95"/>
      <c r="F295" s="85" t="str">
        <f>IF(ISERROR(HLOOKUP(D295,Data!$1:$1,1,FALSE)),"PROBLEM - Scheduled time not found.","")</f>
        <v/>
      </c>
    </row>
    <row r="296" spans="1:6" x14ac:dyDescent="0.25">
      <c r="A296" s="84" t="str">
        <f t="shared" si="4"/>
        <v>__</v>
      </c>
      <c r="B296" s="93"/>
      <c r="C296" s="93"/>
      <c r="D296" s="94"/>
      <c r="E296" s="95"/>
      <c r="F296" s="85" t="str">
        <f>IF(ISERROR(HLOOKUP(D296,Data!$1:$1,1,FALSE)),"PROBLEM - Scheduled time not found.","")</f>
        <v/>
      </c>
    </row>
    <row r="297" spans="1:6" x14ac:dyDescent="0.25">
      <c r="A297" s="84" t="str">
        <f t="shared" si="4"/>
        <v>__</v>
      </c>
      <c r="B297" s="93"/>
      <c r="C297" s="93"/>
      <c r="D297" s="94"/>
      <c r="E297" s="95"/>
      <c r="F297" s="85" t="str">
        <f>IF(ISERROR(HLOOKUP(D297,Data!$1:$1,1,FALSE)),"PROBLEM - Scheduled time not found.","")</f>
        <v/>
      </c>
    </row>
    <row r="298" spans="1:6" x14ac:dyDescent="0.25">
      <c r="A298" s="84" t="str">
        <f t="shared" si="4"/>
        <v>__</v>
      </c>
      <c r="B298" s="93"/>
      <c r="C298" s="93"/>
      <c r="D298" s="94"/>
      <c r="E298" s="95"/>
      <c r="F298" s="85" t="str">
        <f>IF(ISERROR(HLOOKUP(D298,Data!$1:$1,1,FALSE)),"PROBLEM - Scheduled time not found.","")</f>
        <v/>
      </c>
    </row>
    <row r="299" spans="1:6" x14ac:dyDescent="0.25">
      <c r="A299" s="84" t="str">
        <f t="shared" si="4"/>
        <v>__</v>
      </c>
      <c r="B299" s="93"/>
      <c r="C299" s="93"/>
      <c r="D299" s="94"/>
      <c r="E299" s="95"/>
      <c r="F299" s="85" t="str">
        <f>IF(ISERROR(HLOOKUP(D299,Data!$1:$1,1,FALSE)),"PROBLEM - Scheduled time not found.","")</f>
        <v/>
      </c>
    </row>
    <row r="300" spans="1:6" x14ac:dyDescent="0.25">
      <c r="A300" s="84" t="str">
        <f t="shared" si="4"/>
        <v>__</v>
      </c>
      <c r="B300" s="93"/>
      <c r="C300" s="93"/>
      <c r="D300" s="94"/>
      <c r="E300" s="95"/>
      <c r="F300" s="85" t="str">
        <f>IF(ISERROR(HLOOKUP(D300,Data!$1:$1,1,FALSE)),"PROBLEM - Scheduled time not found.","")</f>
        <v/>
      </c>
    </row>
    <row r="301" spans="1:6" x14ac:dyDescent="0.25">
      <c r="A301" s="84" t="str">
        <f t="shared" si="4"/>
        <v>__</v>
      </c>
      <c r="B301" s="93"/>
      <c r="C301" s="93"/>
      <c r="D301" s="94"/>
      <c r="E301" s="95"/>
      <c r="F301" s="85" t="str">
        <f>IF(ISERROR(HLOOKUP(D301,Data!$1:$1,1,FALSE)),"PROBLEM - Scheduled time not found.","")</f>
        <v/>
      </c>
    </row>
    <row r="302" spans="1:6" x14ac:dyDescent="0.25">
      <c r="A302" s="84" t="str">
        <f t="shared" si="4"/>
        <v>__</v>
      </c>
      <c r="B302" s="93"/>
      <c r="C302" s="93"/>
      <c r="D302" s="94"/>
      <c r="E302" s="95"/>
      <c r="F302" s="85" t="str">
        <f>IF(ISERROR(HLOOKUP(D302,Data!$1:$1,1,FALSE)),"PROBLEM - Scheduled time not found.","")</f>
        <v/>
      </c>
    </row>
    <row r="303" spans="1:6" x14ac:dyDescent="0.25">
      <c r="A303" s="84" t="str">
        <f t="shared" si="4"/>
        <v>__</v>
      </c>
      <c r="B303" s="93"/>
      <c r="C303" s="93"/>
      <c r="D303" s="94"/>
      <c r="E303" s="95"/>
      <c r="F303" s="85" t="str">
        <f>IF(ISERROR(HLOOKUP(D303,Data!$1:$1,1,FALSE)),"PROBLEM - Scheduled time not found.","")</f>
        <v/>
      </c>
    </row>
    <row r="304" spans="1:6" x14ac:dyDescent="0.25">
      <c r="A304" s="84" t="str">
        <f t="shared" si="4"/>
        <v>__</v>
      </c>
      <c r="B304" s="93"/>
      <c r="C304" s="93"/>
      <c r="D304" s="94"/>
      <c r="E304" s="95"/>
      <c r="F304" s="85" t="str">
        <f>IF(ISERROR(HLOOKUP(D304,Data!$1:$1,1,FALSE)),"PROBLEM - Scheduled time not found.","")</f>
        <v/>
      </c>
    </row>
    <row r="305" spans="1:6" x14ac:dyDescent="0.25">
      <c r="A305" s="84" t="str">
        <f t="shared" si="4"/>
        <v>__</v>
      </c>
      <c r="B305" s="93"/>
      <c r="C305" s="93"/>
      <c r="D305" s="94"/>
      <c r="E305" s="95"/>
      <c r="F305" s="85" t="str">
        <f>IF(ISERROR(HLOOKUP(D305,Data!$1:$1,1,FALSE)),"PROBLEM - Scheduled time not found.","")</f>
        <v/>
      </c>
    </row>
    <row r="306" spans="1:6" x14ac:dyDescent="0.25">
      <c r="A306" s="84" t="str">
        <f t="shared" si="4"/>
        <v>__</v>
      </c>
      <c r="B306" s="93"/>
      <c r="C306" s="93"/>
      <c r="D306" s="94"/>
      <c r="E306" s="95"/>
      <c r="F306" s="85" t="str">
        <f>IF(ISERROR(HLOOKUP(D306,Data!$1:$1,1,FALSE)),"PROBLEM - Scheduled time not found.","")</f>
        <v/>
      </c>
    </row>
    <row r="307" spans="1:6" x14ac:dyDescent="0.25">
      <c r="A307" s="84" t="str">
        <f t="shared" si="4"/>
        <v>__</v>
      </c>
      <c r="B307" s="93"/>
      <c r="C307" s="93"/>
      <c r="D307" s="94"/>
      <c r="E307" s="95"/>
      <c r="F307" s="85" t="str">
        <f>IF(ISERROR(HLOOKUP(D307,Data!$1:$1,1,FALSE)),"PROBLEM - Scheduled time not found.","")</f>
        <v/>
      </c>
    </row>
    <row r="308" spans="1:6" x14ac:dyDescent="0.25">
      <c r="A308" s="84" t="str">
        <f t="shared" si="4"/>
        <v>__</v>
      </c>
      <c r="B308" s="93"/>
      <c r="C308" s="93"/>
      <c r="D308" s="94"/>
      <c r="E308" s="95"/>
      <c r="F308" s="85" t="str">
        <f>IF(ISERROR(HLOOKUP(D308,Data!$1:$1,1,FALSE)),"PROBLEM - Scheduled time not found.","")</f>
        <v/>
      </c>
    </row>
    <row r="309" spans="1:6" x14ac:dyDescent="0.25">
      <c r="A309" s="84" t="str">
        <f t="shared" si="4"/>
        <v>__</v>
      </c>
      <c r="B309" s="93"/>
      <c r="C309" s="93"/>
      <c r="D309" s="94"/>
      <c r="E309" s="95"/>
      <c r="F309" s="85" t="str">
        <f>IF(ISERROR(HLOOKUP(D309,Data!$1:$1,1,FALSE)),"PROBLEM - Scheduled time not found.","")</f>
        <v/>
      </c>
    </row>
    <row r="310" spans="1:6" x14ac:dyDescent="0.25">
      <c r="A310" s="84" t="str">
        <f t="shared" si="4"/>
        <v>__</v>
      </c>
      <c r="B310" s="93"/>
      <c r="C310" s="93"/>
      <c r="D310" s="94"/>
      <c r="E310" s="95"/>
      <c r="F310" s="85" t="str">
        <f>IF(ISERROR(HLOOKUP(D310,Data!$1:$1,1,FALSE)),"PROBLEM - Scheduled time not found.","")</f>
        <v/>
      </c>
    </row>
    <row r="311" spans="1:6" x14ac:dyDescent="0.25">
      <c r="A311" s="84" t="str">
        <f t="shared" si="4"/>
        <v>__</v>
      </c>
      <c r="B311" s="93"/>
      <c r="C311" s="93"/>
      <c r="D311" s="94"/>
      <c r="E311" s="95"/>
      <c r="F311" s="85" t="str">
        <f>IF(ISERROR(HLOOKUP(D311,Data!$1:$1,1,FALSE)),"PROBLEM - Scheduled time not found.","")</f>
        <v/>
      </c>
    </row>
    <row r="312" spans="1:6" x14ac:dyDescent="0.25">
      <c r="A312" s="84" t="str">
        <f t="shared" si="4"/>
        <v>__</v>
      </c>
      <c r="B312" s="93"/>
      <c r="C312" s="93"/>
      <c r="D312" s="94"/>
      <c r="E312" s="95"/>
      <c r="F312" s="85" t="str">
        <f>IF(ISERROR(HLOOKUP(D312,Data!$1:$1,1,FALSE)),"PROBLEM - Scheduled time not found.","")</f>
        <v/>
      </c>
    </row>
    <row r="313" spans="1:6" x14ac:dyDescent="0.25">
      <c r="A313" s="84" t="str">
        <f t="shared" si="4"/>
        <v>__</v>
      </c>
      <c r="B313" s="93"/>
      <c r="C313" s="93"/>
      <c r="D313" s="94"/>
      <c r="E313" s="95"/>
      <c r="F313" s="85" t="str">
        <f>IF(ISERROR(HLOOKUP(D313,Data!$1:$1,1,FALSE)),"PROBLEM - Scheduled time not found.","")</f>
        <v/>
      </c>
    </row>
    <row r="314" spans="1:6" x14ac:dyDescent="0.25">
      <c r="A314" s="84" t="str">
        <f t="shared" si="4"/>
        <v>__</v>
      </c>
      <c r="B314" s="93"/>
      <c r="C314" s="93"/>
      <c r="D314" s="94"/>
      <c r="E314" s="95"/>
      <c r="F314" s="85" t="str">
        <f>IF(ISERROR(HLOOKUP(D314,Data!$1:$1,1,FALSE)),"PROBLEM - Scheduled time not found.","")</f>
        <v/>
      </c>
    </row>
    <row r="315" spans="1:6" x14ac:dyDescent="0.25">
      <c r="A315" s="84" t="str">
        <f t="shared" si="4"/>
        <v>__</v>
      </c>
      <c r="B315" s="93"/>
      <c r="C315" s="93"/>
      <c r="D315" s="94"/>
      <c r="E315" s="95"/>
      <c r="F315" s="85" t="str">
        <f>IF(ISERROR(HLOOKUP(D315,Data!$1:$1,1,FALSE)),"PROBLEM - Scheduled time not found.","")</f>
        <v/>
      </c>
    </row>
    <row r="316" spans="1:6" x14ac:dyDescent="0.25">
      <c r="A316" s="84" t="str">
        <f t="shared" si="4"/>
        <v>__</v>
      </c>
      <c r="B316" s="93"/>
      <c r="C316" s="93"/>
      <c r="D316" s="94"/>
      <c r="E316" s="95"/>
      <c r="F316" s="85" t="str">
        <f>IF(ISERROR(HLOOKUP(D316,Data!$1:$1,1,FALSE)),"PROBLEM - Scheduled time not found.","")</f>
        <v/>
      </c>
    </row>
    <row r="317" spans="1:6" x14ac:dyDescent="0.25">
      <c r="A317" s="84" t="str">
        <f t="shared" si="4"/>
        <v>__</v>
      </c>
      <c r="B317" s="93"/>
      <c r="C317" s="93"/>
      <c r="D317" s="94"/>
      <c r="E317" s="95"/>
      <c r="F317" s="85" t="str">
        <f>IF(ISERROR(HLOOKUP(D317,Data!$1:$1,1,FALSE)),"PROBLEM - Scheduled time not found.","")</f>
        <v/>
      </c>
    </row>
    <row r="318" spans="1:6" x14ac:dyDescent="0.25">
      <c r="A318" s="84" t="str">
        <f t="shared" si="4"/>
        <v>__</v>
      </c>
      <c r="B318" s="93"/>
      <c r="C318" s="93"/>
      <c r="D318" s="94"/>
      <c r="E318" s="95"/>
      <c r="F318" s="85" t="str">
        <f>IF(ISERROR(HLOOKUP(D318,Data!$1:$1,1,FALSE)),"PROBLEM - Scheduled time not found.","")</f>
        <v/>
      </c>
    </row>
    <row r="319" spans="1:6" x14ac:dyDescent="0.25">
      <c r="A319" s="84" t="str">
        <f t="shared" si="4"/>
        <v>__</v>
      </c>
      <c r="B319" s="93"/>
      <c r="C319" s="93"/>
      <c r="D319" s="94"/>
      <c r="E319" s="95"/>
      <c r="F319" s="85" t="str">
        <f>IF(ISERROR(HLOOKUP(D319,Data!$1:$1,1,FALSE)),"PROBLEM - Scheduled time not found.","")</f>
        <v/>
      </c>
    </row>
    <row r="320" spans="1:6" x14ac:dyDescent="0.25">
      <c r="A320" s="84" t="str">
        <f t="shared" si="4"/>
        <v>__</v>
      </c>
      <c r="B320" s="93"/>
      <c r="C320" s="93"/>
      <c r="D320" s="94"/>
      <c r="E320" s="95"/>
      <c r="F320" s="85" t="str">
        <f>IF(ISERROR(HLOOKUP(D320,Data!$1:$1,1,FALSE)),"PROBLEM - Scheduled time not found.","")</f>
        <v/>
      </c>
    </row>
    <row r="321" spans="1:6" x14ac:dyDescent="0.25">
      <c r="A321" s="84" t="str">
        <f t="shared" si="4"/>
        <v>__</v>
      </c>
      <c r="B321" s="93"/>
      <c r="C321" s="93"/>
      <c r="D321" s="94"/>
      <c r="E321" s="95"/>
      <c r="F321" s="85" t="str">
        <f>IF(ISERROR(HLOOKUP(D321,Data!$1:$1,1,FALSE)),"PROBLEM - Scheduled time not found.","")</f>
        <v/>
      </c>
    </row>
    <row r="322" spans="1:6" x14ac:dyDescent="0.25">
      <c r="A322" s="84" t="str">
        <f t="shared" si="4"/>
        <v>__</v>
      </c>
      <c r="B322" s="93"/>
      <c r="C322" s="93"/>
      <c r="D322" s="94"/>
      <c r="E322" s="95"/>
      <c r="F322" s="85" t="str">
        <f>IF(ISERROR(HLOOKUP(D322,Data!$1:$1,1,FALSE)),"PROBLEM - Scheduled time not found.","")</f>
        <v/>
      </c>
    </row>
    <row r="323" spans="1:6" x14ac:dyDescent="0.25">
      <c r="A323" s="84" t="str">
        <f t="shared" ref="A323:A386" si="5">B323&amp;"_"&amp;C323&amp;"_"&amp;D323</f>
        <v>__</v>
      </c>
      <c r="B323" s="93"/>
      <c r="C323" s="93"/>
      <c r="D323" s="94"/>
      <c r="E323" s="95"/>
      <c r="F323" s="85" t="str">
        <f>IF(ISERROR(HLOOKUP(D323,Data!$1:$1,1,FALSE)),"PROBLEM - Scheduled time not found.","")</f>
        <v/>
      </c>
    </row>
    <row r="324" spans="1:6" x14ac:dyDescent="0.25">
      <c r="A324" s="84" t="str">
        <f t="shared" si="5"/>
        <v>__</v>
      </c>
      <c r="B324" s="93"/>
      <c r="C324" s="93"/>
      <c r="D324" s="94"/>
      <c r="E324" s="95"/>
      <c r="F324" s="85" t="str">
        <f>IF(ISERROR(HLOOKUP(D324,Data!$1:$1,1,FALSE)),"PROBLEM - Scheduled time not found.","")</f>
        <v/>
      </c>
    </row>
    <row r="325" spans="1:6" x14ac:dyDescent="0.25">
      <c r="A325" s="84" t="str">
        <f t="shared" si="5"/>
        <v>__</v>
      </c>
      <c r="B325" s="93"/>
      <c r="C325" s="93"/>
      <c r="D325" s="94"/>
      <c r="E325" s="95"/>
      <c r="F325" s="85" t="str">
        <f>IF(ISERROR(HLOOKUP(D325,Data!$1:$1,1,FALSE)),"PROBLEM - Scheduled time not found.","")</f>
        <v/>
      </c>
    </row>
    <row r="326" spans="1:6" x14ac:dyDescent="0.25">
      <c r="A326" s="84" t="str">
        <f t="shared" si="5"/>
        <v>__</v>
      </c>
      <c r="B326" s="93"/>
      <c r="C326" s="93"/>
      <c r="D326" s="94"/>
      <c r="E326" s="95"/>
      <c r="F326" s="85" t="str">
        <f>IF(ISERROR(HLOOKUP(D326,Data!$1:$1,1,FALSE)),"PROBLEM - Scheduled time not found.","")</f>
        <v/>
      </c>
    </row>
    <row r="327" spans="1:6" x14ac:dyDescent="0.25">
      <c r="A327" s="84" t="str">
        <f t="shared" si="5"/>
        <v>__</v>
      </c>
      <c r="B327" s="93"/>
      <c r="C327" s="93"/>
      <c r="D327" s="94"/>
      <c r="E327" s="95"/>
      <c r="F327" s="85" t="str">
        <f>IF(ISERROR(HLOOKUP(D327,Data!$1:$1,1,FALSE)),"PROBLEM - Scheduled time not found.","")</f>
        <v/>
      </c>
    </row>
    <row r="328" spans="1:6" x14ac:dyDescent="0.25">
      <c r="A328" s="84" t="str">
        <f t="shared" si="5"/>
        <v>__</v>
      </c>
      <c r="B328" s="93"/>
      <c r="C328" s="93"/>
      <c r="D328" s="94"/>
      <c r="E328" s="95"/>
      <c r="F328" s="85" t="str">
        <f>IF(ISERROR(HLOOKUP(D328,Data!$1:$1,1,FALSE)),"PROBLEM - Scheduled time not found.","")</f>
        <v/>
      </c>
    </row>
    <row r="329" spans="1:6" x14ac:dyDescent="0.25">
      <c r="A329" s="84" t="str">
        <f t="shared" si="5"/>
        <v>__</v>
      </c>
      <c r="B329" s="93"/>
      <c r="C329" s="93"/>
      <c r="D329" s="94"/>
      <c r="E329" s="95"/>
      <c r="F329" s="85" t="str">
        <f>IF(ISERROR(HLOOKUP(D329,Data!$1:$1,1,FALSE)),"PROBLEM - Scheduled time not found.","")</f>
        <v/>
      </c>
    </row>
    <row r="330" spans="1:6" x14ac:dyDescent="0.25">
      <c r="A330" s="84" t="str">
        <f t="shared" si="5"/>
        <v>__</v>
      </c>
      <c r="B330" s="93"/>
      <c r="C330" s="93"/>
      <c r="D330" s="94"/>
      <c r="E330" s="95"/>
      <c r="F330" s="85" t="str">
        <f>IF(ISERROR(HLOOKUP(D330,Data!$1:$1,1,FALSE)),"PROBLEM - Scheduled time not found.","")</f>
        <v/>
      </c>
    </row>
    <row r="331" spans="1:6" x14ac:dyDescent="0.25">
      <c r="A331" s="84" t="str">
        <f t="shared" si="5"/>
        <v>__</v>
      </c>
      <c r="B331" s="93"/>
      <c r="C331" s="93"/>
      <c r="D331" s="94"/>
      <c r="E331" s="95"/>
      <c r="F331" s="85" t="str">
        <f>IF(ISERROR(HLOOKUP(D331,Data!$1:$1,1,FALSE)),"PROBLEM - Scheduled time not found.","")</f>
        <v/>
      </c>
    </row>
    <row r="332" spans="1:6" x14ac:dyDescent="0.25">
      <c r="A332" s="84" t="str">
        <f t="shared" si="5"/>
        <v>__</v>
      </c>
      <c r="B332" s="93"/>
      <c r="C332" s="93"/>
      <c r="D332" s="94"/>
      <c r="E332" s="95"/>
      <c r="F332" s="85" t="str">
        <f>IF(ISERROR(HLOOKUP(D332,Data!$1:$1,1,FALSE)),"PROBLEM - Scheduled time not found.","")</f>
        <v/>
      </c>
    </row>
    <row r="333" spans="1:6" x14ac:dyDescent="0.25">
      <c r="A333" s="84" t="str">
        <f t="shared" si="5"/>
        <v>__</v>
      </c>
      <c r="B333" s="93"/>
      <c r="C333" s="93"/>
      <c r="D333" s="94"/>
      <c r="E333" s="95"/>
      <c r="F333" s="85" t="str">
        <f>IF(ISERROR(HLOOKUP(D333,Data!$1:$1,1,FALSE)),"PROBLEM - Scheduled time not found.","")</f>
        <v/>
      </c>
    </row>
    <row r="334" spans="1:6" x14ac:dyDescent="0.25">
      <c r="A334" s="84" t="str">
        <f t="shared" si="5"/>
        <v>__</v>
      </c>
      <c r="B334" s="93"/>
      <c r="C334" s="93"/>
      <c r="D334" s="94"/>
      <c r="E334" s="95"/>
      <c r="F334" s="85" t="str">
        <f>IF(ISERROR(HLOOKUP(D334,Data!$1:$1,1,FALSE)),"PROBLEM - Scheduled time not found.","")</f>
        <v/>
      </c>
    </row>
    <row r="335" spans="1:6" x14ac:dyDescent="0.25">
      <c r="A335" s="84" t="str">
        <f t="shared" si="5"/>
        <v>__</v>
      </c>
      <c r="B335" s="93"/>
      <c r="C335" s="93"/>
      <c r="D335" s="94"/>
      <c r="E335" s="95"/>
      <c r="F335" s="85" t="str">
        <f>IF(ISERROR(HLOOKUP(D335,Data!$1:$1,1,FALSE)),"PROBLEM - Scheduled time not found.","")</f>
        <v/>
      </c>
    </row>
    <row r="336" spans="1:6" x14ac:dyDescent="0.25">
      <c r="A336" s="84" t="str">
        <f t="shared" si="5"/>
        <v>__</v>
      </c>
      <c r="B336" s="93"/>
      <c r="C336" s="93"/>
      <c r="D336" s="94"/>
      <c r="E336" s="95"/>
      <c r="F336" s="85" t="str">
        <f>IF(ISERROR(HLOOKUP(D336,Data!$1:$1,1,FALSE)),"PROBLEM - Scheduled time not found.","")</f>
        <v/>
      </c>
    </row>
    <row r="337" spans="1:6" x14ac:dyDescent="0.25">
      <c r="A337" s="84" t="str">
        <f t="shared" si="5"/>
        <v>__</v>
      </c>
      <c r="B337" s="93"/>
      <c r="C337" s="93"/>
      <c r="D337" s="94"/>
      <c r="E337" s="95"/>
      <c r="F337" s="85" t="str">
        <f>IF(ISERROR(HLOOKUP(D337,Data!$1:$1,1,FALSE)),"PROBLEM - Scheduled time not found.","")</f>
        <v/>
      </c>
    </row>
    <row r="338" spans="1:6" x14ac:dyDescent="0.25">
      <c r="A338" s="84" t="str">
        <f t="shared" si="5"/>
        <v>__</v>
      </c>
      <c r="B338" s="93"/>
      <c r="C338" s="93"/>
      <c r="D338" s="94"/>
      <c r="E338" s="95"/>
      <c r="F338" s="85" t="str">
        <f>IF(ISERROR(HLOOKUP(D338,Data!$1:$1,1,FALSE)),"PROBLEM - Scheduled time not found.","")</f>
        <v/>
      </c>
    </row>
    <row r="339" spans="1:6" x14ac:dyDescent="0.25">
      <c r="A339" s="84" t="str">
        <f t="shared" si="5"/>
        <v>__</v>
      </c>
      <c r="B339" s="93"/>
      <c r="C339" s="93"/>
      <c r="D339" s="94"/>
      <c r="E339" s="95"/>
      <c r="F339" s="85" t="str">
        <f>IF(ISERROR(HLOOKUP(D339,Data!$1:$1,1,FALSE)),"PROBLEM - Scheduled time not found.","")</f>
        <v/>
      </c>
    </row>
    <row r="340" spans="1:6" x14ac:dyDescent="0.25">
      <c r="A340" s="84" t="str">
        <f t="shared" si="5"/>
        <v>__</v>
      </c>
      <c r="B340" s="93"/>
      <c r="C340" s="93"/>
      <c r="D340" s="94"/>
      <c r="E340" s="95"/>
      <c r="F340" s="85" t="str">
        <f>IF(ISERROR(HLOOKUP(D340,Data!$1:$1,1,FALSE)),"PROBLEM - Scheduled time not found.","")</f>
        <v/>
      </c>
    </row>
    <row r="341" spans="1:6" x14ac:dyDescent="0.25">
      <c r="A341" s="84" t="str">
        <f t="shared" si="5"/>
        <v>__</v>
      </c>
      <c r="B341" s="93"/>
      <c r="C341" s="93"/>
      <c r="D341" s="94"/>
      <c r="E341" s="95"/>
      <c r="F341" s="85" t="str">
        <f>IF(ISERROR(HLOOKUP(D341,Data!$1:$1,1,FALSE)),"PROBLEM - Scheduled time not found.","")</f>
        <v/>
      </c>
    </row>
    <row r="342" spans="1:6" x14ac:dyDescent="0.25">
      <c r="A342" s="84" t="str">
        <f t="shared" si="5"/>
        <v>__</v>
      </c>
      <c r="B342" s="93"/>
      <c r="C342" s="93"/>
      <c r="D342" s="94"/>
      <c r="E342" s="95"/>
      <c r="F342" s="85" t="str">
        <f>IF(ISERROR(HLOOKUP(D342,Data!$1:$1,1,FALSE)),"PROBLEM - Scheduled time not found.","")</f>
        <v/>
      </c>
    </row>
    <row r="343" spans="1:6" x14ac:dyDescent="0.25">
      <c r="A343" s="84" t="str">
        <f t="shared" si="5"/>
        <v>__</v>
      </c>
      <c r="B343" s="93"/>
      <c r="C343" s="93"/>
      <c r="D343" s="94"/>
      <c r="E343" s="95"/>
      <c r="F343" s="85" t="str">
        <f>IF(ISERROR(HLOOKUP(D343,Data!$1:$1,1,FALSE)),"PROBLEM - Scheduled time not found.","")</f>
        <v/>
      </c>
    </row>
    <row r="344" spans="1:6" x14ac:dyDescent="0.25">
      <c r="A344" s="84" t="str">
        <f t="shared" si="5"/>
        <v>__</v>
      </c>
      <c r="B344" s="93"/>
      <c r="C344" s="93"/>
      <c r="D344" s="94"/>
      <c r="E344" s="95"/>
      <c r="F344" s="85" t="str">
        <f>IF(ISERROR(HLOOKUP(D344,Data!$1:$1,1,FALSE)),"PROBLEM - Scheduled time not found.","")</f>
        <v/>
      </c>
    </row>
    <row r="345" spans="1:6" x14ac:dyDescent="0.25">
      <c r="A345" s="84" t="str">
        <f t="shared" si="5"/>
        <v>__</v>
      </c>
      <c r="B345" s="93"/>
      <c r="C345" s="93"/>
      <c r="D345" s="94"/>
      <c r="E345" s="95"/>
      <c r="F345" s="85" t="str">
        <f>IF(ISERROR(HLOOKUP(D345,Data!$1:$1,1,FALSE)),"PROBLEM - Scheduled time not found.","")</f>
        <v/>
      </c>
    </row>
    <row r="346" spans="1:6" x14ac:dyDescent="0.25">
      <c r="A346" s="84" t="str">
        <f t="shared" si="5"/>
        <v>__</v>
      </c>
      <c r="B346" s="93"/>
      <c r="C346" s="93"/>
      <c r="D346" s="94"/>
      <c r="E346" s="95"/>
      <c r="F346" s="85" t="str">
        <f>IF(ISERROR(HLOOKUP(D346,Data!$1:$1,1,FALSE)),"PROBLEM - Scheduled time not found.","")</f>
        <v/>
      </c>
    </row>
    <row r="347" spans="1:6" x14ac:dyDescent="0.25">
      <c r="A347" s="84" t="str">
        <f t="shared" si="5"/>
        <v>__</v>
      </c>
      <c r="B347" s="93"/>
      <c r="C347" s="93"/>
      <c r="D347" s="94"/>
      <c r="E347" s="95"/>
      <c r="F347" s="85" t="str">
        <f>IF(ISERROR(HLOOKUP(D347,Data!$1:$1,1,FALSE)),"PROBLEM - Scheduled time not found.","")</f>
        <v/>
      </c>
    </row>
    <row r="348" spans="1:6" x14ac:dyDescent="0.25">
      <c r="A348" s="84" t="str">
        <f t="shared" si="5"/>
        <v>__</v>
      </c>
      <c r="B348" s="93"/>
      <c r="C348" s="93"/>
      <c r="D348" s="94"/>
      <c r="E348" s="95"/>
      <c r="F348" s="85" t="str">
        <f>IF(ISERROR(HLOOKUP(D348,Data!$1:$1,1,FALSE)),"PROBLEM - Scheduled time not found.","")</f>
        <v/>
      </c>
    </row>
    <row r="349" spans="1:6" x14ac:dyDescent="0.25">
      <c r="A349" s="84" t="str">
        <f t="shared" si="5"/>
        <v>__</v>
      </c>
      <c r="B349" s="93"/>
      <c r="C349" s="93"/>
      <c r="D349" s="94"/>
      <c r="E349" s="95"/>
      <c r="F349" s="85" t="str">
        <f>IF(ISERROR(HLOOKUP(D349,Data!$1:$1,1,FALSE)),"PROBLEM - Scheduled time not found.","")</f>
        <v/>
      </c>
    </row>
    <row r="350" spans="1:6" x14ac:dyDescent="0.25">
      <c r="A350" s="84" t="str">
        <f t="shared" si="5"/>
        <v>__</v>
      </c>
      <c r="B350" s="93"/>
      <c r="C350" s="93"/>
      <c r="D350" s="94"/>
      <c r="E350" s="95"/>
      <c r="F350" s="85" t="str">
        <f>IF(ISERROR(HLOOKUP(D350,Data!$1:$1,1,FALSE)),"PROBLEM - Scheduled time not found.","")</f>
        <v/>
      </c>
    </row>
    <row r="351" spans="1:6" x14ac:dyDescent="0.25">
      <c r="A351" s="84" t="str">
        <f t="shared" si="5"/>
        <v>__</v>
      </c>
      <c r="B351" s="93"/>
      <c r="C351" s="93"/>
      <c r="D351" s="94"/>
      <c r="E351" s="95"/>
      <c r="F351" s="85" t="str">
        <f>IF(ISERROR(HLOOKUP(D351,Data!$1:$1,1,FALSE)),"PROBLEM - Scheduled time not found.","")</f>
        <v/>
      </c>
    </row>
    <row r="352" spans="1:6" x14ac:dyDescent="0.25">
      <c r="A352" s="84" t="str">
        <f t="shared" si="5"/>
        <v>__</v>
      </c>
      <c r="B352" s="93"/>
      <c r="C352" s="93"/>
      <c r="D352" s="94"/>
      <c r="E352" s="95"/>
      <c r="F352" s="85" t="str">
        <f>IF(ISERROR(HLOOKUP(D352,Data!$1:$1,1,FALSE)),"PROBLEM - Scheduled time not found.","")</f>
        <v/>
      </c>
    </row>
    <row r="353" spans="1:6" x14ac:dyDescent="0.25">
      <c r="A353" s="84" t="str">
        <f t="shared" si="5"/>
        <v>__</v>
      </c>
      <c r="B353" s="93"/>
      <c r="C353" s="93"/>
      <c r="D353" s="94"/>
      <c r="E353" s="95"/>
      <c r="F353" s="85" t="str">
        <f>IF(ISERROR(HLOOKUP(D353,Data!$1:$1,1,FALSE)),"PROBLEM - Scheduled time not found.","")</f>
        <v/>
      </c>
    </row>
    <row r="354" spans="1:6" x14ac:dyDescent="0.25">
      <c r="A354" s="84" t="str">
        <f t="shared" si="5"/>
        <v>__</v>
      </c>
      <c r="B354" s="93"/>
      <c r="C354" s="93"/>
      <c r="D354" s="94"/>
      <c r="E354" s="95"/>
      <c r="F354" s="85" t="str">
        <f>IF(ISERROR(HLOOKUP(D354,Data!$1:$1,1,FALSE)),"PROBLEM - Scheduled time not found.","")</f>
        <v/>
      </c>
    </row>
    <row r="355" spans="1:6" x14ac:dyDescent="0.25">
      <c r="A355" s="84" t="str">
        <f t="shared" si="5"/>
        <v>__</v>
      </c>
      <c r="B355" s="93"/>
      <c r="C355" s="93"/>
      <c r="D355" s="94"/>
      <c r="E355" s="95"/>
      <c r="F355" s="85" t="str">
        <f>IF(ISERROR(HLOOKUP(D355,Data!$1:$1,1,FALSE)),"PROBLEM - Scheduled time not found.","")</f>
        <v/>
      </c>
    </row>
    <row r="356" spans="1:6" x14ac:dyDescent="0.25">
      <c r="A356" s="84" t="str">
        <f t="shared" si="5"/>
        <v>__</v>
      </c>
      <c r="B356" s="93"/>
      <c r="C356" s="93"/>
      <c r="D356" s="94"/>
      <c r="E356" s="95"/>
      <c r="F356" s="85" t="str">
        <f>IF(ISERROR(HLOOKUP(D356,Data!$1:$1,1,FALSE)),"PROBLEM - Scheduled time not found.","")</f>
        <v/>
      </c>
    </row>
    <row r="357" spans="1:6" x14ac:dyDescent="0.25">
      <c r="A357" s="84" t="str">
        <f t="shared" si="5"/>
        <v>__</v>
      </c>
      <c r="B357" s="93"/>
      <c r="C357" s="93"/>
      <c r="D357" s="94"/>
      <c r="E357" s="95"/>
      <c r="F357" s="85" t="str">
        <f>IF(ISERROR(HLOOKUP(D357,Data!$1:$1,1,FALSE)),"PROBLEM - Scheduled time not found.","")</f>
        <v/>
      </c>
    </row>
    <row r="358" spans="1:6" x14ac:dyDescent="0.25">
      <c r="A358" s="84" t="str">
        <f t="shared" si="5"/>
        <v>__</v>
      </c>
      <c r="B358" s="93"/>
      <c r="C358" s="93"/>
      <c r="D358" s="94"/>
      <c r="E358" s="95"/>
      <c r="F358" s="85" t="str">
        <f>IF(ISERROR(HLOOKUP(D358,Data!$1:$1,1,FALSE)),"PROBLEM - Scheduled time not found.","")</f>
        <v/>
      </c>
    </row>
    <row r="359" spans="1:6" x14ac:dyDescent="0.25">
      <c r="A359" s="84" t="str">
        <f t="shared" si="5"/>
        <v>__</v>
      </c>
      <c r="B359" s="93"/>
      <c r="C359" s="93"/>
      <c r="D359" s="94"/>
      <c r="E359" s="95"/>
      <c r="F359" s="85" t="str">
        <f>IF(ISERROR(HLOOKUP(D359,Data!$1:$1,1,FALSE)),"PROBLEM - Scheduled time not found.","")</f>
        <v/>
      </c>
    </row>
    <row r="360" spans="1:6" x14ac:dyDescent="0.25">
      <c r="A360" s="84" t="str">
        <f t="shared" si="5"/>
        <v>__</v>
      </c>
      <c r="B360" s="93"/>
      <c r="C360" s="93"/>
      <c r="D360" s="94"/>
      <c r="E360" s="95"/>
      <c r="F360" s="85" t="str">
        <f>IF(ISERROR(HLOOKUP(D360,Data!$1:$1,1,FALSE)),"PROBLEM - Scheduled time not found.","")</f>
        <v/>
      </c>
    </row>
    <row r="361" spans="1:6" x14ac:dyDescent="0.25">
      <c r="A361" s="84" t="str">
        <f t="shared" si="5"/>
        <v>__</v>
      </c>
      <c r="B361" s="93"/>
      <c r="C361" s="93"/>
      <c r="D361" s="94"/>
      <c r="E361" s="95"/>
      <c r="F361" s="85" t="str">
        <f>IF(ISERROR(HLOOKUP(D361,Data!$1:$1,1,FALSE)),"PROBLEM - Scheduled time not found.","")</f>
        <v/>
      </c>
    </row>
    <row r="362" spans="1:6" x14ac:dyDescent="0.25">
      <c r="A362" s="84" t="str">
        <f t="shared" si="5"/>
        <v>__</v>
      </c>
      <c r="B362" s="93"/>
      <c r="C362" s="93"/>
      <c r="D362" s="94"/>
      <c r="E362" s="95"/>
      <c r="F362" s="85" t="str">
        <f>IF(ISERROR(HLOOKUP(D362,Data!$1:$1,1,FALSE)),"PROBLEM - Scheduled time not found.","")</f>
        <v/>
      </c>
    </row>
    <row r="363" spans="1:6" x14ac:dyDescent="0.25">
      <c r="A363" s="84" t="str">
        <f t="shared" si="5"/>
        <v>__</v>
      </c>
      <c r="B363" s="93"/>
      <c r="C363" s="93"/>
      <c r="D363" s="94"/>
      <c r="E363" s="95"/>
      <c r="F363" s="85" t="str">
        <f>IF(ISERROR(HLOOKUP(D363,Data!$1:$1,1,FALSE)),"PROBLEM - Scheduled time not found.","")</f>
        <v/>
      </c>
    </row>
    <row r="364" spans="1:6" x14ac:dyDescent="0.25">
      <c r="A364" s="84" t="str">
        <f t="shared" si="5"/>
        <v>__</v>
      </c>
      <c r="B364" s="93"/>
      <c r="C364" s="93"/>
      <c r="D364" s="94"/>
      <c r="E364" s="95"/>
      <c r="F364" s="85" t="str">
        <f>IF(ISERROR(HLOOKUP(D364,Data!$1:$1,1,FALSE)),"PROBLEM - Scheduled time not found.","")</f>
        <v/>
      </c>
    </row>
    <row r="365" spans="1:6" x14ac:dyDescent="0.25">
      <c r="A365" s="84" t="str">
        <f t="shared" si="5"/>
        <v>__</v>
      </c>
      <c r="B365" s="93"/>
      <c r="C365" s="93"/>
      <c r="D365" s="94"/>
      <c r="E365" s="95"/>
      <c r="F365" s="85" t="str">
        <f>IF(ISERROR(HLOOKUP(D365,Data!$1:$1,1,FALSE)),"PROBLEM - Scheduled time not found.","")</f>
        <v/>
      </c>
    </row>
    <row r="366" spans="1:6" x14ac:dyDescent="0.25">
      <c r="A366" s="84" t="str">
        <f t="shared" si="5"/>
        <v>__</v>
      </c>
      <c r="B366" s="93"/>
      <c r="C366" s="93"/>
      <c r="D366" s="94"/>
      <c r="E366" s="95"/>
      <c r="F366" s="85" t="str">
        <f>IF(ISERROR(HLOOKUP(D366,Data!$1:$1,1,FALSE)),"PROBLEM - Scheduled time not found.","")</f>
        <v/>
      </c>
    </row>
    <row r="367" spans="1:6" x14ac:dyDescent="0.25">
      <c r="A367" s="84" t="str">
        <f t="shared" si="5"/>
        <v>__</v>
      </c>
      <c r="B367" s="93"/>
      <c r="C367" s="93"/>
      <c r="D367" s="94"/>
      <c r="E367" s="95"/>
      <c r="F367" s="85" t="str">
        <f>IF(ISERROR(HLOOKUP(D367,Data!$1:$1,1,FALSE)),"PROBLEM - Scheduled time not found.","")</f>
        <v/>
      </c>
    </row>
    <row r="368" spans="1:6" x14ac:dyDescent="0.25">
      <c r="A368" s="84" t="str">
        <f t="shared" si="5"/>
        <v>__</v>
      </c>
      <c r="B368" s="93"/>
      <c r="C368" s="93"/>
      <c r="D368" s="94"/>
      <c r="E368" s="95"/>
      <c r="F368" s="85" t="str">
        <f>IF(ISERROR(HLOOKUP(D368,Data!$1:$1,1,FALSE)),"PROBLEM - Scheduled time not found.","")</f>
        <v/>
      </c>
    </row>
    <row r="369" spans="1:6" x14ac:dyDescent="0.25">
      <c r="A369" s="84" t="str">
        <f t="shared" si="5"/>
        <v>__</v>
      </c>
      <c r="B369" s="93"/>
      <c r="C369" s="93"/>
      <c r="D369" s="94"/>
      <c r="E369" s="95"/>
      <c r="F369" s="85" t="str">
        <f>IF(ISERROR(HLOOKUP(D369,Data!$1:$1,1,FALSE)),"PROBLEM - Scheduled time not found.","")</f>
        <v/>
      </c>
    </row>
    <row r="370" spans="1:6" x14ac:dyDescent="0.25">
      <c r="A370" s="84" t="str">
        <f t="shared" si="5"/>
        <v>__</v>
      </c>
      <c r="B370" s="93"/>
      <c r="C370" s="93"/>
      <c r="D370" s="94"/>
      <c r="E370" s="95"/>
      <c r="F370" s="85" t="str">
        <f>IF(ISERROR(HLOOKUP(D370,Data!$1:$1,1,FALSE)),"PROBLEM - Scheduled time not found.","")</f>
        <v/>
      </c>
    </row>
    <row r="371" spans="1:6" x14ac:dyDescent="0.25">
      <c r="A371" s="84" t="str">
        <f t="shared" si="5"/>
        <v>__</v>
      </c>
      <c r="B371" s="93"/>
      <c r="C371" s="93"/>
      <c r="D371" s="94"/>
      <c r="E371" s="95"/>
      <c r="F371" s="85" t="str">
        <f>IF(ISERROR(HLOOKUP(D371,Data!$1:$1,1,FALSE)),"PROBLEM - Scheduled time not found.","")</f>
        <v/>
      </c>
    </row>
    <row r="372" spans="1:6" x14ac:dyDescent="0.25">
      <c r="A372" s="84" t="str">
        <f t="shared" si="5"/>
        <v>__</v>
      </c>
      <c r="B372" s="93"/>
      <c r="C372" s="93"/>
      <c r="D372" s="94"/>
      <c r="E372" s="95"/>
      <c r="F372" s="85" t="str">
        <f>IF(ISERROR(HLOOKUP(D372,Data!$1:$1,1,FALSE)),"PROBLEM - Scheduled time not found.","")</f>
        <v/>
      </c>
    </row>
    <row r="373" spans="1:6" x14ac:dyDescent="0.25">
      <c r="A373" s="84" t="str">
        <f t="shared" si="5"/>
        <v>__</v>
      </c>
      <c r="B373" s="93"/>
      <c r="C373" s="93"/>
      <c r="D373" s="94"/>
      <c r="E373" s="95"/>
      <c r="F373" s="85" t="str">
        <f>IF(ISERROR(HLOOKUP(D373,Data!$1:$1,1,FALSE)),"PROBLEM - Scheduled time not found.","")</f>
        <v/>
      </c>
    </row>
    <row r="374" spans="1:6" x14ac:dyDescent="0.25">
      <c r="A374" s="84" t="str">
        <f t="shared" si="5"/>
        <v>__</v>
      </c>
      <c r="B374" s="93"/>
      <c r="C374" s="93"/>
      <c r="D374" s="94"/>
      <c r="E374" s="95"/>
      <c r="F374" s="85" t="str">
        <f>IF(ISERROR(HLOOKUP(D374,Data!$1:$1,1,FALSE)),"PROBLEM - Scheduled time not found.","")</f>
        <v/>
      </c>
    </row>
    <row r="375" spans="1:6" x14ac:dyDescent="0.25">
      <c r="A375" s="84" t="str">
        <f t="shared" si="5"/>
        <v>__</v>
      </c>
      <c r="B375" s="93"/>
      <c r="C375" s="93"/>
      <c r="D375" s="94"/>
      <c r="E375" s="95"/>
      <c r="F375" s="85" t="str">
        <f>IF(ISERROR(HLOOKUP(D375,Data!$1:$1,1,FALSE)),"PROBLEM - Scheduled time not found.","")</f>
        <v/>
      </c>
    </row>
    <row r="376" spans="1:6" x14ac:dyDescent="0.25">
      <c r="A376" s="84" t="str">
        <f t="shared" si="5"/>
        <v>__</v>
      </c>
      <c r="B376" s="93"/>
      <c r="C376" s="93"/>
      <c r="D376" s="94"/>
      <c r="E376" s="95"/>
      <c r="F376" s="85" t="str">
        <f>IF(ISERROR(HLOOKUP(D376,Data!$1:$1,1,FALSE)),"PROBLEM - Scheduled time not found.","")</f>
        <v/>
      </c>
    </row>
    <row r="377" spans="1:6" x14ac:dyDescent="0.25">
      <c r="A377" s="84" t="str">
        <f t="shared" si="5"/>
        <v>__</v>
      </c>
      <c r="B377" s="93"/>
      <c r="C377" s="93"/>
      <c r="D377" s="94"/>
      <c r="E377" s="95"/>
      <c r="F377" s="85" t="str">
        <f>IF(ISERROR(HLOOKUP(D377,Data!$1:$1,1,FALSE)),"PROBLEM - Scheduled time not found.","")</f>
        <v/>
      </c>
    </row>
    <row r="378" spans="1:6" x14ac:dyDescent="0.25">
      <c r="A378" s="84" t="str">
        <f t="shared" si="5"/>
        <v>__</v>
      </c>
      <c r="B378" s="93"/>
      <c r="C378" s="93"/>
      <c r="D378" s="94"/>
      <c r="E378" s="95"/>
      <c r="F378" s="85" t="str">
        <f>IF(ISERROR(HLOOKUP(D378,Data!$1:$1,1,FALSE)),"PROBLEM - Scheduled time not found.","")</f>
        <v/>
      </c>
    </row>
    <row r="379" spans="1:6" x14ac:dyDescent="0.25">
      <c r="A379" s="84" t="str">
        <f t="shared" si="5"/>
        <v>__</v>
      </c>
      <c r="B379" s="93"/>
      <c r="C379" s="93"/>
      <c r="D379" s="94"/>
      <c r="E379" s="95"/>
      <c r="F379" s="85" t="str">
        <f>IF(ISERROR(HLOOKUP(D379,Data!$1:$1,1,FALSE)),"PROBLEM - Scheduled time not found.","")</f>
        <v/>
      </c>
    </row>
    <row r="380" spans="1:6" x14ac:dyDescent="0.25">
      <c r="A380" s="84" t="str">
        <f t="shared" si="5"/>
        <v>__</v>
      </c>
      <c r="B380" s="93"/>
      <c r="C380" s="93"/>
      <c r="D380" s="94"/>
      <c r="E380" s="95"/>
      <c r="F380" s="85" t="str">
        <f>IF(ISERROR(HLOOKUP(D380,Data!$1:$1,1,FALSE)),"PROBLEM - Scheduled time not found.","")</f>
        <v/>
      </c>
    </row>
    <row r="381" spans="1:6" x14ac:dyDescent="0.25">
      <c r="A381" s="84" t="str">
        <f t="shared" si="5"/>
        <v>__</v>
      </c>
      <c r="B381" s="93"/>
      <c r="C381" s="93"/>
      <c r="D381" s="94"/>
      <c r="E381" s="95"/>
      <c r="F381" s="85" t="str">
        <f>IF(ISERROR(HLOOKUP(D381,Data!$1:$1,1,FALSE)),"PROBLEM - Scheduled time not found.","")</f>
        <v/>
      </c>
    </row>
    <row r="382" spans="1:6" x14ac:dyDescent="0.25">
      <c r="A382" s="84" t="str">
        <f t="shared" si="5"/>
        <v>__</v>
      </c>
      <c r="B382" s="93"/>
      <c r="C382" s="93"/>
      <c r="D382" s="94"/>
      <c r="E382" s="95"/>
      <c r="F382" s="85" t="str">
        <f>IF(ISERROR(HLOOKUP(D382,Data!$1:$1,1,FALSE)),"PROBLEM - Scheduled time not found.","")</f>
        <v/>
      </c>
    </row>
    <row r="383" spans="1:6" x14ac:dyDescent="0.25">
      <c r="A383" s="84" t="str">
        <f t="shared" si="5"/>
        <v>__</v>
      </c>
      <c r="B383" s="93"/>
      <c r="C383" s="93"/>
      <c r="D383" s="94"/>
      <c r="E383" s="95"/>
      <c r="F383" s="85" t="str">
        <f>IF(ISERROR(HLOOKUP(D383,Data!$1:$1,1,FALSE)),"PROBLEM - Scheduled time not found.","")</f>
        <v/>
      </c>
    </row>
    <row r="384" spans="1:6" x14ac:dyDescent="0.25">
      <c r="A384" s="84" t="str">
        <f t="shared" si="5"/>
        <v>__</v>
      </c>
      <c r="B384" s="93"/>
      <c r="C384" s="93"/>
      <c r="D384" s="94"/>
      <c r="E384" s="95"/>
      <c r="F384" s="85" t="str">
        <f>IF(ISERROR(HLOOKUP(D384,Data!$1:$1,1,FALSE)),"PROBLEM - Scheduled time not found.","")</f>
        <v/>
      </c>
    </row>
    <row r="385" spans="1:6" x14ac:dyDescent="0.25">
      <c r="A385" s="84" t="str">
        <f t="shared" si="5"/>
        <v>__</v>
      </c>
      <c r="B385" s="93"/>
      <c r="C385" s="93"/>
      <c r="D385" s="94"/>
      <c r="E385" s="95"/>
      <c r="F385" s="85" t="str">
        <f>IF(ISERROR(HLOOKUP(D385,Data!$1:$1,1,FALSE)),"PROBLEM - Scheduled time not found.","")</f>
        <v/>
      </c>
    </row>
    <row r="386" spans="1:6" x14ac:dyDescent="0.25">
      <c r="A386" s="84" t="str">
        <f t="shared" si="5"/>
        <v>__</v>
      </c>
      <c r="B386" s="93"/>
      <c r="C386" s="93"/>
      <c r="D386" s="94"/>
      <c r="E386" s="95"/>
      <c r="F386" s="85" t="str">
        <f>IF(ISERROR(HLOOKUP(D386,Data!$1:$1,1,FALSE)),"PROBLEM - Scheduled time not found.","")</f>
        <v/>
      </c>
    </row>
    <row r="387" spans="1:6" x14ac:dyDescent="0.25">
      <c r="A387" s="84" t="str">
        <f t="shared" ref="A387:A450" si="6">B387&amp;"_"&amp;C387&amp;"_"&amp;D387</f>
        <v>__</v>
      </c>
      <c r="B387" s="93"/>
      <c r="C387" s="93"/>
      <c r="D387" s="94"/>
      <c r="E387" s="95"/>
      <c r="F387" s="85" t="str">
        <f>IF(ISERROR(HLOOKUP(D387,Data!$1:$1,1,FALSE)),"PROBLEM - Scheduled time not found.","")</f>
        <v/>
      </c>
    </row>
    <row r="388" spans="1:6" x14ac:dyDescent="0.25">
      <c r="A388" s="84" t="str">
        <f t="shared" si="6"/>
        <v>__</v>
      </c>
      <c r="B388" s="93"/>
      <c r="C388" s="93"/>
      <c r="D388" s="94"/>
      <c r="E388" s="95"/>
      <c r="F388" s="85" t="str">
        <f>IF(ISERROR(HLOOKUP(D388,Data!$1:$1,1,FALSE)),"PROBLEM - Scheduled time not found.","")</f>
        <v/>
      </c>
    </row>
    <row r="389" spans="1:6" x14ac:dyDescent="0.25">
      <c r="A389" s="84" t="str">
        <f t="shared" si="6"/>
        <v>__</v>
      </c>
      <c r="B389" s="93"/>
      <c r="C389" s="93"/>
      <c r="D389" s="94"/>
      <c r="E389" s="95"/>
      <c r="F389" s="85" t="str">
        <f>IF(ISERROR(HLOOKUP(D389,Data!$1:$1,1,FALSE)),"PROBLEM - Scheduled time not found.","")</f>
        <v/>
      </c>
    </row>
    <row r="390" spans="1:6" x14ac:dyDescent="0.25">
      <c r="A390" s="84" t="str">
        <f t="shared" si="6"/>
        <v>__</v>
      </c>
      <c r="B390" s="93"/>
      <c r="C390" s="93"/>
      <c r="D390" s="94"/>
      <c r="E390" s="95"/>
      <c r="F390" s="85" t="str">
        <f>IF(ISERROR(HLOOKUP(D390,Data!$1:$1,1,FALSE)),"PROBLEM - Scheduled time not found.","")</f>
        <v/>
      </c>
    </row>
    <row r="391" spans="1:6" x14ac:dyDescent="0.25">
      <c r="A391" s="84" t="str">
        <f t="shared" si="6"/>
        <v>__</v>
      </c>
      <c r="B391" s="93"/>
      <c r="C391" s="93"/>
      <c r="D391" s="94"/>
      <c r="E391" s="95"/>
      <c r="F391" s="85" t="str">
        <f>IF(ISERROR(HLOOKUP(D391,Data!$1:$1,1,FALSE)),"PROBLEM - Scheduled time not found.","")</f>
        <v/>
      </c>
    </row>
    <row r="392" spans="1:6" x14ac:dyDescent="0.25">
      <c r="A392" s="84" t="str">
        <f t="shared" si="6"/>
        <v>__</v>
      </c>
      <c r="B392" s="93"/>
      <c r="C392" s="93"/>
      <c r="D392" s="94"/>
      <c r="E392" s="95"/>
      <c r="F392" s="85" t="str">
        <f>IF(ISERROR(HLOOKUP(D392,Data!$1:$1,1,FALSE)),"PROBLEM - Scheduled time not found.","")</f>
        <v/>
      </c>
    </row>
    <row r="393" spans="1:6" x14ac:dyDescent="0.25">
      <c r="A393" s="84" t="str">
        <f t="shared" si="6"/>
        <v>__</v>
      </c>
      <c r="B393" s="93"/>
      <c r="C393" s="93"/>
      <c r="D393" s="94"/>
      <c r="E393" s="95"/>
      <c r="F393" s="85" t="str">
        <f>IF(ISERROR(HLOOKUP(D393,Data!$1:$1,1,FALSE)),"PROBLEM - Scheduled time not found.","")</f>
        <v/>
      </c>
    </row>
    <row r="394" spans="1:6" x14ac:dyDescent="0.25">
      <c r="A394" s="84" t="str">
        <f t="shared" si="6"/>
        <v>__</v>
      </c>
      <c r="B394" s="93"/>
      <c r="C394" s="93"/>
      <c r="D394" s="94"/>
      <c r="E394" s="95"/>
      <c r="F394" s="85" t="str">
        <f>IF(ISERROR(HLOOKUP(D394,Data!$1:$1,1,FALSE)),"PROBLEM - Scheduled time not found.","")</f>
        <v/>
      </c>
    </row>
    <row r="395" spans="1:6" x14ac:dyDescent="0.25">
      <c r="A395" s="84" t="str">
        <f t="shared" si="6"/>
        <v>__</v>
      </c>
      <c r="B395" s="93"/>
      <c r="C395" s="93"/>
      <c r="D395" s="94"/>
      <c r="E395" s="95"/>
      <c r="F395" s="85" t="str">
        <f>IF(ISERROR(HLOOKUP(D395,Data!$1:$1,1,FALSE)),"PROBLEM - Scheduled time not found.","")</f>
        <v/>
      </c>
    </row>
    <row r="396" spans="1:6" x14ac:dyDescent="0.25">
      <c r="A396" s="84" t="str">
        <f t="shared" si="6"/>
        <v>__</v>
      </c>
      <c r="B396" s="93"/>
      <c r="C396" s="93"/>
      <c r="D396" s="94"/>
      <c r="E396" s="95"/>
      <c r="F396" s="85" t="str">
        <f>IF(ISERROR(HLOOKUP(D396,Data!$1:$1,1,FALSE)),"PROBLEM - Scheduled time not found.","")</f>
        <v/>
      </c>
    </row>
    <row r="397" spans="1:6" x14ac:dyDescent="0.25">
      <c r="A397" s="84" t="str">
        <f t="shared" si="6"/>
        <v>__</v>
      </c>
      <c r="B397" s="93"/>
      <c r="C397" s="93"/>
      <c r="D397" s="94"/>
      <c r="E397" s="95"/>
      <c r="F397" s="85" t="str">
        <f>IF(ISERROR(HLOOKUP(D397,Data!$1:$1,1,FALSE)),"PROBLEM - Scheduled time not found.","")</f>
        <v/>
      </c>
    </row>
    <row r="398" spans="1:6" x14ac:dyDescent="0.25">
      <c r="A398" s="84" t="str">
        <f t="shared" si="6"/>
        <v>__</v>
      </c>
      <c r="B398" s="93"/>
      <c r="C398" s="93"/>
      <c r="D398" s="94"/>
      <c r="E398" s="95"/>
      <c r="F398" s="85" t="str">
        <f>IF(ISERROR(HLOOKUP(D398,Data!$1:$1,1,FALSE)),"PROBLEM - Scheduled time not found.","")</f>
        <v/>
      </c>
    </row>
    <row r="399" spans="1:6" x14ac:dyDescent="0.25">
      <c r="A399" s="84" t="str">
        <f t="shared" si="6"/>
        <v>__</v>
      </c>
      <c r="B399" s="93"/>
      <c r="C399" s="93"/>
      <c r="D399" s="94"/>
      <c r="E399" s="95"/>
      <c r="F399" s="85" t="str">
        <f>IF(ISERROR(HLOOKUP(D399,Data!$1:$1,1,FALSE)),"PROBLEM - Scheduled time not found.","")</f>
        <v/>
      </c>
    </row>
    <row r="400" spans="1:6" x14ac:dyDescent="0.25">
      <c r="A400" s="84" t="str">
        <f t="shared" si="6"/>
        <v>__</v>
      </c>
      <c r="B400" s="93"/>
      <c r="C400" s="93"/>
      <c r="D400" s="94"/>
      <c r="E400" s="95"/>
      <c r="F400" s="85" t="str">
        <f>IF(ISERROR(HLOOKUP(D400,Data!$1:$1,1,FALSE)),"PROBLEM - Scheduled time not found.","")</f>
        <v/>
      </c>
    </row>
    <row r="401" spans="1:6" x14ac:dyDescent="0.25">
      <c r="A401" s="84" t="str">
        <f t="shared" si="6"/>
        <v>__</v>
      </c>
      <c r="B401" s="93"/>
      <c r="C401" s="93"/>
      <c r="D401" s="94"/>
      <c r="E401" s="95"/>
      <c r="F401" s="85" t="str">
        <f>IF(ISERROR(HLOOKUP(D401,Data!$1:$1,1,FALSE)),"PROBLEM - Scheduled time not found.","")</f>
        <v/>
      </c>
    </row>
    <row r="402" spans="1:6" x14ac:dyDescent="0.25">
      <c r="A402" s="84" t="str">
        <f t="shared" si="6"/>
        <v>__</v>
      </c>
      <c r="B402" s="93"/>
      <c r="C402" s="93"/>
      <c r="D402" s="94"/>
      <c r="E402" s="95"/>
      <c r="F402" s="85" t="str">
        <f>IF(ISERROR(HLOOKUP(D402,Data!$1:$1,1,FALSE)),"PROBLEM - Scheduled time not found.","")</f>
        <v/>
      </c>
    </row>
    <row r="403" spans="1:6" x14ac:dyDescent="0.25">
      <c r="A403" s="84" t="str">
        <f t="shared" si="6"/>
        <v>__</v>
      </c>
      <c r="B403" s="93"/>
      <c r="C403" s="93"/>
      <c r="D403" s="94"/>
      <c r="E403" s="95"/>
      <c r="F403" s="85" t="str">
        <f>IF(ISERROR(HLOOKUP(D403,Data!$1:$1,1,FALSE)),"PROBLEM - Scheduled time not found.","")</f>
        <v/>
      </c>
    </row>
    <row r="404" spans="1:6" x14ac:dyDescent="0.25">
      <c r="A404" s="84" t="str">
        <f t="shared" si="6"/>
        <v>__</v>
      </c>
      <c r="B404" s="93"/>
      <c r="C404" s="93"/>
      <c r="D404" s="94"/>
      <c r="E404" s="95"/>
      <c r="F404" s="85" t="str">
        <f>IF(ISERROR(HLOOKUP(D404,Data!$1:$1,1,FALSE)),"PROBLEM - Scheduled time not found.","")</f>
        <v/>
      </c>
    </row>
    <row r="405" spans="1:6" x14ac:dyDescent="0.25">
      <c r="A405" s="84" t="str">
        <f t="shared" si="6"/>
        <v>__</v>
      </c>
      <c r="B405" s="93"/>
      <c r="C405" s="93"/>
      <c r="D405" s="94"/>
      <c r="E405" s="95"/>
      <c r="F405" s="85" t="str">
        <f>IF(ISERROR(HLOOKUP(D405,Data!$1:$1,1,FALSE)),"PROBLEM - Scheduled time not found.","")</f>
        <v/>
      </c>
    </row>
    <row r="406" spans="1:6" x14ac:dyDescent="0.25">
      <c r="A406" s="84" t="str">
        <f t="shared" si="6"/>
        <v>__</v>
      </c>
      <c r="B406" s="93"/>
      <c r="C406" s="93"/>
      <c r="D406" s="94"/>
      <c r="E406" s="95"/>
      <c r="F406" s="85" t="str">
        <f>IF(ISERROR(HLOOKUP(D406,Data!$1:$1,1,FALSE)),"PROBLEM - Scheduled time not found.","")</f>
        <v/>
      </c>
    </row>
    <row r="407" spans="1:6" x14ac:dyDescent="0.25">
      <c r="A407" s="84" t="str">
        <f t="shared" si="6"/>
        <v>__</v>
      </c>
      <c r="B407" s="93"/>
      <c r="C407" s="93"/>
      <c r="D407" s="94"/>
      <c r="E407" s="95"/>
      <c r="F407" s="85" t="str">
        <f>IF(ISERROR(HLOOKUP(D407,Data!$1:$1,1,FALSE)),"PROBLEM - Scheduled time not found.","")</f>
        <v/>
      </c>
    </row>
    <row r="408" spans="1:6" x14ac:dyDescent="0.25">
      <c r="A408" s="84" t="str">
        <f t="shared" si="6"/>
        <v>__</v>
      </c>
      <c r="B408" s="93"/>
      <c r="C408" s="93"/>
      <c r="D408" s="94"/>
      <c r="E408" s="95"/>
      <c r="F408" s="85" t="str">
        <f>IF(ISERROR(HLOOKUP(D408,Data!$1:$1,1,FALSE)),"PROBLEM - Scheduled time not found.","")</f>
        <v/>
      </c>
    </row>
    <row r="409" spans="1:6" x14ac:dyDescent="0.25">
      <c r="A409" s="84" t="str">
        <f t="shared" si="6"/>
        <v>__</v>
      </c>
      <c r="B409" s="93"/>
      <c r="C409" s="93"/>
      <c r="D409" s="94"/>
      <c r="E409" s="95"/>
      <c r="F409" s="85" t="str">
        <f>IF(ISERROR(HLOOKUP(D409,Data!$1:$1,1,FALSE)),"PROBLEM - Scheduled time not found.","")</f>
        <v/>
      </c>
    </row>
    <row r="410" spans="1:6" x14ac:dyDescent="0.25">
      <c r="A410" s="84" t="str">
        <f t="shared" si="6"/>
        <v>__</v>
      </c>
      <c r="B410" s="93"/>
      <c r="C410" s="93"/>
      <c r="D410" s="94"/>
      <c r="E410" s="95"/>
      <c r="F410" s="85" t="str">
        <f>IF(ISERROR(HLOOKUP(D410,Data!$1:$1,1,FALSE)),"PROBLEM - Scheduled time not found.","")</f>
        <v/>
      </c>
    </row>
    <row r="411" spans="1:6" x14ac:dyDescent="0.25">
      <c r="A411" s="84" t="str">
        <f t="shared" si="6"/>
        <v>__</v>
      </c>
      <c r="B411" s="93"/>
      <c r="C411" s="93"/>
      <c r="D411" s="94"/>
      <c r="E411" s="95"/>
      <c r="F411" s="85" t="str">
        <f>IF(ISERROR(HLOOKUP(D411,Data!$1:$1,1,FALSE)),"PROBLEM - Scheduled time not found.","")</f>
        <v/>
      </c>
    </row>
    <row r="412" spans="1:6" x14ac:dyDescent="0.25">
      <c r="A412" s="84" t="str">
        <f t="shared" si="6"/>
        <v>__</v>
      </c>
      <c r="B412" s="93"/>
      <c r="C412" s="93"/>
      <c r="D412" s="94"/>
      <c r="E412" s="95"/>
      <c r="F412" s="85" t="str">
        <f>IF(ISERROR(HLOOKUP(D412,Data!$1:$1,1,FALSE)),"PROBLEM - Scheduled time not found.","")</f>
        <v/>
      </c>
    </row>
    <row r="413" spans="1:6" x14ac:dyDescent="0.25">
      <c r="A413" s="84" t="str">
        <f t="shared" si="6"/>
        <v>__</v>
      </c>
      <c r="B413" s="93"/>
      <c r="C413" s="93"/>
      <c r="D413" s="94"/>
      <c r="E413" s="95"/>
      <c r="F413" s="85" t="str">
        <f>IF(ISERROR(HLOOKUP(D413,Data!$1:$1,1,FALSE)),"PROBLEM - Scheduled time not found.","")</f>
        <v/>
      </c>
    </row>
    <row r="414" spans="1:6" x14ac:dyDescent="0.25">
      <c r="A414" s="84" t="str">
        <f t="shared" si="6"/>
        <v>__</v>
      </c>
      <c r="B414" s="93"/>
      <c r="C414" s="93"/>
      <c r="D414" s="94"/>
      <c r="E414" s="95"/>
      <c r="F414" s="85" t="str">
        <f>IF(ISERROR(HLOOKUP(D414,Data!$1:$1,1,FALSE)),"PROBLEM - Scheduled time not found.","")</f>
        <v/>
      </c>
    </row>
    <row r="415" spans="1:6" x14ac:dyDescent="0.25">
      <c r="A415" s="84" t="str">
        <f t="shared" si="6"/>
        <v>__</v>
      </c>
      <c r="B415" s="93"/>
      <c r="C415" s="93"/>
      <c r="D415" s="94"/>
      <c r="E415" s="95"/>
      <c r="F415" s="85" t="str">
        <f>IF(ISERROR(HLOOKUP(D415,Data!$1:$1,1,FALSE)),"PROBLEM - Scheduled time not found.","")</f>
        <v/>
      </c>
    </row>
    <row r="416" spans="1:6" x14ac:dyDescent="0.25">
      <c r="A416" s="84" t="str">
        <f t="shared" si="6"/>
        <v>__</v>
      </c>
      <c r="B416" s="93"/>
      <c r="C416" s="93"/>
      <c r="D416" s="94"/>
      <c r="E416" s="95"/>
      <c r="F416" s="85" t="str">
        <f>IF(ISERROR(HLOOKUP(D416,Data!$1:$1,1,FALSE)),"PROBLEM - Scheduled time not found.","")</f>
        <v/>
      </c>
    </row>
    <row r="417" spans="1:6" x14ac:dyDescent="0.25">
      <c r="A417" s="84" t="str">
        <f t="shared" si="6"/>
        <v>__</v>
      </c>
      <c r="B417" s="93"/>
      <c r="C417" s="93"/>
      <c r="D417" s="94"/>
      <c r="E417" s="95"/>
      <c r="F417" s="85" t="str">
        <f>IF(ISERROR(HLOOKUP(D417,Data!$1:$1,1,FALSE)),"PROBLEM - Scheduled time not found.","")</f>
        <v/>
      </c>
    </row>
    <row r="418" spans="1:6" x14ac:dyDescent="0.25">
      <c r="A418" s="84" t="str">
        <f t="shared" si="6"/>
        <v>__</v>
      </c>
      <c r="B418" s="93"/>
      <c r="C418" s="93"/>
      <c r="D418" s="94"/>
      <c r="E418" s="95"/>
      <c r="F418" s="85" t="str">
        <f>IF(ISERROR(HLOOKUP(D418,Data!$1:$1,1,FALSE)),"PROBLEM - Scheduled time not found.","")</f>
        <v/>
      </c>
    </row>
    <row r="419" spans="1:6" x14ac:dyDescent="0.25">
      <c r="A419" s="84" t="str">
        <f t="shared" si="6"/>
        <v>__</v>
      </c>
      <c r="B419" s="93"/>
      <c r="C419" s="93"/>
      <c r="D419" s="94"/>
      <c r="E419" s="95"/>
      <c r="F419" s="85" t="str">
        <f>IF(ISERROR(HLOOKUP(D419,Data!$1:$1,1,FALSE)),"PROBLEM - Scheduled time not found.","")</f>
        <v/>
      </c>
    </row>
    <row r="420" spans="1:6" x14ac:dyDescent="0.25">
      <c r="A420" s="84" t="str">
        <f t="shared" si="6"/>
        <v>__</v>
      </c>
      <c r="B420" s="93"/>
      <c r="C420" s="93"/>
      <c r="D420" s="94"/>
      <c r="E420" s="95"/>
      <c r="F420" s="85" t="str">
        <f>IF(ISERROR(HLOOKUP(D420,Data!$1:$1,1,FALSE)),"PROBLEM - Scheduled time not found.","")</f>
        <v/>
      </c>
    </row>
    <row r="421" spans="1:6" x14ac:dyDescent="0.25">
      <c r="A421" s="84" t="str">
        <f t="shared" si="6"/>
        <v>__</v>
      </c>
      <c r="B421" s="93"/>
      <c r="C421" s="93"/>
      <c r="D421" s="94"/>
      <c r="E421" s="95"/>
      <c r="F421" s="85" t="str">
        <f>IF(ISERROR(HLOOKUP(D421,Data!$1:$1,1,FALSE)),"PROBLEM - Scheduled time not found.","")</f>
        <v/>
      </c>
    </row>
    <row r="422" spans="1:6" x14ac:dyDescent="0.25">
      <c r="A422" s="84" t="str">
        <f t="shared" si="6"/>
        <v>__</v>
      </c>
      <c r="B422" s="93"/>
      <c r="C422" s="93"/>
      <c r="D422" s="94"/>
      <c r="E422" s="95"/>
      <c r="F422" s="85" t="str">
        <f>IF(ISERROR(HLOOKUP(D422,Data!$1:$1,1,FALSE)),"PROBLEM - Scheduled time not found.","")</f>
        <v/>
      </c>
    </row>
    <row r="423" spans="1:6" x14ac:dyDescent="0.25">
      <c r="A423" s="84" t="str">
        <f t="shared" si="6"/>
        <v>__</v>
      </c>
      <c r="B423" s="93"/>
      <c r="C423" s="93"/>
      <c r="D423" s="94"/>
      <c r="E423" s="95"/>
      <c r="F423" s="85" t="str">
        <f>IF(ISERROR(HLOOKUP(D423,Data!$1:$1,1,FALSE)),"PROBLEM - Scheduled time not found.","")</f>
        <v/>
      </c>
    </row>
    <row r="424" spans="1:6" x14ac:dyDescent="0.25">
      <c r="A424" s="84" t="str">
        <f t="shared" si="6"/>
        <v>__</v>
      </c>
      <c r="B424" s="93"/>
      <c r="C424" s="93"/>
      <c r="D424" s="94"/>
      <c r="E424" s="95"/>
      <c r="F424" s="85" t="str">
        <f>IF(ISERROR(HLOOKUP(D424,Data!$1:$1,1,FALSE)),"PROBLEM - Scheduled time not found.","")</f>
        <v/>
      </c>
    </row>
    <row r="425" spans="1:6" x14ac:dyDescent="0.25">
      <c r="A425" s="84" t="str">
        <f t="shared" si="6"/>
        <v>__</v>
      </c>
      <c r="B425" s="93"/>
      <c r="C425" s="93"/>
      <c r="D425" s="94"/>
      <c r="E425" s="95"/>
      <c r="F425" s="85" t="str">
        <f>IF(ISERROR(HLOOKUP(D425,Data!$1:$1,1,FALSE)),"PROBLEM - Scheduled time not found.","")</f>
        <v/>
      </c>
    </row>
    <row r="426" spans="1:6" x14ac:dyDescent="0.25">
      <c r="A426" s="84" t="str">
        <f t="shared" si="6"/>
        <v>__</v>
      </c>
      <c r="B426" s="93"/>
      <c r="C426" s="93"/>
      <c r="D426" s="94"/>
      <c r="E426" s="95"/>
      <c r="F426" s="85" t="str">
        <f>IF(ISERROR(HLOOKUP(D426,Data!$1:$1,1,FALSE)),"PROBLEM - Scheduled time not found.","")</f>
        <v/>
      </c>
    </row>
    <row r="427" spans="1:6" x14ac:dyDescent="0.25">
      <c r="A427" s="84" t="str">
        <f t="shared" si="6"/>
        <v>__</v>
      </c>
      <c r="B427" s="93"/>
      <c r="C427" s="93"/>
      <c r="D427" s="94"/>
      <c r="E427" s="95"/>
      <c r="F427" s="85" t="str">
        <f>IF(ISERROR(HLOOKUP(D427,Data!$1:$1,1,FALSE)),"PROBLEM - Scheduled time not found.","")</f>
        <v/>
      </c>
    </row>
    <row r="428" spans="1:6" x14ac:dyDescent="0.25">
      <c r="A428" s="84" t="str">
        <f t="shared" si="6"/>
        <v>__</v>
      </c>
      <c r="B428" s="93"/>
      <c r="C428" s="93"/>
      <c r="D428" s="94"/>
      <c r="E428" s="95"/>
      <c r="F428" s="85" t="str">
        <f>IF(ISERROR(HLOOKUP(D428,Data!$1:$1,1,FALSE)),"PROBLEM - Scheduled time not found.","")</f>
        <v/>
      </c>
    </row>
    <row r="429" spans="1:6" x14ac:dyDescent="0.25">
      <c r="A429" s="84" t="str">
        <f t="shared" si="6"/>
        <v>__</v>
      </c>
      <c r="B429" s="93"/>
      <c r="C429" s="93"/>
      <c r="D429" s="94"/>
      <c r="E429" s="95"/>
      <c r="F429" s="85" t="str">
        <f>IF(ISERROR(HLOOKUP(D429,Data!$1:$1,1,FALSE)),"PROBLEM - Scheduled time not found.","")</f>
        <v/>
      </c>
    </row>
    <row r="430" spans="1:6" x14ac:dyDescent="0.25">
      <c r="A430" s="84" t="str">
        <f t="shared" si="6"/>
        <v>__</v>
      </c>
      <c r="B430" s="93"/>
      <c r="C430" s="93"/>
      <c r="D430" s="94"/>
      <c r="E430" s="95"/>
      <c r="F430" s="85" t="str">
        <f>IF(ISERROR(HLOOKUP(D430,Data!$1:$1,1,FALSE)),"PROBLEM - Scheduled time not found.","")</f>
        <v/>
      </c>
    </row>
    <row r="431" spans="1:6" x14ac:dyDescent="0.25">
      <c r="A431" s="84" t="str">
        <f t="shared" si="6"/>
        <v>__</v>
      </c>
      <c r="B431" s="93"/>
      <c r="C431" s="93"/>
      <c r="D431" s="94"/>
      <c r="E431" s="95"/>
      <c r="F431" s="85" t="str">
        <f>IF(ISERROR(HLOOKUP(D431,Data!$1:$1,1,FALSE)),"PROBLEM - Scheduled time not found.","")</f>
        <v/>
      </c>
    </row>
    <row r="432" spans="1:6" x14ac:dyDescent="0.25">
      <c r="A432" s="84" t="str">
        <f t="shared" si="6"/>
        <v>__</v>
      </c>
      <c r="B432" s="93"/>
      <c r="C432" s="93"/>
      <c r="D432" s="94"/>
      <c r="E432" s="95"/>
      <c r="F432" s="85" t="str">
        <f>IF(ISERROR(HLOOKUP(D432,Data!$1:$1,1,FALSE)),"PROBLEM - Scheduled time not found.","")</f>
        <v/>
      </c>
    </row>
    <row r="433" spans="1:6" x14ac:dyDescent="0.25">
      <c r="A433" s="84" t="str">
        <f t="shared" si="6"/>
        <v>__</v>
      </c>
      <c r="B433" s="93"/>
      <c r="C433" s="93"/>
      <c r="D433" s="94"/>
      <c r="E433" s="95"/>
      <c r="F433" s="85" t="str">
        <f>IF(ISERROR(HLOOKUP(D433,Data!$1:$1,1,FALSE)),"PROBLEM - Scheduled time not found.","")</f>
        <v/>
      </c>
    </row>
    <row r="434" spans="1:6" x14ac:dyDescent="0.25">
      <c r="A434" s="84" t="str">
        <f t="shared" si="6"/>
        <v>__</v>
      </c>
      <c r="B434" s="93"/>
      <c r="C434" s="93"/>
      <c r="D434" s="94"/>
      <c r="E434" s="95"/>
      <c r="F434" s="85" t="str">
        <f>IF(ISERROR(HLOOKUP(D434,Data!$1:$1,1,FALSE)),"PROBLEM - Scheduled time not found.","")</f>
        <v/>
      </c>
    </row>
    <row r="435" spans="1:6" x14ac:dyDescent="0.25">
      <c r="A435" s="84" t="str">
        <f t="shared" si="6"/>
        <v>__</v>
      </c>
      <c r="B435" s="93"/>
      <c r="C435" s="93"/>
      <c r="D435" s="94"/>
      <c r="E435" s="95"/>
      <c r="F435" s="85" t="str">
        <f>IF(ISERROR(HLOOKUP(D435,Data!$1:$1,1,FALSE)),"PROBLEM - Scheduled time not found.","")</f>
        <v/>
      </c>
    </row>
    <row r="436" spans="1:6" x14ac:dyDescent="0.25">
      <c r="A436" s="84" t="str">
        <f t="shared" si="6"/>
        <v>__</v>
      </c>
      <c r="B436" s="93"/>
      <c r="C436" s="93"/>
      <c r="D436" s="94"/>
      <c r="E436" s="95"/>
      <c r="F436" s="85" t="str">
        <f>IF(ISERROR(HLOOKUP(D436,Data!$1:$1,1,FALSE)),"PROBLEM - Scheduled time not found.","")</f>
        <v/>
      </c>
    </row>
    <row r="437" spans="1:6" x14ac:dyDescent="0.25">
      <c r="A437" s="84" t="str">
        <f t="shared" si="6"/>
        <v>__</v>
      </c>
      <c r="B437" s="93"/>
      <c r="C437" s="93"/>
      <c r="D437" s="94"/>
      <c r="E437" s="95"/>
      <c r="F437" s="85" t="str">
        <f>IF(ISERROR(HLOOKUP(D437,Data!$1:$1,1,FALSE)),"PROBLEM - Scheduled time not found.","")</f>
        <v/>
      </c>
    </row>
    <row r="438" spans="1:6" x14ac:dyDescent="0.25">
      <c r="A438" s="84" t="str">
        <f t="shared" si="6"/>
        <v>__</v>
      </c>
      <c r="B438" s="93"/>
      <c r="C438" s="93"/>
      <c r="D438" s="94"/>
      <c r="E438" s="95"/>
      <c r="F438" s="85" t="str">
        <f>IF(ISERROR(HLOOKUP(D438,Data!$1:$1,1,FALSE)),"PROBLEM - Scheduled time not found.","")</f>
        <v/>
      </c>
    </row>
    <row r="439" spans="1:6" x14ac:dyDescent="0.25">
      <c r="A439" s="84" t="str">
        <f t="shared" si="6"/>
        <v>__</v>
      </c>
      <c r="B439" s="93"/>
      <c r="C439" s="93"/>
      <c r="D439" s="94"/>
      <c r="E439" s="95"/>
      <c r="F439" s="85" t="str">
        <f>IF(ISERROR(HLOOKUP(D439,Data!$1:$1,1,FALSE)),"PROBLEM - Scheduled time not found.","")</f>
        <v/>
      </c>
    </row>
    <row r="440" spans="1:6" x14ac:dyDescent="0.25">
      <c r="A440" s="84" t="str">
        <f t="shared" si="6"/>
        <v>__</v>
      </c>
      <c r="B440" s="93"/>
      <c r="C440" s="93"/>
      <c r="D440" s="94"/>
      <c r="E440" s="95"/>
      <c r="F440" s="85" t="str">
        <f>IF(ISERROR(HLOOKUP(D440,Data!$1:$1,1,FALSE)),"PROBLEM - Scheduled time not found.","")</f>
        <v/>
      </c>
    </row>
    <row r="441" spans="1:6" x14ac:dyDescent="0.25">
      <c r="A441" s="84" t="str">
        <f t="shared" si="6"/>
        <v>__</v>
      </c>
      <c r="B441" s="93"/>
      <c r="C441" s="93"/>
      <c r="D441" s="94"/>
      <c r="E441" s="95"/>
      <c r="F441" s="85" t="str">
        <f>IF(ISERROR(HLOOKUP(D441,Data!$1:$1,1,FALSE)),"PROBLEM - Scheduled time not found.","")</f>
        <v/>
      </c>
    </row>
    <row r="442" spans="1:6" x14ac:dyDescent="0.25">
      <c r="A442" s="84" t="str">
        <f t="shared" si="6"/>
        <v>__</v>
      </c>
      <c r="B442" s="93"/>
      <c r="C442" s="93"/>
      <c r="D442" s="94"/>
      <c r="E442" s="95"/>
      <c r="F442" s="85" t="str">
        <f>IF(ISERROR(HLOOKUP(D442,Data!$1:$1,1,FALSE)),"PROBLEM - Scheduled time not found.","")</f>
        <v/>
      </c>
    </row>
    <row r="443" spans="1:6" x14ac:dyDescent="0.25">
      <c r="A443" s="84" t="str">
        <f t="shared" si="6"/>
        <v>__</v>
      </c>
      <c r="B443" s="93"/>
      <c r="C443" s="93"/>
      <c r="D443" s="94"/>
      <c r="E443" s="95"/>
      <c r="F443" s="85" t="str">
        <f>IF(ISERROR(HLOOKUP(D443,Data!$1:$1,1,FALSE)),"PROBLEM - Scheduled time not found.","")</f>
        <v/>
      </c>
    </row>
    <row r="444" spans="1:6" x14ac:dyDescent="0.25">
      <c r="A444" s="84" t="str">
        <f t="shared" si="6"/>
        <v>__</v>
      </c>
      <c r="B444" s="93"/>
      <c r="C444" s="93"/>
      <c r="D444" s="94"/>
      <c r="E444" s="95"/>
      <c r="F444" s="85" t="str">
        <f>IF(ISERROR(HLOOKUP(D444,Data!$1:$1,1,FALSE)),"PROBLEM - Scheduled time not found.","")</f>
        <v/>
      </c>
    </row>
    <row r="445" spans="1:6" x14ac:dyDescent="0.25">
      <c r="A445" s="84" t="str">
        <f t="shared" si="6"/>
        <v>__</v>
      </c>
      <c r="B445" s="93"/>
      <c r="C445" s="93"/>
      <c r="D445" s="94"/>
      <c r="E445" s="95"/>
      <c r="F445" s="85" t="str">
        <f>IF(ISERROR(HLOOKUP(D445,Data!$1:$1,1,FALSE)),"PROBLEM - Scheduled time not found.","")</f>
        <v/>
      </c>
    </row>
    <row r="446" spans="1:6" x14ac:dyDescent="0.25">
      <c r="A446" s="84" t="str">
        <f t="shared" si="6"/>
        <v>__</v>
      </c>
      <c r="B446" s="93"/>
      <c r="C446" s="93"/>
      <c r="D446" s="94"/>
      <c r="E446" s="95"/>
      <c r="F446" s="85" t="str">
        <f>IF(ISERROR(HLOOKUP(D446,Data!$1:$1,1,FALSE)),"PROBLEM - Scheduled time not found.","")</f>
        <v/>
      </c>
    </row>
    <row r="447" spans="1:6" x14ac:dyDescent="0.25">
      <c r="A447" s="84" t="str">
        <f t="shared" si="6"/>
        <v>__</v>
      </c>
      <c r="B447" s="93"/>
      <c r="C447" s="93"/>
      <c r="D447" s="94"/>
      <c r="E447" s="95"/>
      <c r="F447" s="85" t="str">
        <f>IF(ISERROR(HLOOKUP(D447,Data!$1:$1,1,FALSE)),"PROBLEM - Scheduled time not found.","")</f>
        <v/>
      </c>
    </row>
    <row r="448" spans="1:6" x14ac:dyDescent="0.25">
      <c r="A448" s="84" t="str">
        <f t="shared" si="6"/>
        <v>__</v>
      </c>
      <c r="B448" s="93"/>
      <c r="C448" s="93"/>
      <c r="D448" s="94"/>
      <c r="E448" s="95"/>
      <c r="F448" s="85" t="str">
        <f>IF(ISERROR(HLOOKUP(D448,Data!$1:$1,1,FALSE)),"PROBLEM - Scheduled time not found.","")</f>
        <v/>
      </c>
    </row>
    <row r="449" spans="1:6" x14ac:dyDescent="0.25">
      <c r="A449" s="84" t="str">
        <f t="shared" si="6"/>
        <v>__</v>
      </c>
      <c r="B449" s="93"/>
      <c r="C449" s="93"/>
      <c r="D449" s="94"/>
      <c r="E449" s="95"/>
      <c r="F449" s="85" t="str">
        <f>IF(ISERROR(HLOOKUP(D449,Data!$1:$1,1,FALSE)),"PROBLEM - Scheduled time not found.","")</f>
        <v/>
      </c>
    </row>
    <row r="450" spans="1:6" x14ac:dyDescent="0.25">
      <c r="A450" s="84" t="str">
        <f t="shared" si="6"/>
        <v>__</v>
      </c>
      <c r="B450" s="93"/>
      <c r="C450" s="93"/>
      <c r="D450" s="94"/>
      <c r="E450" s="95"/>
      <c r="F450" s="85" t="str">
        <f>IF(ISERROR(HLOOKUP(D450,Data!$1:$1,1,FALSE)),"PROBLEM - Scheduled time not found.","")</f>
        <v/>
      </c>
    </row>
    <row r="451" spans="1:6" x14ac:dyDescent="0.25">
      <c r="A451" s="84" t="str">
        <f t="shared" ref="A451:A514" si="7">B451&amp;"_"&amp;C451&amp;"_"&amp;D451</f>
        <v>__</v>
      </c>
      <c r="B451" s="93"/>
      <c r="C451" s="93"/>
      <c r="D451" s="94"/>
      <c r="E451" s="95"/>
      <c r="F451" s="85" t="str">
        <f>IF(ISERROR(HLOOKUP(D451,Data!$1:$1,1,FALSE)),"PROBLEM - Scheduled time not found.","")</f>
        <v/>
      </c>
    </row>
    <row r="452" spans="1:6" x14ac:dyDescent="0.25">
      <c r="A452" s="84" t="str">
        <f t="shared" si="7"/>
        <v>__</v>
      </c>
      <c r="B452" s="93"/>
      <c r="C452" s="93"/>
      <c r="D452" s="94"/>
      <c r="E452" s="95"/>
      <c r="F452" s="85" t="str">
        <f>IF(ISERROR(HLOOKUP(D452,Data!$1:$1,1,FALSE)),"PROBLEM - Scheduled time not found.","")</f>
        <v/>
      </c>
    </row>
    <row r="453" spans="1:6" x14ac:dyDescent="0.25">
      <c r="A453" s="84" t="str">
        <f t="shared" si="7"/>
        <v>__</v>
      </c>
      <c r="B453" s="93"/>
      <c r="C453" s="93"/>
      <c r="D453" s="94"/>
      <c r="E453" s="95"/>
      <c r="F453" s="85" t="str">
        <f>IF(ISERROR(HLOOKUP(D453,Data!$1:$1,1,FALSE)),"PROBLEM - Scheduled time not found.","")</f>
        <v/>
      </c>
    </row>
    <row r="454" spans="1:6" x14ac:dyDescent="0.25">
      <c r="A454" s="84" t="str">
        <f t="shared" si="7"/>
        <v>__</v>
      </c>
      <c r="B454" s="93"/>
      <c r="C454" s="93"/>
      <c r="D454" s="94"/>
      <c r="E454" s="95"/>
      <c r="F454" s="85" t="str">
        <f>IF(ISERROR(HLOOKUP(D454,Data!$1:$1,1,FALSE)),"PROBLEM - Scheduled time not found.","")</f>
        <v/>
      </c>
    </row>
    <row r="455" spans="1:6" x14ac:dyDescent="0.25">
      <c r="A455" s="84" t="str">
        <f t="shared" si="7"/>
        <v>__</v>
      </c>
      <c r="B455" s="93"/>
      <c r="C455" s="93"/>
      <c r="D455" s="94"/>
      <c r="E455" s="95"/>
      <c r="F455" s="85" t="str">
        <f>IF(ISERROR(HLOOKUP(D455,Data!$1:$1,1,FALSE)),"PROBLEM - Scheduled time not found.","")</f>
        <v/>
      </c>
    </row>
    <row r="456" spans="1:6" x14ac:dyDescent="0.25">
      <c r="A456" s="84" t="str">
        <f t="shared" si="7"/>
        <v>__</v>
      </c>
      <c r="B456" s="93"/>
      <c r="C456" s="93"/>
      <c r="D456" s="94"/>
      <c r="E456" s="95"/>
      <c r="F456" s="85" t="str">
        <f>IF(ISERROR(HLOOKUP(D456,Data!$1:$1,1,FALSE)),"PROBLEM - Scheduled time not found.","")</f>
        <v/>
      </c>
    </row>
    <row r="457" spans="1:6" x14ac:dyDescent="0.25">
      <c r="A457" s="84" t="str">
        <f t="shared" si="7"/>
        <v>__</v>
      </c>
      <c r="B457" s="93"/>
      <c r="C457" s="93"/>
      <c r="D457" s="94"/>
      <c r="E457" s="95"/>
      <c r="F457" s="85" t="str">
        <f>IF(ISERROR(HLOOKUP(D457,Data!$1:$1,1,FALSE)),"PROBLEM - Scheduled time not found.","")</f>
        <v/>
      </c>
    </row>
    <row r="458" spans="1:6" x14ac:dyDescent="0.25">
      <c r="A458" s="84" t="str">
        <f t="shared" si="7"/>
        <v>__</v>
      </c>
      <c r="B458" s="93"/>
      <c r="C458" s="93"/>
      <c r="D458" s="94"/>
      <c r="E458" s="95"/>
      <c r="F458" s="85" t="str">
        <f>IF(ISERROR(HLOOKUP(D458,Data!$1:$1,1,FALSE)),"PROBLEM - Scheduled time not found.","")</f>
        <v/>
      </c>
    </row>
    <row r="459" spans="1:6" x14ac:dyDescent="0.25">
      <c r="A459" s="84" t="str">
        <f t="shared" si="7"/>
        <v>__</v>
      </c>
      <c r="B459" s="93"/>
      <c r="C459" s="93"/>
      <c r="D459" s="94"/>
      <c r="E459" s="95"/>
      <c r="F459" s="85" t="str">
        <f>IF(ISERROR(HLOOKUP(D459,Data!$1:$1,1,FALSE)),"PROBLEM - Scheduled time not found.","")</f>
        <v/>
      </c>
    </row>
    <row r="460" spans="1:6" x14ac:dyDescent="0.25">
      <c r="A460" s="84" t="str">
        <f t="shared" si="7"/>
        <v>__</v>
      </c>
      <c r="B460" s="93"/>
      <c r="C460" s="93"/>
      <c r="D460" s="94"/>
      <c r="E460" s="95"/>
      <c r="F460" s="85" t="str">
        <f>IF(ISERROR(HLOOKUP(D460,Data!$1:$1,1,FALSE)),"PROBLEM - Scheduled time not found.","")</f>
        <v/>
      </c>
    </row>
    <row r="461" spans="1:6" x14ac:dyDescent="0.25">
      <c r="A461" s="84" t="str">
        <f t="shared" si="7"/>
        <v>__</v>
      </c>
      <c r="B461" s="93"/>
      <c r="C461" s="93"/>
      <c r="D461" s="94"/>
      <c r="E461" s="95"/>
      <c r="F461" s="85" t="str">
        <f>IF(ISERROR(HLOOKUP(D461,Data!$1:$1,1,FALSE)),"PROBLEM - Scheduled time not found.","")</f>
        <v/>
      </c>
    </row>
    <row r="462" spans="1:6" x14ac:dyDescent="0.25">
      <c r="A462" s="84" t="str">
        <f t="shared" si="7"/>
        <v>__</v>
      </c>
      <c r="B462" s="93"/>
      <c r="C462" s="93"/>
      <c r="D462" s="94"/>
      <c r="E462" s="95"/>
      <c r="F462" s="85" t="str">
        <f>IF(ISERROR(HLOOKUP(D462,Data!$1:$1,1,FALSE)),"PROBLEM - Scheduled time not found.","")</f>
        <v/>
      </c>
    </row>
    <row r="463" spans="1:6" x14ac:dyDescent="0.25">
      <c r="A463" s="84" t="str">
        <f t="shared" si="7"/>
        <v>__</v>
      </c>
      <c r="B463" s="93"/>
      <c r="C463" s="93"/>
      <c r="D463" s="94"/>
      <c r="E463" s="95"/>
      <c r="F463" s="85" t="str">
        <f>IF(ISERROR(HLOOKUP(D463,Data!$1:$1,1,FALSE)),"PROBLEM - Scheduled time not found.","")</f>
        <v/>
      </c>
    </row>
    <row r="464" spans="1:6" x14ac:dyDescent="0.25">
      <c r="A464" s="84" t="str">
        <f t="shared" si="7"/>
        <v>__</v>
      </c>
      <c r="B464" s="93"/>
      <c r="C464" s="93"/>
      <c r="D464" s="94"/>
      <c r="E464" s="95"/>
      <c r="F464" s="85" t="str">
        <f>IF(ISERROR(HLOOKUP(D464,Data!$1:$1,1,FALSE)),"PROBLEM - Scheduled time not found.","")</f>
        <v/>
      </c>
    </row>
    <row r="465" spans="1:6" x14ac:dyDescent="0.25">
      <c r="A465" s="84" t="str">
        <f t="shared" si="7"/>
        <v>__</v>
      </c>
      <c r="B465" s="93"/>
      <c r="C465" s="93"/>
      <c r="D465" s="94"/>
      <c r="E465" s="95"/>
      <c r="F465" s="85" t="str">
        <f>IF(ISERROR(HLOOKUP(D465,Data!$1:$1,1,FALSE)),"PROBLEM - Scheduled time not found.","")</f>
        <v/>
      </c>
    </row>
    <row r="466" spans="1:6" x14ac:dyDescent="0.25">
      <c r="A466" s="84" t="str">
        <f t="shared" si="7"/>
        <v>__</v>
      </c>
      <c r="B466" s="93"/>
      <c r="C466" s="93"/>
      <c r="D466" s="94"/>
      <c r="E466" s="95"/>
      <c r="F466" s="85" t="str">
        <f>IF(ISERROR(HLOOKUP(D466,Data!$1:$1,1,FALSE)),"PROBLEM - Scheduled time not found.","")</f>
        <v/>
      </c>
    </row>
    <row r="467" spans="1:6" x14ac:dyDescent="0.25">
      <c r="A467" s="84" t="str">
        <f t="shared" si="7"/>
        <v>__</v>
      </c>
      <c r="B467" s="93"/>
      <c r="C467" s="93"/>
      <c r="D467" s="94"/>
      <c r="E467" s="95"/>
      <c r="F467" s="85" t="str">
        <f>IF(ISERROR(HLOOKUP(D467,Data!$1:$1,1,FALSE)),"PROBLEM - Scheduled time not found.","")</f>
        <v/>
      </c>
    </row>
    <row r="468" spans="1:6" x14ac:dyDescent="0.25">
      <c r="A468" s="84" t="str">
        <f t="shared" si="7"/>
        <v>__</v>
      </c>
      <c r="B468" s="93"/>
      <c r="C468" s="93"/>
      <c r="D468" s="94"/>
      <c r="E468" s="95"/>
      <c r="F468" s="85" t="str">
        <f>IF(ISERROR(HLOOKUP(D468,Data!$1:$1,1,FALSE)),"PROBLEM - Scheduled time not found.","")</f>
        <v/>
      </c>
    </row>
    <row r="469" spans="1:6" x14ac:dyDescent="0.25">
      <c r="A469" s="84" t="str">
        <f t="shared" si="7"/>
        <v>__</v>
      </c>
      <c r="B469" s="93"/>
      <c r="C469" s="93"/>
      <c r="D469" s="94"/>
      <c r="E469" s="95"/>
      <c r="F469" s="85" t="str">
        <f>IF(ISERROR(HLOOKUP(D469,Data!$1:$1,1,FALSE)),"PROBLEM - Scheduled time not found.","")</f>
        <v/>
      </c>
    </row>
    <row r="470" spans="1:6" x14ac:dyDescent="0.25">
      <c r="A470" s="84" t="str">
        <f t="shared" si="7"/>
        <v>__</v>
      </c>
      <c r="B470" s="93"/>
      <c r="C470" s="93"/>
      <c r="D470" s="94"/>
      <c r="E470" s="95"/>
      <c r="F470" s="85" t="str">
        <f>IF(ISERROR(HLOOKUP(D470,Data!$1:$1,1,FALSE)),"PROBLEM - Scheduled time not found.","")</f>
        <v/>
      </c>
    </row>
    <row r="471" spans="1:6" x14ac:dyDescent="0.25">
      <c r="A471" s="84" t="str">
        <f t="shared" si="7"/>
        <v>__</v>
      </c>
      <c r="B471" s="93"/>
      <c r="C471" s="93"/>
      <c r="D471" s="94"/>
      <c r="E471" s="95"/>
      <c r="F471" s="85" t="str">
        <f>IF(ISERROR(HLOOKUP(D471,Data!$1:$1,1,FALSE)),"PROBLEM - Scheduled time not found.","")</f>
        <v/>
      </c>
    </row>
    <row r="472" spans="1:6" x14ac:dyDescent="0.25">
      <c r="A472" s="84" t="str">
        <f t="shared" si="7"/>
        <v>__</v>
      </c>
      <c r="B472" s="93"/>
      <c r="C472" s="93"/>
      <c r="D472" s="94"/>
      <c r="E472" s="95"/>
      <c r="F472" s="85" t="str">
        <f>IF(ISERROR(HLOOKUP(D472,Data!$1:$1,1,FALSE)),"PROBLEM - Scheduled time not found.","")</f>
        <v/>
      </c>
    </row>
    <row r="473" spans="1:6" x14ac:dyDescent="0.25">
      <c r="A473" s="84" t="str">
        <f t="shared" si="7"/>
        <v>__</v>
      </c>
      <c r="B473" s="93"/>
      <c r="C473" s="93"/>
      <c r="D473" s="94"/>
      <c r="E473" s="95"/>
      <c r="F473" s="85" t="str">
        <f>IF(ISERROR(HLOOKUP(D473,Data!$1:$1,1,FALSE)),"PROBLEM - Scheduled time not found.","")</f>
        <v/>
      </c>
    </row>
    <row r="474" spans="1:6" x14ac:dyDescent="0.25">
      <c r="A474" s="84" t="str">
        <f t="shared" si="7"/>
        <v>__</v>
      </c>
      <c r="B474" s="93"/>
      <c r="C474" s="93"/>
      <c r="D474" s="94"/>
      <c r="E474" s="95"/>
      <c r="F474" s="85" t="str">
        <f>IF(ISERROR(HLOOKUP(D474,Data!$1:$1,1,FALSE)),"PROBLEM - Scheduled time not found.","")</f>
        <v/>
      </c>
    </row>
    <row r="475" spans="1:6" x14ac:dyDescent="0.25">
      <c r="A475" s="84" t="str">
        <f t="shared" si="7"/>
        <v>__</v>
      </c>
      <c r="B475" s="93"/>
      <c r="C475" s="93"/>
      <c r="D475" s="94"/>
      <c r="E475" s="95"/>
      <c r="F475" s="85" t="str">
        <f>IF(ISERROR(HLOOKUP(D475,Data!$1:$1,1,FALSE)),"PROBLEM - Scheduled time not found.","")</f>
        <v/>
      </c>
    </row>
    <row r="476" spans="1:6" x14ac:dyDescent="0.25">
      <c r="A476" s="84" t="str">
        <f t="shared" si="7"/>
        <v>__</v>
      </c>
      <c r="B476" s="93"/>
      <c r="C476" s="93"/>
      <c r="D476" s="94"/>
      <c r="E476" s="95"/>
      <c r="F476" s="85" t="str">
        <f>IF(ISERROR(HLOOKUP(D476,Data!$1:$1,1,FALSE)),"PROBLEM - Scheduled time not found.","")</f>
        <v/>
      </c>
    </row>
    <row r="477" spans="1:6" x14ac:dyDescent="0.25">
      <c r="A477" s="84" t="str">
        <f t="shared" si="7"/>
        <v>__</v>
      </c>
      <c r="B477" s="93"/>
      <c r="C477" s="93"/>
      <c r="D477" s="94"/>
      <c r="E477" s="95"/>
      <c r="F477" s="85" t="str">
        <f>IF(ISERROR(HLOOKUP(D477,Data!$1:$1,1,FALSE)),"PROBLEM - Scheduled time not found.","")</f>
        <v/>
      </c>
    </row>
    <row r="478" spans="1:6" x14ac:dyDescent="0.25">
      <c r="A478" s="84" t="str">
        <f t="shared" si="7"/>
        <v>__</v>
      </c>
      <c r="B478" s="93"/>
      <c r="C478" s="93"/>
      <c r="D478" s="94"/>
      <c r="E478" s="95"/>
      <c r="F478" s="85" t="str">
        <f>IF(ISERROR(HLOOKUP(D478,Data!$1:$1,1,FALSE)),"PROBLEM - Scheduled time not found.","")</f>
        <v/>
      </c>
    </row>
    <row r="479" spans="1:6" x14ac:dyDescent="0.25">
      <c r="A479" s="84" t="str">
        <f t="shared" si="7"/>
        <v>__</v>
      </c>
      <c r="B479" s="93"/>
      <c r="C479" s="93"/>
      <c r="D479" s="94"/>
      <c r="E479" s="95"/>
      <c r="F479" s="85" t="str">
        <f>IF(ISERROR(HLOOKUP(D479,Data!$1:$1,1,FALSE)),"PROBLEM - Scheduled time not found.","")</f>
        <v/>
      </c>
    </row>
    <row r="480" spans="1:6" x14ac:dyDescent="0.25">
      <c r="A480" s="84" t="str">
        <f t="shared" si="7"/>
        <v>__</v>
      </c>
      <c r="B480" s="93"/>
      <c r="C480" s="93"/>
      <c r="D480" s="94"/>
      <c r="E480" s="95"/>
      <c r="F480" s="85" t="str">
        <f>IF(ISERROR(HLOOKUP(D480,Data!$1:$1,1,FALSE)),"PROBLEM - Scheduled time not found.","")</f>
        <v/>
      </c>
    </row>
    <row r="481" spans="1:6" x14ac:dyDescent="0.25">
      <c r="A481" s="84" t="str">
        <f t="shared" si="7"/>
        <v>__</v>
      </c>
      <c r="B481" s="93"/>
      <c r="C481" s="93"/>
      <c r="D481" s="94"/>
      <c r="E481" s="95"/>
      <c r="F481" s="85" t="str">
        <f>IF(ISERROR(HLOOKUP(D481,Data!$1:$1,1,FALSE)),"PROBLEM - Scheduled time not found.","")</f>
        <v/>
      </c>
    </row>
    <row r="482" spans="1:6" x14ac:dyDescent="0.25">
      <c r="A482" s="84" t="str">
        <f t="shared" si="7"/>
        <v>__</v>
      </c>
      <c r="B482" s="93"/>
      <c r="C482" s="93"/>
      <c r="D482" s="94"/>
      <c r="E482" s="95"/>
      <c r="F482" s="85" t="str">
        <f>IF(ISERROR(HLOOKUP(D482,Data!$1:$1,1,FALSE)),"PROBLEM - Scheduled time not found.","")</f>
        <v/>
      </c>
    </row>
    <row r="483" spans="1:6" x14ac:dyDescent="0.25">
      <c r="A483" s="84" t="str">
        <f t="shared" si="7"/>
        <v>__</v>
      </c>
      <c r="B483" s="93"/>
      <c r="C483" s="93"/>
      <c r="D483" s="94"/>
      <c r="E483" s="95"/>
      <c r="F483" s="85" t="str">
        <f>IF(ISERROR(HLOOKUP(D483,Data!$1:$1,1,FALSE)),"PROBLEM - Scheduled time not found.","")</f>
        <v/>
      </c>
    </row>
    <row r="484" spans="1:6" x14ac:dyDescent="0.25">
      <c r="A484" s="84" t="str">
        <f t="shared" si="7"/>
        <v>__</v>
      </c>
      <c r="B484" s="93"/>
      <c r="C484" s="93"/>
      <c r="D484" s="94"/>
      <c r="E484" s="95"/>
      <c r="F484" s="85" t="str">
        <f>IF(ISERROR(HLOOKUP(D484,Data!$1:$1,1,FALSE)),"PROBLEM - Scheduled time not found.","")</f>
        <v/>
      </c>
    </row>
    <row r="485" spans="1:6" x14ac:dyDescent="0.25">
      <c r="A485" s="84" t="str">
        <f t="shared" si="7"/>
        <v>__</v>
      </c>
      <c r="B485" s="93"/>
      <c r="C485" s="93"/>
      <c r="D485" s="94"/>
      <c r="E485" s="95"/>
      <c r="F485" s="85" t="str">
        <f>IF(ISERROR(HLOOKUP(D485,Data!$1:$1,1,FALSE)),"PROBLEM - Scheduled time not found.","")</f>
        <v/>
      </c>
    </row>
    <row r="486" spans="1:6" x14ac:dyDescent="0.25">
      <c r="A486" s="84" t="str">
        <f t="shared" si="7"/>
        <v>__</v>
      </c>
      <c r="B486" s="93"/>
      <c r="C486" s="93"/>
      <c r="D486" s="94"/>
      <c r="E486" s="95"/>
      <c r="F486" s="85" t="str">
        <f>IF(ISERROR(HLOOKUP(D486,Data!$1:$1,1,FALSE)),"PROBLEM - Scheduled time not found.","")</f>
        <v/>
      </c>
    </row>
    <row r="487" spans="1:6" x14ac:dyDescent="0.25">
      <c r="A487" s="84" t="str">
        <f t="shared" si="7"/>
        <v>__</v>
      </c>
      <c r="B487" s="93"/>
      <c r="C487" s="93"/>
      <c r="D487" s="94"/>
      <c r="E487" s="95"/>
      <c r="F487" s="85" t="str">
        <f>IF(ISERROR(HLOOKUP(D487,Data!$1:$1,1,FALSE)),"PROBLEM - Scheduled time not found.","")</f>
        <v/>
      </c>
    </row>
    <row r="488" spans="1:6" x14ac:dyDescent="0.25">
      <c r="A488" s="84" t="str">
        <f t="shared" si="7"/>
        <v>__</v>
      </c>
      <c r="B488" s="93"/>
      <c r="C488" s="93"/>
      <c r="D488" s="94"/>
      <c r="E488" s="95"/>
      <c r="F488" s="85" t="str">
        <f>IF(ISERROR(HLOOKUP(D488,Data!$1:$1,1,FALSE)),"PROBLEM - Scheduled time not found.","")</f>
        <v/>
      </c>
    </row>
    <row r="489" spans="1:6" x14ac:dyDescent="0.25">
      <c r="A489" s="84" t="str">
        <f t="shared" si="7"/>
        <v>__</v>
      </c>
      <c r="B489" s="93"/>
      <c r="C489" s="93"/>
      <c r="D489" s="94"/>
      <c r="E489" s="95"/>
      <c r="F489" s="85" t="str">
        <f>IF(ISERROR(HLOOKUP(D489,Data!$1:$1,1,FALSE)),"PROBLEM - Scheduled time not found.","")</f>
        <v/>
      </c>
    </row>
    <row r="490" spans="1:6" x14ac:dyDescent="0.25">
      <c r="A490" s="84" t="str">
        <f t="shared" si="7"/>
        <v>__</v>
      </c>
      <c r="B490" s="93"/>
      <c r="C490" s="93"/>
      <c r="D490" s="94"/>
      <c r="E490" s="95"/>
      <c r="F490" s="85" t="str">
        <f>IF(ISERROR(HLOOKUP(D490,Data!$1:$1,1,FALSE)),"PROBLEM - Scheduled time not found.","")</f>
        <v/>
      </c>
    </row>
    <row r="491" spans="1:6" x14ac:dyDescent="0.25">
      <c r="A491" s="84" t="str">
        <f t="shared" si="7"/>
        <v>__</v>
      </c>
      <c r="B491" s="93"/>
      <c r="C491" s="93"/>
      <c r="D491" s="94"/>
      <c r="E491" s="95"/>
      <c r="F491" s="85" t="str">
        <f>IF(ISERROR(HLOOKUP(D491,Data!$1:$1,1,FALSE)),"PROBLEM - Scheduled time not found.","")</f>
        <v/>
      </c>
    </row>
    <row r="492" spans="1:6" x14ac:dyDescent="0.25">
      <c r="A492" s="84" t="str">
        <f t="shared" si="7"/>
        <v>__</v>
      </c>
      <c r="B492" s="93"/>
      <c r="C492" s="93"/>
      <c r="D492" s="94"/>
      <c r="E492" s="95"/>
      <c r="F492" s="85" t="str">
        <f>IF(ISERROR(HLOOKUP(D492,Data!$1:$1,1,FALSE)),"PROBLEM - Scheduled time not found.","")</f>
        <v/>
      </c>
    </row>
    <row r="493" spans="1:6" x14ac:dyDescent="0.25">
      <c r="A493" s="84" t="str">
        <f t="shared" si="7"/>
        <v>__</v>
      </c>
      <c r="B493" s="93"/>
      <c r="C493" s="93"/>
      <c r="D493" s="94"/>
      <c r="E493" s="95"/>
      <c r="F493" s="85" t="str">
        <f>IF(ISERROR(HLOOKUP(D493,Data!$1:$1,1,FALSE)),"PROBLEM - Scheduled time not found.","")</f>
        <v/>
      </c>
    </row>
    <row r="494" spans="1:6" x14ac:dyDescent="0.25">
      <c r="A494" s="84" t="str">
        <f t="shared" si="7"/>
        <v>__</v>
      </c>
      <c r="B494" s="93"/>
      <c r="C494" s="93"/>
      <c r="D494" s="94"/>
      <c r="E494" s="95"/>
      <c r="F494" s="85" t="str">
        <f>IF(ISERROR(HLOOKUP(D494,Data!$1:$1,1,FALSE)),"PROBLEM - Scheduled time not found.","")</f>
        <v/>
      </c>
    </row>
    <row r="495" spans="1:6" x14ac:dyDescent="0.25">
      <c r="A495" s="84" t="str">
        <f t="shared" si="7"/>
        <v>__</v>
      </c>
      <c r="B495" s="93"/>
      <c r="C495" s="93"/>
      <c r="D495" s="94"/>
      <c r="E495" s="95"/>
      <c r="F495" s="85" t="str">
        <f>IF(ISERROR(HLOOKUP(D495,Data!$1:$1,1,FALSE)),"PROBLEM - Scheduled time not found.","")</f>
        <v/>
      </c>
    </row>
    <row r="496" spans="1:6" x14ac:dyDescent="0.25">
      <c r="A496" s="84" t="str">
        <f t="shared" si="7"/>
        <v>__</v>
      </c>
      <c r="B496" s="93"/>
      <c r="C496" s="93"/>
      <c r="D496" s="94"/>
      <c r="E496" s="95"/>
      <c r="F496" s="85" t="str">
        <f>IF(ISERROR(HLOOKUP(D496,Data!$1:$1,1,FALSE)),"PROBLEM - Scheduled time not found.","")</f>
        <v/>
      </c>
    </row>
    <row r="497" spans="1:6" x14ac:dyDescent="0.25">
      <c r="A497" s="84" t="str">
        <f t="shared" si="7"/>
        <v>__</v>
      </c>
      <c r="B497" s="93"/>
      <c r="C497" s="93"/>
      <c r="D497" s="94"/>
      <c r="E497" s="95"/>
      <c r="F497" s="85" t="str">
        <f>IF(ISERROR(HLOOKUP(D497,Data!$1:$1,1,FALSE)),"PROBLEM - Scheduled time not found.","")</f>
        <v/>
      </c>
    </row>
    <row r="498" spans="1:6" x14ac:dyDescent="0.25">
      <c r="A498" s="84" t="str">
        <f t="shared" si="7"/>
        <v>__</v>
      </c>
      <c r="B498" s="93"/>
      <c r="C498" s="93"/>
      <c r="D498" s="94"/>
      <c r="E498" s="95"/>
      <c r="F498" s="85" t="str">
        <f>IF(ISERROR(HLOOKUP(D498,Data!$1:$1,1,FALSE)),"PROBLEM - Scheduled time not found.","")</f>
        <v/>
      </c>
    </row>
    <row r="499" spans="1:6" x14ac:dyDescent="0.25">
      <c r="A499" s="84" t="str">
        <f t="shared" si="7"/>
        <v>__</v>
      </c>
      <c r="B499" s="93"/>
      <c r="C499" s="93"/>
      <c r="D499" s="94"/>
      <c r="E499" s="95"/>
      <c r="F499" s="85" t="str">
        <f>IF(ISERROR(HLOOKUP(D499,Data!$1:$1,1,FALSE)),"PROBLEM - Scheduled time not found.","")</f>
        <v/>
      </c>
    </row>
    <row r="500" spans="1:6" x14ac:dyDescent="0.25">
      <c r="A500" s="84" t="str">
        <f t="shared" si="7"/>
        <v>__</v>
      </c>
      <c r="B500" s="93"/>
      <c r="C500" s="93"/>
      <c r="D500" s="94"/>
      <c r="E500" s="95"/>
      <c r="F500" s="85" t="str">
        <f>IF(ISERROR(HLOOKUP(D500,Data!$1:$1,1,FALSE)),"PROBLEM - Scheduled time not found.","")</f>
        <v/>
      </c>
    </row>
    <row r="501" spans="1:6" x14ac:dyDescent="0.25">
      <c r="A501" s="84" t="str">
        <f t="shared" si="7"/>
        <v>__</v>
      </c>
      <c r="B501" s="93"/>
      <c r="C501" s="93"/>
      <c r="D501" s="94"/>
      <c r="E501" s="95"/>
      <c r="F501" s="85" t="str">
        <f>IF(ISERROR(HLOOKUP(D501,Data!$1:$1,1,FALSE)),"PROBLEM - Scheduled time not found.","")</f>
        <v/>
      </c>
    </row>
    <row r="502" spans="1:6" x14ac:dyDescent="0.25">
      <c r="A502" s="84" t="str">
        <f t="shared" si="7"/>
        <v>__</v>
      </c>
      <c r="B502" s="93"/>
      <c r="C502" s="93"/>
      <c r="D502" s="94"/>
      <c r="E502" s="95"/>
      <c r="F502" s="85" t="str">
        <f>IF(ISERROR(HLOOKUP(D502,Data!$1:$1,1,FALSE)),"PROBLEM - Scheduled time not found.","")</f>
        <v/>
      </c>
    </row>
    <row r="503" spans="1:6" x14ac:dyDescent="0.25">
      <c r="A503" s="84" t="str">
        <f t="shared" si="7"/>
        <v>__</v>
      </c>
      <c r="B503" s="93"/>
      <c r="C503" s="93"/>
      <c r="D503" s="94"/>
      <c r="E503" s="95"/>
      <c r="F503" s="85" t="str">
        <f>IF(ISERROR(HLOOKUP(D503,Data!$1:$1,1,FALSE)),"PROBLEM - Scheduled time not found.","")</f>
        <v/>
      </c>
    </row>
    <row r="504" spans="1:6" x14ac:dyDescent="0.25">
      <c r="A504" s="84" t="str">
        <f t="shared" si="7"/>
        <v>__</v>
      </c>
      <c r="B504" s="93"/>
      <c r="C504" s="93"/>
      <c r="D504" s="94"/>
      <c r="E504" s="95"/>
      <c r="F504" s="85" t="str">
        <f>IF(ISERROR(HLOOKUP(D504,Data!$1:$1,1,FALSE)),"PROBLEM - Scheduled time not found.","")</f>
        <v/>
      </c>
    </row>
    <row r="505" spans="1:6" x14ac:dyDescent="0.25">
      <c r="A505" s="84" t="str">
        <f t="shared" si="7"/>
        <v>__</v>
      </c>
      <c r="B505" s="93"/>
      <c r="C505" s="93"/>
      <c r="D505" s="94"/>
      <c r="E505" s="95"/>
      <c r="F505" s="85" t="str">
        <f>IF(ISERROR(HLOOKUP(D505,Data!$1:$1,1,FALSE)),"PROBLEM - Scheduled time not found.","")</f>
        <v/>
      </c>
    </row>
    <row r="506" spans="1:6" x14ac:dyDescent="0.25">
      <c r="A506" s="84" t="str">
        <f t="shared" si="7"/>
        <v>__</v>
      </c>
      <c r="B506" s="93"/>
      <c r="C506" s="93"/>
      <c r="D506" s="94"/>
      <c r="E506" s="95"/>
      <c r="F506" s="85" t="str">
        <f>IF(ISERROR(HLOOKUP(D506,Data!$1:$1,1,FALSE)),"PROBLEM - Scheduled time not found.","")</f>
        <v/>
      </c>
    </row>
    <row r="507" spans="1:6" x14ac:dyDescent="0.25">
      <c r="A507" s="84" t="str">
        <f t="shared" si="7"/>
        <v>__</v>
      </c>
      <c r="B507" s="93"/>
      <c r="C507" s="93"/>
      <c r="D507" s="94"/>
      <c r="E507" s="95"/>
      <c r="F507" s="85" t="str">
        <f>IF(ISERROR(HLOOKUP(D507,Data!$1:$1,1,FALSE)),"PROBLEM - Scheduled time not found.","")</f>
        <v/>
      </c>
    </row>
    <row r="508" spans="1:6" x14ac:dyDescent="0.25">
      <c r="A508" s="84" t="str">
        <f t="shared" si="7"/>
        <v>__</v>
      </c>
      <c r="B508" s="93"/>
      <c r="C508" s="93"/>
      <c r="D508" s="94"/>
      <c r="E508" s="95"/>
      <c r="F508" s="85" t="str">
        <f>IF(ISERROR(HLOOKUP(D508,Data!$1:$1,1,FALSE)),"PROBLEM - Scheduled time not found.","")</f>
        <v/>
      </c>
    </row>
    <row r="509" spans="1:6" x14ac:dyDescent="0.25">
      <c r="A509" s="84" t="str">
        <f t="shared" si="7"/>
        <v>__</v>
      </c>
      <c r="B509" s="93"/>
      <c r="C509" s="93"/>
      <c r="D509" s="94"/>
      <c r="E509" s="95"/>
      <c r="F509" s="85" t="str">
        <f>IF(ISERROR(HLOOKUP(D509,Data!$1:$1,1,FALSE)),"PROBLEM - Scheduled time not found.","")</f>
        <v/>
      </c>
    </row>
    <row r="510" spans="1:6" x14ac:dyDescent="0.25">
      <c r="A510" s="84" t="str">
        <f t="shared" si="7"/>
        <v>__</v>
      </c>
      <c r="B510" s="93"/>
      <c r="C510" s="93"/>
      <c r="D510" s="94"/>
      <c r="E510" s="95"/>
      <c r="F510" s="85" t="str">
        <f>IF(ISERROR(HLOOKUP(D510,Data!$1:$1,1,FALSE)),"PROBLEM - Scheduled time not found.","")</f>
        <v/>
      </c>
    </row>
    <row r="511" spans="1:6" x14ac:dyDescent="0.25">
      <c r="A511" s="84" t="str">
        <f t="shared" si="7"/>
        <v>__</v>
      </c>
      <c r="B511" s="93"/>
      <c r="C511" s="93"/>
      <c r="D511" s="94"/>
      <c r="E511" s="95"/>
      <c r="F511" s="85" t="str">
        <f>IF(ISERROR(HLOOKUP(D511,Data!$1:$1,1,FALSE)),"PROBLEM - Scheduled time not found.","")</f>
        <v/>
      </c>
    </row>
    <row r="512" spans="1:6" x14ac:dyDescent="0.25">
      <c r="A512" s="84" t="str">
        <f t="shared" si="7"/>
        <v>__</v>
      </c>
      <c r="B512" s="93"/>
      <c r="C512" s="93"/>
      <c r="D512" s="94"/>
      <c r="E512" s="95"/>
      <c r="F512" s="85" t="str">
        <f>IF(ISERROR(HLOOKUP(D512,Data!$1:$1,1,FALSE)),"PROBLEM - Scheduled time not found.","")</f>
        <v/>
      </c>
    </row>
    <row r="513" spans="1:6" x14ac:dyDescent="0.25">
      <c r="A513" s="84" t="str">
        <f t="shared" si="7"/>
        <v>__</v>
      </c>
      <c r="B513" s="93"/>
      <c r="C513" s="93"/>
      <c r="D513" s="94"/>
      <c r="E513" s="95"/>
      <c r="F513" s="85" t="str">
        <f>IF(ISERROR(HLOOKUP(D513,Data!$1:$1,1,FALSE)),"PROBLEM - Scheduled time not found.","")</f>
        <v/>
      </c>
    </row>
    <row r="514" spans="1:6" x14ac:dyDescent="0.25">
      <c r="A514" s="84" t="str">
        <f t="shared" si="7"/>
        <v>__</v>
      </c>
      <c r="B514" s="93"/>
      <c r="C514" s="93"/>
      <c r="D514" s="94"/>
      <c r="E514" s="95"/>
      <c r="F514" s="85" t="str">
        <f>IF(ISERROR(HLOOKUP(D514,Data!$1:$1,1,FALSE)),"PROBLEM - Scheduled time not found.","")</f>
        <v/>
      </c>
    </row>
    <row r="515" spans="1:6" x14ac:dyDescent="0.25">
      <c r="A515" s="84" t="str">
        <f t="shared" ref="A515:A578" si="8">B515&amp;"_"&amp;C515&amp;"_"&amp;D515</f>
        <v>__</v>
      </c>
      <c r="B515" s="93"/>
      <c r="C515" s="93"/>
      <c r="D515" s="94"/>
      <c r="E515" s="95"/>
      <c r="F515" s="85" t="str">
        <f>IF(ISERROR(HLOOKUP(D515,Data!$1:$1,1,FALSE)),"PROBLEM - Scheduled time not found.","")</f>
        <v/>
      </c>
    </row>
    <row r="516" spans="1:6" x14ac:dyDescent="0.25">
      <c r="A516" s="84" t="str">
        <f t="shared" si="8"/>
        <v>__</v>
      </c>
      <c r="B516" s="93"/>
      <c r="C516" s="93"/>
      <c r="D516" s="94"/>
      <c r="E516" s="95"/>
      <c r="F516" s="85" t="str">
        <f>IF(ISERROR(HLOOKUP(D516,Data!$1:$1,1,FALSE)),"PROBLEM - Scheduled time not found.","")</f>
        <v/>
      </c>
    </row>
    <row r="517" spans="1:6" x14ac:dyDescent="0.25">
      <c r="A517" s="84" t="str">
        <f t="shared" si="8"/>
        <v>__</v>
      </c>
      <c r="B517" s="93"/>
      <c r="C517" s="93"/>
      <c r="D517" s="94"/>
      <c r="E517" s="95"/>
      <c r="F517" s="85" t="str">
        <f>IF(ISERROR(HLOOKUP(D517,Data!$1:$1,1,FALSE)),"PROBLEM - Scheduled time not found.","")</f>
        <v/>
      </c>
    </row>
    <row r="518" spans="1:6" x14ac:dyDescent="0.25">
      <c r="A518" s="84" t="str">
        <f t="shared" si="8"/>
        <v>__</v>
      </c>
      <c r="B518" s="93"/>
      <c r="C518" s="93"/>
      <c r="D518" s="94"/>
      <c r="E518" s="95"/>
      <c r="F518" s="85" t="str">
        <f>IF(ISERROR(HLOOKUP(D518,Data!$1:$1,1,FALSE)),"PROBLEM - Scheduled time not found.","")</f>
        <v/>
      </c>
    </row>
    <row r="519" spans="1:6" x14ac:dyDescent="0.25">
      <c r="A519" s="84" t="str">
        <f t="shared" si="8"/>
        <v>__</v>
      </c>
      <c r="B519" s="93"/>
      <c r="C519" s="93"/>
      <c r="D519" s="94"/>
      <c r="E519" s="95"/>
      <c r="F519" s="85" t="str">
        <f>IF(ISERROR(HLOOKUP(D519,Data!$1:$1,1,FALSE)),"PROBLEM - Scheduled time not found.","")</f>
        <v/>
      </c>
    </row>
    <row r="520" spans="1:6" x14ac:dyDescent="0.25">
      <c r="A520" s="84" t="str">
        <f t="shared" si="8"/>
        <v>__</v>
      </c>
      <c r="B520" s="93"/>
      <c r="C520" s="93"/>
      <c r="D520" s="94"/>
      <c r="E520" s="95"/>
      <c r="F520" s="85" t="str">
        <f>IF(ISERROR(HLOOKUP(D520,Data!$1:$1,1,FALSE)),"PROBLEM - Scheduled time not found.","")</f>
        <v/>
      </c>
    </row>
    <row r="521" spans="1:6" x14ac:dyDescent="0.25">
      <c r="A521" s="84" t="str">
        <f t="shared" si="8"/>
        <v>__</v>
      </c>
      <c r="B521" s="93"/>
      <c r="C521" s="93"/>
      <c r="D521" s="94"/>
      <c r="E521" s="95"/>
      <c r="F521" s="85" t="str">
        <f>IF(ISERROR(HLOOKUP(D521,Data!$1:$1,1,FALSE)),"PROBLEM - Scheduled time not found.","")</f>
        <v/>
      </c>
    </row>
    <row r="522" spans="1:6" x14ac:dyDescent="0.25">
      <c r="A522" s="84" t="str">
        <f t="shared" si="8"/>
        <v>__</v>
      </c>
      <c r="B522" s="93"/>
      <c r="C522" s="93"/>
      <c r="D522" s="94"/>
      <c r="E522" s="95"/>
      <c r="F522" s="85" t="str">
        <f>IF(ISERROR(HLOOKUP(D522,Data!$1:$1,1,FALSE)),"PROBLEM - Scheduled time not found.","")</f>
        <v/>
      </c>
    </row>
    <row r="523" spans="1:6" x14ac:dyDescent="0.25">
      <c r="A523" s="84" t="str">
        <f t="shared" si="8"/>
        <v>__</v>
      </c>
      <c r="B523" s="93"/>
      <c r="C523" s="93"/>
      <c r="D523" s="94"/>
      <c r="E523" s="95"/>
      <c r="F523" s="85" t="str">
        <f>IF(ISERROR(HLOOKUP(D523,Data!$1:$1,1,FALSE)),"PROBLEM - Scheduled time not found.","")</f>
        <v/>
      </c>
    </row>
    <row r="524" spans="1:6" x14ac:dyDescent="0.25">
      <c r="A524" s="84" t="str">
        <f t="shared" si="8"/>
        <v>__</v>
      </c>
      <c r="B524" s="93"/>
      <c r="C524" s="93"/>
      <c r="D524" s="94"/>
      <c r="E524" s="95"/>
      <c r="F524" s="85" t="str">
        <f>IF(ISERROR(HLOOKUP(D524,Data!$1:$1,1,FALSE)),"PROBLEM - Scheduled time not found.","")</f>
        <v/>
      </c>
    </row>
    <row r="525" spans="1:6" x14ac:dyDescent="0.25">
      <c r="A525" s="84" t="str">
        <f t="shared" si="8"/>
        <v>__</v>
      </c>
      <c r="B525" s="93"/>
      <c r="C525" s="93"/>
      <c r="D525" s="94"/>
      <c r="E525" s="95"/>
      <c r="F525" s="85" t="str">
        <f>IF(ISERROR(HLOOKUP(D525,Data!$1:$1,1,FALSE)),"PROBLEM - Scheduled time not found.","")</f>
        <v/>
      </c>
    </row>
    <row r="526" spans="1:6" x14ac:dyDescent="0.25">
      <c r="A526" s="84" t="str">
        <f t="shared" si="8"/>
        <v>__</v>
      </c>
      <c r="B526" s="93"/>
      <c r="C526" s="93"/>
      <c r="D526" s="94"/>
      <c r="E526" s="95"/>
      <c r="F526" s="85" t="str">
        <f>IF(ISERROR(HLOOKUP(D526,Data!$1:$1,1,FALSE)),"PROBLEM - Scheduled time not found.","")</f>
        <v/>
      </c>
    </row>
    <row r="527" spans="1:6" x14ac:dyDescent="0.25">
      <c r="A527" s="84" t="str">
        <f t="shared" si="8"/>
        <v>__</v>
      </c>
      <c r="B527" s="93"/>
      <c r="C527" s="93"/>
      <c r="D527" s="94"/>
      <c r="E527" s="95"/>
      <c r="F527" s="85" t="str">
        <f>IF(ISERROR(HLOOKUP(D527,Data!$1:$1,1,FALSE)),"PROBLEM - Scheduled time not found.","")</f>
        <v/>
      </c>
    </row>
    <row r="528" spans="1:6" x14ac:dyDescent="0.25">
      <c r="A528" s="84" t="str">
        <f t="shared" si="8"/>
        <v>__</v>
      </c>
      <c r="B528" s="93"/>
      <c r="C528" s="93"/>
      <c r="D528" s="94"/>
      <c r="E528" s="95"/>
      <c r="F528" s="85" t="str">
        <f>IF(ISERROR(HLOOKUP(D528,Data!$1:$1,1,FALSE)),"PROBLEM - Scheduled time not found.","")</f>
        <v/>
      </c>
    </row>
    <row r="529" spans="1:6" x14ac:dyDescent="0.25">
      <c r="A529" s="84" t="str">
        <f t="shared" si="8"/>
        <v>__</v>
      </c>
      <c r="B529" s="93"/>
      <c r="C529" s="93"/>
      <c r="D529" s="94"/>
      <c r="E529" s="95"/>
      <c r="F529" s="85" t="str">
        <f>IF(ISERROR(HLOOKUP(D529,Data!$1:$1,1,FALSE)),"PROBLEM - Scheduled time not found.","")</f>
        <v/>
      </c>
    </row>
    <row r="530" spans="1:6" x14ac:dyDescent="0.25">
      <c r="A530" s="84" t="str">
        <f t="shared" si="8"/>
        <v>__</v>
      </c>
      <c r="B530" s="93"/>
      <c r="C530" s="93"/>
      <c r="D530" s="94"/>
      <c r="E530" s="95"/>
      <c r="F530" s="85" t="str">
        <f>IF(ISERROR(HLOOKUP(D530,Data!$1:$1,1,FALSE)),"PROBLEM - Scheduled time not found.","")</f>
        <v/>
      </c>
    </row>
    <row r="531" spans="1:6" x14ac:dyDescent="0.25">
      <c r="A531" s="84" t="str">
        <f t="shared" si="8"/>
        <v>__</v>
      </c>
      <c r="B531" s="93"/>
      <c r="C531" s="93"/>
      <c r="D531" s="94"/>
      <c r="E531" s="95"/>
      <c r="F531" s="85" t="str">
        <f>IF(ISERROR(HLOOKUP(D531,Data!$1:$1,1,FALSE)),"PROBLEM - Scheduled time not found.","")</f>
        <v/>
      </c>
    </row>
    <row r="532" spans="1:6" x14ac:dyDescent="0.25">
      <c r="A532" s="84" t="str">
        <f t="shared" si="8"/>
        <v>__</v>
      </c>
      <c r="B532" s="93"/>
      <c r="C532" s="93"/>
      <c r="D532" s="94"/>
      <c r="E532" s="95"/>
      <c r="F532" s="85" t="str">
        <f>IF(ISERROR(HLOOKUP(D532,Data!$1:$1,1,FALSE)),"PROBLEM - Scheduled time not found.","")</f>
        <v/>
      </c>
    </row>
    <row r="533" spans="1:6" x14ac:dyDescent="0.25">
      <c r="A533" s="84" t="str">
        <f t="shared" si="8"/>
        <v>__</v>
      </c>
      <c r="B533" s="93"/>
      <c r="C533" s="93"/>
      <c r="D533" s="94"/>
      <c r="E533" s="95"/>
      <c r="F533" s="85" t="str">
        <f>IF(ISERROR(HLOOKUP(D533,Data!$1:$1,1,FALSE)),"PROBLEM - Scheduled time not found.","")</f>
        <v/>
      </c>
    </row>
    <row r="534" spans="1:6" x14ac:dyDescent="0.25">
      <c r="A534" s="84" t="str">
        <f t="shared" si="8"/>
        <v>__</v>
      </c>
      <c r="B534" s="93"/>
      <c r="C534" s="93"/>
      <c r="D534" s="94"/>
      <c r="E534" s="95"/>
      <c r="F534" s="85" t="str">
        <f>IF(ISERROR(HLOOKUP(D534,Data!$1:$1,1,FALSE)),"PROBLEM - Scheduled time not found.","")</f>
        <v/>
      </c>
    </row>
    <row r="535" spans="1:6" x14ac:dyDescent="0.25">
      <c r="A535" s="84" t="str">
        <f t="shared" si="8"/>
        <v>__</v>
      </c>
      <c r="B535" s="93"/>
      <c r="C535" s="93"/>
      <c r="D535" s="94"/>
      <c r="E535" s="95"/>
      <c r="F535" s="85" t="str">
        <f>IF(ISERROR(HLOOKUP(D535,Data!$1:$1,1,FALSE)),"PROBLEM - Scheduled time not found.","")</f>
        <v/>
      </c>
    </row>
    <row r="536" spans="1:6" x14ac:dyDescent="0.25">
      <c r="A536" s="84" t="str">
        <f t="shared" si="8"/>
        <v>__</v>
      </c>
      <c r="B536" s="93"/>
      <c r="C536" s="93"/>
      <c r="D536" s="94"/>
      <c r="E536" s="95"/>
      <c r="F536" s="85" t="str">
        <f>IF(ISERROR(HLOOKUP(D536,Data!$1:$1,1,FALSE)),"PROBLEM - Scheduled time not found.","")</f>
        <v/>
      </c>
    </row>
    <row r="537" spans="1:6" x14ac:dyDescent="0.25">
      <c r="A537" s="84" t="str">
        <f t="shared" si="8"/>
        <v>__</v>
      </c>
      <c r="B537" s="93"/>
      <c r="C537" s="93"/>
      <c r="D537" s="94"/>
      <c r="E537" s="95"/>
      <c r="F537" s="85" t="str">
        <f>IF(ISERROR(HLOOKUP(D537,Data!$1:$1,1,FALSE)),"PROBLEM - Scheduled time not found.","")</f>
        <v/>
      </c>
    </row>
    <row r="538" spans="1:6" x14ac:dyDescent="0.25">
      <c r="A538" s="84" t="str">
        <f t="shared" si="8"/>
        <v>__</v>
      </c>
      <c r="B538" s="93"/>
      <c r="C538" s="93"/>
      <c r="D538" s="94"/>
      <c r="E538" s="95"/>
      <c r="F538" s="85" t="str">
        <f>IF(ISERROR(HLOOKUP(D538,Data!$1:$1,1,FALSE)),"PROBLEM - Scheduled time not found.","")</f>
        <v/>
      </c>
    </row>
    <row r="539" spans="1:6" x14ac:dyDescent="0.25">
      <c r="A539" s="84" t="str">
        <f t="shared" si="8"/>
        <v>__</v>
      </c>
      <c r="B539" s="93"/>
      <c r="C539" s="93"/>
      <c r="D539" s="94"/>
      <c r="E539" s="95"/>
      <c r="F539" s="85" t="str">
        <f>IF(ISERROR(HLOOKUP(D539,Data!$1:$1,1,FALSE)),"PROBLEM - Scheduled time not found.","")</f>
        <v/>
      </c>
    </row>
    <row r="540" spans="1:6" x14ac:dyDescent="0.25">
      <c r="A540" s="84" t="str">
        <f t="shared" si="8"/>
        <v>__</v>
      </c>
      <c r="B540" s="93"/>
      <c r="C540" s="93"/>
      <c r="D540" s="94"/>
      <c r="E540" s="95"/>
      <c r="F540" s="85" t="str">
        <f>IF(ISERROR(HLOOKUP(D540,Data!$1:$1,1,FALSE)),"PROBLEM - Scheduled time not found.","")</f>
        <v/>
      </c>
    </row>
    <row r="541" spans="1:6" x14ac:dyDescent="0.25">
      <c r="A541" s="84" t="str">
        <f t="shared" si="8"/>
        <v>__</v>
      </c>
      <c r="B541" s="93"/>
      <c r="C541" s="93"/>
      <c r="D541" s="94"/>
      <c r="E541" s="95"/>
      <c r="F541" s="85" t="str">
        <f>IF(ISERROR(HLOOKUP(D541,Data!$1:$1,1,FALSE)),"PROBLEM - Scheduled time not found.","")</f>
        <v/>
      </c>
    </row>
    <row r="542" spans="1:6" x14ac:dyDescent="0.25">
      <c r="A542" s="84" t="str">
        <f t="shared" si="8"/>
        <v>__</v>
      </c>
      <c r="B542" s="93"/>
      <c r="C542" s="93"/>
      <c r="D542" s="94"/>
      <c r="E542" s="95"/>
      <c r="F542" s="85" t="str">
        <f>IF(ISERROR(HLOOKUP(D542,Data!$1:$1,1,FALSE)),"PROBLEM - Scheduled time not found.","")</f>
        <v/>
      </c>
    </row>
    <row r="543" spans="1:6" x14ac:dyDescent="0.25">
      <c r="A543" s="84" t="str">
        <f t="shared" si="8"/>
        <v>__</v>
      </c>
      <c r="B543" s="93"/>
      <c r="C543" s="93"/>
      <c r="D543" s="94"/>
      <c r="E543" s="95"/>
      <c r="F543" s="85" t="str">
        <f>IF(ISERROR(HLOOKUP(D543,Data!$1:$1,1,FALSE)),"PROBLEM - Scheduled time not found.","")</f>
        <v/>
      </c>
    </row>
    <row r="544" spans="1:6" x14ac:dyDescent="0.25">
      <c r="A544" s="84" t="str">
        <f t="shared" si="8"/>
        <v>__</v>
      </c>
      <c r="B544" s="93"/>
      <c r="C544" s="93"/>
      <c r="D544" s="94"/>
      <c r="E544" s="95"/>
      <c r="F544" s="85" t="str">
        <f>IF(ISERROR(HLOOKUP(D544,Data!$1:$1,1,FALSE)),"PROBLEM - Scheduled time not found.","")</f>
        <v/>
      </c>
    </row>
    <row r="545" spans="1:6" x14ac:dyDescent="0.25">
      <c r="A545" s="84" t="str">
        <f t="shared" si="8"/>
        <v>__</v>
      </c>
      <c r="B545" s="93"/>
      <c r="C545" s="93"/>
      <c r="D545" s="94"/>
      <c r="E545" s="95"/>
      <c r="F545" s="85" t="str">
        <f>IF(ISERROR(HLOOKUP(D545,Data!$1:$1,1,FALSE)),"PROBLEM - Scheduled time not found.","")</f>
        <v/>
      </c>
    </row>
    <row r="546" spans="1:6" x14ac:dyDescent="0.25">
      <c r="A546" s="84" t="str">
        <f t="shared" si="8"/>
        <v>__</v>
      </c>
      <c r="B546" s="93"/>
      <c r="C546" s="93"/>
      <c r="D546" s="94"/>
      <c r="E546" s="95"/>
      <c r="F546" s="85" t="str">
        <f>IF(ISERROR(HLOOKUP(D546,Data!$1:$1,1,FALSE)),"PROBLEM - Scheduled time not found.","")</f>
        <v/>
      </c>
    </row>
    <row r="547" spans="1:6" x14ac:dyDescent="0.25">
      <c r="A547" s="84" t="str">
        <f t="shared" si="8"/>
        <v>__</v>
      </c>
      <c r="B547" s="93"/>
      <c r="C547" s="93"/>
      <c r="D547" s="94"/>
      <c r="E547" s="95"/>
      <c r="F547" s="85" t="str">
        <f>IF(ISERROR(HLOOKUP(D547,Data!$1:$1,1,FALSE)),"PROBLEM - Scheduled time not found.","")</f>
        <v/>
      </c>
    </row>
    <row r="548" spans="1:6" x14ac:dyDescent="0.25">
      <c r="A548" s="84" t="str">
        <f t="shared" si="8"/>
        <v>__</v>
      </c>
      <c r="B548" s="93"/>
      <c r="C548" s="93"/>
      <c r="D548" s="94"/>
      <c r="E548" s="95"/>
      <c r="F548" s="85" t="str">
        <f>IF(ISERROR(HLOOKUP(D548,Data!$1:$1,1,FALSE)),"PROBLEM - Scheduled time not found.","")</f>
        <v/>
      </c>
    </row>
    <row r="549" spans="1:6" x14ac:dyDescent="0.25">
      <c r="A549" s="84" t="str">
        <f t="shared" si="8"/>
        <v>__</v>
      </c>
      <c r="B549" s="93"/>
      <c r="C549" s="93"/>
      <c r="D549" s="94"/>
      <c r="E549" s="95"/>
      <c r="F549" s="85" t="str">
        <f>IF(ISERROR(HLOOKUP(D549,Data!$1:$1,1,FALSE)),"PROBLEM - Scheduled time not found.","")</f>
        <v/>
      </c>
    </row>
    <row r="550" spans="1:6" x14ac:dyDescent="0.25">
      <c r="A550" s="84" t="str">
        <f t="shared" si="8"/>
        <v>__</v>
      </c>
      <c r="B550" s="93"/>
      <c r="C550" s="93"/>
      <c r="D550" s="94"/>
      <c r="E550" s="95"/>
      <c r="F550" s="85" t="str">
        <f>IF(ISERROR(HLOOKUP(D550,Data!$1:$1,1,FALSE)),"PROBLEM - Scheduled time not found.","")</f>
        <v/>
      </c>
    </row>
    <row r="551" spans="1:6" x14ac:dyDescent="0.25">
      <c r="A551" s="84" t="str">
        <f t="shared" si="8"/>
        <v>__</v>
      </c>
      <c r="B551" s="93"/>
      <c r="C551" s="93"/>
      <c r="D551" s="94"/>
      <c r="E551" s="95"/>
      <c r="F551" s="85" t="str">
        <f>IF(ISERROR(HLOOKUP(D551,Data!$1:$1,1,FALSE)),"PROBLEM - Scheduled time not found.","")</f>
        <v/>
      </c>
    </row>
    <row r="552" spans="1:6" x14ac:dyDescent="0.25">
      <c r="A552" s="84" t="str">
        <f t="shared" si="8"/>
        <v>__</v>
      </c>
      <c r="B552" s="93"/>
      <c r="C552" s="93"/>
      <c r="D552" s="94"/>
      <c r="E552" s="95"/>
      <c r="F552" s="85" t="str">
        <f>IF(ISERROR(HLOOKUP(D552,Data!$1:$1,1,FALSE)),"PROBLEM - Scheduled time not found.","")</f>
        <v/>
      </c>
    </row>
    <row r="553" spans="1:6" x14ac:dyDescent="0.25">
      <c r="A553" s="84" t="str">
        <f t="shared" si="8"/>
        <v>__</v>
      </c>
      <c r="B553" s="93"/>
      <c r="C553" s="93"/>
      <c r="D553" s="94"/>
      <c r="E553" s="95"/>
      <c r="F553" s="85" t="str">
        <f>IF(ISERROR(HLOOKUP(D553,Data!$1:$1,1,FALSE)),"PROBLEM - Scheduled time not found.","")</f>
        <v/>
      </c>
    </row>
    <row r="554" spans="1:6" x14ac:dyDescent="0.25">
      <c r="A554" s="84" t="str">
        <f t="shared" si="8"/>
        <v>__</v>
      </c>
      <c r="B554" s="93"/>
      <c r="C554" s="93"/>
      <c r="D554" s="94"/>
      <c r="E554" s="95"/>
      <c r="F554" s="85" t="str">
        <f>IF(ISERROR(HLOOKUP(D554,Data!$1:$1,1,FALSE)),"PROBLEM - Scheduled time not found.","")</f>
        <v/>
      </c>
    </row>
    <row r="555" spans="1:6" x14ac:dyDescent="0.25">
      <c r="A555" s="84" t="str">
        <f t="shared" si="8"/>
        <v>__</v>
      </c>
      <c r="B555" s="93"/>
      <c r="C555" s="93"/>
      <c r="D555" s="94"/>
      <c r="E555" s="95"/>
      <c r="F555" s="85" t="str">
        <f>IF(ISERROR(HLOOKUP(D555,Data!$1:$1,1,FALSE)),"PROBLEM - Scheduled time not found.","")</f>
        <v/>
      </c>
    </row>
    <row r="556" spans="1:6" x14ac:dyDescent="0.25">
      <c r="A556" s="84" t="str">
        <f t="shared" si="8"/>
        <v>__</v>
      </c>
      <c r="B556" s="93"/>
      <c r="C556" s="93"/>
      <c r="D556" s="94"/>
      <c r="E556" s="95"/>
      <c r="F556" s="85" t="str">
        <f>IF(ISERROR(HLOOKUP(D556,Data!$1:$1,1,FALSE)),"PROBLEM - Scheduled time not found.","")</f>
        <v/>
      </c>
    </row>
    <row r="557" spans="1:6" x14ac:dyDescent="0.25">
      <c r="A557" s="84" t="str">
        <f t="shared" si="8"/>
        <v>__</v>
      </c>
      <c r="B557" s="93"/>
      <c r="C557" s="93"/>
      <c r="D557" s="94"/>
      <c r="E557" s="95"/>
      <c r="F557" s="85" t="str">
        <f>IF(ISERROR(HLOOKUP(D557,Data!$1:$1,1,FALSE)),"PROBLEM - Scheduled time not found.","")</f>
        <v/>
      </c>
    </row>
    <row r="558" spans="1:6" x14ac:dyDescent="0.25">
      <c r="A558" s="84" t="str">
        <f t="shared" si="8"/>
        <v>__</v>
      </c>
      <c r="B558" s="93"/>
      <c r="C558" s="93"/>
      <c r="D558" s="94"/>
      <c r="E558" s="95"/>
      <c r="F558" s="85" t="str">
        <f>IF(ISERROR(HLOOKUP(D558,Data!$1:$1,1,FALSE)),"PROBLEM - Scheduled time not found.","")</f>
        <v/>
      </c>
    </row>
    <row r="559" spans="1:6" x14ac:dyDescent="0.25">
      <c r="A559" s="84" t="str">
        <f t="shared" si="8"/>
        <v>__</v>
      </c>
      <c r="B559" s="93"/>
      <c r="C559" s="93"/>
      <c r="D559" s="94"/>
      <c r="E559" s="95"/>
      <c r="F559" s="85" t="str">
        <f>IF(ISERROR(HLOOKUP(D559,Data!$1:$1,1,FALSE)),"PROBLEM - Scheduled time not found.","")</f>
        <v/>
      </c>
    </row>
    <row r="560" spans="1:6" x14ac:dyDescent="0.25">
      <c r="A560" s="84" t="str">
        <f t="shared" si="8"/>
        <v>__</v>
      </c>
      <c r="B560" s="93"/>
      <c r="C560" s="93"/>
      <c r="D560" s="94"/>
      <c r="E560" s="95"/>
      <c r="F560" s="85" t="str">
        <f>IF(ISERROR(HLOOKUP(D560,Data!$1:$1,1,FALSE)),"PROBLEM - Scheduled time not found.","")</f>
        <v/>
      </c>
    </row>
    <row r="561" spans="1:6" x14ac:dyDescent="0.25">
      <c r="A561" s="84" t="str">
        <f t="shared" si="8"/>
        <v>__</v>
      </c>
      <c r="B561" s="93"/>
      <c r="C561" s="93"/>
      <c r="D561" s="94"/>
      <c r="E561" s="95"/>
      <c r="F561" s="85" t="str">
        <f>IF(ISERROR(HLOOKUP(D561,Data!$1:$1,1,FALSE)),"PROBLEM - Scheduled time not found.","")</f>
        <v/>
      </c>
    </row>
    <row r="562" spans="1:6" x14ac:dyDescent="0.25">
      <c r="A562" s="84" t="str">
        <f t="shared" si="8"/>
        <v>__</v>
      </c>
      <c r="B562" s="93"/>
      <c r="C562" s="93"/>
      <c r="D562" s="94"/>
      <c r="E562" s="95"/>
      <c r="F562" s="85" t="str">
        <f>IF(ISERROR(HLOOKUP(D562,Data!$1:$1,1,FALSE)),"PROBLEM - Scheduled time not found.","")</f>
        <v/>
      </c>
    </row>
    <row r="563" spans="1:6" x14ac:dyDescent="0.25">
      <c r="A563" s="84" t="str">
        <f t="shared" si="8"/>
        <v>__</v>
      </c>
      <c r="B563" s="93"/>
      <c r="C563" s="93"/>
      <c r="D563" s="94"/>
      <c r="E563" s="95"/>
      <c r="F563" s="85" t="str">
        <f>IF(ISERROR(HLOOKUP(D563,Data!$1:$1,1,FALSE)),"PROBLEM - Scheduled time not found.","")</f>
        <v/>
      </c>
    </row>
    <row r="564" spans="1:6" x14ac:dyDescent="0.25">
      <c r="A564" s="84" t="str">
        <f t="shared" si="8"/>
        <v>__</v>
      </c>
      <c r="B564" s="93"/>
      <c r="C564" s="93"/>
      <c r="D564" s="94"/>
      <c r="E564" s="95"/>
      <c r="F564" s="85" t="str">
        <f>IF(ISERROR(HLOOKUP(D564,Data!$1:$1,1,FALSE)),"PROBLEM - Scheduled time not found.","")</f>
        <v/>
      </c>
    </row>
    <row r="565" spans="1:6" x14ac:dyDescent="0.25">
      <c r="A565" s="84" t="str">
        <f t="shared" si="8"/>
        <v>__</v>
      </c>
      <c r="B565" s="93"/>
      <c r="C565" s="93"/>
      <c r="D565" s="94"/>
      <c r="E565" s="95"/>
      <c r="F565" s="85" t="str">
        <f>IF(ISERROR(HLOOKUP(D565,Data!$1:$1,1,FALSE)),"PROBLEM - Scheduled time not found.","")</f>
        <v/>
      </c>
    </row>
    <row r="566" spans="1:6" x14ac:dyDescent="0.25">
      <c r="A566" s="84" t="str">
        <f t="shared" si="8"/>
        <v>__</v>
      </c>
      <c r="B566" s="93"/>
      <c r="C566" s="93"/>
      <c r="D566" s="94"/>
      <c r="E566" s="95"/>
      <c r="F566" s="85" t="str">
        <f>IF(ISERROR(HLOOKUP(D566,Data!$1:$1,1,FALSE)),"PROBLEM - Scheduled time not found.","")</f>
        <v/>
      </c>
    </row>
    <row r="567" spans="1:6" x14ac:dyDescent="0.25">
      <c r="A567" s="84" t="str">
        <f t="shared" si="8"/>
        <v>__</v>
      </c>
      <c r="B567" s="93"/>
      <c r="C567" s="93"/>
      <c r="D567" s="94"/>
      <c r="E567" s="95"/>
      <c r="F567" s="85" t="str">
        <f>IF(ISERROR(HLOOKUP(D567,Data!$1:$1,1,FALSE)),"PROBLEM - Scheduled time not found.","")</f>
        <v/>
      </c>
    </row>
    <row r="568" spans="1:6" x14ac:dyDescent="0.25">
      <c r="A568" s="84" t="str">
        <f t="shared" si="8"/>
        <v>__</v>
      </c>
      <c r="B568" s="93"/>
      <c r="C568" s="93"/>
      <c r="D568" s="94"/>
      <c r="E568" s="95"/>
      <c r="F568" s="85" t="str">
        <f>IF(ISERROR(HLOOKUP(D568,Data!$1:$1,1,FALSE)),"PROBLEM - Scheduled time not found.","")</f>
        <v/>
      </c>
    </row>
    <row r="569" spans="1:6" x14ac:dyDescent="0.25">
      <c r="A569" s="84" t="str">
        <f t="shared" si="8"/>
        <v>__</v>
      </c>
      <c r="B569" s="93"/>
      <c r="C569" s="93"/>
      <c r="D569" s="94"/>
      <c r="E569" s="95"/>
      <c r="F569" s="85" t="str">
        <f>IF(ISERROR(HLOOKUP(D569,Data!$1:$1,1,FALSE)),"PROBLEM - Scheduled time not found.","")</f>
        <v/>
      </c>
    </row>
    <row r="570" spans="1:6" x14ac:dyDescent="0.25">
      <c r="A570" s="84" t="str">
        <f t="shared" si="8"/>
        <v>__</v>
      </c>
      <c r="B570" s="93"/>
      <c r="C570" s="93"/>
      <c r="D570" s="94"/>
      <c r="E570" s="95"/>
      <c r="F570" s="85" t="str">
        <f>IF(ISERROR(HLOOKUP(D570,Data!$1:$1,1,FALSE)),"PROBLEM - Scheduled time not found.","")</f>
        <v/>
      </c>
    </row>
    <row r="571" spans="1:6" x14ac:dyDescent="0.25">
      <c r="A571" s="84" t="str">
        <f t="shared" si="8"/>
        <v>__</v>
      </c>
      <c r="B571" s="93"/>
      <c r="C571" s="93"/>
      <c r="D571" s="94"/>
      <c r="E571" s="95"/>
      <c r="F571" s="85" t="str">
        <f>IF(ISERROR(HLOOKUP(D571,Data!$1:$1,1,FALSE)),"PROBLEM - Scheduled time not found.","")</f>
        <v/>
      </c>
    </row>
    <row r="572" spans="1:6" x14ac:dyDescent="0.25">
      <c r="A572" s="84" t="str">
        <f t="shared" si="8"/>
        <v>__</v>
      </c>
      <c r="B572" s="93"/>
      <c r="C572" s="93"/>
      <c r="D572" s="94"/>
      <c r="E572" s="95"/>
      <c r="F572" s="85" t="str">
        <f>IF(ISERROR(HLOOKUP(D572,Data!$1:$1,1,FALSE)),"PROBLEM - Scheduled time not found.","")</f>
        <v/>
      </c>
    </row>
    <row r="573" spans="1:6" x14ac:dyDescent="0.25">
      <c r="A573" s="84" t="str">
        <f t="shared" si="8"/>
        <v>__</v>
      </c>
      <c r="B573" s="93"/>
      <c r="C573" s="93"/>
      <c r="D573" s="94"/>
      <c r="E573" s="95"/>
      <c r="F573" s="85" t="str">
        <f>IF(ISERROR(HLOOKUP(D573,Data!$1:$1,1,FALSE)),"PROBLEM - Scheduled time not found.","")</f>
        <v/>
      </c>
    </row>
    <row r="574" spans="1:6" x14ac:dyDescent="0.25">
      <c r="A574" s="84" t="str">
        <f t="shared" si="8"/>
        <v>__</v>
      </c>
      <c r="B574" s="93"/>
      <c r="C574" s="93"/>
      <c r="D574" s="94"/>
      <c r="E574" s="95"/>
      <c r="F574" s="85" t="str">
        <f>IF(ISERROR(HLOOKUP(D574,Data!$1:$1,1,FALSE)),"PROBLEM - Scheduled time not found.","")</f>
        <v/>
      </c>
    </row>
    <row r="575" spans="1:6" x14ac:dyDescent="0.25">
      <c r="A575" s="84" t="str">
        <f t="shared" si="8"/>
        <v>__</v>
      </c>
      <c r="B575" s="93"/>
      <c r="C575" s="93"/>
      <c r="D575" s="94"/>
      <c r="E575" s="95"/>
      <c r="F575" s="85" t="str">
        <f>IF(ISERROR(HLOOKUP(D575,Data!$1:$1,1,FALSE)),"PROBLEM - Scheduled time not found.","")</f>
        <v/>
      </c>
    </row>
    <row r="576" spans="1:6" x14ac:dyDescent="0.25">
      <c r="A576" s="84" t="str">
        <f t="shared" si="8"/>
        <v>__</v>
      </c>
      <c r="B576" s="93"/>
      <c r="C576" s="93"/>
      <c r="D576" s="94"/>
      <c r="E576" s="95"/>
      <c r="F576" s="85" t="str">
        <f>IF(ISERROR(HLOOKUP(D576,Data!$1:$1,1,FALSE)),"PROBLEM - Scheduled time not found.","")</f>
        <v/>
      </c>
    </row>
    <row r="577" spans="1:6" x14ac:dyDescent="0.25">
      <c r="A577" s="84" t="str">
        <f t="shared" si="8"/>
        <v>__</v>
      </c>
      <c r="B577" s="93"/>
      <c r="C577" s="93"/>
      <c r="D577" s="94"/>
      <c r="E577" s="95"/>
      <c r="F577" s="85" t="str">
        <f>IF(ISERROR(HLOOKUP(D577,Data!$1:$1,1,FALSE)),"PROBLEM - Scheduled time not found.","")</f>
        <v/>
      </c>
    </row>
    <row r="578" spans="1:6" x14ac:dyDescent="0.25">
      <c r="A578" s="84" t="str">
        <f t="shared" si="8"/>
        <v>__</v>
      </c>
      <c r="B578" s="93"/>
      <c r="C578" s="93"/>
      <c r="D578" s="94"/>
      <c r="E578" s="95"/>
      <c r="F578" s="85" t="str">
        <f>IF(ISERROR(HLOOKUP(D578,Data!$1:$1,1,FALSE)),"PROBLEM - Scheduled time not found.","")</f>
        <v/>
      </c>
    </row>
    <row r="579" spans="1:6" x14ac:dyDescent="0.25">
      <c r="A579" s="84" t="str">
        <f t="shared" ref="A579:A642" si="9">B579&amp;"_"&amp;C579&amp;"_"&amp;D579</f>
        <v>__</v>
      </c>
      <c r="B579" s="93"/>
      <c r="C579" s="93"/>
      <c r="D579" s="94"/>
      <c r="E579" s="95"/>
      <c r="F579" s="85" t="str">
        <f>IF(ISERROR(HLOOKUP(D579,Data!$1:$1,1,FALSE)),"PROBLEM - Scheduled time not found.","")</f>
        <v/>
      </c>
    </row>
    <row r="580" spans="1:6" x14ac:dyDescent="0.25">
      <c r="A580" s="84" t="str">
        <f t="shared" si="9"/>
        <v>__</v>
      </c>
      <c r="B580" s="93"/>
      <c r="C580" s="93"/>
      <c r="D580" s="94"/>
      <c r="E580" s="95"/>
      <c r="F580" s="85" t="str">
        <f>IF(ISERROR(HLOOKUP(D580,Data!$1:$1,1,FALSE)),"PROBLEM - Scheduled time not found.","")</f>
        <v/>
      </c>
    </row>
    <row r="581" spans="1:6" x14ac:dyDescent="0.25">
      <c r="A581" s="84" t="str">
        <f t="shared" si="9"/>
        <v>__</v>
      </c>
      <c r="B581" s="93"/>
      <c r="C581" s="93"/>
      <c r="D581" s="94"/>
      <c r="E581" s="95"/>
      <c r="F581" s="85" t="str">
        <f>IF(ISERROR(HLOOKUP(D581,Data!$1:$1,1,FALSE)),"PROBLEM - Scheduled time not found.","")</f>
        <v/>
      </c>
    </row>
    <row r="582" spans="1:6" x14ac:dyDescent="0.25">
      <c r="A582" s="84" t="str">
        <f t="shared" si="9"/>
        <v>__</v>
      </c>
      <c r="B582" s="93"/>
      <c r="C582" s="93"/>
      <c r="D582" s="94"/>
      <c r="E582" s="95"/>
      <c r="F582" s="85" t="str">
        <f>IF(ISERROR(HLOOKUP(D582,Data!$1:$1,1,FALSE)),"PROBLEM - Scheduled time not found.","")</f>
        <v/>
      </c>
    </row>
    <row r="583" spans="1:6" x14ac:dyDescent="0.25">
      <c r="A583" s="84" t="str">
        <f t="shared" si="9"/>
        <v>__</v>
      </c>
      <c r="B583" s="93"/>
      <c r="C583" s="93"/>
      <c r="D583" s="94"/>
      <c r="E583" s="95"/>
      <c r="F583" s="85" t="str">
        <f>IF(ISERROR(HLOOKUP(D583,Data!$1:$1,1,FALSE)),"PROBLEM - Scheduled time not found.","")</f>
        <v/>
      </c>
    </row>
    <row r="584" spans="1:6" x14ac:dyDescent="0.25">
      <c r="A584" s="84" t="str">
        <f t="shared" si="9"/>
        <v>__</v>
      </c>
      <c r="B584" s="93"/>
      <c r="C584" s="93"/>
      <c r="D584" s="94"/>
      <c r="E584" s="95"/>
      <c r="F584" s="85" t="str">
        <f>IF(ISERROR(HLOOKUP(D584,Data!$1:$1,1,FALSE)),"PROBLEM - Scheduled time not found.","")</f>
        <v/>
      </c>
    </row>
    <row r="585" spans="1:6" x14ac:dyDescent="0.25">
      <c r="A585" s="84" t="str">
        <f t="shared" si="9"/>
        <v>__</v>
      </c>
      <c r="B585" s="93"/>
      <c r="C585" s="93"/>
      <c r="D585" s="94"/>
      <c r="E585" s="95"/>
      <c r="F585" s="85" t="str">
        <f>IF(ISERROR(HLOOKUP(D585,Data!$1:$1,1,FALSE)),"PROBLEM - Scheduled time not found.","")</f>
        <v/>
      </c>
    </row>
    <row r="586" spans="1:6" x14ac:dyDescent="0.25">
      <c r="A586" s="84" t="str">
        <f t="shared" si="9"/>
        <v>__</v>
      </c>
      <c r="B586" s="93"/>
      <c r="C586" s="93"/>
      <c r="D586" s="94"/>
      <c r="E586" s="95"/>
      <c r="F586" s="85" t="str">
        <f>IF(ISERROR(HLOOKUP(D586,Data!$1:$1,1,FALSE)),"PROBLEM - Scheduled time not found.","")</f>
        <v/>
      </c>
    </row>
    <row r="587" spans="1:6" x14ac:dyDescent="0.25">
      <c r="A587" s="84" t="str">
        <f t="shared" si="9"/>
        <v>__</v>
      </c>
      <c r="B587" s="93"/>
      <c r="C587" s="93"/>
      <c r="D587" s="94"/>
      <c r="E587" s="95"/>
      <c r="F587" s="85" t="str">
        <f>IF(ISERROR(HLOOKUP(D587,Data!$1:$1,1,FALSE)),"PROBLEM - Scheduled time not found.","")</f>
        <v/>
      </c>
    </row>
    <row r="588" spans="1:6" x14ac:dyDescent="0.25">
      <c r="A588" s="84" t="str">
        <f t="shared" si="9"/>
        <v>__</v>
      </c>
      <c r="B588" s="93"/>
      <c r="C588" s="93"/>
      <c r="D588" s="94"/>
      <c r="E588" s="95"/>
      <c r="F588" s="85" t="str">
        <f>IF(ISERROR(HLOOKUP(D588,Data!$1:$1,1,FALSE)),"PROBLEM - Scheduled time not found.","")</f>
        <v/>
      </c>
    </row>
    <row r="589" spans="1:6" x14ac:dyDescent="0.25">
      <c r="A589" s="84" t="str">
        <f t="shared" si="9"/>
        <v>__</v>
      </c>
      <c r="B589" s="93"/>
      <c r="C589" s="93"/>
      <c r="D589" s="94"/>
      <c r="E589" s="95"/>
      <c r="F589" s="85" t="str">
        <f>IF(ISERROR(HLOOKUP(D589,Data!$1:$1,1,FALSE)),"PROBLEM - Scheduled time not found.","")</f>
        <v/>
      </c>
    </row>
    <row r="590" spans="1:6" x14ac:dyDescent="0.25">
      <c r="A590" s="84" t="str">
        <f t="shared" si="9"/>
        <v>__</v>
      </c>
      <c r="B590" s="93"/>
      <c r="C590" s="93"/>
      <c r="D590" s="94"/>
      <c r="E590" s="95"/>
      <c r="F590" s="85" t="str">
        <f>IF(ISERROR(HLOOKUP(D590,Data!$1:$1,1,FALSE)),"PROBLEM - Scheduled time not found.","")</f>
        <v/>
      </c>
    </row>
    <row r="591" spans="1:6" x14ac:dyDescent="0.25">
      <c r="A591" s="84" t="str">
        <f t="shared" si="9"/>
        <v>__</v>
      </c>
      <c r="B591" s="93"/>
      <c r="C591" s="93"/>
      <c r="D591" s="94"/>
      <c r="E591" s="95"/>
      <c r="F591" s="85" t="str">
        <f>IF(ISERROR(HLOOKUP(D591,Data!$1:$1,1,FALSE)),"PROBLEM - Scheduled time not found.","")</f>
        <v/>
      </c>
    </row>
    <row r="592" spans="1:6" x14ac:dyDescent="0.25">
      <c r="A592" s="84" t="str">
        <f t="shared" si="9"/>
        <v>__</v>
      </c>
      <c r="B592" s="93"/>
      <c r="C592" s="93"/>
      <c r="D592" s="94"/>
      <c r="E592" s="95"/>
      <c r="F592" s="85" t="str">
        <f>IF(ISERROR(HLOOKUP(D592,Data!$1:$1,1,FALSE)),"PROBLEM - Scheduled time not found.","")</f>
        <v/>
      </c>
    </row>
    <row r="593" spans="1:6" x14ac:dyDescent="0.25">
      <c r="A593" s="84" t="str">
        <f t="shared" si="9"/>
        <v>__</v>
      </c>
      <c r="B593" s="93"/>
      <c r="C593" s="93"/>
      <c r="D593" s="94"/>
      <c r="E593" s="95"/>
      <c r="F593" s="85" t="str">
        <f>IF(ISERROR(HLOOKUP(D593,Data!$1:$1,1,FALSE)),"PROBLEM - Scheduled time not found.","")</f>
        <v/>
      </c>
    </row>
    <row r="594" spans="1:6" x14ac:dyDescent="0.25">
      <c r="A594" s="84" t="str">
        <f t="shared" si="9"/>
        <v>__</v>
      </c>
      <c r="B594" s="93"/>
      <c r="C594" s="93"/>
      <c r="D594" s="94"/>
      <c r="E594" s="95"/>
      <c r="F594" s="85" t="str">
        <f>IF(ISERROR(HLOOKUP(D594,Data!$1:$1,1,FALSE)),"PROBLEM - Scheduled time not found.","")</f>
        <v/>
      </c>
    </row>
    <row r="595" spans="1:6" x14ac:dyDescent="0.25">
      <c r="A595" s="84" t="str">
        <f t="shared" si="9"/>
        <v>__</v>
      </c>
      <c r="B595" s="93"/>
      <c r="C595" s="93"/>
      <c r="D595" s="94"/>
      <c r="E595" s="95"/>
      <c r="F595" s="85" t="str">
        <f>IF(ISERROR(HLOOKUP(D595,Data!$1:$1,1,FALSE)),"PROBLEM - Scheduled time not found.","")</f>
        <v/>
      </c>
    </row>
    <row r="596" spans="1:6" x14ac:dyDescent="0.25">
      <c r="A596" s="84" t="str">
        <f t="shared" si="9"/>
        <v>__</v>
      </c>
      <c r="B596" s="93"/>
      <c r="C596" s="93"/>
      <c r="D596" s="94"/>
      <c r="E596" s="95"/>
      <c r="F596" s="85" t="str">
        <f>IF(ISERROR(HLOOKUP(D596,Data!$1:$1,1,FALSE)),"PROBLEM - Scheduled time not found.","")</f>
        <v/>
      </c>
    </row>
    <row r="597" spans="1:6" x14ac:dyDescent="0.25">
      <c r="A597" s="84" t="str">
        <f t="shared" si="9"/>
        <v>__</v>
      </c>
      <c r="B597" s="93"/>
      <c r="C597" s="93"/>
      <c r="D597" s="94"/>
      <c r="E597" s="95"/>
      <c r="F597" s="85" t="str">
        <f>IF(ISERROR(HLOOKUP(D597,Data!$1:$1,1,FALSE)),"PROBLEM - Scheduled time not found.","")</f>
        <v/>
      </c>
    </row>
    <row r="598" spans="1:6" x14ac:dyDescent="0.25">
      <c r="A598" s="84" t="str">
        <f t="shared" si="9"/>
        <v>__</v>
      </c>
      <c r="B598" s="93"/>
      <c r="C598" s="93"/>
      <c r="D598" s="94"/>
      <c r="E598" s="95"/>
      <c r="F598" s="85" t="str">
        <f>IF(ISERROR(HLOOKUP(D598,Data!$1:$1,1,FALSE)),"PROBLEM - Scheduled time not found.","")</f>
        <v/>
      </c>
    </row>
    <row r="599" spans="1:6" x14ac:dyDescent="0.25">
      <c r="A599" s="84" t="str">
        <f t="shared" si="9"/>
        <v>__</v>
      </c>
      <c r="B599" s="93"/>
      <c r="C599" s="93"/>
      <c r="D599" s="94"/>
      <c r="E599" s="95"/>
      <c r="F599" s="85" t="str">
        <f>IF(ISERROR(HLOOKUP(D599,Data!$1:$1,1,FALSE)),"PROBLEM - Scheduled time not found.","")</f>
        <v/>
      </c>
    </row>
    <row r="600" spans="1:6" x14ac:dyDescent="0.25">
      <c r="A600" s="84" t="str">
        <f t="shared" si="9"/>
        <v>__</v>
      </c>
      <c r="B600" s="93"/>
      <c r="C600" s="93"/>
      <c r="D600" s="94"/>
      <c r="E600" s="95"/>
      <c r="F600" s="85" t="str">
        <f>IF(ISERROR(HLOOKUP(D600,Data!$1:$1,1,FALSE)),"PROBLEM - Scheduled time not found.","")</f>
        <v/>
      </c>
    </row>
    <row r="601" spans="1:6" x14ac:dyDescent="0.25">
      <c r="A601" s="84" t="str">
        <f t="shared" si="9"/>
        <v>__</v>
      </c>
      <c r="B601" s="93"/>
      <c r="C601" s="93"/>
      <c r="D601" s="94"/>
      <c r="E601" s="95"/>
      <c r="F601" s="85" t="str">
        <f>IF(ISERROR(HLOOKUP(D601,Data!$1:$1,1,FALSE)),"PROBLEM - Scheduled time not found.","")</f>
        <v/>
      </c>
    </row>
    <row r="602" spans="1:6" x14ac:dyDescent="0.25">
      <c r="A602" s="84" t="str">
        <f t="shared" si="9"/>
        <v>__</v>
      </c>
      <c r="B602" s="93"/>
      <c r="C602" s="93"/>
      <c r="D602" s="94"/>
      <c r="E602" s="95"/>
      <c r="F602" s="85" t="str">
        <f>IF(ISERROR(HLOOKUP(D602,Data!$1:$1,1,FALSE)),"PROBLEM - Scheduled time not found.","")</f>
        <v/>
      </c>
    </row>
    <row r="603" spans="1:6" x14ac:dyDescent="0.25">
      <c r="A603" s="84" t="str">
        <f t="shared" si="9"/>
        <v>__</v>
      </c>
      <c r="B603" s="93"/>
      <c r="C603" s="93"/>
      <c r="D603" s="94"/>
      <c r="E603" s="95"/>
      <c r="F603" s="85" t="str">
        <f>IF(ISERROR(HLOOKUP(D603,Data!$1:$1,1,FALSE)),"PROBLEM - Scheduled time not found.","")</f>
        <v/>
      </c>
    </row>
    <row r="604" spans="1:6" x14ac:dyDescent="0.25">
      <c r="A604" s="84" t="str">
        <f t="shared" si="9"/>
        <v>__</v>
      </c>
      <c r="B604" s="93"/>
      <c r="C604" s="93"/>
      <c r="D604" s="94"/>
      <c r="E604" s="95"/>
      <c r="F604" s="85" t="str">
        <f>IF(ISERROR(HLOOKUP(D604,Data!$1:$1,1,FALSE)),"PROBLEM - Scheduled time not found.","")</f>
        <v/>
      </c>
    </row>
    <row r="605" spans="1:6" x14ac:dyDescent="0.25">
      <c r="A605" s="84" t="str">
        <f t="shared" si="9"/>
        <v>__</v>
      </c>
      <c r="B605" s="93"/>
      <c r="C605" s="93"/>
      <c r="D605" s="94"/>
      <c r="E605" s="95"/>
      <c r="F605" s="85" t="str">
        <f>IF(ISERROR(HLOOKUP(D605,Data!$1:$1,1,FALSE)),"PROBLEM - Scheduled time not found.","")</f>
        <v/>
      </c>
    </row>
    <row r="606" spans="1:6" x14ac:dyDescent="0.25">
      <c r="A606" s="84" t="str">
        <f t="shared" si="9"/>
        <v>__</v>
      </c>
      <c r="B606" s="93"/>
      <c r="C606" s="93"/>
      <c r="D606" s="94"/>
      <c r="E606" s="95"/>
      <c r="F606" s="85" t="str">
        <f>IF(ISERROR(HLOOKUP(D606,Data!$1:$1,1,FALSE)),"PROBLEM - Scheduled time not found.","")</f>
        <v/>
      </c>
    </row>
    <row r="607" spans="1:6" x14ac:dyDescent="0.25">
      <c r="A607" s="84" t="str">
        <f t="shared" si="9"/>
        <v>__</v>
      </c>
      <c r="B607" s="93"/>
      <c r="C607" s="93"/>
      <c r="D607" s="94"/>
      <c r="E607" s="95"/>
      <c r="F607" s="85" t="str">
        <f>IF(ISERROR(HLOOKUP(D607,Data!$1:$1,1,FALSE)),"PROBLEM - Scheduled time not found.","")</f>
        <v/>
      </c>
    </row>
    <row r="608" spans="1:6" x14ac:dyDescent="0.25">
      <c r="A608" s="84" t="str">
        <f t="shared" si="9"/>
        <v>__</v>
      </c>
      <c r="B608" s="93"/>
      <c r="C608" s="93"/>
      <c r="D608" s="94"/>
      <c r="E608" s="95"/>
      <c r="F608" s="85" t="str">
        <f>IF(ISERROR(HLOOKUP(D608,Data!$1:$1,1,FALSE)),"PROBLEM - Scheduled time not found.","")</f>
        <v/>
      </c>
    </row>
    <row r="609" spans="1:6" x14ac:dyDescent="0.25">
      <c r="A609" s="84" t="str">
        <f t="shared" si="9"/>
        <v>__</v>
      </c>
      <c r="B609" s="93"/>
      <c r="C609" s="93"/>
      <c r="D609" s="94"/>
      <c r="E609" s="95"/>
      <c r="F609" s="85" t="str">
        <f>IF(ISERROR(HLOOKUP(D609,Data!$1:$1,1,FALSE)),"PROBLEM - Scheduled time not found.","")</f>
        <v/>
      </c>
    </row>
    <row r="610" spans="1:6" x14ac:dyDescent="0.25">
      <c r="A610" s="84" t="str">
        <f t="shared" si="9"/>
        <v>__</v>
      </c>
      <c r="B610" s="93"/>
      <c r="C610" s="93"/>
      <c r="D610" s="94"/>
      <c r="E610" s="95"/>
      <c r="F610" s="85" t="str">
        <f>IF(ISERROR(HLOOKUP(D610,Data!$1:$1,1,FALSE)),"PROBLEM - Scheduled time not found.","")</f>
        <v/>
      </c>
    </row>
    <row r="611" spans="1:6" x14ac:dyDescent="0.25">
      <c r="A611" s="84" t="str">
        <f t="shared" si="9"/>
        <v>__</v>
      </c>
      <c r="B611" s="93"/>
      <c r="C611" s="93"/>
      <c r="D611" s="94"/>
      <c r="E611" s="95"/>
      <c r="F611" s="85" t="str">
        <f>IF(ISERROR(HLOOKUP(D611,Data!$1:$1,1,FALSE)),"PROBLEM - Scheduled time not found.","")</f>
        <v/>
      </c>
    </row>
    <row r="612" spans="1:6" x14ac:dyDescent="0.25">
      <c r="A612" s="84" t="str">
        <f t="shared" si="9"/>
        <v>__</v>
      </c>
      <c r="B612" s="93"/>
      <c r="C612" s="93"/>
      <c r="D612" s="94"/>
      <c r="E612" s="95"/>
      <c r="F612" s="85" t="str">
        <f>IF(ISERROR(HLOOKUP(D612,Data!$1:$1,1,FALSE)),"PROBLEM - Scheduled time not found.","")</f>
        <v/>
      </c>
    </row>
    <row r="613" spans="1:6" x14ac:dyDescent="0.25">
      <c r="A613" s="84" t="str">
        <f t="shared" si="9"/>
        <v>__</v>
      </c>
      <c r="B613" s="93"/>
      <c r="C613" s="93"/>
      <c r="D613" s="94"/>
      <c r="E613" s="95"/>
      <c r="F613" s="85" t="str">
        <f>IF(ISERROR(HLOOKUP(D613,Data!$1:$1,1,FALSE)),"PROBLEM - Scheduled time not found.","")</f>
        <v/>
      </c>
    </row>
    <row r="614" spans="1:6" x14ac:dyDescent="0.25">
      <c r="A614" s="84" t="str">
        <f t="shared" si="9"/>
        <v>__</v>
      </c>
      <c r="B614" s="93"/>
      <c r="C614" s="93"/>
      <c r="D614" s="94"/>
      <c r="E614" s="95"/>
      <c r="F614" s="85" t="str">
        <f>IF(ISERROR(HLOOKUP(D614,Data!$1:$1,1,FALSE)),"PROBLEM - Scheduled time not found.","")</f>
        <v/>
      </c>
    </row>
    <row r="615" spans="1:6" x14ac:dyDescent="0.25">
      <c r="A615" s="84" t="str">
        <f t="shared" si="9"/>
        <v>__</v>
      </c>
      <c r="B615" s="93"/>
      <c r="C615" s="93"/>
      <c r="D615" s="94"/>
      <c r="E615" s="95"/>
      <c r="F615" s="85" t="str">
        <f>IF(ISERROR(HLOOKUP(D615,Data!$1:$1,1,FALSE)),"PROBLEM - Scheduled time not found.","")</f>
        <v/>
      </c>
    </row>
    <row r="616" spans="1:6" x14ac:dyDescent="0.25">
      <c r="A616" s="84" t="str">
        <f t="shared" si="9"/>
        <v>__</v>
      </c>
      <c r="B616" s="93"/>
      <c r="C616" s="93"/>
      <c r="D616" s="94"/>
      <c r="E616" s="95"/>
      <c r="F616" s="85" t="str">
        <f>IF(ISERROR(HLOOKUP(D616,Data!$1:$1,1,FALSE)),"PROBLEM - Scheduled time not found.","")</f>
        <v/>
      </c>
    </row>
    <row r="617" spans="1:6" x14ac:dyDescent="0.25">
      <c r="A617" s="84" t="str">
        <f t="shared" si="9"/>
        <v>__</v>
      </c>
      <c r="B617" s="93"/>
      <c r="C617" s="93"/>
      <c r="D617" s="94"/>
      <c r="E617" s="95"/>
      <c r="F617" s="85" t="str">
        <f>IF(ISERROR(HLOOKUP(D617,Data!$1:$1,1,FALSE)),"PROBLEM - Scheduled time not found.","")</f>
        <v/>
      </c>
    </row>
    <row r="618" spans="1:6" x14ac:dyDescent="0.25">
      <c r="A618" s="84" t="str">
        <f t="shared" si="9"/>
        <v>__</v>
      </c>
      <c r="B618" s="93"/>
      <c r="C618" s="93"/>
      <c r="D618" s="94"/>
      <c r="E618" s="95"/>
      <c r="F618" s="85" t="str">
        <f>IF(ISERROR(HLOOKUP(D618,Data!$1:$1,1,FALSE)),"PROBLEM - Scheduled time not found.","")</f>
        <v/>
      </c>
    </row>
    <row r="619" spans="1:6" x14ac:dyDescent="0.25">
      <c r="A619" s="84" t="str">
        <f t="shared" si="9"/>
        <v>__</v>
      </c>
      <c r="B619" s="93"/>
      <c r="C619" s="93"/>
      <c r="D619" s="94"/>
      <c r="E619" s="95"/>
      <c r="F619" s="85" t="str">
        <f>IF(ISERROR(HLOOKUP(D619,Data!$1:$1,1,FALSE)),"PROBLEM - Scheduled time not found.","")</f>
        <v/>
      </c>
    </row>
    <row r="620" spans="1:6" x14ac:dyDescent="0.25">
      <c r="A620" s="84" t="str">
        <f t="shared" si="9"/>
        <v>__</v>
      </c>
      <c r="B620" s="93"/>
      <c r="C620" s="93"/>
      <c r="D620" s="94"/>
      <c r="E620" s="95"/>
      <c r="F620" s="85" t="str">
        <f>IF(ISERROR(HLOOKUP(D620,Data!$1:$1,1,FALSE)),"PROBLEM - Scheduled time not found.","")</f>
        <v/>
      </c>
    </row>
    <row r="621" spans="1:6" x14ac:dyDescent="0.25">
      <c r="A621" s="84" t="str">
        <f t="shared" si="9"/>
        <v>__</v>
      </c>
      <c r="B621" s="93"/>
      <c r="C621" s="93"/>
      <c r="D621" s="94"/>
      <c r="E621" s="95"/>
      <c r="F621" s="85" t="str">
        <f>IF(ISERROR(HLOOKUP(D621,Data!$1:$1,1,FALSE)),"PROBLEM - Scheduled time not found.","")</f>
        <v/>
      </c>
    </row>
    <row r="622" spans="1:6" x14ac:dyDescent="0.25">
      <c r="A622" s="84" t="str">
        <f t="shared" si="9"/>
        <v>__</v>
      </c>
      <c r="B622" s="93"/>
      <c r="C622" s="93"/>
      <c r="D622" s="94"/>
      <c r="E622" s="95"/>
      <c r="F622" s="85" t="str">
        <f>IF(ISERROR(HLOOKUP(D622,Data!$1:$1,1,FALSE)),"PROBLEM - Scheduled time not found.","")</f>
        <v/>
      </c>
    </row>
    <row r="623" spans="1:6" x14ac:dyDescent="0.25">
      <c r="A623" s="84" t="str">
        <f t="shared" si="9"/>
        <v>__</v>
      </c>
      <c r="B623" s="93"/>
      <c r="C623" s="93"/>
      <c r="D623" s="94"/>
      <c r="E623" s="95"/>
      <c r="F623" s="85" t="str">
        <f>IF(ISERROR(HLOOKUP(D623,Data!$1:$1,1,FALSE)),"PROBLEM - Scheduled time not found.","")</f>
        <v/>
      </c>
    </row>
    <row r="624" spans="1:6" x14ac:dyDescent="0.25">
      <c r="A624" s="84" t="str">
        <f t="shared" si="9"/>
        <v>__</v>
      </c>
      <c r="B624" s="93"/>
      <c r="C624" s="93"/>
      <c r="D624" s="94"/>
      <c r="E624" s="95"/>
      <c r="F624" s="85" t="str">
        <f>IF(ISERROR(HLOOKUP(D624,Data!$1:$1,1,FALSE)),"PROBLEM - Scheduled time not found.","")</f>
        <v/>
      </c>
    </row>
    <row r="625" spans="1:6" x14ac:dyDescent="0.25">
      <c r="A625" s="84" t="str">
        <f t="shared" si="9"/>
        <v>__</v>
      </c>
      <c r="B625" s="93"/>
      <c r="C625" s="93"/>
      <c r="D625" s="94"/>
      <c r="E625" s="95"/>
      <c r="F625" s="85" t="str">
        <f>IF(ISERROR(HLOOKUP(D625,Data!$1:$1,1,FALSE)),"PROBLEM - Scheduled time not found.","")</f>
        <v/>
      </c>
    </row>
    <row r="626" spans="1:6" x14ac:dyDescent="0.25">
      <c r="A626" s="84" t="str">
        <f t="shared" si="9"/>
        <v>__</v>
      </c>
      <c r="B626" s="93"/>
      <c r="C626" s="93"/>
      <c r="D626" s="94"/>
      <c r="E626" s="95"/>
      <c r="F626" s="85" t="str">
        <f>IF(ISERROR(HLOOKUP(D626,Data!$1:$1,1,FALSE)),"PROBLEM - Scheduled time not found.","")</f>
        <v/>
      </c>
    </row>
    <row r="627" spans="1:6" x14ac:dyDescent="0.25">
      <c r="A627" s="84" t="str">
        <f t="shared" si="9"/>
        <v>__</v>
      </c>
      <c r="B627" s="93"/>
      <c r="C627" s="93"/>
      <c r="D627" s="94"/>
      <c r="E627" s="95"/>
      <c r="F627" s="85" t="str">
        <f>IF(ISERROR(HLOOKUP(D627,Data!$1:$1,1,FALSE)),"PROBLEM - Scheduled time not found.","")</f>
        <v/>
      </c>
    </row>
    <row r="628" spans="1:6" x14ac:dyDescent="0.25">
      <c r="A628" s="84" t="str">
        <f t="shared" si="9"/>
        <v>__</v>
      </c>
      <c r="B628" s="93"/>
      <c r="C628" s="93"/>
      <c r="D628" s="94"/>
      <c r="E628" s="95"/>
      <c r="F628" s="85" t="str">
        <f>IF(ISERROR(HLOOKUP(D628,Data!$1:$1,1,FALSE)),"PROBLEM - Scheduled time not found.","")</f>
        <v/>
      </c>
    </row>
    <row r="629" spans="1:6" x14ac:dyDescent="0.25">
      <c r="A629" s="84" t="str">
        <f t="shared" si="9"/>
        <v>__</v>
      </c>
      <c r="B629" s="93"/>
      <c r="C629" s="93"/>
      <c r="D629" s="94"/>
      <c r="E629" s="95"/>
      <c r="F629" s="85" t="str">
        <f>IF(ISERROR(HLOOKUP(D629,Data!$1:$1,1,FALSE)),"PROBLEM - Scheduled time not found.","")</f>
        <v/>
      </c>
    </row>
    <row r="630" spans="1:6" x14ac:dyDescent="0.25">
      <c r="A630" s="84" t="str">
        <f t="shared" si="9"/>
        <v>__</v>
      </c>
      <c r="B630" s="93"/>
      <c r="C630" s="93"/>
      <c r="D630" s="94"/>
      <c r="E630" s="95"/>
      <c r="F630" s="85" t="str">
        <f>IF(ISERROR(HLOOKUP(D630,Data!$1:$1,1,FALSE)),"PROBLEM - Scheduled time not found.","")</f>
        <v/>
      </c>
    </row>
    <row r="631" spans="1:6" x14ac:dyDescent="0.25">
      <c r="A631" s="84" t="str">
        <f t="shared" si="9"/>
        <v>__</v>
      </c>
      <c r="B631" s="93"/>
      <c r="C631" s="93"/>
      <c r="D631" s="94"/>
      <c r="E631" s="95"/>
      <c r="F631" s="85" t="str">
        <f>IF(ISERROR(HLOOKUP(D631,Data!$1:$1,1,FALSE)),"PROBLEM - Scheduled time not found.","")</f>
        <v/>
      </c>
    </row>
    <row r="632" spans="1:6" x14ac:dyDescent="0.25">
      <c r="A632" s="84" t="str">
        <f t="shared" si="9"/>
        <v>__</v>
      </c>
      <c r="B632" s="93"/>
      <c r="C632" s="93"/>
      <c r="D632" s="94"/>
      <c r="E632" s="95"/>
      <c r="F632" s="85" t="str">
        <f>IF(ISERROR(HLOOKUP(D632,Data!$1:$1,1,FALSE)),"PROBLEM - Scheduled time not found.","")</f>
        <v/>
      </c>
    </row>
    <row r="633" spans="1:6" x14ac:dyDescent="0.25">
      <c r="A633" s="84" t="str">
        <f t="shared" si="9"/>
        <v>__</v>
      </c>
      <c r="B633" s="93"/>
      <c r="C633" s="93"/>
      <c r="D633" s="94"/>
      <c r="E633" s="95"/>
      <c r="F633" s="85" t="str">
        <f>IF(ISERROR(HLOOKUP(D633,Data!$1:$1,1,FALSE)),"PROBLEM - Scheduled time not found.","")</f>
        <v/>
      </c>
    </row>
    <row r="634" spans="1:6" x14ac:dyDescent="0.25">
      <c r="A634" s="84" t="str">
        <f t="shared" si="9"/>
        <v>__</v>
      </c>
      <c r="B634" s="93"/>
      <c r="C634" s="93"/>
      <c r="D634" s="94"/>
      <c r="E634" s="95"/>
      <c r="F634" s="85" t="str">
        <f>IF(ISERROR(HLOOKUP(D634,Data!$1:$1,1,FALSE)),"PROBLEM - Scheduled time not found.","")</f>
        <v/>
      </c>
    </row>
    <row r="635" spans="1:6" x14ac:dyDescent="0.25">
      <c r="A635" s="84" t="str">
        <f t="shared" si="9"/>
        <v>__</v>
      </c>
      <c r="B635" s="93"/>
      <c r="C635" s="93"/>
      <c r="D635" s="94"/>
      <c r="E635" s="95"/>
      <c r="F635" s="85" t="str">
        <f>IF(ISERROR(HLOOKUP(D635,Data!$1:$1,1,FALSE)),"PROBLEM - Scheduled time not found.","")</f>
        <v/>
      </c>
    </row>
    <row r="636" spans="1:6" x14ac:dyDescent="0.25">
      <c r="A636" s="84" t="str">
        <f t="shared" si="9"/>
        <v>__</v>
      </c>
      <c r="B636" s="93"/>
      <c r="C636" s="93"/>
      <c r="D636" s="94"/>
      <c r="E636" s="95"/>
      <c r="F636" s="85" t="str">
        <f>IF(ISERROR(HLOOKUP(D636,Data!$1:$1,1,FALSE)),"PROBLEM - Scheduled time not found.","")</f>
        <v/>
      </c>
    </row>
    <row r="637" spans="1:6" x14ac:dyDescent="0.25">
      <c r="A637" s="84" t="str">
        <f t="shared" si="9"/>
        <v>__</v>
      </c>
      <c r="B637" s="93"/>
      <c r="C637" s="93"/>
      <c r="D637" s="94"/>
      <c r="E637" s="95"/>
      <c r="F637" s="85" t="str">
        <f>IF(ISERROR(HLOOKUP(D637,Data!$1:$1,1,FALSE)),"PROBLEM - Scheduled time not found.","")</f>
        <v/>
      </c>
    </row>
    <row r="638" spans="1:6" x14ac:dyDescent="0.25">
      <c r="A638" s="84" t="str">
        <f t="shared" si="9"/>
        <v>__</v>
      </c>
      <c r="B638" s="93"/>
      <c r="C638" s="93"/>
      <c r="D638" s="94"/>
      <c r="E638" s="95"/>
      <c r="F638" s="85" t="str">
        <f>IF(ISERROR(HLOOKUP(D638,Data!$1:$1,1,FALSE)),"PROBLEM - Scheduled time not found.","")</f>
        <v/>
      </c>
    </row>
    <row r="639" spans="1:6" x14ac:dyDescent="0.25">
      <c r="A639" s="84" t="str">
        <f t="shared" si="9"/>
        <v>__</v>
      </c>
      <c r="B639" s="93"/>
      <c r="C639" s="93"/>
      <c r="D639" s="94"/>
      <c r="E639" s="95"/>
      <c r="F639" s="85" t="str">
        <f>IF(ISERROR(HLOOKUP(D639,Data!$1:$1,1,FALSE)),"PROBLEM - Scheduled time not found.","")</f>
        <v/>
      </c>
    </row>
    <row r="640" spans="1:6" x14ac:dyDescent="0.25">
      <c r="A640" s="84" t="str">
        <f t="shared" si="9"/>
        <v>__</v>
      </c>
      <c r="B640" s="93"/>
      <c r="C640" s="93"/>
      <c r="D640" s="94"/>
      <c r="E640" s="95"/>
      <c r="F640" s="85" t="str">
        <f>IF(ISERROR(HLOOKUP(D640,Data!$1:$1,1,FALSE)),"PROBLEM - Scheduled time not found.","")</f>
        <v/>
      </c>
    </row>
    <row r="641" spans="1:6" x14ac:dyDescent="0.25">
      <c r="A641" s="84" t="str">
        <f t="shared" si="9"/>
        <v>__</v>
      </c>
      <c r="B641" s="93"/>
      <c r="C641" s="93"/>
      <c r="D641" s="94"/>
      <c r="E641" s="95"/>
      <c r="F641" s="85" t="str">
        <f>IF(ISERROR(HLOOKUP(D641,Data!$1:$1,1,FALSE)),"PROBLEM - Scheduled time not found.","")</f>
        <v/>
      </c>
    </row>
    <row r="642" spans="1:6" x14ac:dyDescent="0.25">
      <c r="A642" s="84" t="str">
        <f t="shared" si="9"/>
        <v>__</v>
      </c>
      <c r="B642" s="93"/>
      <c r="C642" s="93"/>
      <c r="D642" s="94"/>
      <c r="E642" s="95"/>
      <c r="F642" s="85" t="str">
        <f>IF(ISERROR(HLOOKUP(D642,Data!$1:$1,1,FALSE)),"PROBLEM - Scheduled time not found.","")</f>
        <v/>
      </c>
    </row>
    <row r="643" spans="1:6" x14ac:dyDescent="0.25">
      <c r="A643" s="84" t="str">
        <f t="shared" ref="A643:A706" si="10">B643&amp;"_"&amp;C643&amp;"_"&amp;D643</f>
        <v>__</v>
      </c>
      <c r="B643" s="93"/>
      <c r="C643" s="93"/>
      <c r="D643" s="94"/>
      <c r="E643" s="95"/>
      <c r="F643" s="85" t="str">
        <f>IF(ISERROR(HLOOKUP(D643,Data!$1:$1,1,FALSE)),"PROBLEM - Scheduled time not found.","")</f>
        <v/>
      </c>
    </row>
    <row r="644" spans="1:6" x14ac:dyDescent="0.25">
      <c r="A644" s="84" t="str">
        <f t="shared" si="10"/>
        <v>__</v>
      </c>
      <c r="B644" s="93"/>
      <c r="C644" s="93"/>
      <c r="D644" s="94"/>
      <c r="E644" s="95"/>
      <c r="F644" s="85" t="str">
        <f>IF(ISERROR(HLOOKUP(D644,Data!$1:$1,1,FALSE)),"PROBLEM - Scheduled time not found.","")</f>
        <v/>
      </c>
    </row>
    <row r="645" spans="1:6" x14ac:dyDescent="0.25">
      <c r="A645" s="84" t="str">
        <f t="shared" si="10"/>
        <v>__</v>
      </c>
      <c r="B645" s="93"/>
      <c r="C645" s="93"/>
      <c r="D645" s="94"/>
      <c r="E645" s="95"/>
      <c r="F645" s="85" t="str">
        <f>IF(ISERROR(HLOOKUP(D645,Data!$1:$1,1,FALSE)),"PROBLEM - Scheduled time not found.","")</f>
        <v/>
      </c>
    </row>
    <row r="646" spans="1:6" x14ac:dyDescent="0.25">
      <c r="A646" s="84" t="str">
        <f t="shared" si="10"/>
        <v>__</v>
      </c>
      <c r="B646" s="93"/>
      <c r="C646" s="93"/>
      <c r="D646" s="94"/>
      <c r="E646" s="95"/>
      <c r="F646" s="85" t="str">
        <f>IF(ISERROR(HLOOKUP(D646,Data!$1:$1,1,FALSE)),"PROBLEM - Scheduled time not found.","")</f>
        <v/>
      </c>
    </row>
    <row r="647" spans="1:6" x14ac:dyDescent="0.25">
      <c r="A647" s="84" t="str">
        <f t="shared" si="10"/>
        <v>__</v>
      </c>
      <c r="B647" s="93"/>
      <c r="C647" s="93"/>
      <c r="D647" s="94"/>
      <c r="E647" s="95"/>
      <c r="F647" s="85" t="str">
        <f>IF(ISERROR(HLOOKUP(D647,Data!$1:$1,1,FALSE)),"PROBLEM - Scheduled time not found.","")</f>
        <v/>
      </c>
    </row>
    <row r="648" spans="1:6" x14ac:dyDescent="0.25">
      <c r="A648" s="84" t="str">
        <f t="shared" si="10"/>
        <v>__</v>
      </c>
      <c r="B648" s="93"/>
      <c r="C648" s="93"/>
      <c r="D648" s="94"/>
      <c r="E648" s="95"/>
      <c r="F648" s="85" t="str">
        <f>IF(ISERROR(HLOOKUP(D648,Data!$1:$1,1,FALSE)),"PROBLEM - Scheduled time not found.","")</f>
        <v/>
      </c>
    </row>
    <row r="649" spans="1:6" x14ac:dyDescent="0.25">
      <c r="A649" s="84" t="str">
        <f t="shared" si="10"/>
        <v>__</v>
      </c>
      <c r="B649" s="93"/>
      <c r="C649" s="93"/>
      <c r="D649" s="94"/>
      <c r="E649" s="95"/>
      <c r="F649" s="85" t="str">
        <f>IF(ISERROR(HLOOKUP(D649,Data!$1:$1,1,FALSE)),"PROBLEM - Scheduled time not found.","")</f>
        <v/>
      </c>
    </row>
    <row r="650" spans="1:6" x14ac:dyDescent="0.25">
      <c r="A650" s="84" t="str">
        <f t="shared" si="10"/>
        <v>__</v>
      </c>
      <c r="B650" s="93"/>
      <c r="C650" s="93"/>
      <c r="D650" s="94"/>
      <c r="E650" s="95"/>
      <c r="F650" s="85" t="str">
        <f>IF(ISERROR(HLOOKUP(D650,Data!$1:$1,1,FALSE)),"PROBLEM - Scheduled time not found.","")</f>
        <v/>
      </c>
    </row>
    <row r="651" spans="1:6" x14ac:dyDescent="0.25">
      <c r="A651" s="84" t="str">
        <f t="shared" si="10"/>
        <v>__</v>
      </c>
      <c r="B651" s="93"/>
      <c r="C651" s="93"/>
      <c r="D651" s="94"/>
      <c r="E651" s="95"/>
      <c r="F651" s="85" t="str">
        <f>IF(ISERROR(HLOOKUP(D651,Data!$1:$1,1,FALSE)),"PROBLEM - Scheduled time not found.","")</f>
        <v/>
      </c>
    </row>
    <row r="652" spans="1:6" x14ac:dyDescent="0.25">
      <c r="A652" s="84" t="str">
        <f t="shared" si="10"/>
        <v>__</v>
      </c>
      <c r="B652" s="93"/>
      <c r="C652" s="93"/>
      <c r="D652" s="94"/>
      <c r="E652" s="95"/>
      <c r="F652" s="85" t="str">
        <f>IF(ISERROR(HLOOKUP(D652,Data!$1:$1,1,FALSE)),"PROBLEM - Scheduled time not found.","")</f>
        <v/>
      </c>
    </row>
    <row r="653" spans="1:6" x14ac:dyDescent="0.25">
      <c r="A653" s="84" t="str">
        <f t="shared" si="10"/>
        <v>__</v>
      </c>
      <c r="B653" s="93"/>
      <c r="C653" s="93"/>
      <c r="D653" s="94"/>
      <c r="E653" s="95"/>
      <c r="F653" s="85" t="str">
        <f>IF(ISERROR(HLOOKUP(D653,Data!$1:$1,1,FALSE)),"PROBLEM - Scheduled time not found.","")</f>
        <v/>
      </c>
    </row>
    <row r="654" spans="1:6" x14ac:dyDescent="0.25">
      <c r="A654" s="84" t="str">
        <f t="shared" si="10"/>
        <v>__</v>
      </c>
      <c r="B654" s="93"/>
      <c r="C654" s="93"/>
      <c r="D654" s="94"/>
      <c r="E654" s="95"/>
      <c r="F654" s="85" t="str">
        <f>IF(ISERROR(HLOOKUP(D654,Data!$1:$1,1,FALSE)),"PROBLEM - Scheduled time not found.","")</f>
        <v/>
      </c>
    </row>
    <row r="655" spans="1:6" x14ac:dyDescent="0.25">
      <c r="A655" s="84" t="str">
        <f t="shared" si="10"/>
        <v>__</v>
      </c>
      <c r="B655" s="93"/>
      <c r="C655" s="93"/>
      <c r="D655" s="94"/>
      <c r="E655" s="95"/>
      <c r="F655" s="85" t="str">
        <f>IF(ISERROR(HLOOKUP(D655,Data!$1:$1,1,FALSE)),"PROBLEM - Scheduled time not found.","")</f>
        <v/>
      </c>
    </row>
    <row r="656" spans="1:6" x14ac:dyDescent="0.25">
      <c r="A656" s="84" t="str">
        <f t="shared" si="10"/>
        <v>__</v>
      </c>
      <c r="B656" s="93"/>
      <c r="C656" s="93"/>
      <c r="D656" s="94"/>
      <c r="E656" s="95"/>
      <c r="F656" s="85" t="str">
        <f>IF(ISERROR(HLOOKUP(D656,Data!$1:$1,1,FALSE)),"PROBLEM - Scheduled time not found.","")</f>
        <v/>
      </c>
    </row>
    <row r="657" spans="1:6" x14ac:dyDescent="0.25">
      <c r="A657" s="84" t="str">
        <f t="shared" si="10"/>
        <v>__</v>
      </c>
      <c r="B657" s="93"/>
      <c r="C657" s="93"/>
      <c r="D657" s="94"/>
      <c r="E657" s="95"/>
      <c r="F657" s="85" t="str">
        <f>IF(ISERROR(HLOOKUP(D657,Data!$1:$1,1,FALSE)),"PROBLEM - Scheduled time not found.","")</f>
        <v/>
      </c>
    </row>
    <row r="658" spans="1:6" x14ac:dyDescent="0.25">
      <c r="A658" s="84" t="str">
        <f t="shared" si="10"/>
        <v>__</v>
      </c>
      <c r="B658" s="93"/>
      <c r="C658" s="93"/>
      <c r="D658" s="94"/>
      <c r="E658" s="95"/>
      <c r="F658" s="85" t="str">
        <f>IF(ISERROR(HLOOKUP(D658,Data!$1:$1,1,FALSE)),"PROBLEM - Scheduled time not found.","")</f>
        <v/>
      </c>
    </row>
    <row r="659" spans="1:6" x14ac:dyDescent="0.25">
      <c r="A659" s="84" t="str">
        <f t="shared" si="10"/>
        <v>__</v>
      </c>
      <c r="B659" s="93"/>
      <c r="C659" s="93"/>
      <c r="D659" s="94"/>
      <c r="E659" s="95"/>
      <c r="F659" s="85" t="str">
        <f>IF(ISERROR(HLOOKUP(D659,Data!$1:$1,1,FALSE)),"PROBLEM - Scheduled time not found.","")</f>
        <v/>
      </c>
    </row>
    <row r="660" spans="1:6" x14ac:dyDescent="0.25">
      <c r="A660" s="84" t="str">
        <f t="shared" si="10"/>
        <v>__</v>
      </c>
      <c r="B660" s="93"/>
      <c r="C660" s="93"/>
      <c r="D660" s="94"/>
      <c r="E660" s="95"/>
      <c r="F660" s="85" t="str">
        <f>IF(ISERROR(HLOOKUP(D660,Data!$1:$1,1,FALSE)),"PROBLEM - Scheduled time not found.","")</f>
        <v/>
      </c>
    </row>
    <row r="661" spans="1:6" x14ac:dyDescent="0.25">
      <c r="A661" s="84" t="str">
        <f t="shared" si="10"/>
        <v>__</v>
      </c>
      <c r="B661" s="93"/>
      <c r="C661" s="93"/>
      <c r="D661" s="94"/>
      <c r="E661" s="95"/>
      <c r="F661" s="85" t="str">
        <f>IF(ISERROR(HLOOKUP(D661,Data!$1:$1,1,FALSE)),"PROBLEM - Scheduled time not found.","")</f>
        <v/>
      </c>
    </row>
    <row r="662" spans="1:6" x14ac:dyDescent="0.25">
      <c r="A662" s="84" t="str">
        <f t="shared" si="10"/>
        <v>__</v>
      </c>
      <c r="B662" s="93"/>
      <c r="C662" s="93"/>
      <c r="D662" s="94"/>
      <c r="E662" s="95"/>
      <c r="F662" s="85" t="str">
        <f>IF(ISERROR(HLOOKUP(D662,Data!$1:$1,1,FALSE)),"PROBLEM - Scheduled time not found.","")</f>
        <v/>
      </c>
    </row>
    <row r="663" spans="1:6" x14ac:dyDescent="0.25">
      <c r="A663" s="84" t="str">
        <f t="shared" si="10"/>
        <v>__</v>
      </c>
      <c r="B663" s="93"/>
      <c r="C663" s="93"/>
      <c r="D663" s="94"/>
      <c r="E663" s="95"/>
      <c r="F663" s="85" t="str">
        <f>IF(ISERROR(HLOOKUP(D663,Data!$1:$1,1,FALSE)),"PROBLEM - Scheduled time not found.","")</f>
        <v/>
      </c>
    </row>
    <row r="664" spans="1:6" x14ac:dyDescent="0.25">
      <c r="A664" s="84" t="str">
        <f t="shared" si="10"/>
        <v>__</v>
      </c>
      <c r="B664" s="93"/>
      <c r="C664" s="93"/>
      <c r="D664" s="94"/>
      <c r="E664" s="95"/>
      <c r="F664" s="85" t="str">
        <f>IF(ISERROR(HLOOKUP(D664,Data!$1:$1,1,FALSE)),"PROBLEM - Scheduled time not found.","")</f>
        <v/>
      </c>
    </row>
    <row r="665" spans="1:6" x14ac:dyDescent="0.25">
      <c r="A665" s="84" t="str">
        <f t="shared" si="10"/>
        <v>__</v>
      </c>
      <c r="B665" s="93"/>
      <c r="C665" s="93"/>
      <c r="D665" s="94"/>
      <c r="E665" s="95"/>
      <c r="F665" s="85" t="str">
        <f>IF(ISERROR(HLOOKUP(D665,Data!$1:$1,1,FALSE)),"PROBLEM - Scheduled time not found.","")</f>
        <v/>
      </c>
    </row>
    <row r="666" spans="1:6" x14ac:dyDescent="0.25">
      <c r="A666" s="84" t="str">
        <f t="shared" si="10"/>
        <v>__</v>
      </c>
      <c r="B666" s="93"/>
      <c r="C666" s="93"/>
      <c r="D666" s="94"/>
      <c r="E666" s="95"/>
      <c r="F666" s="85" t="str">
        <f>IF(ISERROR(HLOOKUP(D666,Data!$1:$1,1,FALSE)),"PROBLEM - Scheduled time not found.","")</f>
        <v/>
      </c>
    </row>
    <row r="667" spans="1:6" x14ac:dyDescent="0.25">
      <c r="A667" s="84" t="str">
        <f t="shared" si="10"/>
        <v>__</v>
      </c>
      <c r="B667" s="93"/>
      <c r="C667" s="93"/>
      <c r="D667" s="94"/>
      <c r="E667" s="95"/>
      <c r="F667" s="85" t="str">
        <f>IF(ISERROR(HLOOKUP(D667,Data!$1:$1,1,FALSE)),"PROBLEM - Scheduled time not found.","")</f>
        <v/>
      </c>
    </row>
    <row r="668" spans="1:6" x14ac:dyDescent="0.25">
      <c r="A668" s="84" t="str">
        <f t="shared" si="10"/>
        <v>__</v>
      </c>
      <c r="B668" s="93"/>
      <c r="C668" s="93"/>
      <c r="D668" s="94"/>
      <c r="E668" s="95"/>
      <c r="F668" s="85" t="str">
        <f>IF(ISERROR(HLOOKUP(D668,Data!$1:$1,1,FALSE)),"PROBLEM - Scheduled time not found.","")</f>
        <v/>
      </c>
    </row>
    <row r="669" spans="1:6" x14ac:dyDescent="0.25">
      <c r="A669" s="84" t="str">
        <f t="shared" si="10"/>
        <v>__</v>
      </c>
      <c r="B669" s="93"/>
      <c r="C669" s="93"/>
      <c r="D669" s="94"/>
      <c r="E669" s="95"/>
      <c r="F669" s="85" t="str">
        <f>IF(ISERROR(HLOOKUP(D669,Data!$1:$1,1,FALSE)),"PROBLEM - Scheduled time not found.","")</f>
        <v/>
      </c>
    </row>
    <row r="670" spans="1:6" x14ac:dyDescent="0.25">
      <c r="A670" s="84" t="str">
        <f t="shared" si="10"/>
        <v>__</v>
      </c>
      <c r="B670" s="93"/>
      <c r="C670" s="93"/>
      <c r="D670" s="94"/>
      <c r="E670" s="95"/>
      <c r="F670" s="85" t="str">
        <f>IF(ISERROR(HLOOKUP(D670,Data!$1:$1,1,FALSE)),"PROBLEM - Scheduled time not found.","")</f>
        <v/>
      </c>
    </row>
    <row r="671" spans="1:6" x14ac:dyDescent="0.25">
      <c r="A671" s="84" t="str">
        <f t="shared" si="10"/>
        <v>__</v>
      </c>
      <c r="B671" s="93"/>
      <c r="C671" s="93"/>
      <c r="D671" s="94"/>
      <c r="E671" s="95"/>
      <c r="F671" s="85" t="str">
        <f>IF(ISERROR(HLOOKUP(D671,Data!$1:$1,1,FALSE)),"PROBLEM - Scheduled time not found.","")</f>
        <v/>
      </c>
    </row>
    <row r="672" spans="1:6" x14ac:dyDescent="0.25">
      <c r="A672" s="84" t="str">
        <f t="shared" si="10"/>
        <v>__</v>
      </c>
      <c r="B672" s="93"/>
      <c r="C672" s="93"/>
      <c r="D672" s="94"/>
      <c r="E672" s="95"/>
      <c r="F672" s="85" t="str">
        <f>IF(ISERROR(HLOOKUP(D672,Data!$1:$1,1,FALSE)),"PROBLEM - Scheduled time not found.","")</f>
        <v/>
      </c>
    </row>
    <row r="673" spans="1:6" x14ac:dyDescent="0.25">
      <c r="A673" s="84" t="str">
        <f t="shared" si="10"/>
        <v>__</v>
      </c>
      <c r="B673" s="93"/>
      <c r="C673" s="93"/>
      <c r="D673" s="94"/>
      <c r="E673" s="95"/>
      <c r="F673" s="85" t="str">
        <f>IF(ISERROR(HLOOKUP(D673,Data!$1:$1,1,FALSE)),"PROBLEM - Scheduled time not found.","")</f>
        <v/>
      </c>
    </row>
    <row r="674" spans="1:6" x14ac:dyDescent="0.25">
      <c r="A674" s="84" t="str">
        <f t="shared" si="10"/>
        <v>__</v>
      </c>
      <c r="B674" s="93"/>
      <c r="C674" s="93"/>
      <c r="D674" s="94"/>
      <c r="E674" s="95"/>
      <c r="F674" s="85" t="str">
        <f>IF(ISERROR(HLOOKUP(D674,Data!$1:$1,1,FALSE)),"PROBLEM - Scheduled time not found.","")</f>
        <v/>
      </c>
    </row>
    <row r="675" spans="1:6" x14ac:dyDescent="0.25">
      <c r="A675" s="84" t="str">
        <f t="shared" si="10"/>
        <v>__</v>
      </c>
      <c r="B675" s="93"/>
      <c r="C675" s="93"/>
      <c r="D675" s="94"/>
      <c r="E675" s="95"/>
      <c r="F675" s="85" t="str">
        <f>IF(ISERROR(HLOOKUP(D675,Data!$1:$1,1,FALSE)),"PROBLEM - Scheduled time not found.","")</f>
        <v/>
      </c>
    </row>
    <row r="676" spans="1:6" x14ac:dyDescent="0.25">
      <c r="A676" s="84" t="str">
        <f t="shared" si="10"/>
        <v>__</v>
      </c>
      <c r="B676" s="93"/>
      <c r="C676" s="93"/>
      <c r="D676" s="94"/>
      <c r="E676" s="95"/>
      <c r="F676" s="85" t="str">
        <f>IF(ISERROR(HLOOKUP(D676,Data!$1:$1,1,FALSE)),"PROBLEM - Scheduled time not found.","")</f>
        <v/>
      </c>
    </row>
    <row r="677" spans="1:6" x14ac:dyDescent="0.25">
      <c r="A677" s="84" t="str">
        <f t="shared" si="10"/>
        <v>__</v>
      </c>
      <c r="B677" s="93"/>
      <c r="C677" s="93"/>
      <c r="D677" s="94"/>
      <c r="E677" s="95"/>
      <c r="F677" s="85" t="str">
        <f>IF(ISERROR(HLOOKUP(D677,Data!$1:$1,1,FALSE)),"PROBLEM - Scheduled time not found.","")</f>
        <v/>
      </c>
    </row>
    <row r="678" spans="1:6" x14ac:dyDescent="0.25">
      <c r="A678" s="84" t="str">
        <f t="shared" si="10"/>
        <v>__</v>
      </c>
      <c r="B678" s="93"/>
      <c r="C678" s="93"/>
      <c r="D678" s="94"/>
      <c r="E678" s="95"/>
      <c r="F678" s="85" t="str">
        <f>IF(ISERROR(HLOOKUP(D678,Data!$1:$1,1,FALSE)),"PROBLEM - Scheduled time not found.","")</f>
        <v/>
      </c>
    </row>
    <row r="679" spans="1:6" x14ac:dyDescent="0.25">
      <c r="A679" s="84" t="str">
        <f t="shared" si="10"/>
        <v>__</v>
      </c>
      <c r="B679" s="93"/>
      <c r="C679" s="93"/>
      <c r="D679" s="94"/>
      <c r="E679" s="95"/>
      <c r="F679" s="85" t="str">
        <f>IF(ISERROR(HLOOKUP(D679,Data!$1:$1,1,FALSE)),"PROBLEM - Scheduled time not found.","")</f>
        <v/>
      </c>
    </row>
    <row r="680" spans="1:6" x14ac:dyDescent="0.25">
      <c r="A680" s="84" t="str">
        <f t="shared" si="10"/>
        <v>__</v>
      </c>
      <c r="B680" s="93"/>
      <c r="C680" s="93"/>
      <c r="D680" s="94"/>
      <c r="E680" s="95"/>
      <c r="F680" s="85" t="str">
        <f>IF(ISERROR(HLOOKUP(D680,Data!$1:$1,1,FALSE)),"PROBLEM - Scheduled time not found.","")</f>
        <v/>
      </c>
    </row>
    <row r="681" spans="1:6" x14ac:dyDescent="0.25">
      <c r="A681" s="84" t="str">
        <f t="shared" si="10"/>
        <v>__</v>
      </c>
      <c r="B681" s="93"/>
      <c r="C681" s="93"/>
      <c r="D681" s="94"/>
      <c r="E681" s="95"/>
      <c r="F681" s="85" t="str">
        <f>IF(ISERROR(HLOOKUP(D681,Data!$1:$1,1,FALSE)),"PROBLEM - Scheduled time not found.","")</f>
        <v/>
      </c>
    </row>
    <row r="682" spans="1:6" x14ac:dyDescent="0.25">
      <c r="A682" s="84" t="str">
        <f t="shared" si="10"/>
        <v>__</v>
      </c>
      <c r="B682" s="93"/>
      <c r="C682" s="93"/>
      <c r="D682" s="94"/>
      <c r="E682" s="95"/>
      <c r="F682" s="85" t="str">
        <f>IF(ISERROR(HLOOKUP(D682,Data!$1:$1,1,FALSE)),"PROBLEM - Scheduled time not found.","")</f>
        <v/>
      </c>
    </row>
    <row r="683" spans="1:6" x14ac:dyDescent="0.25">
      <c r="A683" s="84" t="str">
        <f t="shared" si="10"/>
        <v>__</v>
      </c>
      <c r="B683" s="93"/>
      <c r="C683" s="93"/>
      <c r="D683" s="94"/>
      <c r="E683" s="95"/>
      <c r="F683" s="85" t="str">
        <f>IF(ISERROR(HLOOKUP(D683,Data!$1:$1,1,FALSE)),"PROBLEM - Scheduled time not found.","")</f>
        <v/>
      </c>
    </row>
    <row r="684" spans="1:6" x14ac:dyDescent="0.25">
      <c r="A684" s="84" t="str">
        <f t="shared" si="10"/>
        <v>__</v>
      </c>
      <c r="B684" s="93"/>
      <c r="C684" s="93"/>
      <c r="D684" s="94"/>
      <c r="E684" s="95"/>
      <c r="F684" s="85" t="str">
        <f>IF(ISERROR(HLOOKUP(D684,Data!$1:$1,1,FALSE)),"PROBLEM - Scheduled time not found.","")</f>
        <v/>
      </c>
    </row>
    <row r="685" spans="1:6" x14ac:dyDescent="0.25">
      <c r="A685" s="84" t="str">
        <f t="shared" si="10"/>
        <v>__</v>
      </c>
      <c r="B685" s="93"/>
      <c r="C685" s="93"/>
      <c r="D685" s="94"/>
      <c r="E685" s="95"/>
      <c r="F685" s="85" t="str">
        <f>IF(ISERROR(HLOOKUP(D685,Data!$1:$1,1,FALSE)),"PROBLEM - Scheduled time not found.","")</f>
        <v/>
      </c>
    </row>
    <row r="686" spans="1:6" x14ac:dyDescent="0.25">
      <c r="A686" s="84" t="str">
        <f t="shared" si="10"/>
        <v>__</v>
      </c>
      <c r="B686" s="93"/>
      <c r="C686" s="93"/>
      <c r="D686" s="94"/>
      <c r="E686" s="95"/>
      <c r="F686" s="85" t="str">
        <f>IF(ISERROR(HLOOKUP(D686,Data!$1:$1,1,FALSE)),"PROBLEM - Scheduled time not found.","")</f>
        <v/>
      </c>
    </row>
    <row r="687" spans="1:6" x14ac:dyDescent="0.25">
      <c r="A687" s="84" t="str">
        <f t="shared" si="10"/>
        <v>__</v>
      </c>
      <c r="B687" s="93"/>
      <c r="C687" s="93"/>
      <c r="D687" s="94"/>
      <c r="E687" s="95"/>
      <c r="F687" s="85" t="str">
        <f>IF(ISERROR(HLOOKUP(D687,Data!$1:$1,1,FALSE)),"PROBLEM - Scheduled time not found.","")</f>
        <v/>
      </c>
    </row>
    <row r="688" spans="1:6" x14ac:dyDescent="0.25">
      <c r="A688" s="84" t="str">
        <f t="shared" si="10"/>
        <v>__</v>
      </c>
      <c r="B688" s="93"/>
      <c r="C688" s="93"/>
      <c r="D688" s="94"/>
      <c r="E688" s="95"/>
      <c r="F688" s="85" t="str">
        <f>IF(ISERROR(HLOOKUP(D688,Data!$1:$1,1,FALSE)),"PROBLEM - Scheduled time not found.","")</f>
        <v/>
      </c>
    </row>
    <row r="689" spans="1:6" x14ac:dyDescent="0.25">
      <c r="A689" s="84" t="str">
        <f t="shared" si="10"/>
        <v>__</v>
      </c>
      <c r="B689" s="93"/>
      <c r="C689" s="93"/>
      <c r="D689" s="94"/>
      <c r="E689" s="95"/>
      <c r="F689" s="85" t="str">
        <f>IF(ISERROR(HLOOKUP(D689,Data!$1:$1,1,FALSE)),"PROBLEM - Scheduled time not found.","")</f>
        <v/>
      </c>
    </row>
    <row r="690" spans="1:6" x14ac:dyDescent="0.25">
      <c r="A690" s="84" t="str">
        <f t="shared" si="10"/>
        <v>__</v>
      </c>
      <c r="B690" s="93"/>
      <c r="C690" s="93"/>
      <c r="D690" s="94"/>
      <c r="E690" s="95"/>
      <c r="F690" s="85" t="str">
        <f>IF(ISERROR(HLOOKUP(D690,Data!$1:$1,1,FALSE)),"PROBLEM - Scheduled time not found.","")</f>
        <v/>
      </c>
    </row>
    <row r="691" spans="1:6" x14ac:dyDescent="0.25">
      <c r="A691" s="84" t="str">
        <f t="shared" si="10"/>
        <v>__</v>
      </c>
      <c r="B691" s="93"/>
      <c r="C691" s="93"/>
      <c r="D691" s="94"/>
      <c r="E691" s="95"/>
      <c r="F691" s="85" t="str">
        <f>IF(ISERROR(HLOOKUP(D691,Data!$1:$1,1,FALSE)),"PROBLEM - Scheduled time not found.","")</f>
        <v/>
      </c>
    </row>
    <row r="692" spans="1:6" x14ac:dyDescent="0.25">
      <c r="A692" s="84" t="str">
        <f t="shared" si="10"/>
        <v>__</v>
      </c>
      <c r="B692" s="93"/>
      <c r="C692" s="93"/>
      <c r="D692" s="94"/>
      <c r="E692" s="95"/>
      <c r="F692" s="85" t="str">
        <f>IF(ISERROR(HLOOKUP(D692,Data!$1:$1,1,FALSE)),"PROBLEM - Scheduled time not found.","")</f>
        <v/>
      </c>
    </row>
    <row r="693" spans="1:6" x14ac:dyDescent="0.25">
      <c r="A693" s="84" t="str">
        <f t="shared" si="10"/>
        <v>__</v>
      </c>
      <c r="B693" s="93"/>
      <c r="C693" s="93"/>
      <c r="D693" s="94"/>
      <c r="E693" s="95"/>
      <c r="F693" s="85" t="str">
        <f>IF(ISERROR(HLOOKUP(D693,Data!$1:$1,1,FALSE)),"PROBLEM - Scheduled time not found.","")</f>
        <v/>
      </c>
    </row>
    <row r="694" spans="1:6" x14ac:dyDescent="0.25">
      <c r="A694" s="84" t="str">
        <f t="shared" si="10"/>
        <v>__</v>
      </c>
      <c r="B694" s="93"/>
      <c r="C694" s="93"/>
      <c r="D694" s="94"/>
      <c r="E694" s="95"/>
      <c r="F694" s="85" t="str">
        <f>IF(ISERROR(HLOOKUP(D694,Data!$1:$1,1,FALSE)),"PROBLEM - Scheduled time not found.","")</f>
        <v/>
      </c>
    </row>
    <row r="695" spans="1:6" x14ac:dyDescent="0.25">
      <c r="A695" s="84" t="str">
        <f t="shared" si="10"/>
        <v>__</v>
      </c>
      <c r="B695" s="93"/>
      <c r="C695" s="93"/>
      <c r="D695" s="94"/>
      <c r="E695" s="95"/>
      <c r="F695" s="85" t="str">
        <f>IF(ISERROR(HLOOKUP(D695,Data!$1:$1,1,FALSE)),"PROBLEM - Scheduled time not found.","")</f>
        <v/>
      </c>
    </row>
    <row r="696" spans="1:6" x14ac:dyDescent="0.25">
      <c r="A696" s="84" t="str">
        <f t="shared" si="10"/>
        <v>__</v>
      </c>
      <c r="B696" s="93"/>
      <c r="C696" s="93"/>
      <c r="D696" s="94"/>
      <c r="E696" s="95"/>
      <c r="F696" s="85" t="str">
        <f>IF(ISERROR(HLOOKUP(D696,Data!$1:$1,1,FALSE)),"PROBLEM - Scheduled time not found.","")</f>
        <v/>
      </c>
    </row>
    <row r="697" spans="1:6" x14ac:dyDescent="0.25">
      <c r="A697" s="84" t="str">
        <f t="shared" si="10"/>
        <v>__</v>
      </c>
      <c r="B697" s="93"/>
      <c r="C697" s="93"/>
      <c r="D697" s="94"/>
      <c r="E697" s="95"/>
      <c r="F697" s="85" t="str">
        <f>IF(ISERROR(HLOOKUP(D697,Data!$1:$1,1,FALSE)),"PROBLEM - Scheduled time not found.","")</f>
        <v/>
      </c>
    </row>
    <row r="698" spans="1:6" x14ac:dyDescent="0.25">
      <c r="A698" s="84" t="str">
        <f t="shared" si="10"/>
        <v>__</v>
      </c>
      <c r="B698" s="93"/>
      <c r="C698" s="93"/>
      <c r="D698" s="94"/>
      <c r="E698" s="95"/>
      <c r="F698" s="85" t="str">
        <f>IF(ISERROR(HLOOKUP(D698,Data!$1:$1,1,FALSE)),"PROBLEM - Scheduled time not found.","")</f>
        <v/>
      </c>
    </row>
    <row r="699" spans="1:6" x14ac:dyDescent="0.25">
      <c r="A699" s="84" t="str">
        <f t="shared" si="10"/>
        <v>__</v>
      </c>
      <c r="B699" s="93"/>
      <c r="C699" s="93"/>
      <c r="D699" s="94"/>
      <c r="E699" s="95"/>
      <c r="F699" s="85" t="str">
        <f>IF(ISERROR(HLOOKUP(D699,Data!$1:$1,1,FALSE)),"PROBLEM - Scheduled time not found.","")</f>
        <v/>
      </c>
    </row>
    <row r="700" spans="1:6" x14ac:dyDescent="0.25">
      <c r="A700" s="84" t="str">
        <f t="shared" si="10"/>
        <v>__</v>
      </c>
      <c r="B700" s="93"/>
      <c r="C700" s="93"/>
      <c r="D700" s="94"/>
      <c r="E700" s="95"/>
      <c r="F700" s="85" t="str">
        <f>IF(ISERROR(HLOOKUP(D700,Data!$1:$1,1,FALSE)),"PROBLEM - Scheduled time not found.","")</f>
        <v/>
      </c>
    </row>
    <row r="701" spans="1:6" x14ac:dyDescent="0.25">
      <c r="A701" s="84" t="str">
        <f t="shared" si="10"/>
        <v>__</v>
      </c>
      <c r="B701" s="93"/>
      <c r="C701" s="93"/>
      <c r="D701" s="94"/>
      <c r="E701" s="95"/>
      <c r="F701" s="85" t="str">
        <f>IF(ISERROR(HLOOKUP(D701,Data!$1:$1,1,FALSE)),"PROBLEM - Scheduled time not found.","")</f>
        <v/>
      </c>
    </row>
    <row r="702" spans="1:6" x14ac:dyDescent="0.25">
      <c r="A702" s="84" t="str">
        <f t="shared" si="10"/>
        <v>__</v>
      </c>
      <c r="B702" s="93"/>
      <c r="C702" s="93"/>
      <c r="D702" s="94"/>
      <c r="E702" s="95"/>
      <c r="F702" s="85" t="str">
        <f>IF(ISERROR(HLOOKUP(D702,Data!$1:$1,1,FALSE)),"PROBLEM - Scheduled time not found.","")</f>
        <v/>
      </c>
    </row>
    <row r="703" spans="1:6" x14ac:dyDescent="0.25">
      <c r="A703" s="84" t="str">
        <f t="shared" si="10"/>
        <v>__</v>
      </c>
      <c r="B703" s="93"/>
      <c r="C703" s="93"/>
      <c r="D703" s="94"/>
      <c r="E703" s="95"/>
      <c r="F703" s="85" t="str">
        <f>IF(ISERROR(HLOOKUP(D703,Data!$1:$1,1,FALSE)),"PROBLEM - Scheduled time not found.","")</f>
        <v/>
      </c>
    </row>
    <row r="704" spans="1:6" x14ac:dyDescent="0.25">
      <c r="A704" s="84" t="str">
        <f t="shared" si="10"/>
        <v>__</v>
      </c>
      <c r="B704" s="93"/>
      <c r="C704" s="93"/>
      <c r="D704" s="94"/>
      <c r="E704" s="95"/>
      <c r="F704" s="85" t="str">
        <f>IF(ISERROR(HLOOKUP(D704,Data!$1:$1,1,FALSE)),"PROBLEM - Scheduled time not found.","")</f>
        <v/>
      </c>
    </row>
    <row r="705" spans="1:6" x14ac:dyDescent="0.25">
      <c r="A705" s="84" t="str">
        <f t="shared" si="10"/>
        <v>__</v>
      </c>
      <c r="B705" s="93"/>
      <c r="C705" s="93"/>
      <c r="D705" s="94"/>
      <c r="E705" s="95"/>
      <c r="F705" s="85" t="str">
        <f>IF(ISERROR(HLOOKUP(D705,Data!$1:$1,1,FALSE)),"PROBLEM - Scheduled time not found.","")</f>
        <v/>
      </c>
    </row>
    <row r="706" spans="1:6" x14ac:dyDescent="0.25">
      <c r="A706" s="84" t="str">
        <f t="shared" si="10"/>
        <v>__</v>
      </c>
      <c r="B706" s="93"/>
      <c r="C706" s="93"/>
      <c r="D706" s="94"/>
      <c r="E706" s="95"/>
      <c r="F706" s="85" t="str">
        <f>IF(ISERROR(HLOOKUP(D706,Data!$1:$1,1,FALSE)),"PROBLEM - Scheduled time not found.","")</f>
        <v/>
      </c>
    </row>
    <row r="707" spans="1:6" x14ac:dyDescent="0.25">
      <c r="A707" s="84" t="str">
        <f t="shared" ref="A707:A770" si="11">B707&amp;"_"&amp;C707&amp;"_"&amp;D707</f>
        <v>__</v>
      </c>
      <c r="B707" s="93"/>
      <c r="C707" s="93"/>
      <c r="D707" s="94"/>
      <c r="E707" s="95"/>
      <c r="F707" s="85" t="str">
        <f>IF(ISERROR(HLOOKUP(D707,Data!$1:$1,1,FALSE)),"PROBLEM - Scheduled time not found.","")</f>
        <v/>
      </c>
    </row>
    <row r="708" spans="1:6" x14ac:dyDescent="0.25">
      <c r="A708" s="84" t="str">
        <f t="shared" si="11"/>
        <v>__</v>
      </c>
      <c r="B708" s="93"/>
      <c r="C708" s="93"/>
      <c r="D708" s="94"/>
      <c r="E708" s="95"/>
      <c r="F708" s="85" t="str">
        <f>IF(ISERROR(HLOOKUP(D708,Data!$1:$1,1,FALSE)),"PROBLEM - Scheduled time not found.","")</f>
        <v/>
      </c>
    </row>
    <row r="709" spans="1:6" x14ac:dyDescent="0.25">
      <c r="A709" s="84" t="str">
        <f t="shared" si="11"/>
        <v>__</v>
      </c>
      <c r="B709" s="93"/>
      <c r="C709" s="93"/>
      <c r="D709" s="94"/>
      <c r="E709" s="95"/>
      <c r="F709" s="85" t="str">
        <f>IF(ISERROR(HLOOKUP(D709,Data!$1:$1,1,FALSE)),"PROBLEM - Scheduled time not found.","")</f>
        <v/>
      </c>
    </row>
    <row r="710" spans="1:6" x14ac:dyDescent="0.25">
      <c r="A710" s="84" t="str">
        <f t="shared" si="11"/>
        <v>__</v>
      </c>
      <c r="B710" s="93"/>
      <c r="C710" s="93"/>
      <c r="D710" s="94"/>
      <c r="E710" s="95"/>
      <c r="F710" s="85" t="str">
        <f>IF(ISERROR(HLOOKUP(D710,Data!$1:$1,1,FALSE)),"PROBLEM - Scheduled time not found.","")</f>
        <v/>
      </c>
    </row>
    <row r="711" spans="1:6" x14ac:dyDescent="0.25">
      <c r="A711" s="84" t="str">
        <f t="shared" si="11"/>
        <v>__</v>
      </c>
      <c r="B711" s="93"/>
      <c r="C711" s="93"/>
      <c r="D711" s="94"/>
      <c r="E711" s="95"/>
      <c r="F711" s="85" t="str">
        <f>IF(ISERROR(HLOOKUP(D711,Data!$1:$1,1,FALSE)),"PROBLEM - Scheduled time not found.","")</f>
        <v/>
      </c>
    </row>
    <row r="712" spans="1:6" x14ac:dyDescent="0.25">
      <c r="A712" s="84" t="str">
        <f t="shared" si="11"/>
        <v>__</v>
      </c>
      <c r="B712" s="93"/>
      <c r="C712" s="93"/>
      <c r="D712" s="94"/>
      <c r="E712" s="95"/>
      <c r="F712" s="85" t="str">
        <f>IF(ISERROR(HLOOKUP(D712,Data!$1:$1,1,FALSE)),"PROBLEM - Scheduled time not found.","")</f>
        <v/>
      </c>
    </row>
    <row r="713" spans="1:6" x14ac:dyDescent="0.25">
      <c r="A713" s="84" t="str">
        <f t="shared" si="11"/>
        <v>__</v>
      </c>
      <c r="B713" s="93"/>
      <c r="C713" s="93"/>
      <c r="D713" s="94"/>
      <c r="E713" s="95"/>
      <c r="F713" s="85" t="str">
        <f>IF(ISERROR(HLOOKUP(D713,Data!$1:$1,1,FALSE)),"PROBLEM - Scheduled time not found.","")</f>
        <v/>
      </c>
    </row>
    <row r="714" spans="1:6" x14ac:dyDescent="0.25">
      <c r="A714" s="84" t="str">
        <f t="shared" si="11"/>
        <v>__</v>
      </c>
      <c r="B714" s="93"/>
      <c r="C714" s="93"/>
      <c r="D714" s="94"/>
      <c r="E714" s="95"/>
      <c r="F714" s="85" t="str">
        <f>IF(ISERROR(HLOOKUP(D714,Data!$1:$1,1,FALSE)),"PROBLEM - Scheduled time not found.","")</f>
        <v/>
      </c>
    </row>
    <row r="715" spans="1:6" x14ac:dyDescent="0.25">
      <c r="A715" s="84" t="str">
        <f t="shared" si="11"/>
        <v>__</v>
      </c>
      <c r="B715" s="93"/>
      <c r="C715" s="93"/>
      <c r="D715" s="94"/>
      <c r="E715" s="95"/>
      <c r="F715" s="85" t="str">
        <f>IF(ISERROR(HLOOKUP(D715,Data!$1:$1,1,FALSE)),"PROBLEM - Scheduled time not found.","")</f>
        <v/>
      </c>
    </row>
    <row r="716" spans="1:6" x14ac:dyDescent="0.25">
      <c r="A716" s="84" t="str">
        <f t="shared" si="11"/>
        <v>__</v>
      </c>
      <c r="B716" s="93"/>
      <c r="C716" s="93"/>
      <c r="D716" s="94"/>
      <c r="E716" s="95"/>
      <c r="F716" s="85" t="str">
        <f>IF(ISERROR(HLOOKUP(D716,Data!$1:$1,1,FALSE)),"PROBLEM - Scheduled time not found.","")</f>
        <v/>
      </c>
    </row>
    <row r="717" spans="1:6" x14ac:dyDescent="0.25">
      <c r="A717" s="84" t="str">
        <f t="shared" si="11"/>
        <v>__</v>
      </c>
      <c r="B717" s="93"/>
      <c r="C717" s="93"/>
      <c r="D717" s="94"/>
      <c r="E717" s="95"/>
      <c r="F717" s="85" t="str">
        <f>IF(ISERROR(HLOOKUP(D717,Data!$1:$1,1,FALSE)),"PROBLEM - Scheduled time not found.","")</f>
        <v/>
      </c>
    </row>
    <row r="718" spans="1:6" x14ac:dyDescent="0.25">
      <c r="A718" s="84" t="str">
        <f t="shared" si="11"/>
        <v>__</v>
      </c>
      <c r="B718" s="93"/>
      <c r="C718" s="93"/>
      <c r="D718" s="94"/>
      <c r="E718" s="95"/>
      <c r="F718" s="85" t="str">
        <f>IF(ISERROR(HLOOKUP(D718,Data!$1:$1,1,FALSE)),"PROBLEM - Scheduled time not found.","")</f>
        <v/>
      </c>
    </row>
    <row r="719" spans="1:6" x14ac:dyDescent="0.25">
      <c r="A719" s="84" t="str">
        <f t="shared" si="11"/>
        <v>__</v>
      </c>
      <c r="B719" s="93"/>
      <c r="C719" s="93"/>
      <c r="D719" s="94"/>
      <c r="E719" s="95"/>
      <c r="F719" s="85" t="str">
        <f>IF(ISERROR(HLOOKUP(D719,Data!$1:$1,1,FALSE)),"PROBLEM - Scheduled time not found.","")</f>
        <v/>
      </c>
    </row>
    <row r="720" spans="1:6" x14ac:dyDescent="0.25">
      <c r="A720" s="84" t="str">
        <f t="shared" si="11"/>
        <v>__</v>
      </c>
      <c r="B720" s="93"/>
      <c r="C720" s="93"/>
      <c r="D720" s="94"/>
      <c r="E720" s="95"/>
      <c r="F720" s="85" t="str">
        <f>IF(ISERROR(HLOOKUP(D720,Data!$1:$1,1,FALSE)),"PROBLEM - Scheduled time not found.","")</f>
        <v/>
      </c>
    </row>
    <row r="721" spans="1:6" x14ac:dyDescent="0.25">
      <c r="A721" s="84" t="str">
        <f t="shared" si="11"/>
        <v>__</v>
      </c>
      <c r="B721" s="93"/>
      <c r="C721" s="93"/>
      <c r="D721" s="94"/>
      <c r="E721" s="95"/>
      <c r="F721" s="85" t="str">
        <f>IF(ISERROR(HLOOKUP(D721,Data!$1:$1,1,FALSE)),"PROBLEM - Scheduled time not found.","")</f>
        <v/>
      </c>
    </row>
    <row r="722" spans="1:6" x14ac:dyDescent="0.25">
      <c r="A722" s="84" t="str">
        <f t="shared" si="11"/>
        <v>__</v>
      </c>
      <c r="B722" s="93"/>
      <c r="C722" s="93"/>
      <c r="D722" s="94"/>
      <c r="E722" s="95"/>
      <c r="F722" s="85" t="str">
        <f>IF(ISERROR(HLOOKUP(D722,Data!$1:$1,1,FALSE)),"PROBLEM - Scheduled time not found.","")</f>
        <v/>
      </c>
    </row>
    <row r="723" spans="1:6" x14ac:dyDescent="0.25">
      <c r="A723" s="84" t="str">
        <f t="shared" si="11"/>
        <v>__</v>
      </c>
      <c r="B723" s="93"/>
      <c r="C723" s="93"/>
      <c r="D723" s="94"/>
      <c r="E723" s="95"/>
      <c r="F723" s="85" t="str">
        <f>IF(ISERROR(HLOOKUP(D723,Data!$1:$1,1,FALSE)),"PROBLEM - Scheduled time not found.","")</f>
        <v/>
      </c>
    </row>
    <row r="724" spans="1:6" x14ac:dyDescent="0.25">
      <c r="A724" s="84" t="str">
        <f t="shared" si="11"/>
        <v>__</v>
      </c>
      <c r="B724" s="93"/>
      <c r="C724" s="93"/>
      <c r="D724" s="94"/>
      <c r="E724" s="95"/>
      <c r="F724" s="85" t="str">
        <f>IF(ISERROR(HLOOKUP(D724,Data!$1:$1,1,FALSE)),"PROBLEM - Scheduled time not found.","")</f>
        <v/>
      </c>
    </row>
    <row r="725" spans="1:6" x14ac:dyDescent="0.25">
      <c r="A725" s="84" t="str">
        <f t="shared" si="11"/>
        <v>__</v>
      </c>
      <c r="B725" s="93"/>
      <c r="C725" s="93"/>
      <c r="D725" s="94"/>
      <c r="E725" s="95"/>
      <c r="F725" s="85" t="str">
        <f>IF(ISERROR(HLOOKUP(D725,Data!$1:$1,1,FALSE)),"PROBLEM - Scheduled time not found.","")</f>
        <v/>
      </c>
    </row>
    <row r="726" spans="1:6" x14ac:dyDescent="0.25">
      <c r="A726" s="84" t="str">
        <f t="shared" si="11"/>
        <v>__</v>
      </c>
      <c r="B726" s="93"/>
      <c r="C726" s="93"/>
      <c r="D726" s="94"/>
      <c r="E726" s="95"/>
      <c r="F726" s="85" t="str">
        <f>IF(ISERROR(HLOOKUP(D726,Data!$1:$1,1,FALSE)),"PROBLEM - Scheduled time not found.","")</f>
        <v/>
      </c>
    </row>
    <row r="727" spans="1:6" x14ac:dyDescent="0.25">
      <c r="A727" s="84" t="str">
        <f t="shared" si="11"/>
        <v>__</v>
      </c>
      <c r="B727" s="93"/>
      <c r="C727" s="93"/>
      <c r="D727" s="94"/>
      <c r="E727" s="95"/>
      <c r="F727" s="85" t="str">
        <f>IF(ISERROR(HLOOKUP(D727,Data!$1:$1,1,FALSE)),"PROBLEM - Scheduled time not found.","")</f>
        <v/>
      </c>
    </row>
    <row r="728" spans="1:6" x14ac:dyDescent="0.25">
      <c r="A728" s="84" t="str">
        <f t="shared" si="11"/>
        <v>__</v>
      </c>
      <c r="B728" s="93"/>
      <c r="C728" s="93"/>
      <c r="D728" s="94"/>
      <c r="E728" s="95"/>
      <c r="F728" s="85" t="str">
        <f>IF(ISERROR(HLOOKUP(D728,Data!$1:$1,1,FALSE)),"PROBLEM - Scheduled time not found.","")</f>
        <v/>
      </c>
    </row>
    <row r="729" spans="1:6" x14ac:dyDescent="0.25">
      <c r="A729" s="84" t="str">
        <f t="shared" si="11"/>
        <v>__</v>
      </c>
      <c r="B729" s="93"/>
      <c r="C729" s="93"/>
      <c r="D729" s="94"/>
      <c r="E729" s="95"/>
      <c r="F729" s="85" t="str">
        <f>IF(ISERROR(HLOOKUP(D729,Data!$1:$1,1,FALSE)),"PROBLEM - Scheduled time not found.","")</f>
        <v/>
      </c>
    </row>
    <row r="730" spans="1:6" x14ac:dyDescent="0.25">
      <c r="A730" s="84" t="str">
        <f t="shared" si="11"/>
        <v>__</v>
      </c>
      <c r="B730" s="93"/>
      <c r="C730" s="93"/>
      <c r="D730" s="94"/>
      <c r="E730" s="95"/>
      <c r="F730" s="85" t="str">
        <f>IF(ISERROR(HLOOKUP(D730,Data!$1:$1,1,FALSE)),"PROBLEM - Scheduled time not found.","")</f>
        <v/>
      </c>
    </row>
    <row r="731" spans="1:6" x14ac:dyDescent="0.25">
      <c r="A731" s="84" t="str">
        <f t="shared" si="11"/>
        <v>__</v>
      </c>
      <c r="B731" s="93"/>
      <c r="C731" s="93"/>
      <c r="D731" s="94"/>
      <c r="E731" s="95"/>
      <c r="F731" s="85" t="str">
        <f>IF(ISERROR(HLOOKUP(D731,Data!$1:$1,1,FALSE)),"PROBLEM - Scheduled time not found.","")</f>
        <v/>
      </c>
    </row>
    <row r="732" spans="1:6" x14ac:dyDescent="0.25">
      <c r="A732" s="84" t="str">
        <f t="shared" si="11"/>
        <v>__</v>
      </c>
      <c r="B732" s="93"/>
      <c r="C732" s="93"/>
      <c r="D732" s="94"/>
      <c r="E732" s="95"/>
      <c r="F732" s="85" t="str">
        <f>IF(ISERROR(HLOOKUP(D732,Data!$1:$1,1,FALSE)),"PROBLEM - Scheduled time not found.","")</f>
        <v/>
      </c>
    </row>
    <row r="733" spans="1:6" x14ac:dyDescent="0.25">
      <c r="A733" s="84" t="str">
        <f t="shared" si="11"/>
        <v>__</v>
      </c>
      <c r="B733" s="93"/>
      <c r="C733" s="93"/>
      <c r="D733" s="94"/>
      <c r="E733" s="95"/>
      <c r="F733" s="85" t="str">
        <f>IF(ISERROR(HLOOKUP(D733,Data!$1:$1,1,FALSE)),"PROBLEM - Scheduled time not found.","")</f>
        <v/>
      </c>
    </row>
    <row r="734" spans="1:6" x14ac:dyDescent="0.25">
      <c r="A734" s="84" t="str">
        <f t="shared" si="11"/>
        <v>__</v>
      </c>
      <c r="B734" s="93"/>
      <c r="C734" s="93"/>
      <c r="D734" s="94"/>
      <c r="E734" s="95"/>
      <c r="F734" s="85" t="str">
        <f>IF(ISERROR(HLOOKUP(D734,Data!$1:$1,1,FALSE)),"PROBLEM - Scheduled time not found.","")</f>
        <v/>
      </c>
    </row>
    <row r="735" spans="1:6" x14ac:dyDescent="0.25">
      <c r="A735" s="84" t="str">
        <f t="shared" si="11"/>
        <v>__</v>
      </c>
      <c r="B735" s="93"/>
      <c r="C735" s="93"/>
      <c r="D735" s="94"/>
      <c r="E735" s="95"/>
      <c r="F735" s="85" t="str">
        <f>IF(ISERROR(HLOOKUP(D735,Data!$1:$1,1,FALSE)),"PROBLEM - Scheduled time not found.","")</f>
        <v/>
      </c>
    </row>
    <row r="736" spans="1:6" x14ac:dyDescent="0.25">
      <c r="A736" s="84" t="str">
        <f t="shared" si="11"/>
        <v>__</v>
      </c>
      <c r="B736" s="93"/>
      <c r="C736" s="93"/>
      <c r="D736" s="94"/>
      <c r="E736" s="95"/>
      <c r="F736" s="85" t="str">
        <f>IF(ISERROR(HLOOKUP(D736,Data!$1:$1,1,FALSE)),"PROBLEM - Scheduled time not found.","")</f>
        <v/>
      </c>
    </row>
    <row r="737" spans="1:6" x14ac:dyDescent="0.25">
      <c r="A737" s="84" t="str">
        <f t="shared" si="11"/>
        <v>__</v>
      </c>
      <c r="B737" s="93"/>
      <c r="C737" s="93"/>
      <c r="D737" s="94"/>
      <c r="E737" s="95"/>
      <c r="F737" s="85" t="str">
        <f>IF(ISERROR(HLOOKUP(D737,Data!$1:$1,1,FALSE)),"PROBLEM - Scheduled time not found.","")</f>
        <v/>
      </c>
    </row>
    <row r="738" spans="1:6" x14ac:dyDescent="0.25">
      <c r="A738" s="84" t="str">
        <f t="shared" si="11"/>
        <v>__</v>
      </c>
      <c r="B738" s="93"/>
      <c r="C738" s="93"/>
      <c r="D738" s="94"/>
      <c r="E738" s="95"/>
      <c r="F738" s="85" t="str">
        <f>IF(ISERROR(HLOOKUP(D738,Data!$1:$1,1,FALSE)),"PROBLEM - Scheduled time not found.","")</f>
        <v/>
      </c>
    </row>
    <row r="739" spans="1:6" x14ac:dyDescent="0.25">
      <c r="A739" s="84" t="str">
        <f t="shared" si="11"/>
        <v>__</v>
      </c>
      <c r="B739" s="93"/>
      <c r="C739" s="93"/>
      <c r="D739" s="94"/>
      <c r="E739" s="95"/>
      <c r="F739" s="85" t="str">
        <f>IF(ISERROR(HLOOKUP(D739,Data!$1:$1,1,FALSE)),"PROBLEM - Scheduled time not found.","")</f>
        <v/>
      </c>
    </row>
    <row r="740" spans="1:6" x14ac:dyDescent="0.25">
      <c r="A740" s="84" t="str">
        <f t="shared" si="11"/>
        <v>__</v>
      </c>
      <c r="B740" s="93"/>
      <c r="C740" s="93"/>
      <c r="D740" s="94"/>
      <c r="E740" s="95"/>
      <c r="F740" s="85" t="str">
        <f>IF(ISERROR(HLOOKUP(D740,Data!$1:$1,1,FALSE)),"PROBLEM - Scheduled time not found.","")</f>
        <v/>
      </c>
    </row>
    <row r="741" spans="1:6" x14ac:dyDescent="0.25">
      <c r="A741" s="84" t="str">
        <f t="shared" si="11"/>
        <v>__</v>
      </c>
      <c r="B741" s="93"/>
      <c r="C741" s="93"/>
      <c r="D741" s="94"/>
      <c r="E741" s="95"/>
      <c r="F741" s="85" t="str">
        <f>IF(ISERROR(HLOOKUP(D741,Data!$1:$1,1,FALSE)),"PROBLEM - Scheduled time not found.","")</f>
        <v/>
      </c>
    </row>
    <row r="742" spans="1:6" x14ac:dyDescent="0.25">
      <c r="A742" s="84" t="str">
        <f t="shared" si="11"/>
        <v>__</v>
      </c>
      <c r="B742" s="93"/>
      <c r="C742" s="93"/>
      <c r="D742" s="94"/>
      <c r="E742" s="95"/>
      <c r="F742" s="85" t="str">
        <f>IF(ISERROR(HLOOKUP(D742,Data!$1:$1,1,FALSE)),"PROBLEM - Scheduled time not found.","")</f>
        <v/>
      </c>
    </row>
    <row r="743" spans="1:6" x14ac:dyDescent="0.25">
      <c r="A743" s="84" t="str">
        <f t="shared" si="11"/>
        <v>__</v>
      </c>
      <c r="B743" s="93"/>
      <c r="C743" s="93"/>
      <c r="D743" s="94"/>
      <c r="E743" s="95"/>
      <c r="F743" s="85" t="str">
        <f>IF(ISERROR(HLOOKUP(D743,Data!$1:$1,1,FALSE)),"PROBLEM - Scheduled time not found.","")</f>
        <v/>
      </c>
    </row>
    <row r="744" spans="1:6" x14ac:dyDescent="0.25">
      <c r="A744" s="84" t="str">
        <f t="shared" si="11"/>
        <v>__</v>
      </c>
      <c r="B744" s="93"/>
      <c r="C744" s="93"/>
      <c r="D744" s="94"/>
      <c r="E744" s="95"/>
      <c r="F744" s="85" t="str">
        <f>IF(ISERROR(HLOOKUP(D744,Data!$1:$1,1,FALSE)),"PROBLEM - Scheduled time not found.","")</f>
        <v/>
      </c>
    </row>
    <row r="745" spans="1:6" x14ac:dyDescent="0.25">
      <c r="A745" s="84" t="str">
        <f t="shared" si="11"/>
        <v>__</v>
      </c>
      <c r="B745" s="93"/>
      <c r="C745" s="93"/>
      <c r="D745" s="94"/>
      <c r="E745" s="95"/>
      <c r="F745" s="85" t="str">
        <f>IF(ISERROR(HLOOKUP(D745,Data!$1:$1,1,FALSE)),"PROBLEM - Scheduled time not found.","")</f>
        <v/>
      </c>
    </row>
    <row r="746" spans="1:6" x14ac:dyDescent="0.25">
      <c r="A746" s="84" t="str">
        <f t="shared" si="11"/>
        <v>__</v>
      </c>
      <c r="B746" s="93"/>
      <c r="C746" s="93"/>
      <c r="D746" s="94"/>
      <c r="E746" s="95"/>
      <c r="F746" s="85" t="str">
        <f>IF(ISERROR(HLOOKUP(D746,Data!$1:$1,1,FALSE)),"PROBLEM - Scheduled time not found.","")</f>
        <v/>
      </c>
    </row>
    <row r="747" spans="1:6" x14ac:dyDescent="0.25">
      <c r="A747" s="84" t="str">
        <f t="shared" si="11"/>
        <v>__</v>
      </c>
      <c r="B747" s="93"/>
      <c r="C747" s="93"/>
      <c r="D747" s="94"/>
      <c r="E747" s="95"/>
      <c r="F747" s="85" t="str">
        <f>IF(ISERROR(HLOOKUP(D747,Data!$1:$1,1,FALSE)),"PROBLEM - Scheduled time not found.","")</f>
        <v/>
      </c>
    </row>
    <row r="748" spans="1:6" x14ac:dyDescent="0.25">
      <c r="A748" s="84" t="str">
        <f t="shared" si="11"/>
        <v>__</v>
      </c>
      <c r="B748" s="93"/>
      <c r="C748" s="93"/>
      <c r="D748" s="94"/>
      <c r="E748" s="95"/>
      <c r="F748" s="85" t="str">
        <f>IF(ISERROR(HLOOKUP(D748,Data!$1:$1,1,FALSE)),"PROBLEM - Scheduled time not found.","")</f>
        <v/>
      </c>
    </row>
    <row r="749" spans="1:6" x14ac:dyDescent="0.25">
      <c r="A749" s="84" t="str">
        <f t="shared" si="11"/>
        <v>__</v>
      </c>
      <c r="B749" s="93"/>
      <c r="C749" s="93"/>
      <c r="D749" s="94"/>
      <c r="E749" s="95"/>
      <c r="F749" s="85" t="str">
        <f>IF(ISERROR(HLOOKUP(D749,Data!$1:$1,1,FALSE)),"PROBLEM - Scheduled time not found.","")</f>
        <v/>
      </c>
    </row>
    <row r="750" spans="1:6" x14ac:dyDescent="0.25">
      <c r="A750" s="84" t="str">
        <f t="shared" si="11"/>
        <v>__</v>
      </c>
      <c r="B750" s="93"/>
      <c r="C750" s="93"/>
      <c r="D750" s="94"/>
      <c r="E750" s="95"/>
      <c r="F750" s="85" t="str">
        <f>IF(ISERROR(HLOOKUP(D750,Data!$1:$1,1,FALSE)),"PROBLEM - Scheduled time not found.","")</f>
        <v/>
      </c>
    </row>
    <row r="751" spans="1:6" x14ac:dyDescent="0.25">
      <c r="A751" s="84" t="str">
        <f t="shared" si="11"/>
        <v>__</v>
      </c>
      <c r="B751" s="93"/>
      <c r="C751" s="93"/>
      <c r="D751" s="94"/>
      <c r="E751" s="95"/>
      <c r="F751" s="85" t="str">
        <f>IF(ISERROR(HLOOKUP(D751,Data!$1:$1,1,FALSE)),"PROBLEM - Scheduled time not found.","")</f>
        <v/>
      </c>
    </row>
    <row r="752" spans="1:6" x14ac:dyDescent="0.25">
      <c r="A752" s="84" t="str">
        <f t="shared" si="11"/>
        <v>__</v>
      </c>
      <c r="B752" s="93"/>
      <c r="C752" s="93"/>
      <c r="D752" s="94"/>
      <c r="E752" s="95"/>
      <c r="F752" s="85" t="str">
        <f>IF(ISERROR(HLOOKUP(D752,Data!$1:$1,1,FALSE)),"PROBLEM - Scheduled time not found.","")</f>
        <v/>
      </c>
    </row>
    <row r="753" spans="1:6" x14ac:dyDescent="0.25">
      <c r="A753" s="84" t="str">
        <f t="shared" si="11"/>
        <v>__</v>
      </c>
      <c r="B753" s="93"/>
      <c r="C753" s="93"/>
      <c r="D753" s="94"/>
      <c r="E753" s="95"/>
      <c r="F753" s="85" t="str">
        <f>IF(ISERROR(HLOOKUP(D753,Data!$1:$1,1,FALSE)),"PROBLEM - Scheduled time not found.","")</f>
        <v/>
      </c>
    </row>
    <row r="754" spans="1:6" x14ac:dyDescent="0.25">
      <c r="A754" s="84" t="str">
        <f t="shared" si="11"/>
        <v>__</v>
      </c>
      <c r="B754" s="93"/>
      <c r="C754" s="93"/>
      <c r="D754" s="94"/>
      <c r="E754" s="95"/>
      <c r="F754" s="85" t="str">
        <f>IF(ISERROR(HLOOKUP(D754,Data!$1:$1,1,FALSE)),"PROBLEM - Scheduled time not found.","")</f>
        <v/>
      </c>
    </row>
    <row r="755" spans="1:6" x14ac:dyDescent="0.25">
      <c r="A755" s="84" t="str">
        <f t="shared" si="11"/>
        <v>__</v>
      </c>
      <c r="B755" s="93"/>
      <c r="C755" s="93"/>
      <c r="D755" s="94"/>
      <c r="E755" s="95"/>
      <c r="F755" s="85" t="str">
        <f>IF(ISERROR(HLOOKUP(D755,Data!$1:$1,1,FALSE)),"PROBLEM - Scheduled time not found.","")</f>
        <v/>
      </c>
    </row>
    <row r="756" spans="1:6" x14ac:dyDescent="0.25">
      <c r="A756" s="84" t="str">
        <f t="shared" si="11"/>
        <v>__</v>
      </c>
      <c r="B756" s="93"/>
      <c r="C756" s="93"/>
      <c r="D756" s="94"/>
      <c r="E756" s="95"/>
      <c r="F756" s="85" t="str">
        <f>IF(ISERROR(HLOOKUP(D756,Data!$1:$1,1,FALSE)),"PROBLEM - Scheduled time not found.","")</f>
        <v/>
      </c>
    </row>
    <row r="757" spans="1:6" x14ac:dyDescent="0.25">
      <c r="A757" s="84" t="str">
        <f t="shared" si="11"/>
        <v>__</v>
      </c>
      <c r="B757" s="93"/>
      <c r="C757" s="93"/>
      <c r="D757" s="94"/>
      <c r="E757" s="95"/>
      <c r="F757" s="85" t="str">
        <f>IF(ISERROR(HLOOKUP(D757,Data!$1:$1,1,FALSE)),"PROBLEM - Scheduled time not found.","")</f>
        <v/>
      </c>
    </row>
    <row r="758" spans="1:6" x14ac:dyDescent="0.25">
      <c r="A758" s="84" t="str">
        <f t="shared" si="11"/>
        <v>__</v>
      </c>
      <c r="B758" s="93"/>
      <c r="C758" s="93"/>
      <c r="D758" s="94"/>
      <c r="E758" s="95"/>
      <c r="F758" s="85" t="str">
        <f>IF(ISERROR(HLOOKUP(D758,Data!$1:$1,1,FALSE)),"PROBLEM - Scheduled time not found.","")</f>
        <v/>
      </c>
    </row>
    <row r="759" spans="1:6" x14ac:dyDescent="0.25">
      <c r="A759" s="84" t="str">
        <f t="shared" si="11"/>
        <v>__</v>
      </c>
      <c r="B759" s="93"/>
      <c r="C759" s="93"/>
      <c r="D759" s="94"/>
      <c r="E759" s="95"/>
      <c r="F759" s="85" t="str">
        <f>IF(ISERROR(HLOOKUP(D759,Data!$1:$1,1,FALSE)),"PROBLEM - Scheduled time not found.","")</f>
        <v/>
      </c>
    </row>
    <row r="760" spans="1:6" x14ac:dyDescent="0.25">
      <c r="A760" s="84" t="str">
        <f t="shared" si="11"/>
        <v>__</v>
      </c>
      <c r="B760" s="93"/>
      <c r="C760" s="93"/>
      <c r="D760" s="94"/>
      <c r="E760" s="95"/>
      <c r="F760" s="85" t="str">
        <f>IF(ISERROR(HLOOKUP(D760,Data!$1:$1,1,FALSE)),"PROBLEM - Scheduled time not found.","")</f>
        <v/>
      </c>
    </row>
    <row r="761" spans="1:6" x14ac:dyDescent="0.25">
      <c r="A761" s="84" t="str">
        <f t="shared" si="11"/>
        <v>__</v>
      </c>
      <c r="B761" s="93"/>
      <c r="C761" s="93"/>
      <c r="D761" s="94"/>
      <c r="E761" s="95"/>
      <c r="F761" s="85" t="str">
        <f>IF(ISERROR(HLOOKUP(D761,Data!$1:$1,1,FALSE)),"PROBLEM - Scheduled time not found.","")</f>
        <v/>
      </c>
    </row>
    <row r="762" spans="1:6" x14ac:dyDescent="0.25">
      <c r="A762" s="84" t="str">
        <f t="shared" si="11"/>
        <v>__</v>
      </c>
      <c r="B762" s="93"/>
      <c r="C762" s="93"/>
      <c r="D762" s="94"/>
      <c r="E762" s="95"/>
      <c r="F762" s="85" t="str">
        <f>IF(ISERROR(HLOOKUP(D762,Data!$1:$1,1,FALSE)),"PROBLEM - Scheduled time not found.","")</f>
        <v/>
      </c>
    </row>
    <row r="763" spans="1:6" x14ac:dyDescent="0.25">
      <c r="A763" s="84" t="str">
        <f t="shared" si="11"/>
        <v>__</v>
      </c>
      <c r="B763" s="93"/>
      <c r="C763" s="93"/>
      <c r="D763" s="94"/>
      <c r="E763" s="95"/>
      <c r="F763" s="85" t="str">
        <f>IF(ISERROR(HLOOKUP(D763,Data!$1:$1,1,FALSE)),"PROBLEM - Scheduled time not found.","")</f>
        <v/>
      </c>
    </row>
    <row r="764" spans="1:6" x14ac:dyDescent="0.25">
      <c r="A764" s="84" t="str">
        <f t="shared" si="11"/>
        <v>__</v>
      </c>
      <c r="B764" s="93"/>
      <c r="C764" s="93"/>
      <c r="D764" s="94"/>
      <c r="E764" s="95"/>
      <c r="F764" s="85" t="str">
        <f>IF(ISERROR(HLOOKUP(D764,Data!$1:$1,1,FALSE)),"PROBLEM - Scheduled time not found.","")</f>
        <v/>
      </c>
    </row>
    <row r="765" spans="1:6" x14ac:dyDescent="0.25">
      <c r="A765" s="84" t="str">
        <f t="shared" si="11"/>
        <v>__</v>
      </c>
      <c r="B765" s="93"/>
      <c r="C765" s="93"/>
      <c r="D765" s="94"/>
      <c r="E765" s="95"/>
      <c r="F765" s="85" t="str">
        <f>IF(ISERROR(HLOOKUP(D765,Data!$1:$1,1,FALSE)),"PROBLEM - Scheduled time not found.","")</f>
        <v/>
      </c>
    </row>
    <row r="766" spans="1:6" x14ac:dyDescent="0.25">
      <c r="A766" s="84" t="str">
        <f t="shared" si="11"/>
        <v>__</v>
      </c>
      <c r="B766" s="93"/>
      <c r="C766" s="93"/>
      <c r="D766" s="94"/>
      <c r="E766" s="95"/>
      <c r="F766" s="85" t="str">
        <f>IF(ISERROR(HLOOKUP(D766,Data!$1:$1,1,FALSE)),"PROBLEM - Scheduled time not found.","")</f>
        <v/>
      </c>
    </row>
    <row r="767" spans="1:6" x14ac:dyDescent="0.25">
      <c r="A767" s="84" t="str">
        <f t="shared" si="11"/>
        <v>__</v>
      </c>
      <c r="B767" s="93"/>
      <c r="C767" s="93"/>
      <c r="D767" s="94"/>
      <c r="E767" s="95"/>
      <c r="F767" s="85" t="str">
        <f>IF(ISERROR(HLOOKUP(D767,Data!$1:$1,1,FALSE)),"PROBLEM - Scheduled time not found.","")</f>
        <v/>
      </c>
    </row>
    <row r="768" spans="1:6" x14ac:dyDescent="0.25">
      <c r="A768" s="84" t="str">
        <f t="shared" si="11"/>
        <v>__</v>
      </c>
      <c r="B768" s="93"/>
      <c r="C768" s="93"/>
      <c r="D768" s="94"/>
      <c r="E768" s="95"/>
      <c r="F768" s="85" t="str">
        <f>IF(ISERROR(HLOOKUP(D768,Data!$1:$1,1,FALSE)),"PROBLEM - Scheduled time not found.","")</f>
        <v/>
      </c>
    </row>
    <row r="769" spans="1:6" x14ac:dyDescent="0.25">
      <c r="A769" s="84" t="str">
        <f t="shared" si="11"/>
        <v>__</v>
      </c>
      <c r="B769" s="93"/>
      <c r="C769" s="93"/>
      <c r="D769" s="94"/>
      <c r="E769" s="95"/>
      <c r="F769" s="85" t="str">
        <f>IF(ISERROR(HLOOKUP(D769,Data!$1:$1,1,FALSE)),"PROBLEM - Scheduled time not found.","")</f>
        <v/>
      </c>
    </row>
    <row r="770" spans="1:6" x14ac:dyDescent="0.25">
      <c r="A770" s="84" t="str">
        <f t="shared" si="11"/>
        <v>__</v>
      </c>
      <c r="B770" s="93"/>
      <c r="C770" s="93"/>
      <c r="D770" s="94"/>
      <c r="E770" s="95"/>
      <c r="F770" s="85" t="str">
        <f>IF(ISERROR(HLOOKUP(D770,Data!$1:$1,1,FALSE)),"PROBLEM - Scheduled time not found.","")</f>
        <v/>
      </c>
    </row>
    <row r="771" spans="1:6" x14ac:dyDescent="0.25">
      <c r="A771" s="84" t="str">
        <f t="shared" ref="A771:A834" si="12">B771&amp;"_"&amp;C771&amp;"_"&amp;D771</f>
        <v>__</v>
      </c>
      <c r="B771" s="93"/>
      <c r="C771" s="93"/>
      <c r="D771" s="94"/>
      <c r="E771" s="95"/>
      <c r="F771" s="85" t="str">
        <f>IF(ISERROR(HLOOKUP(D771,Data!$1:$1,1,FALSE)),"PROBLEM - Scheduled time not found.","")</f>
        <v/>
      </c>
    </row>
    <row r="772" spans="1:6" x14ac:dyDescent="0.25">
      <c r="A772" s="84" t="str">
        <f t="shared" si="12"/>
        <v>__</v>
      </c>
      <c r="B772" s="93"/>
      <c r="C772" s="93"/>
      <c r="D772" s="94"/>
      <c r="E772" s="95"/>
      <c r="F772" s="85" t="str">
        <f>IF(ISERROR(HLOOKUP(D772,Data!$1:$1,1,FALSE)),"PROBLEM - Scheduled time not found.","")</f>
        <v/>
      </c>
    </row>
    <row r="773" spans="1:6" x14ac:dyDescent="0.25">
      <c r="A773" s="84" t="str">
        <f t="shared" si="12"/>
        <v>__</v>
      </c>
      <c r="B773" s="93"/>
      <c r="C773" s="93"/>
      <c r="D773" s="94"/>
      <c r="E773" s="95"/>
      <c r="F773" s="85" t="str">
        <f>IF(ISERROR(HLOOKUP(D773,Data!$1:$1,1,FALSE)),"PROBLEM - Scheduled time not found.","")</f>
        <v/>
      </c>
    </row>
    <row r="774" spans="1:6" x14ac:dyDescent="0.25">
      <c r="A774" s="84" t="str">
        <f t="shared" si="12"/>
        <v>__</v>
      </c>
      <c r="B774" s="93"/>
      <c r="C774" s="93"/>
      <c r="D774" s="94"/>
      <c r="E774" s="95"/>
      <c r="F774" s="85" t="str">
        <f>IF(ISERROR(HLOOKUP(D774,Data!$1:$1,1,FALSE)),"PROBLEM - Scheduled time not found.","")</f>
        <v/>
      </c>
    </row>
    <row r="775" spans="1:6" x14ac:dyDescent="0.25">
      <c r="A775" s="84" t="str">
        <f t="shared" si="12"/>
        <v>__</v>
      </c>
      <c r="B775" s="93"/>
      <c r="C775" s="93"/>
      <c r="D775" s="94"/>
      <c r="E775" s="95"/>
      <c r="F775" s="85" t="str">
        <f>IF(ISERROR(HLOOKUP(D775,Data!$1:$1,1,FALSE)),"PROBLEM - Scheduled time not found.","")</f>
        <v/>
      </c>
    </row>
    <row r="776" spans="1:6" x14ac:dyDescent="0.25">
      <c r="A776" s="84" t="str">
        <f t="shared" si="12"/>
        <v>__</v>
      </c>
      <c r="B776" s="93"/>
      <c r="C776" s="93"/>
      <c r="D776" s="94"/>
      <c r="E776" s="95"/>
      <c r="F776" s="85" t="str">
        <f>IF(ISERROR(HLOOKUP(D776,Data!$1:$1,1,FALSE)),"PROBLEM - Scheduled time not found.","")</f>
        <v/>
      </c>
    </row>
    <row r="777" spans="1:6" x14ac:dyDescent="0.25">
      <c r="A777" s="84" t="str">
        <f t="shared" si="12"/>
        <v>__</v>
      </c>
      <c r="B777" s="93"/>
      <c r="C777" s="93"/>
      <c r="D777" s="94"/>
      <c r="E777" s="95"/>
      <c r="F777" s="85" t="str">
        <f>IF(ISERROR(HLOOKUP(D777,Data!$1:$1,1,FALSE)),"PROBLEM - Scheduled time not found.","")</f>
        <v/>
      </c>
    </row>
    <row r="778" spans="1:6" x14ac:dyDescent="0.25">
      <c r="A778" s="84" t="str">
        <f t="shared" si="12"/>
        <v>__</v>
      </c>
      <c r="B778" s="93"/>
      <c r="C778" s="93"/>
      <c r="D778" s="94"/>
      <c r="E778" s="95"/>
      <c r="F778" s="85" t="str">
        <f>IF(ISERROR(HLOOKUP(D778,Data!$1:$1,1,FALSE)),"PROBLEM - Scheduled time not found.","")</f>
        <v/>
      </c>
    </row>
    <row r="779" spans="1:6" x14ac:dyDescent="0.25">
      <c r="A779" s="84" t="str">
        <f t="shared" si="12"/>
        <v>__</v>
      </c>
      <c r="B779" s="93"/>
      <c r="C779" s="93"/>
      <c r="D779" s="94"/>
      <c r="E779" s="95"/>
      <c r="F779" s="85" t="str">
        <f>IF(ISERROR(HLOOKUP(D779,Data!$1:$1,1,FALSE)),"PROBLEM - Scheduled time not found.","")</f>
        <v/>
      </c>
    </row>
    <row r="780" spans="1:6" x14ac:dyDescent="0.25">
      <c r="A780" s="84" t="str">
        <f t="shared" si="12"/>
        <v>__</v>
      </c>
      <c r="B780" s="93"/>
      <c r="C780" s="93"/>
      <c r="D780" s="94"/>
      <c r="E780" s="95"/>
      <c r="F780" s="85" t="str">
        <f>IF(ISERROR(HLOOKUP(D780,Data!$1:$1,1,FALSE)),"PROBLEM - Scheduled time not found.","")</f>
        <v/>
      </c>
    </row>
    <row r="781" spans="1:6" x14ac:dyDescent="0.25">
      <c r="A781" s="84" t="str">
        <f t="shared" si="12"/>
        <v>__</v>
      </c>
      <c r="B781" s="93"/>
      <c r="C781" s="93"/>
      <c r="D781" s="94"/>
      <c r="E781" s="95"/>
      <c r="F781" s="85" t="str">
        <f>IF(ISERROR(HLOOKUP(D781,Data!$1:$1,1,FALSE)),"PROBLEM - Scheduled time not found.","")</f>
        <v/>
      </c>
    </row>
    <row r="782" spans="1:6" x14ac:dyDescent="0.25">
      <c r="A782" s="84" t="str">
        <f t="shared" si="12"/>
        <v>__</v>
      </c>
      <c r="B782" s="93"/>
      <c r="C782" s="93"/>
      <c r="D782" s="94"/>
      <c r="E782" s="95"/>
      <c r="F782" s="85" t="str">
        <f>IF(ISERROR(HLOOKUP(D782,Data!$1:$1,1,FALSE)),"PROBLEM - Scheduled time not found.","")</f>
        <v/>
      </c>
    </row>
    <row r="783" spans="1:6" x14ac:dyDescent="0.25">
      <c r="A783" s="84" t="str">
        <f t="shared" si="12"/>
        <v>__</v>
      </c>
      <c r="B783" s="93"/>
      <c r="C783" s="93"/>
      <c r="D783" s="94"/>
      <c r="E783" s="95"/>
      <c r="F783" s="85" t="str">
        <f>IF(ISERROR(HLOOKUP(D783,Data!$1:$1,1,FALSE)),"PROBLEM - Scheduled time not found.","")</f>
        <v/>
      </c>
    </row>
    <row r="784" spans="1:6" x14ac:dyDescent="0.25">
      <c r="A784" s="84" t="str">
        <f t="shared" si="12"/>
        <v>__</v>
      </c>
      <c r="B784" s="93"/>
      <c r="C784" s="93"/>
      <c r="D784" s="94"/>
      <c r="E784" s="95"/>
      <c r="F784" s="85" t="str">
        <f>IF(ISERROR(HLOOKUP(D784,Data!$1:$1,1,FALSE)),"PROBLEM - Scheduled time not found.","")</f>
        <v/>
      </c>
    </row>
    <row r="785" spans="1:6" x14ac:dyDescent="0.25">
      <c r="A785" s="84" t="str">
        <f t="shared" si="12"/>
        <v>__</v>
      </c>
      <c r="B785" s="93"/>
      <c r="C785" s="93"/>
      <c r="D785" s="94"/>
      <c r="E785" s="95"/>
      <c r="F785" s="85" t="str">
        <f>IF(ISERROR(HLOOKUP(D785,Data!$1:$1,1,FALSE)),"PROBLEM - Scheduled time not found.","")</f>
        <v/>
      </c>
    </row>
    <row r="786" spans="1:6" x14ac:dyDescent="0.25">
      <c r="A786" s="84" t="str">
        <f t="shared" si="12"/>
        <v>__</v>
      </c>
      <c r="B786" s="93"/>
      <c r="C786" s="93"/>
      <c r="D786" s="94"/>
      <c r="E786" s="95"/>
      <c r="F786" s="85" t="str">
        <f>IF(ISERROR(HLOOKUP(D786,Data!$1:$1,1,FALSE)),"PROBLEM - Scheduled time not found.","")</f>
        <v/>
      </c>
    </row>
    <row r="787" spans="1:6" x14ac:dyDescent="0.25">
      <c r="A787" s="84" t="str">
        <f t="shared" si="12"/>
        <v>__</v>
      </c>
      <c r="B787" s="93"/>
      <c r="C787" s="93"/>
      <c r="D787" s="94"/>
      <c r="E787" s="95"/>
      <c r="F787" s="85" t="str">
        <f>IF(ISERROR(HLOOKUP(D787,Data!$1:$1,1,FALSE)),"PROBLEM - Scheduled time not found.","")</f>
        <v/>
      </c>
    </row>
    <row r="788" spans="1:6" x14ac:dyDescent="0.25">
      <c r="A788" s="84" t="str">
        <f t="shared" si="12"/>
        <v>__</v>
      </c>
      <c r="B788" s="93"/>
      <c r="C788" s="93"/>
      <c r="D788" s="94"/>
      <c r="E788" s="95"/>
      <c r="F788" s="85" t="str">
        <f>IF(ISERROR(HLOOKUP(D788,Data!$1:$1,1,FALSE)),"PROBLEM - Scheduled time not found.","")</f>
        <v/>
      </c>
    </row>
    <row r="789" spans="1:6" x14ac:dyDescent="0.25">
      <c r="A789" s="84" t="str">
        <f t="shared" si="12"/>
        <v>__</v>
      </c>
      <c r="B789" s="93"/>
      <c r="C789" s="93"/>
      <c r="D789" s="94"/>
      <c r="E789" s="95"/>
      <c r="F789" s="85" t="str">
        <f>IF(ISERROR(HLOOKUP(D789,Data!$1:$1,1,FALSE)),"PROBLEM - Scheduled time not found.","")</f>
        <v/>
      </c>
    </row>
    <row r="790" spans="1:6" x14ac:dyDescent="0.25">
      <c r="A790" s="84" t="str">
        <f t="shared" si="12"/>
        <v>__</v>
      </c>
      <c r="B790" s="93"/>
      <c r="C790" s="93"/>
      <c r="D790" s="94"/>
      <c r="E790" s="95"/>
      <c r="F790" s="85" t="str">
        <f>IF(ISERROR(HLOOKUP(D790,Data!$1:$1,1,FALSE)),"PROBLEM - Scheduled time not found.","")</f>
        <v/>
      </c>
    </row>
    <row r="791" spans="1:6" x14ac:dyDescent="0.25">
      <c r="A791" s="84" t="str">
        <f t="shared" si="12"/>
        <v>__</v>
      </c>
      <c r="B791" s="93"/>
      <c r="C791" s="93"/>
      <c r="D791" s="94"/>
      <c r="E791" s="95"/>
      <c r="F791" s="85" t="str">
        <f>IF(ISERROR(HLOOKUP(D791,Data!$1:$1,1,FALSE)),"PROBLEM - Scheduled time not found.","")</f>
        <v/>
      </c>
    </row>
    <row r="792" spans="1:6" x14ac:dyDescent="0.25">
      <c r="A792" s="84" t="str">
        <f t="shared" si="12"/>
        <v>__</v>
      </c>
      <c r="B792" s="93"/>
      <c r="C792" s="93"/>
      <c r="D792" s="94"/>
      <c r="E792" s="95"/>
      <c r="F792" s="85" t="str">
        <f>IF(ISERROR(HLOOKUP(D792,Data!$1:$1,1,FALSE)),"PROBLEM - Scheduled time not found.","")</f>
        <v/>
      </c>
    </row>
    <row r="793" spans="1:6" x14ac:dyDescent="0.25">
      <c r="A793" s="84" t="str">
        <f t="shared" si="12"/>
        <v>__</v>
      </c>
      <c r="B793" s="93"/>
      <c r="C793" s="93"/>
      <c r="D793" s="94"/>
      <c r="E793" s="95"/>
      <c r="F793" s="85" t="str">
        <f>IF(ISERROR(HLOOKUP(D793,Data!$1:$1,1,FALSE)),"PROBLEM - Scheduled time not found.","")</f>
        <v/>
      </c>
    </row>
    <row r="794" spans="1:6" x14ac:dyDescent="0.25">
      <c r="A794" s="84" t="str">
        <f t="shared" si="12"/>
        <v>__</v>
      </c>
      <c r="B794" s="93"/>
      <c r="C794" s="93"/>
      <c r="D794" s="94"/>
      <c r="E794" s="95"/>
      <c r="F794" s="85" t="str">
        <f>IF(ISERROR(HLOOKUP(D794,Data!$1:$1,1,FALSE)),"PROBLEM - Scheduled time not found.","")</f>
        <v/>
      </c>
    </row>
    <row r="795" spans="1:6" x14ac:dyDescent="0.25">
      <c r="A795" s="84" t="str">
        <f t="shared" si="12"/>
        <v>__</v>
      </c>
      <c r="B795" s="93"/>
      <c r="C795" s="93"/>
      <c r="D795" s="94"/>
      <c r="E795" s="95"/>
      <c r="F795" s="85" t="str">
        <f>IF(ISERROR(HLOOKUP(D795,Data!$1:$1,1,FALSE)),"PROBLEM - Scheduled time not found.","")</f>
        <v/>
      </c>
    </row>
    <row r="796" spans="1:6" x14ac:dyDescent="0.25">
      <c r="A796" s="84" t="str">
        <f t="shared" si="12"/>
        <v>__</v>
      </c>
      <c r="B796" s="93"/>
      <c r="C796" s="93"/>
      <c r="D796" s="94"/>
      <c r="E796" s="95"/>
      <c r="F796" s="85" t="str">
        <f>IF(ISERROR(HLOOKUP(D796,Data!$1:$1,1,FALSE)),"PROBLEM - Scheduled time not found.","")</f>
        <v/>
      </c>
    </row>
    <row r="797" spans="1:6" x14ac:dyDescent="0.25">
      <c r="A797" s="84" t="str">
        <f t="shared" si="12"/>
        <v>__</v>
      </c>
      <c r="B797" s="93"/>
      <c r="C797" s="93"/>
      <c r="D797" s="94"/>
      <c r="E797" s="95"/>
      <c r="F797" s="85" t="str">
        <f>IF(ISERROR(HLOOKUP(D797,Data!$1:$1,1,FALSE)),"PROBLEM - Scheduled time not found.","")</f>
        <v/>
      </c>
    </row>
    <row r="798" spans="1:6" x14ac:dyDescent="0.25">
      <c r="A798" s="84" t="str">
        <f t="shared" si="12"/>
        <v>__</v>
      </c>
      <c r="B798" s="93"/>
      <c r="C798" s="93"/>
      <c r="D798" s="94"/>
      <c r="E798" s="95"/>
      <c r="F798" s="85" t="str">
        <f>IF(ISERROR(HLOOKUP(D798,Data!$1:$1,1,FALSE)),"PROBLEM - Scheduled time not found.","")</f>
        <v/>
      </c>
    </row>
    <row r="799" spans="1:6" x14ac:dyDescent="0.25">
      <c r="A799" s="84" t="str">
        <f t="shared" si="12"/>
        <v>__</v>
      </c>
      <c r="B799" s="93"/>
      <c r="C799" s="93"/>
      <c r="D799" s="94"/>
      <c r="E799" s="95"/>
      <c r="F799" s="85" t="str">
        <f>IF(ISERROR(HLOOKUP(D799,Data!$1:$1,1,FALSE)),"PROBLEM - Scheduled time not found.","")</f>
        <v/>
      </c>
    </row>
    <row r="800" spans="1:6" x14ac:dyDescent="0.25">
      <c r="A800" s="84" t="str">
        <f t="shared" si="12"/>
        <v>__</v>
      </c>
      <c r="B800" s="93"/>
      <c r="C800" s="93"/>
      <c r="D800" s="94"/>
      <c r="E800" s="95"/>
      <c r="F800" s="85" t="str">
        <f>IF(ISERROR(HLOOKUP(D800,Data!$1:$1,1,FALSE)),"PROBLEM - Scheduled time not found.","")</f>
        <v/>
      </c>
    </row>
    <row r="801" spans="1:6" x14ac:dyDescent="0.25">
      <c r="A801" s="84" t="str">
        <f t="shared" si="12"/>
        <v>__</v>
      </c>
      <c r="B801" s="93"/>
      <c r="C801" s="93"/>
      <c r="D801" s="94"/>
      <c r="E801" s="95"/>
      <c r="F801" s="85" t="str">
        <f>IF(ISERROR(HLOOKUP(D801,Data!$1:$1,1,FALSE)),"PROBLEM - Scheduled time not found.","")</f>
        <v/>
      </c>
    </row>
    <row r="802" spans="1:6" x14ac:dyDescent="0.25">
      <c r="A802" s="84" t="str">
        <f t="shared" si="12"/>
        <v>__</v>
      </c>
      <c r="B802" s="93"/>
      <c r="C802" s="93"/>
      <c r="D802" s="94"/>
      <c r="E802" s="95"/>
      <c r="F802" s="85" t="str">
        <f>IF(ISERROR(HLOOKUP(D802,Data!$1:$1,1,FALSE)),"PROBLEM - Scheduled time not found.","")</f>
        <v/>
      </c>
    </row>
    <row r="803" spans="1:6" x14ac:dyDescent="0.25">
      <c r="A803" s="84" t="str">
        <f t="shared" si="12"/>
        <v>__</v>
      </c>
      <c r="B803" s="93"/>
      <c r="C803" s="93"/>
      <c r="D803" s="94"/>
      <c r="E803" s="95"/>
      <c r="F803" s="85" t="str">
        <f>IF(ISERROR(HLOOKUP(D803,Data!$1:$1,1,FALSE)),"PROBLEM - Scheduled time not found.","")</f>
        <v/>
      </c>
    </row>
    <row r="804" spans="1:6" x14ac:dyDescent="0.25">
      <c r="A804" s="84" t="str">
        <f t="shared" si="12"/>
        <v>__</v>
      </c>
      <c r="B804" s="93"/>
      <c r="C804" s="93"/>
      <c r="D804" s="94"/>
      <c r="E804" s="95"/>
      <c r="F804" s="85" t="str">
        <f>IF(ISERROR(HLOOKUP(D804,Data!$1:$1,1,FALSE)),"PROBLEM - Scheduled time not found.","")</f>
        <v/>
      </c>
    </row>
    <row r="805" spans="1:6" x14ac:dyDescent="0.25">
      <c r="A805" s="84" t="str">
        <f t="shared" si="12"/>
        <v>__</v>
      </c>
      <c r="B805" s="93"/>
      <c r="C805" s="93"/>
      <c r="D805" s="94"/>
      <c r="E805" s="95"/>
      <c r="F805" s="85" t="str">
        <f>IF(ISERROR(HLOOKUP(D805,Data!$1:$1,1,FALSE)),"PROBLEM - Scheduled time not found.","")</f>
        <v/>
      </c>
    </row>
    <row r="806" spans="1:6" x14ac:dyDescent="0.25">
      <c r="A806" s="84" t="str">
        <f t="shared" si="12"/>
        <v>__</v>
      </c>
      <c r="B806" s="93"/>
      <c r="C806" s="93"/>
      <c r="D806" s="94"/>
      <c r="E806" s="95"/>
      <c r="F806" s="85" t="str">
        <f>IF(ISERROR(HLOOKUP(D806,Data!$1:$1,1,FALSE)),"PROBLEM - Scheduled time not found.","")</f>
        <v/>
      </c>
    </row>
    <row r="807" spans="1:6" x14ac:dyDescent="0.25">
      <c r="A807" s="84" t="str">
        <f t="shared" si="12"/>
        <v>__</v>
      </c>
      <c r="B807" s="93"/>
      <c r="C807" s="93"/>
      <c r="D807" s="94"/>
      <c r="E807" s="95"/>
      <c r="F807" s="85" t="str">
        <f>IF(ISERROR(HLOOKUP(D807,Data!$1:$1,1,FALSE)),"PROBLEM - Scheduled time not found.","")</f>
        <v/>
      </c>
    </row>
    <row r="808" spans="1:6" x14ac:dyDescent="0.25">
      <c r="A808" s="84" t="str">
        <f t="shared" si="12"/>
        <v>__</v>
      </c>
      <c r="B808" s="93"/>
      <c r="C808" s="93"/>
      <c r="D808" s="94"/>
      <c r="E808" s="95"/>
      <c r="F808" s="85" t="str">
        <f>IF(ISERROR(HLOOKUP(D808,Data!$1:$1,1,FALSE)),"PROBLEM - Scheduled time not found.","")</f>
        <v/>
      </c>
    </row>
    <row r="809" spans="1:6" x14ac:dyDescent="0.25">
      <c r="A809" s="84" t="str">
        <f t="shared" si="12"/>
        <v>__</v>
      </c>
      <c r="B809" s="93"/>
      <c r="C809" s="93"/>
      <c r="D809" s="94"/>
      <c r="E809" s="95"/>
      <c r="F809" s="85" t="str">
        <f>IF(ISERROR(HLOOKUP(D809,Data!$1:$1,1,FALSE)),"PROBLEM - Scheduled time not found.","")</f>
        <v/>
      </c>
    </row>
    <row r="810" spans="1:6" x14ac:dyDescent="0.25">
      <c r="A810" s="84" t="str">
        <f t="shared" si="12"/>
        <v>__</v>
      </c>
      <c r="B810" s="93"/>
      <c r="C810" s="93"/>
      <c r="D810" s="94"/>
      <c r="E810" s="95"/>
      <c r="F810" s="85" t="str">
        <f>IF(ISERROR(HLOOKUP(D810,Data!$1:$1,1,FALSE)),"PROBLEM - Scheduled time not found.","")</f>
        <v/>
      </c>
    </row>
    <row r="811" spans="1:6" x14ac:dyDescent="0.25">
      <c r="A811" s="84" t="str">
        <f t="shared" si="12"/>
        <v>__</v>
      </c>
      <c r="B811" s="93"/>
      <c r="C811" s="93"/>
      <c r="D811" s="94"/>
      <c r="E811" s="95"/>
      <c r="F811" s="85" t="str">
        <f>IF(ISERROR(HLOOKUP(D811,Data!$1:$1,1,FALSE)),"PROBLEM - Scheduled time not found.","")</f>
        <v/>
      </c>
    </row>
    <row r="812" spans="1:6" x14ac:dyDescent="0.25">
      <c r="A812" s="84" t="str">
        <f t="shared" si="12"/>
        <v>__</v>
      </c>
      <c r="B812" s="93"/>
      <c r="C812" s="93"/>
      <c r="D812" s="94"/>
      <c r="E812" s="95"/>
      <c r="F812" s="85" t="str">
        <f>IF(ISERROR(HLOOKUP(D812,Data!$1:$1,1,FALSE)),"PROBLEM - Scheduled time not found.","")</f>
        <v/>
      </c>
    </row>
    <row r="813" spans="1:6" x14ac:dyDescent="0.25">
      <c r="A813" s="84" t="str">
        <f t="shared" si="12"/>
        <v>__</v>
      </c>
      <c r="B813" s="93"/>
      <c r="C813" s="93"/>
      <c r="D813" s="94"/>
      <c r="E813" s="95"/>
      <c r="F813" s="85" t="str">
        <f>IF(ISERROR(HLOOKUP(D813,Data!$1:$1,1,FALSE)),"PROBLEM - Scheduled time not found.","")</f>
        <v/>
      </c>
    </row>
    <row r="814" spans="1:6" x14ac:dyDescent="0.25">
      <c r="A814" s="84" t="str">
        <f t="shared" si="12"/>
        <v>__</v>
      </c>
      <c r="B814" s="93"/>
      <c r="C814" s="93"/>
      <c r="D814" s="94"/>
      <c r="E814" s="95"/>
      <c r="F814" s="85" t="str">
        <f>IF(ISERROR(HLOOKUP(D814,Data!$1:$1,1,FALSE)),"PROBLEM - Scheduled time not found.","")</f>
        <v/>
      </c>
    </row>
    <row r="815" spans="1:6" x14ac:dyDescent="0.25">
      <c r="A815" s="84" t="str">
        <f t="shared" si="12"/>
        <v>__</v>
      </c>
      <c r="B815" s="93"/>
      <c r="C815" s="93"/>
      <c r="D815" s="94"/>
      <c r="E815" s="95"/>
      <c r="F815" s="85" t="str">
        <f>IF(ISERROR(HLOOKUP(D815,Data!$1:$1,1,FALSE)),"PROBLEM - Scheduled time not found.","")</f>
        <v/>
      </c>
    </row>
    <row r="816" spans="1:6" x14ac:dyDescent="0.25">
      <c r="A816" s="84" t="str">
        <f t="shared" si="12"/>
        <v>__</v>
      </c>
      <c r="B816" s="93"/>
      <c r="C816" s="93"/>
      <c r="D816" s="94"/>
      <c r="E816" s="95"/>
      <c r="F816" s="85" t="str">
        <f>IF(ISERROR(HLOOKUP(D816,Data!$1:$1,1,FALSE)),"PROBLEM - Scheduled time not found.","")</f>
        <v/>
      </c>
    </row>
    <row r="817" spans="1:6" x14ac:dyDescent="0.25">
      <c r="A817" s="84" t="str">
        <f t="shared" si="12"/>
        <v>__</v>
      </c>
      <c r="B817" s="93"/>
      <c r="C817" s="93"/>
      <c r="D817" s="94"/>
      <c r="E817" s="95"/>
      <c r="F817" s="85" t="str">
        <f>IF(ISERROR(HLOOKUP(D817,Data!$1:$1,1,FALSE)),"PROBLEM - Scheduled time not found.","")</f>
        <v/>
      </c>
    </row>
    <row r="818" spans="1:6" x14ac:dyDescent="0.25">
      <c r="A818" s="84" t="str">
        <f t="shared" si="12"/>
        <v>__</v>
      </c>
      <c r="B818" s="93"/>
      <c r="C818" s="93"/>
      <c r="D818" s="94"/>
      <c r="E818" s="95"/>
      <c r="F818" s="85" t="str">
        <f>IF(ISERROR(HLOOKUP(D818,Data!$1:$1,1,FALSE)),"PROBLEM - Scheduled time not found.","")</f>
        <v/>
      </c>
    </row>
    <row r="819" spans="1:6" x14ac:dyDescent="0.25">
      <c r="A819" s="84" t="str">
        <f t="shared" si="12"/>
        <v>__</v>
      </c>
      <c r="B819" s="93"/>
      <c r="C819" s="93"/>
      <c r="D819" s="94"/>
      <c r="E819" s="95"/>
      <c r="F819" s="85" t="str">
        <f>IF(ISERROR(HLOOKUP(D819,Data!$1:$1,1,FALSE)),"PROBLEM - Scheduled time not found.","")</f>
        <v/>
      </c>
    </row>
    <row r="820" spans="1:6" x14ac:dyDescent="0.25">
      <c r="A820" s="84" t="str">
        <f t="shared" si="12"/>
        <v>__</v>
      </c>
      <c r="B820" s="93"/>
      <c r="C820" s="93"/>
      <c r="D820" s="94"/>
      <c r="E820" s="95"/>
      <c r="F820" s="85" t="str">
        <f>IF(ISERROR(HLOOKUP(D820,Data!$1:$1,1,FALSE)),"PROBLEM - Scheduled time not found.","")</f>
        <v/>
      </c>
    </row>
    <row r="821" spans="1:6" x14ac:dyDescent="0.25">
      <c r="A821" s="84" t="str">
        <f t="shared" si="12"/>
        <v>__</v>
      </c>
      <c r="B821" s="93"/>
      <c r="C821" s="93"/>
      <c r="D821" s="94"/>
      <c r="E821" s="95"/>
      <c r="F821" s="85" t="str">
        <f>IF(ISERROR(HLOOKUP(D821,Data!$1:$1,1,FALSE)),"PROBLEM - Scheduled time not found.","")</f>
        <v/>
      </c>
    </row>
    <row r="822" spans="1:6" x14ac:dyDescent="0.25">
      <c r="A822" s="84" t="str">
        <f t="shared" si="12"/>
        <v>__</v>
      </c>
      <c r="B822" s="93"/>
      <c r="C822" s="93"/>
      <c r="D822" s="94"/>
      <c r="E822" s="95"/>
      <c r="F822" s="85" t="str">
        <f>IF(ISERROR(HLOOKUP(D822,Data!$1:$1,1,FALSE)),"PROBLEM - Scheduled time not found.","")</f>
        <v/>
      </c>
    </row>
    <row r="823" spans="1:6" x14ac:dyDescent="0.25">
      <c r="A823" s="84" t="str">
        <f t="shared" si="12"/>
        <v>__</v>
      </c>
      <c r="B823" s="93"/>
      <c r="C823" s="93"/>
      <c r="D823" s="94"/>
      <c r="E823" s="95"/>
      <c r="F823" s="85" t="str">
        <f>IF(ISERROR(HLOOKUP(D823,Data!$1:$1,1,FALSE)),"PROBLEM - Scheduled time not found.","")</f>
        <v/>
      </c>
    </row>
    <row r="824" spans="1:6" x14ac:dyDescent="0.25">
      <c r="A824" s="84" t="str">
        <f t="shared" si="12"/>
        <v>__</v>
      </c>
      <c r="B824" s="93"/>
      <c r="C824" s="93"/>
      <c r="D824" s="94"/>
      <c r="E824" s="95"/>
      <c r="F824" s="85" t="str">
        <f>IF(ISERROR(HLOOKUP(D824,Data!$1:$1,1,FALSE)),"PROBLEM - Scheduled time not found.","")</f>
        <v/>
      </c>
    </row>
    <row r="825" spans="1:6" x14ac:dyDescent="0.25">
      <c r="A825" s="84" t="str">
        <f t="shared" si="12"/>
        <v>__</v>
      </c>
      <c r="B825" s="93"/>
      <c r="C825" s="93"/>
      <c r="D825" s="94"/>
      <c r="E825" s="95"/>
      <c r="F825" s="85" t="str">
        <f>IF(ISERROR(HLOOKUP(D825,Data!$1:$1,1,FALSE)),"PROBLEM - Scheduled time not found.","")</f>
        <v/>
      </c>
    </row>
    <row r="826" spans="1:6" x14ac:dyDescent="0.25">
      <c r="A826" s="84" t="str">
        <f t="shared" si="12"/>
        <v>__</v>
      </c>
      <c r="B826" s="93"/>
      <c r="C826" s="93"/>
      <c r="D826" s="94"/>
      <c r="E826" s="95"/>
      <c r="F826" s="85" t="str">
        <f>IF(ISERROR(HLOOKUP(D826,Data!$1:$1,1,FALSE)),"PROBLEM - Scheduled time not found.","")</f>
        <v/>
      </c>
    </row>
    <row r="827" spans="1:6" x14ac:dyDescent="0.25">
      <c r="A827" s="84" t="str">
        <f t="shared" si="12"/>
        <v>__</v>
      </c>
      <c r="B827" s="93"/>
      <c r="C827" s="93"/>
      <c r="D827" s="94"/>
      <c r="E827" s="95"/>
      <c r="F827" s="85" t="str">
        <f>IF(ISERROR(HLOOKUP(D827,Data!$1:$1,1,FALSE)),"PROBLEM - Scheduled time not found.","")</f>
        <v/>
      </c>
    </row>
    <row r="828" spans="1:6" x14ac:dyDescent="0.25">
      <c r="A828" s="84" t="str">
        <f t="shared" si="12"/>
        <v>__</v>
      </c>
      <c r="B828" s="93"/>
      <c r="C828" s="93"/>
      <c r="D828" s="94"/>
      <c r="E828" s="95"/>
      <c r="F828" s="85" t="str">
        <f>IF(ISERROR(HLOOKUP(D828,Data!$1:$1,1,FALSE)),"PROBLEM - Scheduled time not found.","")</f>
        <v/>
      </c>
    </row>
    <row r="829" spans="1:6" x14ac:dyDescent="0.25">
      <c r="A829" s="84" t="str">
        <f t="shared" si="12"/>
        <v>__</v>
      </c>
      <c r="B829" s="93"/>
      <c r="C829" s="93"/>
      <c r="D829" s="94"/>
      <c r="E829" s="95"/>
      <c r="F829" s="85" t="str">
        <f>IF(ISERROR(HLOOKUP(D829,Data!$1:$1,1,FALSE)),"PROBLEM - Scheduled time not found.","")</f>
        <v/>
      </c>
    </row>
    <row r="830" spans="1:6" x14ac:dyDescent="0.25">
      <c r="A830" s="84" t="str">
        <f t="shared" si="12"/>
        <v>__</v>
      </c>
      <c r="B830" s="93"/>
      <c r="C830" s="93"/>
      <c r="D830" s="94"/>
      <c r="E830" s="95"/>
      <c r="F830" s="85" t="str">
        <f>IF(ISERROR(HLOOKUP(D830,Data!$1:$1,1,FALSE)),"PROBLEM - Scheduled time not found.","")</f>
        <v/>
      </c>
    </row>
    <row r="831" spans="1:6" x14ac:dyDescent="0.25">
      <c r="A831" s="84" t="str">
        <f t="shared" si="12"/>
        <v>__</v>
      </c>
      <c r="B831" s="93"/>
      <c r="C831" s="93"/>
      <c r="D831" s="94"/>
      <c r="E831" s="95"/>
      <c r="F831" s="85" t="str">
        <f>IF(ISERROR(HLOOKUP(D831,Data!$1:$1,1,FALSE)),"PROBLEM - Scheduled time not found.","")</f>
        <v/>
      </c>
    </row>
    <row r="832" spans="1:6" x14ac:dyDescent="0.25">
      <c r="A832" s="84" t="str">
        <f t="shared" si="12"/>
        <v>__</v>
      </c>
      <c r="B832" s="93"/>
      <c r="C832" s="93"/>
      <c r="D832" s="94"/>
      <c r="E832" s="95"/>
      <c r="F832" s="85" t="str">
        <f>IF(ISERROR(HLOOKUP(D832,Data!$1:$1,1,FALSE)),"PROBLEM - Scheduled time not found.","")</f>
        <v/>
      </c>
    </row>
    <row r="833" spans="1:6" x14ac:dyDescent="0.25">
      <c r="A833" s="84" t="str">
        <f t="shared" si="12"/>
        <v>__</v>
      </c>
      <c r="B833" s="93"/>
      <c r="C833" s="93"/>
      <c r="D833" s="94"/>
      <c r="E833" s="95"/>
      <c r="F833" s="85" t="str">
        <f>IF(ISERROR(HLOOKUP(D833,Data!$1:$1,1,FALSE)),"PROBLEM - Scheduled time not found.","")</f>
        <v/>
      </c>
    </row>
    <row r="834" spans="1:6" x14ac:dyDescent="0.25">
      <c r="A834" s="84" t="str">
        <f t="shared" si="12"/>
        <v>__</v>
      </c>
      <c r="B834" s="93"/>
      <c r="C834" s="93"/>
      <c r="D834" s="94"/>
      <c r="E834" s="95"/>
      <c r="F834" s="85" t="str">
        <f>IF(ISERROR(HLOOKUP(D834,Data!$1:$1,1,FALSE)),"PROBLEM - Scheduled time not found.","")</f>
        <v/>
      </c>
    </row>
    <row r="835" spans="1:6" x14ac:dyDescent="0.25">
      <c r="A835" s="84" t="str">
        <f t="shared" ref="A835:A898" si="13">B835&amp;"_"&amp;C835&amp;"_"&amp;D835</f>
        <v>__</v>
      </c>
      <c r="B835" s="93"/>
      <c r="C835" s="93"/>
      <c r="D835" s="94"/>
      <c r="E835" s="95"/>
      <c r="F835" s="85" t="str">
        <f>IF(ISERROR(HLOOKUP(D835,Data!$1:$1,1,FALSE)),"PROBLEM - Scheduled time not found.","")</f>
        <v/>
      </c>
    </row>
    <row r="836" spans="1:6" x14ac:dyDescent="0.25">
      <c r="A836" s="84" t="str">
        <f t="shared" si="13"/>
        <v>__</v>
      </c>
      <c r="B836" s="93"/>
      <c r="C836" s="93"/>
      <c r="D836" s="94"/>
      <c r="E836" s="95"/>
      <c r="F836" s="85" t="str">
        <f>IF(ISERROR(HLOOKUP(D836,Data!$1:$1,1,FALSE)),"PROBLEM - Scheduled time not found.","")</f>
        <v/>
      </c>
    </row>
    <row r="837" spans="1:6" x14ac:dyDescent="0.25">
      <c r="A837" s="84" t="str">
        <f t="shared" si="13"/>
        <v>__</v>
      </c>
      <c r="B837" s="93"/>
      <c r="C837" s="93"/>
      <c r="D837" s="94"/>
      <c r="E837" s="95"/>
      <c r="F837" s="85" t="str">
        <f>IF(ISERROR(HLOOKUP(D837,Data!$1:$1,1,FALSE)),"PROBLEM - Scheduled time not found.","")</f>
        <v/>
      </c>
    </row>
    <row r="838" spans="1:6" x14ac:dyDescent="0.25">
      <c r="A838" s="84" t="str">
        <f t="shared" si="13"/>
        <v>__</v>
      </c>
      <c r="B838" s="93"/>
      <c r="C838" s="93"/>
      <c r="D838" s="94"/>
      <c r="E838" s="95"/>
      <c r="F838" s="85" t="str">
        <f>IF(ISERROR(HLOOKUP(D838,Data!$1:$1,1,FALSE)),"PROBLEM - Scheduled time not found.","")</f>
        <v/>
      </c>
    </row>
    <row r="839" spans="1:6" x14ac:dyDescent="0.25">
      <c r="A839" s="84" t="str">
        <f t="shared" si="13"/>
        <v>__</v>
      </c>
      <c r="B839" s="93"/>
      <c r="C839" s="93"/>
      <c r="D839" s="94"/>
      <c r="E839" s="95"/>
      <c r="F839" s="85" t="str">
        <f>IF(ISERROR(HLOOKUP(D839,Data!$1:$1,1,FALSE)),"PROBLEM - Scheduled time not found.","")</f>
        <v/>
      </c>
    </row>
    <row r="840" spans="1:6" x14ac:dyDescent="0.25">
      <c r="A840" s="84" t="str">
        <f t="shared" si="13"/>
        <v>__</v>
      </c>
      <c r="B840" s="93"/>
      <c r="C840" s="93"/>
      <c r="D840" s="94"/>
      <c r="E840" s="95"/>
      <c r="F840" s="85" t="str">
        <f>IF(ISERROR(HLOOKUP(D840,Data!$1:$1,1,FALSE)),"PROBLEM - Scheduled time not found.","")</f>
        <v/>
      </c>
    </row>
    <row r="841" spans="1:6" x14ac:dyDescent="0.25">
      <c r="A841" s="84" t="str">
        <f t="shared" si="13"/>
        <v>__</v>
      </c>
      <c r="B841" s="93"/>
      <c r="C841" s="93"/>
      <c r="D841" s="94"/>
      <c r="E841" s="95"/>
      <c r="F841" s="85" t="str">
        <f>IF(ISERROR(HLOOKUP(D841,Data!$1:$1,1,FALSE)),"PROBLEM - Scheduled time not found.","")</f>
        <v/>
      </c>
    </row>
    <row r="842" spans="1:6" x14ac:dyDescent="0.25">
      <c r="A842" s="84" t="str">
        <f t="shared" si="13"/>
        <v>__</v>
      </c>
      <c r="B842" s="93"/>
      <c r="C842" s="93"/>
      <c r="D842" s="94"/>
      <c r="E842" s="95"/>
      <c r="F842" s="85" t="str">
        <f>IF(ISERROR(HLOOKUP(D842,Data!$1:$1,1,FALSE)),"PROBLEM - Scheduled time not found.","")</f>
        <v/>
      </c>
    </row>
    <row r="843" spans="1:6" x14ac:dyDescent="0.25">
      <c r="A843" s="84" t="str">
        <f t="shared" si="13"/>
        <v>__</v>
      </c>
      <c r="B843" s="93"/>
      <c r="C843" s="93"/>
      <c r="D843" s="94"/>
      <c r="E843" s="95"/>
      <c r="F843" s="85" t="str">
        <f>IF(ISERROR(HLOOKUP(D843,Data!$1:$1,1,FALSE)),"PROBLEM - Scheduled time not found.","")</f>
        <v/>
      </c>
    </row>
    <row r="844" spans="1:6" x14ac:dyDescent="0.25">
      <c r="A844" s="84" t="str">
        <f t="shared" si="13"/>
        <v>__</v>
      </c>
      <c r="B844" s="93"/>
      <c r="C844" s="93"/>
      <c r="D844" s="94"/>
      <c r="E844" s="95"/>
      <c r="F844" s="85" t="str">
        <f>IF(ISERROR(HLOOKUP(D844,Data!$1:$1,1,FALSE)),"PROBLEM - Scheduled time not found.","")</f>
        <v/>
      </c>
    </row>
    <row r="845" spans="1:6" x14ac:dyDescent="0.25">
      <c r="A845" s="84" t="str">
        <f t="shared" si="13"/>
        <v>__</v>
      </c>
      <c r="B845" s="93"/>
      <c r="C845" s="93"/>
      <c r="D845" s="94"/>
      <c r="E845" s="95"/>
      <c r="F845" s="85" t="str">
        <f>IF(ISERROR(HLOOKUP(D845,Data!$1:$1,1,FALSE)),"PROBLEM - Scheduled time not found.","")</f>
        <v/>
      </c>
    </row>
    <row r="846" spans="1:6" x14ac:dyDescent="0.25">
      <c r="A846" s="84" t="str">
        <f t="shared" si="13"/>
        <v>__</v>
      </c>
      <c r="B846" s="93"/>
      <c r="C846" s="93"/>
      <c r="D846" s="94"/>
      <c r="E846" s="95"/>
      <c r="F846" s="85" t="str">
        <f>IF(ISERROR(HLOOKUP(D846,Data!$1:$1,1,FALSE)),"PROBLEM - Scheduled time not found.","")</f>
        <v/>
      </c>
    </row>
    <row r="847" spans="1:6" x14ac:dyDescent="0.25">
      <c r="A847" s="84" t="str">
        <f t="shared" si="13"/>
        <v>__</v>
      </c>
      <c r="B847" s="93"/>
      <c r="C847" s="93"/>
      <c r="D847" s="94"/>
      <c r="E847" s="95"/>
      <c r="F847" s="85" t="str">
        <f>IF(ISERROR(HLOOKUP(D847,Data!$1:$1,1,FALSE)),"PROBLEM - Scheduled time not found.","")</f>
        <v/>
      </c>
    </row>
    <row r="848" spans="1:6" x14ac:dyDescent="0.25">
      <c r="A848" s="84" t="str">
        <f t="shared" si="13"/>
        <v>__</v>
      </c>
      <c r="B848" s="93"/>
      <c r="C848" s="93"/>
      <c r="D848" s="94"/>
      <c r="E848" s="95"/>
      <c r="F848" s="85" t="str">
        <f>IF(ISERROR(HLOOKUP(D848,Data!$1:$1,1,FALSE)),"PROBLEM - Scheduled time not found.","")</f>
        <v/>
      </c>
    </row>
    <row r="849" spans="1:6" x14ac:dyDescent="0.25">
      <c r="A849" s="84" t="str">
        <f t="shared" si="13"/>
        <v>__</v>
      </c>
      <c r="B849" s="93"/>
      <c r="C849" s="93"/>
      <c r="D849" s="94"/>
      <c r="E849" s="95"/>
      <c r="F849" s="85" t="str">
        <f>IF(ISERROR(HLOOKUP(D849,Data!$1:$1,1,FALSE)),"PROBLEM - Scheduled time not found.","")</f>
        <v/>
      </c>
    </row>
    <row r="850" spans="1:6" x14ac:dyDescent="0.25">
      <c r="A850" s="84" t="str">
        <f t="shared" si="13"/>
        <v>__</v>
      </c>
      <c r="B850" s="93"/>
      <c r="C850" s="93"/>
      <c r="D850" s="94"/>
      <c r="E850" s="95"/>
      <c r="F850" s="85" t="str">
        <f>IF(ISERROR(HLOOKUP(D850,Data!$1:$1,1,FALSE)),"PROBLEM - Scheduled time not found.","")</f>
        <v/>
      </c>
    </row>
    <row r="851" spans="1:6" x14ac:dyDescent="0.25">
      <c r="A851" s="84" t="str">
        <f t="shared" si="13"/>
        <v>__</v>
      </c>
      <c r="B851" s="93"/>
      <c r="C851" s="93"/>
      <c r="D851" s="94"/>
      <c r="E851" s="95"/>
      <c r="F851" s="85" t="str">
        <f>IF(ISERROR(HLOOKUP(D851,Data!$1:$1,1,FALSE)),"PROBLEM - Scheduled time not found.","")</f>
        <v/>
      </c>
    </row>
    <row r="852" spans="1:6" x14ac:dyDescent="0.25">
      <c r="A852" s="84" t="str">
        <f t="shared" si="13"/>
        <v>__</v>
      </c>
      <c r="B852" s="93"/>
      <c r="C852" s="93"/>
      <c r="D852" s="94"/>
      <c r="E852" s="95"/>
      <c r="F852" s="85" t="str">
        <f>IF(ISERROR(HLOOKUP(D852,Data!$1:$1,1,FALSE)),"PROBLEM - Scheduled time not found.","")</f>
        <v/>
      </c>
    </row>
    <row r="853" spans="1:6" x14ac:dyDescent="0.25">
      <c r="A853" s="84" t="str">
        <f t="shared" si="13"/>
        <v>__</v>
      </c>
      <c r="B853" s="93"/>
      <c r="C853" s="93"/>
      <c r="D853" s="94"/>
      <c r="E853" s="95"/>
      <c r="F853" s="85" t="str">
        <f>IF(ISERROR(HLOOKUP(D853,Data!$1:$1,1,FALSE)),"PROBLEM - Scheduled time not found.","")</f>
        <v/>
      </c>
    </row>
    <row r="854" spans="1:6" x14ac:dyDescent="0.25">
      <c r="A854" s="84" t="str">
        <f t="shared" si="13"/>
        <v>__</v>
      </c>
      <c r="B854" s="93"/>
      <c r="C854" s="93"/>
      <c r="D854" s="94"/>
      <c r="E854" s="95"/>
      <c r="F854" s="85" t="str">
        <f>IF(ISERROR(HLOOKUP(D854,Data!$1:$1,1,FALSE)),"PROBLEM - Scheduled time not found.","")</f>
        <v/>
      </c>
    </row>
    <row r="855" spans="1:6" x14ac:dyDescent="0.25">
      <c r="A855" s="84" t="str">
        <f t="shared" si="13"/>
        <v>__</v>
      </c>
      <c r="B855" s="93"/>
      <c r="C855" s="93"/>
      <c r="D855" s="94"/>
      <c r="E855" s="95"/>
      <c r="F855" s="85" t="str">
        <f>IF(ISERROR(HLOOKUP(D855,Data!$1:$1,1,FALSE)),"PROBLEM - Scheduled time not found.","")</f>
        <v/>
      </c>
    </row>
    <row r="856" spans="1:6" x14ac:dyDescent="0.25">
      <c r="A856" s="84" t="str">
        <f t="shared" si="13"/>
        <v>__</v>
      </c>
      <c r="B856" s="93"/>
      <c r="C856" s="93"/>
      <c r="D856" s="94"/>
      <c r="E856" s="95"/>
      <c r="F856" s="85" t="str">
        <f>IF(ISERROR(HLOOKUP(D856,Data!$1:$1,1,FALSE)),"PROBLEM - Scheduled time not found.","")</f>
        <v/>
      </c>
    </row>
    <row r="857" spans="1:6" x14ac:dyDescent="0.25">
      <c r="A857" s="84" t="str">
        <f t="shared" si="13"/>
        <v>__</v>
      </c>
      <c r="B857" s="93"/>
      <c r="C857" s="93"/>
      <c r="D857" s="94"/>
      <c r="E857" s="95"/>
      <c r="F857" s="85" t="str">
        <f>IF(ISERROR(HLOOKUP(D857,Data!$1:$1,1,FALSE)),"PROBLEM - Scheduled time not found.","")</f>
        <v/>
      </c>
    </row>
    <row r="858" spans="1:6" x14ac:dyDescent="0.25">
      <c r="A858" s="84" t="str">
        <f t="shared" si="13"/>
        <v>__</v>
      </c>
      <c r="B858" s="93"/>
      <c r="C858" s="93"/>
      <c r="D858" s="94"/>
      <c r="E858" s="95"/>
      <c r="F858" s="85" t="str">
        <f>IF(ISERROR(HLOOKUP(D858,Data!$1:$1,1,FALSE)),"PROBLEM - Scheduled time not found.","")</f>
        <v/>
      </c>
    </row>
    <row r="859" spans="1:6" x14ac:dyDescent="0.25">
      <c r="A859" s="84" t="str">
        <f t="shared" si="13"/>
        <v>__</v>
      </c>
      <c r="B859" s="93"/>
      <c r="C859" s="93"/>
      <c r="D859" s="94"/>
      <c r="E859" s="95"/>
      <c r="F859" s="85" t="str">
        <f>IF(ISERROR(HLOOKUP(D859,Data!$1:$1,1,FALSE)),"PROBLEM - Scheduled time not found.","")</f>
        <v/>
      </c>
    </row>
    <row r="860" spans="1:6" x14ac:dyDescent="0.25">
      <c r="A860" s="84" t="str">
        <f t="shared" si="13"/>
        <v>__</v>
      </c>
      <c r="B860" s="93"/>
      <c r="C860" s="93"/>
      <c r="D860" s="94"/>
      <c r="E860" s="95"/>
      <c r="F860" s="85" t="str">
        <f>IF(ISERROR(HLOOKUP(D860,Data!$1:$1,1,FALSE)),"PROBLEM - Scheduled time not found.","")</f>
        <v/>
      </c>
    </row>
    <row r="861" spans="1:6" x14ac:dyDescent="0.25">
      <c r="A861" s="84" t="str">
        <f t="shared" si="13"/>
        <v>__</v>
      </c>
      <c r="B861" s="93"/>
      <c r="C861" s="93"/>
      <c r="D861" s="94"/>
      <c r="E861" s="95"/>
      <c r="F861" s="85" t="str">
        <f>IF(ISERROR(HLOOKUP(D861,Data!$1:$1,1,FALSE)),"PROBLEM - Scheduled time not found.","")</f>
        <v/>
      </c>
    </row>
    <row r="862" spans="1:6" x14ac:dyDescent="0.25">
      <c r="A862" s="84" t="str">
        <f t="shared" si="13"/>
        <v>__</v>
      </c>
      <c r="B862" s="93"/>
      <c r="C862" s="93"/>
      <c r="D862" s="94"/>
      <c r="E862" s="95"/>
      <c r="F862" s="85" t="str">
        <f>IF(ISERROR(HLOOKUP(D862,Data!$1:$1,1,FALSE)),"PROBLEM - Scheduled time not found.","")</f>
        <v/>
      </c>
    </row>
    <row r="863" spans="1:6" x14ac:dyDescent="0.25">
      <c r="A863" s="84" t="str">
        <f t="shared" si="13"/>
        <v>__</v>
      </c>
      <c r="B863" s="93"/>
      <c r="C863" s="93"/>
      <c r="D863" s="94"/>
      <c r="E863" s="95"/>
      <c r="F863" s="85" t="str">
        <f>IF(ISERROR(HLOOKUP(D863,Data!$1:$1,1,FALSE)),"PROBLEM - Scheduled time not found.","")</f>
        <v/>
      </c>
    </row>
    <row r="864" spans="1:6" x14ac:dyDescent="0.25">
      <c r="A864" s="84" t="str">
        <f t="shared" si="13"/>
        <v>__</v>
      </c>
      <c r="B864" s="93"/>
      <c r="C864" s="93"/>
      <c r="D864" s="94"/>
      <c r="E864" s="95"/>
      <c r="F864" s="85" t="str">
        <f>IF(ISERROR(HLOOKUP(D864,Data!$1:$1,1,FALSE)),"PROBLEM - Scheduled time not found.","")</f>
        <v/>
      </c>
    </row>
    <row r="865" spans="1:6" x14ac:dyDescent="0.25">
      <c r="A865" s="84" t="str">
        <f t="shared" si="13"/>
        <v>__</v>
      </c>
      <c r="B865" s="93"/>
      <c r="C865" s="93"/>
      <c r="D865" s="94"/>
      <c r="E865" s="95"/>
      <c r="F865" s="85" t="str">
        <f>IF(ISERROR(HLOOKUP(D865,Data!$1:$1,1,FALSE)),"PROBLEM - Scheduled time not found.","")</f>
        <v/>
      </c>
    </row>
    <row r="866" spans="1:6" x14ac:dyDescent="0.25">
      <c r="A866" s="84" t="str">
        <f t="shared" si="13"/>
        <v>__</v>
      </c>
      <c r="B866" s="93"/>
      <c r="C866" s="93"/>
      <c r="D866" s="94"/>
      <c r="E866" s="95"/>
      <c r="F866" s="85" t="str">
        <f>IF(ISERROR(HLOOKUP(D866,Data!$1:$1,1,FALSE)),"PROBLEM - Scheduled time not found.","")</f>
        <v/>
      </c>
    </row>
    <row r="867" spans="1:6" x14ac:dyDescent="0.25">
      <c r="A867" s="84" t="str">
        <f t="shared" si="13"/>
        <v>__</v>
      </c>
      <c r="B867" s="93"/>
      <c r="C867" s="93"/>
      <c r="D867" s="94"/>
      <c r="E867" s="95"/>
      <c r="F867" s="85" t="str">
        <f>IF(ISERROR(HLOOKUP(D867,Data!$1:$1,1,FALSE)),"PROBLEM - Scheduled time not found.","")</f>
        <v/>
      </c>
    </row>
    <row r="868" spans="1:6" x14ac:dyDescent="0.25">
      <c r="A868" s="84" t="str">
        <f t="shared" si="13"/>
        <v>__</v>
      </c>
      <c r="B868" s="93"/>
      <c r="C868" s="93"/>
      <c r="D868" s="94"/>
      <c r="E868" s="95"/>
      <c r="F868" s="85" t="str">
        <f>IF(ISERROR(HLOOKUP(D868,Data!$1:$1,1,FALSE)),"PROBLEM - Scheduled time not found.","")</f>
        <v/>
      </c>
    </row>
    <row r="869" spans="1:6" x14ac:dyDescent="0.25">
      <c r="A869" s="84" t="str">
        <f t="shared" si="13"/>
        <v>__</v>
      </c>
      <c r="B869" s="93"/>
      <c r="C869" s="93"/>
      <c r="D869" s="94"/>
      <c r="E869" s="95"/>
      <c r="F869" s="85" t="str">
        <f>IF(ISERROR(HLOOKUP(D869,Data!$1:$1,1,FALSE)),"PROBLEM - Scheduled time not found.","")</f>
        <v/>
      </c>
    </row>
    <row r="870" spans="1:6" x14ac:dyDescent="0.25">
      <c r="A870" s="84" t="str">
        <f t="shared" si="13"/>
        <v>__</v>
      </c>
      <c r="B870" s="93"/>
      <c r="C870" s="93"/>
      <c r="D870" s="94"/>
      <c r="E870" s="95"/>
      <c r="F870" s="85" t="str">
        <f>IF(ISERROR(HLOOKUP(D870,Data!$1:$1,1,FALSE)),"PROBLEM - Scheduled time not found.","")</f>
        <v/>
      </c>
    </row>
    <row r="871" spans="1:6" x14ac:dyDescent="0.25">
      <c r="A871" s="84" t="str">
        <f t="shared" si="13"/>
        <v>__</v>
      </c>
      <c r="B871" s="93"/>
      <c r="C871" s="93"/>
      <c r="D871" s="94"/>
      <c r="E871" s="95"/>
      <c r="F871" s="85" t="str">
        <f>IF(ISERROR(HLOOKUP(D871,Data!$1:$1,1,FALSE)),"PROBLEM - Scheduled time not found.","")</f>
        <v/>
      </c>
    </row>
    <row r="872" spans="1:6" x14ac:dyDescent="0.25">
      <c r="A872" s="84" t="str">
        <f t="shared" si="13"/>
        <v>__</v>
      </c>
      <c r="B872" s="93"/>
      <c r="C872" s="93"/>
      <c r="D872" s="94"/>
      <c r="E872" s="95"/>
      <c r="F872" s="85" t="str">
        <f>IF(ISERROR(HLOOKUP(D872,Data!$1:$1,1,FALSE)),"PROBLEM - Scheduled time not found.","")</f>
        <v/>
      </c>
    </row>
    <row r="873" spans="1:6" x14ac:dyDescent="0.25">
      <c r="A873" s="84" t="str">
        <f t="shared" si="13"/>
        <v>__</v>
      </c>
      <c r="B873" s="93"/>
      <c r="C873" s="93"/>
      <c r="D873" s="94"/>
      <c r="E873" s="95"/>
      <c r="F873" s="85" t="str">
        <f>IF(ISERROR(HLOOKUP(D873,Data!$1:$1,1,FALSE)),"PROBLEM - Scheduled time not found.","")</f>
        <v/>
      </c>
    </row>
    <row r="874" spans="1:6" x14ac:dyDescent="0.25">
      <c r="A874" s="84" t="str">
        <f t="shared" si="13"/>
        <v>__</v>
      </c>
      <c r="B874" s="93"/>
      <c r="C874" s="93"/>
      <c r="D874" s="94"/>
      <c r="E874" s="95"/>
      <c r="F874" s="85" t="str">
        <f>IF(ISERROR(HLOOKUP(D874,Data!$1:$1,1,FALSE)),"PROBLEM - Scheduled time not found.","")</f>
        <v/>
      </c>
    </row>
    <row r="875" spans="1:6" x14ac:dyDescent="0.25">
      <c r="A875" s="84" t="str">
        <f t="shared" si="13"/>
        <v>__</v>
      </c>
      <c r="B875" s="93"/>
      <c r="C875" s="93"/>
      <c r="D875" s="94"/>
      <c r="E875" s="95"/>
      <c r="F875" s="85" t="str">
        <f>IF(ISERROR(HLOOKUP(D875,Data!$1:$1,1,FALSE)),"PROBLEM - Scheduled time not found.","")</f>
        <v/>
      </c>
    </row>
    <row r="876" spans="1:6" x14ac:dyDescent="0.25">
      <c r="A876" s="84" t="str">
        <f t="shared" si="13"/>
        <v>__</v>
      </c>
      <c r="B876" s="93"/>
      <c r="C876" s="93"/>
      <c r="D876" s="94"/>
      <c r="E876" s="95"/>
      <c r="F876" s="85" t="str">
        <f>IF(ISERROR(HLOOKUP(D876,Data!$1:$1,1,FALSE)),"PROBLEM - Scheduled time not found.","")</f>
        <v/>
      </c>
    </row>
    <row r="877" spans="1:6" x14ac:dyDescent="0.25">
      <c r="A877" s="84" t="str">
        <f t="shared" si="13"/>
        <v>__</v>
      </c>
      <c r="B877" s="93"/>
      <c r="C877" s="93"/>
      <c r="D877" s="94"/>
      <c r="E877" s="95"/>
      <c r="F877" s="85" t="str">
        <f>IF(ISERROR(HLOOKUP(D877,Data!$1:$1,1,FALSE)),"PROBLEM - Scheduled time not found.","")</f>
        <v/>
      </c>
    </row>
    <row r="878" spans="1:6" x14ac:dyDescent="0.25">
      <c r="A878" s="84" t="str">
        <f t="shared" si="13"/>
        <v>__</v>
      </c>
      <c r="B878" s="93"/>
      <c r="C878" s="93"/>
      <c r="D878" s="94"/>
      <c r="E878" s="95"/>
      <c r="F878" s="85" t="str">
        <f>IF(ISERROR(HLOOKUP(D878,Data!$1:$1,1,FALSE)),"PROBLEM - Scheduled time not found.","")</f>
        <v/>
      </c>
    </row>
    <row r="879" spans="1:6" x14ac:dyDescent="0.25">
      <c r="A879" s="84" t="str">
        <f t="shared" si="13"/>
        <v>__</v>
      </c>
      <c r="B879" s="93"/>
      <c r="C879" s="93"/>
      <c r="D879" s="94"/>
      <c r="E879" s="95"/>
      <c r="F879" s="85" t="str">
        <f>IF(ISERROR(HLOOKUP(D879,Data!$1:$1,1,FALSE)),"PROBLEM - Scheduled time not found.","")</f>
        <v/>
      </c>
    </row>
    <row r="880" spans="1:6" x14ac:dyDescent="0.25">
      <c r="A880" s="84" t="str">
        <f t="shared" si="13"/>
        <v>__</v>
      </c>
      <c r="B880" s="93"/>
      <c r="C880" s="93"/>
      <c r="D880" s="94"/>
      <c r="E880" s="95"/>
      <c r="F880" s="85" t="str">
        <f>IF(ISERROR(HLOOKUP(D880,Data!$1:$1,1,FALSE)),"PROBLEM - Scheduled time not found.","")</f>
        <v/>
      </c>
    </row>
    <row r="881" spans="1:6" x14ac:dyDescent="0.25">
      <c r="A881" s="84" t="str">
        <f t="shared" si="13"/>
        <v>__</v>
      </c>
      <c r="B881" s="93"/>
      <c r="C881" s="93"/>
      <c r="D881" s="94"/>
      <c r="E881" s="95"/>
      <c r="F881" s="85" t="str">
        <f>IF(ISERROR(HLOOKUP(D881,Data!$1:$1,1,FALSE)),"PROBLEM - Scheduled time not found.","")</f>
        <v/>
      </c>
    </row>
    <row r="882" spans="1:6" x14ac:dyDescent="0.25">
      <c r="A882" s="84" t="str">
        <f t="shared" si="13"/>
        <v>__</v>
      </c>
      <c r="B882" s="93"/>
      <c r="C882" s="93"/>
      <c r="D882" s="94"/>
      <c r="E882" s="95"/>
      <c r="F882" s="85" t="str">
        <f>IF(ISERROR(HLOOKUP(D882,Data!$1:$1,1,FALSE)),"PROBLEM - Scheduled time not found.","")</f>
        <v/>
      </c>
    </row>
    <row r="883" spans="1:6" x14ac:dyDescent="0.25">
      <c r="A883" s="84" t="str">
        <f t="shared" si="13"/>
        <v>__</v>
      </c>
      <c r="B883" s="93"/>
      <c r="C883" s="93"/>
      <c r="D883" s="94"/>
      <c r="E883" s="95"/>
      <c r="F883" s="85" t="str">
        <f>IF(ISERROR(HLOOKUP(D883,Data!$1:$1,1,FALSE)),"PROBLEM - Scheduled time not found.","")</f>
        <v/>
      </c>
    </row>
    <row r="884" spans="1:6" x14ac:dyDescent="0.25">
      <c r="A884" s="84" t="str">
        <f t="shared" si="13"/>
        <v>__</v>
      </c>
      <c r="B884" s="93"/>
      <c r="C884" s="93"/>
      <c r="D884" s="94"/>
      <c r="E884" s="95"/>
      <c r="F884" s="85" t="str">
        <f>IF(ISERROR(HLOOKUP(D884,Data!$1:$1,1,FALSE)),"PROBLEM - Scheduled time not found.","")</f>
        <v/>
      </c>
    </row>
    <row r="885" spans="1:6" x14ac:dyDescent="0.25">
      <c r="A885" s="84" t="str">
        <f t="shared" si="13"/>
        <v>__</v>
      </c>
      <c r="B885" s="93"/>
      <c r="C885" s="93"/>
      <c r="D885" s="94"/>
      <c r="E885" s="95"/>
      <c r="F885" s="85" t="str">
        <f>IF(ISERROR(HLOOKUP(D885,Data!$1:$1,1,FALSE)),"PROBLEM - Scheduled time not found.","")</f>
        <v/>
      </c>
    </row>
    <row r="886" spans="1:6" x14ac:dyDescent="0.25">
      <c r="A886" s="84" t="str">
        <f t="shared" si="13"/>
        <v>__</v>
      </c>
      <c r="B886" s="93"/>
      <c r="C886" s="93"/>
      <c r="D886" s="94"/>
      <c r="E886" s="95"/>
      <c r="F886" s="85" t="str">
        <f>IF(ISERROR(HLOOKUP(D886,Data!$1:$1,1,FALSE)),"PROBLEM - Scheduled time not found.","")</f>
        <v/>
      </c>
    </row>
    <row r="887" spans="1:6" x14ac:dyDescent="0.25">
      <c r="A887" s="84" t="str">
        <f t="shared" si="13"/>
        <v>__</v>
      </c>
      <c r="B887" s="93"/>
      <c r="C887" s="93"/>
      <c r="D887" s="94"/>
      <c r="E887" s="95"/>
      <c r="F887" s="85" t="str">
        <f>IF(ISERROR(HLOOKUP(D887,Data!$1:$1,1,FALSE)),"PROBLEM - Scheduled time not found.","")</f>
        <v/>
      </c>
    </row>
    <row r="888" spans="1:6" x14ac:dyDescent="0.25">
      <c r="A888" s="84" t="str">
        <f t="shared" si="13"/>
        <v>__</v>
      </c>
      <c r="B888" s="93"/>
      <c r="C888" s="93"/>
      <c r="D888" s="94"/>
      <c r="E888" s="95"/>
      <c r="F888" s="85" t="str">
        <f>IF(ISERROR(HLOOKUP(D888,Data!$1:$1,1,FALSE)),"PROBLEM - Scheduled time not found.","")</f>
        <v/>
      </c>
    </row>
    <row r="889" spans="1:6" x14ac:dyDescent="0.25">
      <c r="A889" s="84" t="str">
        <f t="shared" si="13"/>
        <v>__</v>
      </c>
      <c r="B889" s="93"/>
      <c r="C889" s="93"/>
      <c r="D889" s="94"/>
      <c r="E889" s="95"/>
      <c r="F889" s="85" t="str">
        <f>IF(ISERROR(HLOOKUP(D889,Data!$1:$1,1,FALSE)),"PROBLEM - Scheduled time not found.","")</f>
        <v/>
      </c>
    </row>
    <row r="890" spans="1:6" x14ac:dyDescent="0.25">
      <c r="A890" s="84" t="str">
        <f t="shared" si="13"/>
        <v>__</v>
      </c>
      <c r="B890" s="93"/>
      <c r="C890" s="93"/>
      <c r="D890" s="94"/>
      <c r="E890" s="95"/>
      <c r="F890" s="85" t="str">
        <f>IF(ISERROR(HLOOKUP(D890,Data!$1:$1,1,FALSE)),"PROBLEM - Scheduled time not found.","")</f>
        <v/>
      </c>
    </row>
    <row r="891" spans="1:6" x14ac:dyDescent="0.25">
      <c r="A891" s="84" t="str">
        <f t="shared" si="13"/>
        <v>__</v>
      </c>
      <c r="B891" s="93"/>
      <c r="C891" s="93"/>
      <c r="D891" s="94"/>
      <c r="E891" s="95"/>
      <c r="F891" s="85" t="str">
        <f>IF(ISERROR(HLOOKUP(D891,Data!$1:$1,1,FALSE)),"PROBLEM - Scheduled time not found.","")</f>
        <v/>
      </c>
    </row>
    <row r="892" spans="1:6" x14ac:dyDescent="0.25">
      <c r="A892" s="84" t="str">
        <f t="shared" si="13"/>
        <v>__</v>
      </c>
      <c r="B892" s="93"/>
      <c r="C892" s="93"/>
      <c r="D892" s="94"/>
      <c r="E892" s="95"/>
      <c r="F892" s="85" t="str">
        <f>IF(ISERROR(HLOOKUP(D892,Data!$1:$1,1,FALSE)),"PROBLEM - Scheduled time not found.","")</f>
        <v/>
      </c>
    </row>
    <row r="893" spans="1:6" x14ac:dyDescent="0.25">
      <c r="A893" s="84" t="str">
        <f t="shared" si="13"/>
        <v>__</v>
      </c>
      <c r="B893" s="93"/>
      <c r="C893" s="93"/>
      <c r="D893" s="94"/>
      <c r="E893" s="95"/>
      <c r="F893" s="85" t="str">
        <f>IF(ISERROR(HLOOKUP(D893,Data!$1:$1,1,FALSE)),"PROBLEM - Scheduled time not found.","")</f>
        <v/>
      </c>
    </row>
    <row r="894" spans="1:6" x14ac:dyDescent="0.25">
      <c r="A894" s="84" t="str">
        <f t="shared" si="13"/>
        <v>__</v>
      </c>
      <c r="B894" s="93"/>
      <c r="C894" s="93"/>
      <c r="D894" s="94"/>
      <c r="E894" s="95"/>
      <c r="F894" s="85" t="str">
        <f>IF(ISERROR(HLOOKUP(D894,Data!$1:$1,1,FALSE)),"PROBLEM - Scheduled time not found.","")</f>
        <v/>
      </c>
    </row>
    <row r="895" spans="1:6" x14ac:dyDescent="0.25">
      <c r="A895" s="84" t="str">
        <f t="shared" si="13"/>
        <v>__</v>
      </c>
      <c r="B895" s="93"/>
      <c r="C895" s="93"/>
      <c r="D895" s="94"/>
      <c r="E895" s="95"/>
      <c r="F895" s="85" t="str">
        <f>IF(ISERROR(HLOOKUP(D895,Data!$1:$1,1,FALSE)),"PROBLEM - Scheduled time not found.","")</f>
        <v/>
      </c>
    </row>
    <row r="896" spans="1:6" x14ac:dyDescent="0.25">
      <c r="A896" s="84" t="str">
        <f t="shared" si="13"/>
        <v>__</v>
      </c>
      <c r="B896" s="93"/>
      <c r="C896" s="93"/>
      <c r="D896" s="94"/>
      <c r="E896" s="95"/>
      <c r="F896" s="85" t="str">
        <f>IF(ISERROR(HLOOKUP(D896,Data!$1:$1,1,FALSE)),"PROBLEM - Scheduled time not found.","")</f>
        <v/>
      </c>
    </row>
    <row r="897" spans="1:6" x14ac:dyDescent="0.25">
      <c r="A897" s="84" t="str">
        <f t="shared" si="13"/>
        <v>__</v>
      </c>
      <c r="B897" s="93"/>
      <c r="C897" s="93"/>
      <c r="D897" s="94"/>
      <c r="E897" s="95"/>
      <c r="F897" s="85" t="str">
        <f>IF(ISERROR(HLOOKUP(D897,Data!$1:$1,1,FALSE)),"PROBLEM - Scheduled time not found.","")</f>
        <v/>
      </c>
    </row>
    <row r="898" spans="1:6" x14ac:dyDescent="0.25">
      <c r="A898" s="84" t="str">
        <f t="shared" si="13"/>
        <v>__</v>
      </c>
      <c r="B898" s="93"/>
      <c r="C898" s="93"/>
      <c r="D898" s="94"/>
      <c r="E898" s="95"/>
      <c r="F898" s="85" t="str">
        <f>IF(ISERROR(HLOOKUP(D898,Data!$1:$1,1,FALSE)),"PROBLEM - Scheduled time not found.","")</f>
        <v/>
      </c>
    </row>
    <row r="899" spans="1:6" x14ac:dyDescent="0.25">
      <c r="A899" s="84" t="str">
        <f t="shared" ref="A899:A962" si="14">B899&amp;"_"&amp;C899&amp;"_"&amp;D899</f>
        <v>__</v>
      </c>
      <c r="B899" s="93"/>
      <c r="C899" s="93"/>
      <c r="D899" s="94"/>
      <c r="E899" s="95"/>
      <c r="F899" s="85" t="str">
        <f>IF(ISERROR(HLOOKUP(D899,Data!$1:$1,1,FALSE)),"PROBLEM - Scheduled time not found.","")</f>
        <v/>
      </c>
    </row>
    <row r="900" spans="1:6" x14ac:dyDescent="0.25">
      <c r="A900" s="84" t="str">
        <f t="shared" si="14"/>
        <v>__</v>
      </c>
      <c r="B900" s="93"/>
      <c r="C900" s="93"/>
      <c r="D900" s="94"/>
      <c r="E900" s="95"/>
      <c r="F900" s="85" t="str">
        <f>IF(ISERROR(HLOOKUP(D900,Data!$1:$1,1,FALSE)),"PROBLEM - Scheduled time not found.","")</f>
        <v/>
      </c>
    </row>
    <row r="901" spans="1:6" x14ac:dyDescent="0.25">
      <c r="A901" s="84" t="str">
        <f t="shared" si="14"/>
        <v>__</v>
      </c>
      <c r="B901" s="93"/>
      <c r="C901" s="93"/>
      <c r="D901" s="94"/>
      <c r="E901" s="95"/>
      <c r="F901" s="85" t="str">
        <f>IF(ISERROR(HLOOKUP(D901,Data!$1:$1,1,FALSE)),"PROBLEM - Scheduled time not found.","")</f>
        <v/>
      </c>
    </row>
    <row r="902" spans="1:6" x14ac:dyDescent="0.25">
      <c r="A902" s="84" t="str">
        <f t="shared" si="14"/>
        <v>__</v>
      </c>
      <c r="B902" s="93"/>
      <c r="C902" s="93"/>
      <c r="D902" s="94"/>
      <c r="E902" s="95"/>
      <c r="F902" s="85" t="str">
        <f>IF(ISERROR(HLOOKUP(D902,Data!$1:$1,1,FALSE)),"PROBLEM - Scheduled time not found.","")</f>
        <v/>
      </c>
    </row>
    <row r="903" spans="1:6" x14ac:dyDescent="0.25">
      <c r="A903" s="84" t="str">
        <f t="shared" si="14"/>
        <v>__</v>
      </c>
      <c r="B903" s="93"/>
      <c r="C903" s="93"/>
      <c r="D903" s="94"/>
      <c r="E903" s="95"/>
      <c r="F903" s="85" t="str">
        <f>IF(ISERROR(HLOOKUP(D903,Data!$1:$1,1,FALSE)),"PROBLEM - Scheduled time not found.","")</f>
        <v/>
      </c>
    </row>
    <row r="904" spans="1:6" x14ac:dyDescent="0.25">
      <c r="A904" s="84" t="str">
        <f t="shared" si="14"/>
        <v>__</v>
      </c>
      <c r="B904" s="93"/>
      <c r="C904" s="93"/>
      <c r="D904" s="94"/>
      <c r="E904" s="95"/>
      <c r="F904" s="85" t="str">
        <f>IF(ISERROR(HLOOKUP(D904,Data!$1:$1,1,FALSE)),"PROBLEM - Scheduled time not found.","")</f>
        <v/>
      </c>
    </row>
    <row r="905" spans="1:6" x14ac:dyDescent="0.25">
      <c r="A905" s="84" t="str">
        <f t="shared" si="14"/>
        <v>__</v>
      </c>
      <c r="B905" s="93"/>
      <c r="C905" s="93"/>
      <c r="D905" s="94"/>
      <c r="E905" s="95"/>
      <c r="F905" s="85" t="str">
        <f>IF(ISERROR(HLOOKUP(D905,Data!$1:$1,1,FALSE)),"PROBLEM - Scheduled time not found.","")</f>
        <v/>
      </c>
    </row>
    <row r="906" spans="1:6" x14ac:dyDescent="0.25">
      <c r="A906" s="84" t="str">
        <f t="shared" si="14"/>
        <v>__</v>
      </c>
      <c r="B906" s="93"/>
      <c r="C906" s="93"/>
      <c r="D906" s="94"/>
      <c r="E906" s="95"/>
      <c r="F906" s="85" t="str">
        <f>IF(ISERROR(HLOOKUP(D906,Data!$1:$1,1,FALSE)),"PROBLEM - Scheduled time not found.","")</f>
        <v/>
      </c>
    </row>
    <row r="907" spans="1:6" x14ac:dyDescent="0.25">
      <c r="A907" s="84" t="str">
        <f t="shared" si="14"/>
        <v>__</v>
      </c>
      <c r="B907" s="93"/>
      <c r="C907" s="93"/>
      <c r="D907" s="94"/>
      <c r="E907" s="95"/>
      <c r="F907" s="85" t="str">
        <f>IF(ISERROR(HLOOKUP(D907,Data!$1:$1,1,FALSE)),"PROBLEM - Scheduled time not found.","")</f>
        <v/>
      </c>
    </row>
    <row r="908" spans="1:6" x14ac:dyDescent="0.25">
      <c r="A908" s="84" t="str">
        <f t="shared" si="14"/>
        <v>__</v>
      </c>
      <c r="B908" s="93"/>
      <c r="C908" s="93"/>
      <c r="D908" s="94"/>
      <c r="E908" s="95"/>
      <c r="F908" s="85" t="str">
        <f>IF(ISERROR(HLOOKUP(D908,Data!$1:$1,1,FALSE)),"PROBLEM - Scheduled time not found.","")</f>
        <v/>
      </c>
    </row>
    <row r="909" spans="1:6" x14ac:dyDescent="0.25">
      <c r="A909" s="84" t="str">
        <f t="shared" si="14"/>
        <v>__</v>
      </c>
      <c r="B909" s="93"/>
      <c r="C909" s="93"/>
      <c r="D909" s="94"/>
      <c r="E909" s="95"/>
      <c r="F909" s="85" t="str">
        <f>IF(ISERROR(HLOOKUP(D909,Data!$1:$1,1,FALSE)),"PROBLEM - Scheduled time not found.","")</f>
        <v/>
      </c>
    </row>
    <row r="910" spans="1:6" x14ac:dyDescent="0.25">
      <c r="A910" s="84" t="str">
        <f t="shared" si="14"/>
        <v>__</v>
      </c>
      <c r="B910" s="93"/>
      <c r="C910" s="93"/>
      <c r="D910" s="94"/>
      <c r="E910" s="95"/>
      <c r="F910" s="85" t="str">
        <f>IF(ISERROR(HLOOKUP(D910,Data!$1:$1,1,FALSE)),"PROBLEM - Scheduled time not found.","")</f>
        <v/>
      </c>
    </row>
    <row r="911" spans="1:6" x14ac:dyDescent="0.25">
      <c r="A911" s="84" t="str">
        <f t="shared" si="14"/>
        <v>__</v>
      </c>
      <c r="B911" s="93"/>
      <c r="C911" s="93"/>
      <c r="D911" s="94"/>
      <c r="E911" s="95"/>
      <c r="F911" s="85" t="str">
        <f>IF(ISERROR(HLOOKUP(D911,Data!$1:$1,1,FALSE)),"PROBLEM - Scheduled time not found.","")</f>
        <v/>
      </c>
    </row>
    <row r="912" spans="1:6" x14ac:dyDescent="0.25">
      <c r="A912" s="84" t="str">
        <f t="shared" si="14"/>
        <v>__</v>
      </c>
      <c r="B912" s="93"/>
      <c r="C912" s="93"/>
      <c r="D912" s="94"/>
      <c r="E912" s="95"/>
      <c r="F912" s="85" t="str">
        <f>IF(ISERROR(HLOOKUP(D912,Data!$1:$1,1,FALSE)),"PROBLEM - Scheduled time not found.","")</f>
        <v/>
      </c>
    </row>
    <row r="913" spans="1:6" x14ac:dyDescent="0.25">
      <c r="A913" s="84" t="str">
        <f t="shared" si="14"/>
        <v>__</v>
      </c>
      <c r="B913" s="93"/>
      <c r="C913" s="93"/>
      <c r="D913" s="94"/>
      <c r="E913" s="95"/>
      <c r="F913" s="85" t="str">
        <f>IF(ISERROR(HLOOKUP(D913,Data!$1:$1,1,FALSE)),"PROBLEM - Scheduled time not found.","")</f>
        <v/>
      </c>
    </row>
    <row r="914" spans="1:6" x14ac:dyDescent="0.25">
      <c r="A914" s="84" t="str">
        <f t="shared" si="14"/>
        <v>__</v>
      </c>
      <c r="B914" s="93"/>
      <c r="C914" s="93"/>
      <c r="D914" s="94"/>
      <c r="E914" s="95"/>
      <c r="F914" s="85" t="str">
        <f>IF(ISERROR(HLOOKUP(D914,Data!$1:$1,1,FALSE)),"PROBLEM - Scheduled time not found.","")</f>
        <v/>
      </c>
    </row>
    <row r="915" spans="1:6" x14ac:dyDescent="0.25">
      <c r="A915" s="84" t="str">
        <f t="shared" si="14"/>
        <v>__</v>
      </c>
      <c r="B915" s="93"/>
      <c r="C915" s="93"/>
      <c r="D915" s="94"/>
      <c r="E915" s="95"/>
      <c r="F915" s="85" t="str">
        <f>IF(ISERROR(HLOOKUP(D915,Data!$1:$1,1,FALSE)),"PROBLEM - Scheduled time not found.","")</f>
        <v/>
      </c>
    </row>
    <row r="916" spans="1:6" x14ac:dyDescent="0.25">
      <c r="A916" s="84" t="str">
        <f t="shared" si="14"/>
        <v>__</v>
      </c>
      <c r="B916" s="93"/>
      <c r="C916" s="93"/>
      <c r="D916" s="94"/>
      <c r="E916" s="95"/>
      <c r="F916" s="85" t="str">
        <f>IF(ISERROR(HLOOKUP(D916,Data!$1:$1,1,FALSE)),"PROBLEM - Scheduled time not found.","")</f>
        <v/>
      </c>
    </row>
    <row r="917" spans="1:6" x14ac:dyDescent="0.25">
      <c r="A917" s="84" t="str">
        <f t="shared" si="14"/>
        <v>__</v>
      </c>
      <c r="B917" s="93"/>
      <c r="C917" s="93"/>
      <c r="D917" s="94"/>
      <c r="E917" s="95"/>
      <c r="F917" s="85" t="str">
        <f>IF(ISERROR(HLOOKUP(D917,Data!$1:$1,1,FALSE)),"PROBLEM - Scheduled time not found.","")</f>
        <v/>
      </c>
    </row>
    <row r="918" spans="1:6" x14ac:dyDescent="0.25">
      <c r="A918" s="84" t="str">
        <f t="shared" si="14"/>
        <v>__</v>
      </c>
      <c r="B918" s="93"/>
      <c r="C918" s="93"/>
      <c r="D918" s="94"/>
      <c r="E918" s="95"/>
      <c r="F918" s="85" t="str">
        <f>IF(ISERROR(HLOOKUP(D918,Data!$1:$1,1,FALSE)),"PROBLEM - Scheduled time not found.","")</f>
        <v/>
      </c>
    </row>
    <row r="919" spans="1:6" x14ac:dyDescent="0.25">
      <c r="A919" s="84" t="str">
        <f t="shared" si="14"/>
        <v>__</v>
      </c>
      <c r="B919" s="93"/>
      <c r="C919" s="93"/>
      <c r="D919" s="94"/>
      <c r="E919" s="95"/>
      <c r="F919" s="85" t="str">
        <f>IF(ISERROR(HLOOKUP(D919,Data!$1:$1,1,FALSE)),"PROBLEM - Scheduled time not found.","")</f>
        <v/>
      </c>
    </row>
    <row r="920" spans="1:6" x14ac:dyDescent="0.25">
      <c r="A920" s="84" t="str">
        <f t="shared" si="14"/>
        <v>__</v>
      </c>
      <c r="B920" s="93"/>
      <c r="C920" s="93"/>
      <c r="D920" s="94"/>
      <c r="E920" s="95"/>
      <c r="F920" s="85" t="str">
        <f>IF(ISERROR(HLOOKUP(D920,Data!$1:$1,1,FALSE)),"PROBLEM - Scheduled time not found.","")</f>
        <v/>
      </c>
    </row>
    <row r="921" spans="1:6" x14ac:dyDescent="0.25">
      <c r="A921" s="84" t="str">
        <f t="shared" si="14"/>
        <v>__</v>
      </c>
      <c r="B921" s="93"/>
      <c r="C921" s="93"/>
      <c r="D921" s="94"/>
      <c r="E921" s="95"/>
      <c r="F921" s="85" t="str">
        <f>IF(ISERROR(HLOOKUP(D921,Data!$1:$1,1,FALSE)),"PROBLEM - Scheduled time not found.","")</f>
        <v/>
      </c>
    </row>
    <row r="922" spans="1:6" x14ac:dyDescent="0.25">
      <c r="A922" s="84" t="str">
        <f t="shared" si="14"/>
        <v>__</v>
      </c>
      <c r="B922" s="93"/>
      <c r="C922" s="93"/>
      <c r="D922" s="94"/>
      <c r="E922" s="95"/>
      <c r="F922" s="85" t="str">
        <f>IF(ISERROR(HLOOKUP(D922,Data!$1:$1,1,FALSE)),"PROBLEM - Scheduled time not found.","")</f>
        <v/>
      </c>
    </row>
    <row r="923" spans="1:6" x14ac:dyDescent="0.25">
      <c r="A923" s="84" t="str">
        <f t="shared" si="14"/>
        <v>__</v>
      </c>
      <c r="B923" s="93"/>
      <c r="C923" s="93"/>
      <c r="D923" s="94"/>
      <c r="E923" s="95"/>
      <c r="F923" s="85" t="str">
        <f>IF(ISERROR(HLOOKUP(D923,Data!$1:$1,1,FALSE)),"PROBLEM - Scheduled time not found.","")</f>
        <v/>
      </c>
    </row>
    <row r="924" spans="1:6" x14ac:dyDescent="0.25">
      <c r="A924" s="84" t="str">
        <f t="shared" si="14"/>
        <v>__</v>
      </c>
      <c r="B924" s="93"/>
      <c r="C924" s="93"/>
      <c r="D924" s="94"/>
      <c r="E924" s="95"/>
      <c r="F924" s="85" t="str">
        <f>IF(ISERROR(HLOOKUP(D924,Data!$1:$1,1,FALSE)),"PROBLEM - Scheduled time not found.","")</f>
        <v/>
      </c>
    </row>
    <row r="925" spans="1:6" x14ac:dyDescent="0.25">
      <c r="A925" s="84" t="str">
        <f t="shared" si="14"/>
        <v>__</v>
      </c>
      <c r="B925" s="93"/>
      <c r="C925" s="93"/>
      <c r="D925" s="94"/>
      <c r="E925" s="95"/>
      <c r="F925" s="85" t="str">
        <f>IF(ISERROR(HLOOKUP(D925,Data!$1:$1,1,FALSE)),"PROBLEM - Scheduled time not found.","")</f>
        <v/>
      </c>
    </row>
    <row r="926" spans="1:6" x14ac:dyDescent="0.25">
      <c r="A926" s="84" t="str">
        <f t="shared" si="14"/>
        <v>__</v>
      </c>
      <c r="B926" s="93"/>
      <c r="C926" s="93"/>
      <c r="D926" s="94"/>
      <c r="E926" s="95"/>
      <c r="F926" s="85" t="str">
        <f>IF(ISERROR(HLOOKUP(D926,Data!$1:$1,1,FALSE)),"PROBLEM - Scheduled time not found.","")</f>
        <v/>
      </c>
    </row>
    <row r="927" spans="1:6" x14ac:dyDescent="0.25">
      <c r="A927" s="84" t="str">
        <f t="shared" si="14"/>
        <v>__</v>
      </c>
      <c r="B927" s="93"/>
      <c r="C927" s="93"/>
      <c r="D927" s="94"/>
      <c r="E927" s="95"/>
      <c r="F927" s="85" t="str">
        <f>IF(ISERROR(HLOOKUP(D927,Data!$1:$1,1,FALSE)),"PROBLEM - Scheduled time not found.","")</f>
        <v/>
      </c>
    </row>
    <row r="928" spans="1:6" x14ac:dyDescent="0.25">
      <c r="A928" s="84" t="str">
        <f t="shared" si="14"/>
        <v>__</v>
      </c>
      <c r="B928" s="93"/>
      <c r="C928" s="93"/>
      <c r="D928" s="94"/>
      <c r="E928" s="95"/>
      <c r="F928" s="85" t="str">
        <f>IF(ISERROR(HLOOKUP(D928,Data!$1:$1,1,FALSE)),"PROBLEM - Scheduled time not found.","")</f>
        <v/>
      </c>
    </row>
    <row r="929" spans="1:6" x14ac:dyDescent="0.25">
      <c r="A929" s="84" t="str">
        <f t="shared" si="14"/>
        <v>__</v>
      </c>
      <c r="B929" s="93"/>
      <c r="C929" s="93"/>
      <c r="D929" s="94"/>
      <c r="E929" s="95"/>
      <c r="F929" s="85" t="str">
        <f>IF(ISERROR(HLOOKUP(D929,Data!$1:$1,1,FALSE)),"PROBLEM - Scheduled time not found.","")</f>
        <v/>
      </c>
    </row>
    <row r="930" spans="1:6" x14ac:dyDescent="0.25">
      <c r="A930" s="84" t="str">
        <f t="shared" si="14"/>
        <v>__</v>
      </c>
      <c r="B930" s="93"/>
      <c r="C930" s="93"/>
      <c r="D930" s="94"/>
      <c r="E930" s="95"/>
      <c r="F930" s="85" t="str">
        <f>IF(ISERROR(HLOOKUP(D930,Data!$1:$1,1,FALSE)),"PROBLEM - Scheduled time not found.","")</f>
        <v/>
      </c>
    </row>
    <row r="931" spans="1:6" x14ac:dyDescent="0.25">
      <c r="A931" s="84" t="str">
        <f t="shared" si="14"/>
        <v>__</v>
      </c>
      <c r="B931" s="93"/>
      <c r="C931" s="93"/>
      <c r="D931" s="94"/>
      <c r="E931" s="95"/>
      <c r="F931" s="85" t="str">
        <f>IF(ISERROR(HLOOKUP(D931,Data!$1:$1,1,FALSE)),"PROBLEM - Scheduled time not found.","")</f>
        <v/>
      </c>
    </row>
    <row r="932" spans="1:6" x14ac:dyDescent="0.25">
      <c r="A932" s="84" t="str">
        <f t="shared" si="14"/>
        <v>__</v>
      </c>
      <c r="B932" s="93"/>
      <c r="C932" s="93"/>
      <c r="D932" s="94"/>
      <c r="E932" s="95"/>
      <c r="F932" s="85" t="str">
        <f>IF(ISERROR(HLOOKUP(D932,Data!$1:$1,1,FALSE)),"PROBLEM - Scheduled time not found.","")</f>
        <v/>
      </c>
    </row>
    <row r="933" spans="1:6" x14ac:dyDescent="0.25">
      <c r="A933" s="84" t="str">
        <f t="shared" si="14"/>
        <v>__</v>
      </c>
      <c r="B933" s="93"/>
      <c r="C933" s="93"/>
      <c r="D933" s="94"/>
      <c r="E933" s="95"/>
      <c r="F933" s="85" t="str">
        <f>IF(ISERROR(HLOOKUP(D933,Data!$1:$1,1,FALSE)),"PROBLEM - Scheduled time not found.","")</f>
        <v/>
      </c>
    </row>
    <row r="934" spans="1:6" x14ac:dyDescent="0.25">
      <c r="A934" s="84" t="str">
        <f t="shared" si="14"/>
        <v>__</v>
      </c>
      <c r="B934" s="93"/>
      <c r="C934" s="93"/>
      <c r="D934" s="94"/>
      <c r="E934" s="95"/>
      <c r="F934" s="85" t="str">
        <f>IF(ISERROR(HLOOKUP(D934,Data!$1:$1,1,FALSE)),"PROBLEM - Scheduled time not found.","")</f>
        <v/>
      </c>
    </row>
    <row r="935" spans="1:6" x14ac:dyDescent="0.25">
      <c r="A935" s="84" t="str">
        <f t="shared" si="14"/>
        <v>__</v>
      </c>
      <c r="B935" s="93"/>
      <c r="C935" s="93"/>
      <c r="D935" s="94"/>
      <c r="E935" s="95"/>
      <c r="F935" s="85" t="str">
        <f>IF(ISERROR(HLOOKUP(D935,Data!$1:$1,1,FALSE)),"PROBLEM - Scheduled time not found.","")</f>
        <v/>
      </c>
    </row>
    <row r="936" spans="1:6" x14ac:dyDescent="0.25">
      <c r="A936" s="84" t="str">
        <f t="shared" si="14"/>
        <v>__</v>
      </c>
      <c r="B936" s="93"/>
      <c r="C936" s="93"/>
      <c r="D936" s="94"/>
      <c r="E936" s="95"/>
      <c r="F936" s="85" t="str">
        <f>IF(ISERROR(HLOOKUP(D936,Data!$1:$1,1,FALSE)),"PROBLEM - Scheduled time not found.","")</f>
        <v/>
      </c>
    </row>
    <row r="937" spans="1:6" x14ac:dyDescent="0.25">
      <c r="A937" s="84" t="str">
        <f t="shared" si="14"/>
        <v>__</v>
      </c>
      <c r="B937" s="93"/>
      <c r="C937" s="93"/>
      <c r="D937" s="94"/>
      <c r="E937" s="95"/>
      <c r="F937" s="85" t="str">
        <f>IF(ISERROR(HLOOKUP(D937,Data!$1:$1,1,FALSE)),"PROBLEM - Scheduled time not found.","")</f>
        <v/>
      </c>
    </row>
    <row r="938" spans="1:6" x14ac:dyDescent="0.25">
      <c r="A938" s="84" t="str">
        <f t="shared" si="14"/>
        <v>__</v>
      </c>
      <c r="B938" s="93"/>
      <c r="C938" s="93"/>
      <c r="D938" s="94"/>
      <c r="E938" s="95"/>
      <c r="F938" s="85" t="str">
        <f>IF(ISERROR(HLOOKUP(D938,Data!$1:$1,1,FALSE)),"PROBLEM - Scheduled time not found.","")</f>
        <v/>
      </c>
    </row>
    <row r="939" spans="1:6" x14ac:dyDescent="0.25">
      <c r="A939" s="84" t="str">
        <f t="shared" si="14"/>
        <v>__</v>
      </c>
      <c r="B939" s="93"/>
      <c r="C939" s="93"/>
      <c r="D939" s="94"/>
      <c r="E939" s="95"/>
      <c r="F939" s="85" t="str">
        <f>IF(ISERROR(HLOOKUP(D939,Data!$1:$1,1,FALSE)),"PROBLEM - Scheduled time not found.","")</f>
        <v/>
      </c>
    </row>
    <row r="940" spans="1:6" x14ac:dyDescent="0.25">
      <c r="A940" s="84" t="str">
        <f t="shared" si="14"/>
        <v>__</v>
      </c>
      <c r="B940" s="93"/>
      <c r="C940" s="93"/>
      <c r="D940" s="94"/>
      <c r="E940" s="95"/>
      <c r="F940" s="85" t="str">
        <f>IF(ISERROR(HLOOKUP(D940,Data!$1:$1,1,FALSE)),"PROBLEM - Scheduled time not found.","")</f>
        <v/>
      </c>
    </row>
    <row r="941" spans="1:6" x14ac:dyDescent="0.25">
      <c r="A941" s="84" t="str">
        <f t="shared" si="14"/>
        <v>__</v>
      </c>
      <c r="B941" s="93"/>
      <c r="C941" s="93"/>
      <c r="D941" s="94"/>
      <c r="E941" s="95"/>
      <c r="F941" s="85" t="str">
        <f>IF(ISERROR(HLOOKUP(D941,Data!$1:$1,1,FALSE)),"PROBLEM - Scheduled time not found.","")</f>
        <v/>
      </c>
    </row>
    <row r="942" spans="1:6" x14ac:dyDescent="0.25">
      <c r="A942" s="84" t="str">
        <f t="shared" si="14"/>
        <v>__</v>
      </c>
      <c r="B942" s="93"/>
      <c r="C942" s="93"/>
      <c r="D942" s="94"/>
      <c r="E942" s="95"/>
      <c r="F942" s="85" t="str">
        <f>IF(ISERROR(HLOOKUP(D942,Data!$1:$1,1,FALSE)),"PROBLEM - Scheduled time not found.","")</f>
        <v/>
      </c>
    </row>
    <row r="943" spans="1:6" x14ac:dyDescent="0.25">
      <c r="A943" s="84" t="str">
        <f t="shared" si="14"/>
        <v>__</v>
      </c>
      <c r="B943" s="93"/>
      <c r="C943" s="93"/>
      <c r="D943" s="94"/>
      <c r="E943" s="95"/>
      <c r="F943" s="85" t="str">
        <f>IF(ISERROR(HLOOKUP(D943,Data!$1:$1,1,FALSE)),"PROBLEM - Scheduled time not found.","")</f>
        <v/>
      </c>
    </row>
    <row r="944" spans="1:6" x14ac:dyDescent="0.25">
      <c r="A944" s="84" t="str">
        <f t="shared" si="14"/>
        <v>__</v>
      </c>
      <c r="B944" s="93"/>
      <c r="C944" s="93"/>
      <c r="D944" s="94"/>
      <c r="E944" s="95"/>
      <c r="F944" s="85" t="str">
        <f>IF(ISERROR(HLOOKUP(D944,Data!$1:$1,1,FALSE)),"PROBLEM - Scheduled time not found.","")</f>
        <v/>
      </c>
    </row>
    <row r="945" spans="1:6" x14ac:dyDescent="0.25">
      <c r="A945" s="84" t="str">
        <f t="shared" si="14"/>
        <v>__</v>
      </c>
      <c r="B945" s="93"/>
      <c r="C945" s="93"/>
      <c r="D945" s="94"/>
      <c r="E945" s="95"/>
      <c r="F945" s="85" t="str">
        <f>IF(ISERROR(HLOOKUP(D945,Data!$1:$1,1,FALSE)),"PROBLEM - Scheduled time not found.","")</f>
        <v/>
      </c>
    </row>
    <row r="946" spans="1:6" x14ac:dyDescent="0.25">
      <c r="A946" s="84" t="str">
        <f t="shared" si="14"/>
        <v>__</v>
      </c>
      <c r="B946" s="93"/>
      <c r="C946" s="93"/>
      <c r="D946" s="94"/>
      <c r="E946" s="95"/>
      <c r="F946" s="85" t="str">
        <f>IF(ISERROR(HLOOKUP(D946,Data!$1:$1,1,FALSE)),"PROBLEM - Scheduled time not found.","")</f>
        <v/>
      </c>
    </row>
    <row r="947" spans="1:6" x14ac:dyDescent="0.25">
      <c r="A947" s="84" t="str">
        <f t="shared" si="14"/>
        <v>__</v>
      </c>
      <c r="B947" s="93"/>
      <c r="C947" s="93"/>
      <c r="D947" s="94"/>
      <c r="E947" s="95"/>
      <c r="F947" s="85" t="str">
        <f>IF(ISERROR(HLOOKUP(D947,Data!$1:$1,1,FALSE)),"PROBLEM - Scheduled time not found.","")</f>
        <v/>
      </c>
    </row>
    <row r="948" spans="1:6" x14ac:dyDescent="0.25">
      <c r="A948" s="84" t="str">
        <f t="shared" si="14"/>
        <v>__</v>
      </c>
      <c r="B948" s="93"/>
      <c r="C948" s="93"/>
      <c r="D948" s="94"/>
      <c r="E948" s="95"/>
      <c r="F948" s="85" t="str">
        <f>IF(ISERROR(HLOOKUP(D948,Data!$1:$1,1,FALSE)),"PROBLEM - Scheduled time not found.","")</f>
        <v/>
      </c>
    </row>
    <row r="949" spans="1:6" x14ac:dyDescent="0.25">
      <c r="A949" s="84" t="str">
        <f t="shared" si="14"/>
        <v>__</v>
      </c>
      <c r="B949" s="93"/>
      <c r="C949" s="93"/>
      <c r="D949" s="94"/>
      <c r="E949" s="95"/>
      <c r="F949" s="85" t="str">
        <f>IF(ISERROR(HLOOKUP(D949,Data!$1:$1,1,FALSE)),"PROBLEM - Scheduled time not found.","")</f>
        <v/>
      </c>
    </row>
    <row r="950" spans="1:6" x14ac:dyDescent="0.25">
      <c r="A950" s="84" t="str">
        <f t="shared" si="14"/>
        <v>__</v>
      </c>
      <c r="B950" s="93"/>
      <c r="C950" s="93"/>
      <c r="D950" s="94"/>
      <c r="E950" s="95"/>
      <c r="F950" s="85" t="str">
        <f>IF(ISERROR(HLOOKUP(D950,Data!$1:$1,1,FALSE)),"PROBLEM - Scheduled time not found.","")</f>
        <v/>
      </c>
    </row>
    <row r="951" spans="1:6" x14ac:dyDescent="0.25">
      <c r="A951" s="84" t="str">
        <f t="shared" si="14"/>
        <v>__</v>
      </c>
      <c r="B951" s="93"/>
      <c r="C951" s="93"/>
      <c r="D951" s="94"/>
      <c r="E951" s="95"/>
      <c r="F951" s="85" t="str">
        <f>IF(ISERROR(HLOOKUP(D951,Data!$1:$1,1,FALSE)),"PROBLEM - Scheduled time not found.","")</f>
        <v/>
      </c>
    </row>
    <row r="952" spans="1:6" x14ac:dyDescent="0.25">
      <c r="A952" s="84" t="str">
        <f t="shared" si="14"/>
        <v>__</v>
      </c>
      <c r="B952" s="93"/>
      <c r="C952" s="93"/>
      <c r="D952" s="94"/>
      <c r="E952" s="95"/>
      <c r="F952" s="85" t="str">
        <f>IF(ISERROR(HLOOKUP(D952,Data!$1:$1,1,FALSE)),"PROBLEM - Scheduled time not found.","")</f>
        <v/>
      </c>
    </row>
    <row r="953" spans="1:6" x14ac:dyDescent="0.25">
      <c r="A953" s="84" t="str">
        <f t="shared" si="14"/>
        <v>__</v>
      </c>
      <c r="B953" s="93"/>
      <c r="C953" s="93"/>
      <c r="D953" s="94"/>
      <c r="E953" s="95"/>
      <c r="F953" s="85" t="str">
        <f>IF(ISERROR(HLOOKUP(D953,Data!$1:$1,1,FALSE)),"PROBLEM - Scheduled time not found.","")</f>
        <v/>
      </c>
    </row>
    <row r="954" spans="1:6" x14ac:dyDescent="0.25">
      <c r="A954" s="84" t="str">
        <f t="shared" si="14"/>
        <v>__</v>
      </c>
      <c r="B954" s="93"/>
      <c r="C954" s="93"/>
      <c r="D954" s="94"/>
      <c r="E954" s="95"/>
      <c r="F954" s="85" t="str">
        <f>IF(ISERROR(HLOOKUP(D954,Data!$1:$1,1,FALSE)),"PROBLEM - Scheduled time not found.","")</f>
        <v/>
      </c>
    </row>
    <row r="955" spans="1:6" x14ac:dyDescent="0.25">
      <c r="A955" s="84" t="str">
        <f t="shared" si="14"/>
        <v>__</v>
      </c>
      <c r="B955" s="93"/>
      <c r="C955" s="93"/>
      <c r="D955" s="94"/>
      <c r="E955" s="95"/>
      <c r="F955" s="85" t="str">
        <f>IF(ISERROR(HLOOKUP(D955,Data!$1:$1,1,FALSE)),"PROBLEM - Scheduled time not found.","")</f>
        <v/>
      </c>
    </row>
    <row r="956" spans="1:6" x14ac:dyDescent="0.25">
      <c r="A956" s="84" t="str">
        <f t="shared" si="14"/>
        <v>__</v>
      </c>
      <c r="B956" s="93"/>
      <c r="C956" s="93"/>
      <c r="D956" s="94"/>
      <c r="E956" s="95"/>
      <c r="F956" s="85" t="str">
        <f>IF(ISERROR(HLOOKUP(D956,Data!$1:$1,1,FALSE)),"PROBLEM - Scheduled time not found.","")</f>
        <v/>
      </c>
    </row>
    <row r="957" spans="1:6" x14ac:dyDescent="0.25">
      <c r="A957" s="84" t="str">
        <f t="shared" si="14"/>
        <v>__</v>
      </c>
      <c r="B957" s="93"/>
      <c r="C957" s="93"/>
      <c r="D957" s="94"/>
      <c r="E957" s="95"/>
      <c r="F957" s="85" t="str">
        <f>IF(ISERROR(HLOOKUP(D957,Data!$1:$1,1,FALSE)),"PROBLEM - Scheduled time not found.","")</f>
        <v/>
      </c>
    </row>
    <row r="958" spans="1:6" x14ac:dyDescent="0.25">
      <c r="A958" s="84" t="str">
        <f t="shared" si="14"/>
        <v>__</v>
      </c>
      <c r="B958" s="93"/>
      <c r="C958" s="93"/>
      <c r="D958" s="94"/>
      <c r="E958" s="95"/>
      <c r="F958" s="85" t="str">
        <f>IF(ISERROR(HLOOKUP(D958,Data!$1:$1,1,FALSE)),"PROBLEM - Scheduled time not found.","")</f>
        <v/>
      </c>
    </row>
    <row r="959" spans="1:6" x14ac:dyDescent="0.25">
      <c r="A959" s="84" t="str">
        <f t="shared" si="14"/>
        <v>__</v>
      </c>
      <c r="B959" s="93"/>
      <c r="C959" s="93"/>
      <c r="D959" s="94"/>
      <c r="E959" s="95"/>
      <c r="F959" s="85" t="str">
        <f>IF(ISERROR(HLOOKUP(D959,Data!$1:$1,1,FALSE)),"PROBLEM - Scheduled time not found.","")</f>
        <v/>
      </c>
    </row>
    <row r="960" spans="1:6" x14ac:dyDescent="0.25">
      <c r="A960" s="84" t="str">
        <f t="shared" si="14"/>
        <v>__</v>
      </c>
      <c r="B960" s="93"/>
      <c r="C960" s="93"/>
      <c r="D960" s="94"/>
      <c r="E960" s="95"/>
      <c r="F960" s="85" t="str">
        <f>IF(ISERROR(HLOOKUP(D960,Data!$1:$1,1,FALSE)),"PROBLEM - Scheduled time not found.","")</f>
        <v/>
      </c>
    </row>
    <row r="961" spans="1:6" x14ac:dyDescent="0.25">
      <c r="A961" s="84" t="str">
        <f t="shared" si="14"/>
        <v>__</v>
      </c>
      <c r="B961" s="93"/>
      <c r="C961" s="93"/>
      <c r="D961" s="94"/>
      <c r="E961" s="95"/>
      <c r="F961" s="85" t="str">
        <f>IF(ISERROR(HLOOKUP(D961,Data!$1:$1,1,FALSE)),"PROBLEM - Scheduled time not found.","")</f>
        <v/>
      </c>
    </row>
    <row r="962" spans="1:6" x14ac:dyDescent="0.25">
      <c r="A962" s="84" t="str">
        <f t="shared" si="14"/>
        <v>__</v>
      </c>
      <c r="B962" s="93"/>
      <c r="C962" s="93"/>
      <c r="D962" s="94"/>
      <c r="E962" s="95"/>
      <c r="F962" s="85" t="str">
        <f>IF(ISERROR(HLOOKUP(D962,Data!$1:$1,1,FALSE)),"PROBLEM - Scheduled time not found.","")</f>
        <v/>
      </c>
    </row>
    <row r="963" spans="1:6" x14ac:dyDescent="0.25">
      <c r="A963" s="84" t="str">
        <f t="shared" ref="A963:A1026" si="15">B963&amp;"_"&amp;C963&amp;"_"&amp;D963</f>
        <v>__</v>
      </c>
      <c r="B963" s="93"/>
      <c r="C963" s="93"/>
      <c r="D963" s="94"/>
      <c r="E963" s="95"/>
      <c r="F963" s="85" t="str">
        <f>IF(ISERROR(HLOOKUP(D963,Data!$1:$1,1,FALSE)),"PROBLEM - Scheduled time not found.","")</f>
        <v/>
      </c>
    </row>
    <row r="964" spans="1:6" x14ac:dyDescent="0.25">
      <c r="A964" s="84" t="str">
        <f t="shared" si="15"/>
        <v>__</v>
      </c>
      <c r="B964" s="93"/>
      <c r="C964" s="93"/>
      <c r="D964" s="94"/>
      <c r="E964" s="95"/>
      <c r="F964" s="85" t="str">
        <f>IF(ISERROR(HLOOKUP(D964,Data!$1:$1,1,FALSE)),"PROBLEM - Scheduled time not found.","")</f>
        <v/>
      </c>
    </row>
    <row r="965" spans="1:6" x14ac:dyDescent="0.25">
      <c r="A965" s="84" t="str">
        <f t="shared" si="15"/>
        <v>__</v>
      </c>
      <c r="B965" s="93"/>
      <c r="C965" s="93"/>
      <c r="D965" s="94"/>
      <c r="E965" s="95"/>
      <c r="F965" s="85" t="str">
        <f>IF(ISERROR(HLOOKUP(D965,Data!$1:$1,1,FALSE)),"PROBLEM - Scheduled time not found.","")</f>
        <v/>
      </c>
    </row>
    <row r="966" spans="1:6" x14ac:dyDescent="0.25">
      <c r="A966" s="84" t="str">
        <f t="shared" si="15"/>
        <v>__</v>
      </c>
      <c r="B966" s="93"/>
      <c r="C966" s="93"/>
      <c r="D966" s="94"/>
      <c r="E966" s="95"/>
      <c r="F966" s="85" t="str">
        <f>IF(ISERROR(HLOOKUP(D966,Data!$1:$1,1,FALSE)),"PROBLEM - Scheduled time not found.","")</f>
        <v/>
      </c>
    </row>
    <row r="967" spans="1:6" x14ac:dyDescent="0.25">
      <c r="A967" s="84" t="str">
        <f t="shared" si="15"/>
        <v>__</v>
      </c>
      <c r="B967" s="93"/>
      <c r="C967" s="93"/>
      <c r="D967" s="94"/>
      <c r="E967" s="95"/>
      <c r="F967" s="85" t="str">
        <f>IF(ISERROR(HLOOKUP(D967,Data!$1:$1,1,FALSE)),"PROBLEM - Scheduled time not found.","")</f>
        <v/>
      </c>
    </row>
    <row r="968" spans="1:6" x14ac:dyDescent="0.25">
      <c r="A968" s="84" t="str">
        <f t="shared" si="15"/>
        <v>__</v>
      </c>
      <c r="B968" s="93"/>
      <c r="C968" s="93"/>
      <c r="D968" s="94"/>
      <c r="E968" s="95"/>
      <c r="F968" s="85" t="str">
        <f>IF(ISERROR(HLOOKUP(D968,Data!$1:$1,1,FALSE)),"PROBLEM - Scheduled time not found.","")</f>
        <v/>
      </c>
    </row>
    <row r="969" spans="1:6" x14ac:dyDescent="0.25">
      <c r="A969" s="84" t="str">
        <f t="shared" si="15"/>
        <v>__</v>
      </c>
      <c r="B969" s="93"/>
      <c r="C969" s="93"/>
      <c r="D969" s="94"/>
      <c r="E969" s="95"/>
      <c r="F969" s="85" t="str">
        <f>IF(ISERROR(HLOOKUP(D969,Data!$1:$1,1,FALSE)),"PROBLEM - Scheduled time not found.","")</f>
        <v/>
      </c>
    </row>
    <row r="970" spans="1:6" x14ac:dyDescent="0.25">
      <c r="A970" s="84" t="str">
        <f t="shared" si="15"/>
        <v>__</v>
      </c>
      <c r="B970" s="93"/>
      <c r="C970" s="93"/>
      <c r="D970" s="94"/>
      <c r="E970" s="95"/>
      <c r="F970" s="85" t="str">
        <f>IF(ISERROR(HLOOKUP(D970,Data!$1:$1,1,FALSE)),"PROBLEM - Scheduled time not found.","")</f>
        <v/>
      </c>
    </row>
    <row r="971" spans="1:6" x14ac:dyDescent="0.25">
      <c r="A971" s="84" t="str">
        <f t="shared" si="15"/>
        <v>__</v>
      </c>
      <c r="B971" s="93"/>
      <c r="C971" s="93"/>
      <c r="D971" s="94"/>
      <c r="E971" s="95"/>
      <c r="F971" s="85" t="str">
        <f>IF(ISERROR(HLOOKUP(D971,Data!$1:$1,1,FALSE)),"PROBLEM - Scheduled time not found.","")</f>
        <v/>
      </c>
    </row>
    <row r="972" spans="1:6" x14ac:dyDescent="0.25">
      <c r="A972" s="84" t="str">
        <f t="shared" si="15"/>
        <v>__</v>
      </c>
      <c r="B972" s="93"/>
      <c r="C972" s="93"/>
      <c r="D972" s="94"/>
      <c r="E972" s="95"/>
      <c r="F972" s="85" t="str">
        <f>IF(ISERROR(HLOOKUP(D972,Data!$1:$1,1,FALSE)),"PROBLEM - Scheduled time not found.","")</f>
        <v/>
      </c>
    </row>
    <row r="973" spans="1:6" x14ac:dyDescent="0.25">
      <c r="A973" s="84" t="str">
        <f t="shared" si="15"/>
        <v>__</v>
      </c>
      <c r="B973" s="93"/>
      <c r="C973" s="93"/>
      <c r="D973" s="94"/>
      <c r="E973" s="95"/>
      <c r="F973" s="85" t="str">
        <f>IF(ISERROR(HLOOKUP(D973,Data!$1:$1,1,FALSE)),"PROBLEM - Scheduled time not found.","")</f>
        <v/>
      </c>
    </row>
    <row r="974" spans="1:6" x14ac:dyDescent="0.25">
      <c r="A974" s="84" t="str">
        <f t="shared" si="15"/>
        <v>__</v>
      </c>
      <c r="B974" s="93"/>
      <c r="C974" s="93"/>
      <c r="D974" s="94"/>
      <c r="E974" s="95"/>
      <c r="F974" s="85" t="str">
        <f>IF(ISERROR(HLOOKUP(D974,Data!$1:$1,1,FALSE)),"PROBLEM - Scheduled time not found.","")</f>
        <v/>
      </c>
    </row>
    <row r="975" spans="1:6" x14ac:dyDescent="0.25">
      <c r="A975" s="84" t="str">
        <f t="shared" si="15"/>
        <v>__</v>
      </c>
      <c r="B975" s="93"/>
      <c r="C975" s="93"/>
      <c r="D975" s="94"/>
      <c r="E975" s="95"/>
      <c r="F975" s="85" t="str">
        <f>IF(ISERROR(HLOOKUP(D975,Data!$1:$1,1,FALSE)),"PROBLEM - Scheduled time not found.","")</f>
        <v/>
      </c>
    </row>
    <row r="976" spans="1:6" x14ac:dyDescent="0.25">
      <c r="A976" s="84" t="str">
        <f t="shared" si="15"/>
        <v>__</v>
      </c>
      <c r="B976" s="93"/>
      <c r="C976" s="93"/>
      <c r="D976" s="94"/>
      <c r="E976" s="95"/>
      <c r="F976" s="85" t="str">
        <f>IF(ISERROR(HLOOKUP(D976,Data!$1:$1,1,FALSE)),"PROBLEM - Scheduled time not found.","")</f>
        <v/>
      </c>
    </row>
    <row r="977" spans="1:6" x14ac:dyDescent="0.25">
      <c r="A977" s="84" t="str">
        <f t="shared" si="15"/>
        <v>__</v>
      </c>
      <c r="B977" s="93"/>
      <c r="C977" s="93"/>
      <c r="D977" s="94"/>
      <c r="E977" s="95"/>
      <c r="F977" s="85" t="str">
        <f>IF(ISERROR(HLOOKUP(D977,Data!$1:$1,1,FALSE)),"PROBLEM - Scheduled time not found.","")</f>
        <v/>
      </c>
    </row>
    <row r="978" spans="1:6" x14ac:dyDescent="0.25">
      <c r="A978" s="84" t="str">
        <f t="shared" si="15"/>
        <v>__</v>
      </c>
      <c r="B978" s="93"/>
      <c r="C978" s="93"/>
      <c r="D978" s="94"/>
      <c r="E978" s="95"/>
      <c r="F978" s="85" t="str">
        <f>IF(ISERROR(HLOOKUP(D978,Data!$1:$1,1,FALSE)),"PROBLEM - Scheduled time not found.","")</f>
        <v/>
      </c>
    </row>
    <row r="979" spans="1:6" x14ac:dyDescent="0.25">
      <c r="A979" s="84" t="str">
        <f t="shared" si="15"/>
        <v>__</v>
      </c>
      <c r="B979" s="93"/>
      <c r="C979" s="93"/>
      <c r="D979" s="94"/>
      <c r="E979" s="95"/>
      <c r="F979" s="85" t="str">
        <f>IF(ISERROR(HLOOKUP(D979,Data!$1:$1,1,FALSE)),"PROBLEM - Scheduled time not found.","")</f>
        <v/>
      </c>
    </row>
    <row r="980" spans="1:6" x14ac:dyDescent="0.25">
      <c r="A980" s="84" t="str">
        <f t="shared" si="15"/>
        <v>__</v>
      </c>
      <c r="B980" s="93"/>
      <c r="C980" s="93"/>
      <c r="D980" s="94"/>
      <c r="E980" s="95"/>
      <c r="F980" s="85" t="str">
        <f>IF(ISERROR(HLOOKUP(D980,Data!$1:$1,1,FALSE)),"PROBLEM - Scheduled time not found.","")</f>
        <v/>
      </c>
    </row>
    <row r="981" spans="1:6" x14ac:dyDescent="0.25">
      <c r="A981" s="84" t="str">
        <f t="shared" si="15"/>
        <v>__</v>
      </c>
      <c r="B981" s="93"/>
      <c r="C981" s="93"/>
      <c r="D981" s="94"/>
      <c r="E981" s="95"/>
      <c r="F981" s="85" t="str">
        <f>IF(ISERROR(HLOOKUP(D981,Data!$1:$1,1,FALSE)),"PROBLEM - Scheduled time not found.","")</f>
        <v/>
      </c>
    </row>
    <row r="982" spans="1:6" x14ac:dyDescent="0.25">
      <c r="A982" s="84" t="str">
        <f t="shared" si="15"/>
        <v>__</v>
      </c>
      <c r="B982" s="93"/>
      <c r="C982" s="93"/>
      <c r="D982" s="94"/>
      <c r="E982" s="95"/>
      <c r="F982" s="85" t="str">
        <f>IF(ISERROR(HLOOKUP(D982,Data!$1:$1,1,FALSE)),"PROBLEM - Scheduled time not found.","")</f>
        <v/>
      </c>
    </row>
    <row r="983" spans="1:6" x14ac:dyDescent="0.25">
      <c r="A983" s="84" t="str">
        <f t="shared" si="15"/>
        <v>__</v>
      </c>
      <c r="B983" s="93"/>
      <c r="C983" s="93"/>
      <c r="D983" s="94"/>
      <c r="E983" s="95"/>
      <c r="F983" s="85" t="str">
        <f>IF(ISERROR(HLOOKUP(D983,Data!$1:$1,1,FALSE)),"PROBLEM - Scheduled time not found.","")</f>
        <v/>
      </c>
    </row>
    <row r="984" spans="1:6" x14ac:dyDescent="0.25">
      <c r="A984" s="84" t="str">
        <f t="shared" si="15"/>
        <v>__</v>
      </c>
      <c r="B984" s="93"/>
      <c r="C984" s="93"/>
      <c r="D984" s="94"/>
      <c r="E984" s="95"/>
      <c r="F984" s="85" t="str">
        <f>IF(ISERROR(HLOOKUP(D984,Data!$1:$1,1,FALSE)),"PROBLEM - Scheduled time not found.","")</f>
        <v/>
      </c>
    </row>
    <row r="985" spans="1:6" x14ac:dyDescent="0.25">
      <c r="A985" s="84" t="str">
        <f t="shared" si="15"/>
        <v>__</v>
      </c>
      <c r="B985" s="93"/>
      <c r="C985" s="93"/>
      <c r="D985" s="94"/>
      <c r="E985" s="95"/>
      <c r="F985" s="85" t="str">
        <f>IF(ISERROR(HLOOKUP(D985,Data!$1:$1,1,FALSE)),"PROBLEM - Scheduled time not found.","")</f>
        <v/>
      </c>
    </row>
    <row r="986" spans="1:6" x14ac:dyDescent="0.25">
      <c r="A986" s="84" t="str">
        <f t="shared" si="15"/>
        <v>__</v>
      </c>
      <c r="B986" s="93"/>
      <c r="C986" s="93"/>
      <c r="D986" s="94"/>
      <c r="E986" s="95"/>
      <c r="F986" s="85" t="str">
        <f>IF(ISERROR(HLOOKUP(D986,Data!$1:$1,1,FALSE)),"PROBLEM - Scheduled time not found.","")</f>
        <v/>
      </c>
    </row>
    <row r="987" spans="1:6" x14ac:dyDescent="0.25">
      <c r="A987" s="84" t="str">
        <f t="shared" si="15"/>
        <v>__</v>
      </c>
      <c r="B987" s="93"/>
      <c r="C987" s="93"/>
      <c r="D987" s="94"/>
      <c r="E987" s="95"/>
      <c r="F987" s="85" t="str">
        <f>IF(ISERROR(HLOOKUP(D987,Data!$1:$1,1,FALSE)),"PROBLEM - Scheduled time not found.","")</f>
        <v/>
      </c>
    </row>
    <row r="988" spans="1:6" x14ac:dyDescent="0.25">
      <c r="A988" s="84" t="str">
        <f t="shared" si="15"/>
        <v>__</v>
      </c>
      <c r="B988" s="93"/>
      <c r="C988" s="93"/>
      <c r="D988" s="94"/>
      <c r="E988" s="95"/>
      <c r="F988" s="85" t="str">
        <f>IF(ISERROR(HLOOKUP(D988,Data!$1:$1,1,FALSE)),"PROBLEM - Scheduled time not found.","")</f>
        <v/>
      </c>
    </row>
    <row r="989" spans="1:6" x14ac:dyDescent="0.25">
      <c r="A989" s="84" t="str">
        <f t="shared" si="15"/>
        <v>__</v>
      </c>
      <c r="B989" s="93"/>
      <c r="C989" s="93"/>
      <c r="D989" s="94"/>
      <c r="E989" s="95"/>
      <c r="F989" s="85" t="str">
        <f>IF(ISERROR(HLOOKUP(D989,Data!$1:$1,1,FALSE)),"PROBLEM - Scheduled time not found.","")</f>
        <v/>
      </c>
    </row>
    <row r="990" spans="1:6" x14ac:dyDescent="0.25">
      <c r="A990" s="84" t="str">
        <f t="shared" si="15"/>
        <v>__</v>
      </c>
      <c r="B990" s="93"/>
      <c r="C990" s="93"/>
      <c r="D990" s="94"/>
      <c r="E990" s="95"/>
      <c r="F990" s="85" t="str">
        <f>IF(ISERROR(HLOOKUP(D990,Data!$1:$1,1,FALSE)),"PROBLEM - Scheduled time not found.","")</f>
        <v/>
      </c>
    </row>
    <row r="991" spans="1:6" x14ac:dyDescent="0.25">
      <c r="A991" s="84" t="str">
        <f t="shared" si="15"/>
        <v>__</v>
      </c>
      <c r="B991" s="93"/>
      <c r="C991" s="93"/>
      <c r="D991" s="94"/>
      <c r="E991" s="95"/>
      <c r="F991" s="85" t="str">
        <f>IF(ISERROR(HLOOKUP(D991,Data!$1:$1,1,FALSE)),"PROBLEM - Scheduled time not found.","")</f>
        <v/>
      </c>
    </row>
    <row r="992" spans="1:6" x14ac:dyDescent="0.25">
      <c r="A992" s="84" t="str">
        <f t="shared" si="15"/>
        <v>__</v>
      </c>
      <c r="B992" s="93"/>
      <c r="C992" s="93"/>
      <c r="D992" s="94"/>
      <c r="E992" s="95"/>
      <c r="F992" s="85" t="str">
        <f>IF(ISERROR(HLOOKUP(D992,Data!$1:$1,1,FALSE)),"PROBLEM - Scheduled time not found.","")</f>
        <v/>
      </c>
    </row>
    <row r="993" spans="1:6" x14ac:dyDescent="0.25">
      <c r="A993" s="84" t="str">
        <f t="shared" si="15"/>
        <v>__</v>
      </c>
      <c r="B993" s="93"/>
      <c r="C993" s="93"/>
      <c r="D993" s="94"/>
      <c r="E993" s="95"/>
      <c r="F993" s="85" t="str">
        <f>IF(ISERROR(HLOOKUP(D993,Data!$1:$1,1,FALSE)),"PROBLEM - Scheduled time not found.","")</f>
        <v/>
      </c>
    </row>
    <row r="994" spans="1:6" x14ac:dyDescent="0.25">
      <c r="A994" s="84" t="str">
        <f t="shared" si="15"/>
        <v>__</v>
      </c>
      <c r="B994" s="93"/>
      <c r="C994" s="93"/>
      <c r="D994" s="94"/>
      <c r="E994" s="95"/>
      <c r="F994" s="85" t="str">
        <f>IF(ISERROR(HLOOKUP(D994,Data!$1:$1,1,FALSE)),"PROBLEM - Scheduled time not found.","")</f>
        <v/>
      </c>
    </row>
    <row r="995" spans="1:6" x14ac:dyDescent="0.25">
      <c r="A995" s="84" t="str">
        <f t="shared" si="15"/>
        <v>__</v>
      </c>
      <c r="B995" s="93"/>
      <c r="C995" s="93"/>
      <c r="D995" s="94"/>
      <c r="E995" s="95"/>
      <c r="F995" s="85" t="str">
        <f>IF(ISERROR(HLOOKUP(D995,Data!$1:$1,1,FALSE)),"PROBLEM - Scheduled time not found.","")</f>
        <v/>
      </c>
    </row>
    <row r="996" spans="1:6" x14ac:dyDescent="0.25">
      <c r="A996" s="84" t="str">
        <f t="shared" si="15"/>
        <v>__</v>
      </c>
      <c r="B996" s="93"/>
      <c r="C996" s="93"/>
      <c r="D996" s="94"/>
      <c r="E996" s="95"/>
      <c r="F996" s="85" t="str">
        <f>IF(ISERROR(HLOOKUP(D996,Data!$1:$1,1,FALSE)),"PROBLEM - Scheduled time not found.","")</f>
        <v/>
      </c>
    </row>
    <row r="997" spans="1:6" x14ac:dyDescent="0.25">
      <c r="A997" s="84" t="str">
        <f t="shared" si="15"/>
        <v>__</v>
      </c>
      <c r="B997" s="93"/>
      <c r="C997" s="93"/>
      <c r="D997" s="94"/>
      <c r="E997" s="95"/>
      <c r="F997" s="85" t="str">
        <f>IF(ISERROR(HLOOKUP(D997,Data!$1:$1,1,FALSE)),"PROBLEM - Scheduled time not found.","")</f>
        <v/>
      </c>
    </row>
    <row r="998" spans="1:6" x14ac:dyDescent="0.25">
      <c r="A998" s="84" t="str">
        <f t="shared" si="15"/>
        <v>__</v>
      </c>
      <c r="B998" s="93"/>
      <c r="C998" s="93"/>
      <c r="D998" s="94"/>
      <c r="E998" s="95"/>
      <c r="F998" s="85" t="str">
        <f>IF(ISERROR(HLOOKUP(D998,Data!$1:$1,1,FALSE)),"PROBLEM - Scheduled time not found.","")</f>
        <v/>
      </c>
    </row>
    <row r="999" spans="1:6" x14ac:dyDescent="0.25">
      <c r="A999" s="84" t="str">
        <f t="shared" si="15"/>
        <v>__</v>
      </c>
      <c r="B999" s="93"/>
      <c r="C999" s="93"/>
      <c r="D999" s="94"/>
      <c r="E999" s="95"/>
      <c r="F999" s="85" t="str">
        <f>IF(ISERROR(HLOOKUP(D999,Data!$1:$1,1,FALSE)),"PROBLEM - Scheduled time not found.","")</f>
        <v/>
      </c>
    </row>
    <row r="1000" spans="1:6" x14ac:dyDescent="0.25">
      <c r="A1000" s="84" t="str">
        <f t="shared" si="15"/>
        <v>__</v>
      </c>
      <c r="B1000" s="93"/>
      <c r="C1000" s="93"/>
      <c r="D1000" s="94"/>
      <c r="E1000" s="95"/>
      <c r="F1000" s="85" t="str">
        <f>IF(ISERROR(HLOOKUP(D1000,Data!$1:$1,1,FALSE)),"PROBLEM - Scheduled time not found.","")</f>
        <v/>
      </c>
    </row>
    <row r="1001" spans="1:6" x14ac:dyDescent="0.25">
      <c r="A1001" s="84" t="str">
        <f t="shared" si="15"/>
        <v>__</v>
      </c>
    </row>
    <row r="1002" spans="1:6" x14ac:dyDescent="0.25">
      <c r="A1002" s="84" t="str">
        <f t="shared" si="15"/>
        <v>__</v>
      </c>
    </row>
    <row r="1003" spans="1:6" x14ac:dyDescent="0.25">
      <c r="A1003" s="84" t="str">
        <f t="shared" si="15"/>
        <v>__</v>
      </c>
    </row>
    <row r="1004" spans="1:6" x14ac:dyDescent="0.25">
      <c r="A1004" s="84" t="str">
        <f t="shared" si="15"/>
        <v>__</v>
      </c>
    </row>
    <row r="1005" spans="1:6" x14ac:dyDescent="0.25">
      <c r="A1005" s="84" t="str">
        <f t="shared" si="15"/>
        <v>__</v>
      </c>
    </row>
    <row r="1006" spans="1:6" x14ac:dyDescent="0.25">
      <c r="A1006" s="84" t="str">
        <f t="shared" si="15"/>
        <v>__</v>
      </c>
    </row>
    <row r="1007" spans="1:6" x14ac:dyDescent="0.25">
      <c r="A1007" s="84" t="str">
        <f t="shared" si="15"/>
        <v>__</v>
      </c>
    </row>
    <row r="1008" spans="1:6" x14ac:dyDescent="0.25">
      <c r="A1008" s="84" t="str">
        <f t="shared" si="15"/>
        <v>__</v>
      </c>
    </row>
    <row r="1009" spans="1:1" x14ac:dyDescent="0.25">
      <c r="A1009" s="84" t="str">
        <f t="shared" si="15"/>
        <v>__</v>
      </c>
    </row>
    <row r="1010" spans="1:1" x14ac:dyDescent="0.25">
      <c r="A1010" s="84" t="str">
        <f t="shared" si="15"/>
        <v>__</v>
      </c>
    </row>
    <row r="1011" spans="1:1" x14ac:dyDescent="0.25">
      <c r="A1011" s="84" t="str">
        <f t="shared" si="15"/>
        <v>__</v>
      </c>
    </row>
    <row r="1012" spans="1:1" x14ac:dyDescent="0.25">
      <c r="A1012" s="84" t="str">
        <f t="shared" si="15"/>
        <v>__</v>
      </c>
    </row>
    <row r="1013" spans="1:1" x14ac:dyDescent="0.25">
      <c r="A1013" s="84" t="str">
        <f t="shared" si="15"/>
        <v>__</v>
      </c>
    </row>
    <row r="1014" spans="1:1" x14ac:dyDescent="0.25">
      <c r="A1014" s="84" t="str">
        <f t="shared" si="15"/>
        <v>__</v>
      </c>
    </row>
    <row r="1015" spans="1:1" x14ac:dyDescent="0.25">
      <c r="A1015" s="84" t="str">
        <f t="shared" si="15"/>
        <v>__</v>
      </c>
    </row>
    <row r="1016" spans="1:1" x14ac:dyDescent="0.25">
      <c r="A1016" s="84" t="str">
        <f t="shared" si="15"/>
        <v>__</v>
      </c>
    </row>
    <row r="1017" spans="1:1" x14ac:dyDescent="0.25">
      <c r="A1017" s="84" t="str">
        <f t="shared" si="15"/>
        <v>__</v>
      </c>
    </row>
    <row r="1018" spans="1:1" x14ac:dyDescent="0.25">
      <c r="A1018" s="84" t="str">
        <f t="shared" si="15"/>
        <v>__</v>
      </c>
    </row>
    <row r="1019" spans="1:1" x14ac:dyDescent="0.25">
      <c r="A1019" s="84" t="str">
        <f t="shared" si="15"/>
        <v>__</v>
      </c>
    </row>
    <row r="1020" spans="1:1" x14ac:dyDescent="0.25">
      <c r="A1020" s="84" t="str">
        <f t="shared" si="15"/>
        <v>__</v>
      </c>
    </row>
    <row r="1021" spans="1:1" x14ac:dyDescent="0.25">
      <c r="A1021" s="84" t="str">
        <f t="shared" si="15"/>
        <v>__</v>
      </c>
    </row>
    <row r="1022" spans="1:1" x14ac:dyDescent="0.25">
      <c r="A1022" s="84" t="str">
        <f t="shared" si="15"/>
        <v>__</v>
      </c>
    </row>
    <row r="1023" spans="1:1" x14ac:dyDescent="0.25">
      <c r="A1023" s="84" t="str">
        <f t="shared" si="15"/>
        <v>__</v>
      </c>
    </row>
    <row r="1024" spans="1:1" x14ac:dyDescent="0.25">
      <c r="A1024" s="84" t="str">
        <f t="shared" si="15"/>
        <v>__</v>
      </c>
    </row>
    <row r="1025" spans="1:1" x14ac:dyDescent="0.25">
      <c r="A1025" s="84" t="str">
        <f t="shared" si="15"/>
        <v>__</v>
      </c>
    </row>
    <row r="1026" spans="1:1" x14ac:dyDescent="0.25">
      <c r="A1026" s="84" t="str">
        <f t="shared" si="15"/>
        <v>__</v>
      </c>
    </row>
    <row r="1027" spans="1:1" x14ac:dyDescent="0.25">
      <c r="A1027" s="84" t="str">
        <f t="shared" ref="A1027:A1090" si="16">B1027&amp;"_"&amp;C1027&amp;"_"&amp;D1027</f>
        <v>__</v>
      </c>
    </row>
    <row r="1028" spans="1:1" x14ac:dyDescent="0.25">
      <c r="A1028" s="84" t="str">
        <f t="shared" si="16"/>
        <v>__</v>
      </c>
    </row>
    <row r="1029" spans="1:1" x14ac:dyDescent="0.25">
      <c r="A1029" s="84" t="str">
        <f t="shared" si="16"/>
        <v>__</v>
      </c>
    </row>
    <row r="1030" spans="1:1" x14ac:dyDescent="0.25">
      <c r="A1030" s="84" t="str">
        <f t="shared" si="16"/>
        <v>__</v>
      </c>
    </row>
    <row r="1031" spans="1:1" x14ac:dyDescent="0.25">
      <c r="A1031" s="84" t="str">
        <f t="shared" si="16"/>
        <v>__</v>
      </c>
    </row>
    <row r="1032" spans="1:1" x14ac:dyDescent="0.25">
      <c r="A1032" s="84" t="str">
        <f t="shared" si="16"/>
        <v>__</v>
      </c>
    </row>
    <row r="1033" spans="1:1" x14ac:dyDescent="0.25">
      <c r="A1033" s="84" t="str">
        <f t="shared" si="16"/>
        <v>__</v>
      </c>
    </row>
    <row r="1034" spans="1:1" x14ac:dyDescent="0.25">
      <c r="A1034" s="84" t="str">
        <f t="shared" si="16"/>
        <v>__</v>
      </c>
    </row>
    <row r="1035" spans="1:1" x14ac:dyDescent="0.25">
      <c r="A1035" s="84" t="str">
        <f t="shared" si="16"/>
        <v>__</v>
      </c>
    </row>
    <row r="1036" spans="1:1" x14ac:dyDescent="0.25">
      <c r="A1036" s="84" t="str">
        <f t="shared" si="16"/>
        <v>__</v>
      </c>
    </row>
    <row r="1037" spans="1:1" x14ac:dyDescent="0.25">
      <c r="A1037" s="84" t="str">
        <f t="shared" si="16"/>
        <v>__</v>
      </c>
    </row>
    <row r="1038" spans="1:1" x14ac:dyDescent="0.25">
      <c r="A1038" s="84" t="str">
        <f t="shared" si="16"/>
        <v>__</v>
      </c>
    </row>
    <row r="1039" spans="1:1" x14ac:dyDescent="0.25">
      <c r="A1039" s="84" t="str">
        <f t="shared" si="16"/>
        <v>__</v>
      </c>
    </row>
    <row r="1040" spans="1:1" x14ac:dyDescent="0.25">
      <c r="A1040" s="84" t="str">
        <f t="shared" si="16"/>
        <v>__</v>
      </c>
    </row>
    <row r="1041" spans="1:1" x14ac:dyDescent="0.25">
      <c r="A1041" s="84" t="str">
        <f t="shared" si="16"/>
        <v>__</v>
      </c>
    </row>
    <row r="1042" spans="1:1" x14ac:dyDescent="0.25">
      <c r="A1042" s="84" t="str">
        <f t="shared" si="16"/>
        <v>__</v>
      </c>
    </row>
    <row r="1043" spans="1:1" x14ac:dyDescent="0.25">
      <c r="A1043" s="84" t="str">
        <f t="shared" si="16"/>
        <v>__</v>
      </c>
    </row>
    <row r="1044" spans="1:1" x14ac:dyDescent="0.25">
      <c r="A1044" s="84" t="str">
        <f t="shared" si="16"/>
        <v>__</v>
      </c>
    </row>
    <row r="1045" spans="1:1" x14ac:dyDescent="0.25">
      <c r="A1045" s="84" t="str">
        <f t="shared" si="16"/>
        <v>__</v>
      </c>
    </row>
    <row r="1046" spans="1:1" x14ac:dyDescent="0.25">
      <c r="A1046" s="84" t="str">
        <f t="shared" si="16"/>
        <v>__</v>
      </c>
    </row>
    <row r="1047" spans="1:1" x14ac:dyDescent="0.25">
      <c r="A1047" s="84" t="str">
        <f t="shared" si="16"/>
        <v>__</v>
      </c>
    </row>
    <row r="1048" spans="1:1" x14ac:dyDescent="0.25">
      <c r="A1048" s="84" t="str">
        <f t="shared" si="16"/>
        <v>__</v>
      </c>
    </row>
    <row r="1049" spans="1:1" x14ac:dyDescent="0.25">
      <c r="A1049" s="84" t="str">
        <f t="shared" si="16"/>
        <v>__</v>
      </c>
    </row>
    <row r="1050" spans="1:1" x14ac:dyDescent="0.25">
      <c r="A1050" s="84" t="str">
        <f t="shared" si="16"/>
        <v>__</v>
      </c>
    </row>
    <row r="1051" spans="1:1" x14ac:dyDescent="0.25">
      <c r="A1051" s="84" t="str">
        <f t="shared" si="16"/>
        <v>__</v>
      </c>
    </row>
    <row r="1052" spans="1:1" x14ac:dyDescent="0.25">
      <c r="A1052" s="84" t="str">
        <f t="shared" si="16"/>
        <v>__</v>
      </c>
    </row>
    <row r="1053" spans="1:1" x14ac:dyDescent="0.25">
      <c r="A1053" s="84" t="str">
        <f t="shared" si="16"/>
        <v>__</v>
      </c>
    </row>
    <row r="1054" spans="1:1" x14ac:dyDescent="0.25">
      <c r="A1054" s="84" t="str">
        <f t="shared" si="16"/>
        <v>__</v>
      </c>
    </row>
    <row r="1055" spans="1:1" x14ac:dyDescent="0.25">
      <c r="A1055" s="84" t="str">
        <f t="shared" si="16"/>
        <v>__</v>
      </c>
    </row>
    <row r="1056" spans="1:1" x14ac:dyDescent="0.25">
      <c r="A1056" s="84" t="str">
        <f t="shared" si="16"/>
        <v>__</v>
      </c>
    </row>
    <row r="1057" spans="1:1" x14ac:dyDescent="0.25">
      <c r="A1057" s="84" t="str">
        <f t="shared" si="16"/>
        <v>__</v>
      </c>
    </row>
    <row r="1058" spans="1:1" x14ac:dyDescent="0.25">
      <c r="A1058" s="84" t="str">
        <f t="shared" si="16"/>
        <v>__</v>
      </c>
    </row>
    <row r="1059" spans="1:1" x14ac:dyDescent="0.25">
      <c r="A1059" s="84" t="str">
        <f t="shared" si="16"/>
        <v>__</v>
      </c>
    </row>
    <row r="1060" spans="1:1" x14ac:dyDescent="0.25">
      <c r="A1060" s="84" t="str">
        <f t="shared" si="16"/>
        <v>__</v>
      </c>
    </row>
    <row r="1061" spans="1:1" x14ac:dyDescent="0.25">
      <c r="A1061" s="84" t="str">
        <f t="shared" si="16"/>
        <v>__</v>
      </c>
    </row>
    <row r="1062" spans="1:1" x14ac:dyDescent="0.25">
      <c r="A1062" s="84" t="str">
        <f t="shared" si="16"/>
        <v>__</v>
      </c>
    </row>
    <row r="1063" spans="1:1" x14ac:dyDescent="0.25">
      <c r="A1063" s="84" t="str">
        <f t="shared" si="16"/>
        <v>__</v>
      </c>
    </row>
    <row r="1064" spans="1:1" x14ac:dyDescent="0.25">
      <c r="A1064" s="84" t="str">
        <f t="shared" si="16"/>
        <v>__</v>
      </c>
    </row>
    <row r="1065" spans="1:1" x14ac:dyDescent="0.25">
      <c r="A1065" s="84" t="str">
        <f t="shared" si="16"/>
        <v>__</v>
      </c>
    </row>
    <row r="1066" spans="1:1" x14ac:dyDescent="0.25">
      <c r="A1066" s="84" t="str">
        <f t="shared" si="16"/>
        <v>__</v>
      </c>
    </row>
    <row r="1067" spans="1:1" x14ac:dyDescent="0.25">
      <c r="A1067" s="84" t="str">
        <f t="shared" si="16"/>
        <v>__</v>
      </c>
    </row>
    <row r="1068" spans="1:1" x14ac:dyDescent="0.25">
      <c r="A1068" s="84" t="str">
        <f t="shared" si="16"/>
        <v>__</v>
      </c>
    </row>
    <row r="1069" spans="1:1" x14ac:dyDescent="0.25">
      <c r="A1069" s="84" t="str">
        <f t="shared" si="16"/>
        <v>__</v>
      </c>
    </row>
    <row r="1070" spans="1:1" x14ac:dyDescent="0.25">
      <c r="A1070" s="84" t="str">
        <f t="shared" si="16"/>
        <v>__</v>
      </c>
    </row>
    <row r="1071" spans="1:1" x14ac:dyDescent="0.25">
      <c r="A1071" s="84" t="str">
        <f t="shared" si="16"/>
        <v>__</v>
      </c>
    </row>
    <row r="1072" spans="1:1" x14ac:dyDescent="0.25">
      <c r="A1072" s="84" t="str">
        <f t="shared" si="16"/>
        <v>__</v>
      </c>
    </row>
    <row r="1073" spans="1:1" x14ac:dyDescent="0.25">
      <c r="A1073" s="84" t="str">
        <f t="shared" si="16"/>
        <v>__</v>
      </c>
    </row>
    <row r="1074" spans="1:1" x14ac:dyDescent="0.25">
      <c r="A1074" s="84" t="str">
        <f t="shared" si="16"/>
        <v>__</v>
      </c>
    </row>
    <row r="1075" spans="1:1" x14ac:dyDescent="0.25">
      <c r="A1075" s="84" t="str">
        <f t="shared" si="16"/>
        <v>__</v>
      </c>
    </row>
    <row r="1076" spans="1:1" x14ac:dyDescent="0.25">
      <c r="A1076" s="84" t="str">
        <f t="shared" si="16"/>
        <v>__</v>
      </c>
    </row>
    <row r="1077" spans="1:1" x14ac:dyDescent="0.25">
      <c r="A1077" s="84" t="str">
        <f t="shared" si="16"/>
        <v>__</v>
      </c>
    </row>
    <row r="1078" spans="1:1" x14ac:dyDescent="0.25">
      <c r="A1078" s="84" t="str">
        <f t="shared" si="16"/>
        <v>__</v>
      </c>
    </row>
    <row r="1079" spans="1:1" x14ac:dyDescent="0.25">
      <c r="A1079" s="84" t="str">
        <f t="shared" si="16"/>
        <v>__</v>
      </c>
    </row>
    <row r="1080" spans="1:1" x14ac:dyDescent="0.25">
      <c r="A1080" s="84" t="str">
        <f t="shared" si="16"/>
        <v>__</v>
      </c>
    </row>
    <row r="1081" spans="1:1" x14ac:dyDescent="0.25">
      <c r="A1081" s="84" t="str">
        <f t="shared" si="16"/>
        <v>__</v>
      </c>
    </row>
    <row r="1082" spans="1:1" x14ac:dyDescent="0.25">
      <c r="A1082" s="84" t="str">
        <f t="shared" si="16"/>
        <v>__</v>
      </c>
    </row>
    <row r="1083" spans="1:1" x14ac:dyDescent="0.25">
      <c r="A1083" s="84" t="str">
        <f t="shared" si="16"/>
        <v>__</v>
      </c>
    </row>
    <row r="1084" spans="1:1" x14ac:dyDescent="0.25">
      <c r="A1084" s="84" t="str">
        <f t="shared" si="16"/>
        <v>__</v>
      </c>
    </row>
    <row r="1085" spans="1:1" x14ac:dyDescent="0.25">
      <c r="A1085" s="84" t="str">
        <f t="shared" si="16"/>
        <v>__</v>
      </c>
    </row>
    <row r="1086" spans="1:1" x14ac:dyDescent="0.25">
      <c r="A1086" s="84" t="str">
        <f t="shared" si="16"/>
        <v>__</v>
      </c>
    </row>
    <row r="1087" spans="1:1" x14ac:dyDescent="0.25">
      <c r="A1087" s="84" t="str">
        <f t="shared" si="16"/>
        <v>__</v>
      </c>
    </row>
    <row r="1088" spans="1:1" x14ac:dyDescent="0.25">
      <c r="A1088" s="84" t="str">
        <f t="shared" si="16"/>
        <v>__</v>
      </c>
    </row>
    <row r="1089" spans="1:1" x14ac:dyDescent="0.25">
      <c r="A1089" s="84" t="str">
        <f t="shared" si="16"/>
        <v>__</v>
      </c>
    </row>
    <row r="1090" spans="1:1" x14ac:dyDescent="0.25">
      <c r="A1090" s="84" t="str">
        <f t="shared" si="16"/>
        <v>__</v>
      </c>
    </row>
    <row r="1091" spans="1:1" x14ac:dyDescent="0.25">
      <c r="A1091" s="84" t="str">
        <f t="shared" ref="A1091:A1154" si="17">B1091&amp;"_"&amp;C1091&amp;"_"&amp;D1091</f>
        <v>__</v>
      </c>
    </row>
    <row r="1092" spans="1:1" x14ac:dyDescent="0.25">
      <c r="A1092" s="84" t="str">
        <f t="shared" si="17"/>
        <v>__</v>
      </c>
    </row>
    <row r="1093" spans="1:1" x14ac:dyDescent="0.25">
      <c r="A1093" s="84" t="str">
        <f t="shared" si="17"/>
        <v>__</v>
      </c>
    </row>
    <row r="1094" spans="1:1" x14ac:dyDescent="0.25">
      <c r="A1094" s="84" t="str">
        <f t="shared" si="17"/>
        <v>__</v>
      </c>
    </row>
    <row r="1095" spans="1:1" x14ac:dyDescent="0.25">
      <c r="A1095" s="84" t="str">
        <f t="shared" si="17"/>
        <v>__</v>
      </c>
    </row>
    <row r="1096" spans="1:1" x14ac:dyDescent="0.25">
      <c r="A1096" s="84" t="str">
        <f t="shared" si="17"/>
        <v>__</v>
      </c>
    </row>
    <row r="1097" spans="1:1" x14ac:dyDescent="0.25">
      <c r="A1097" s="84" t="str">
        <f t="shared" si="17"/>
        <v>__</v>
      </c>
    </row>
    <row r="1098" spans="1:1" x14ac:dyDescent="0.25">
      <c r="A1098" s="84" t="str">
        <f t="shared" si="17"/>
        <v>__</v>
      </c>
    </row>
    <row r="1099" spans="1:1" x14ac:dyDescent="0.25">
      <c r="A1099" s="84" t="str">
        <f t="shared" si="17"/>
        <v>__</v>
      </c>
    </row>
    <row r="1100" spans="1:1" x14ac:dyDescent="0.25">
      <c r="A1100" s="84" t="str">
        <f t="shared" si="17"/>
        <v>__</v>
      </c>
    </row>
    <row r="1101" spans="1:1" x14ac:dyDescent="0.25">
      <c r="A1101" s="84" t="str">
        <f t="shared" si="17"/>
        <v>__</v>
      </c>
    </row>
    <row r="1102" spans="1:1" x14ac:dyDescent="0.25">
      <c r="A1102" s="84" t="str">
        <f t="shared" si="17"/>
        <v>__</v>
      </c>
    </row>
    <row r="1103" spans="1:1" x14ac:dyDescent="0.25">
      <c r="A1103" s="84" t="str">
        <f t="shared" si="17"/>
        <v>__</v>
      </c>
    </row>
    <row r="1104" spans="1:1" x14ac:dyDescent="0.25">
      <c r="A1104" s="84" t="str">
        <f t="shared" si="17"/>
        <v>__</v>
      </c>
    </row>
    <row r="1105" spans="1:1" x14ac:dyDescent="0.25">
      <c r="A1105" s="84" t="str">
        <f t="shared" si="17"/>
        <v>__</v>
      </c>
    </row>
    <row r="1106" spans="1:1" x14ac:dyDescent="0.25">
      <c r="A1106" s="84" t="str">
        <f t="shared" si="17"/>
        <v>__</v>
      </c>
    </row>
    <row r="1107" spans="1:1" x14ac:dyDescent="0.25">
      <c r="A1107" s="84" t="str">
        <f t="shared" si="17"/>
        <v>__</v>
      </c>
    </row>
    <row r="1108" spans="1:1" x14ac:dyDescent="0.25">
      <c r="A1108" s="84" t="str">
        <f t="shared" si="17"/>
        <v>__</v>
      </c>
    </row>
    <row r="1109" spans="1:1" x14ac:dyDescent="0.25">
      <c r="A1109" s="84" t="str">
        <f t="shared" si="17"/>
        <v>__</v>
      </c>
    </row>
    <row r="1110" spans="1:1" x14ac:dyDescent="0.25">
      <c r="A1110" s="84" t="str">
        <f t="shared" si="17"/>
        <v>__</v>
      </c>
    </row>
    <row r="1111" spans="1:1" x14ac:dyDescent="0.25">
      <c r="A1111" s="84" t="str">
        <f t="shared" si="17"/>
        <v>__</v>
      </c>
    </row>
    <row r="1112" spans="1:1" x14ac:dyDescent="0.25">
      <c r="A1112" s="84" t="str">
        <f t="shared" si="17"/>
        <v>__</v>
      </c>
    </row>
    <row r="1113" spans="1:1" x14ac:dyDescent="0.25">
      <c r="A1113" s="84" t="str">
        <f t="shared" si="17"/>
        <v>__</v>
      </c>
    </row>
    <row r="1114" spans="1:1" x14ac:dyDescent="0.25">
      <c r="A1114" s="84" t="str">
        <f t="shared" si="17"/>
        <v>__</v>
      </c>
    </row>
    <row r="1115" spans="1:1" x14ac:dyDescent="0.25">
      <c r="A1115" s="84" t="str">
        <f t="shared" si="17"/>
        <v>__</v>
      </c>
    </row>
    <row r="1116" spans="1:1" x14ac:dyDescent="0.25">
      <c r="A1116" s="84" t="str">
        <f t="shared" si="17"/>
        <v>__</v>
      </c>
    </row>
    <row r="1117" spans="1:1" x14ac:dyDescent="0.25">
      <c r="A1117" s="84" t="str">
        <f t="shared" si="17"/>
        <v>__</v>
      </c>
    </row>
    <row r="1118" spans="1:1" x14ac:dyDescent="0.25">
      <c r="A1118" s="84" t="str">
        <f t="shared" si="17"/>
        <v>__</v>
      </c>
    </row>
    <row r="1119" spans="1:1" x14ac:dyDescent="0.25">
      <c r="A1119" s="84" t="str">
        <f t="shared" si="17"/>
        <v>__</v>
      </c>
    </row>
    <row r="1120" spans="1:1" x14ac:dyDescent="0.25">
      <c r="A1120" s="84" t="str">
        <f t="shared" si="17"/>
        <v>__</v>
      </c>
    </row>
    <row r="1121" spans="1:1" x14ac:dyDescent="0.25">
      <c r="A1121" s="84" t="str">
        <f t="shared" si="17"/>
        <v>__</v>
      </c>
    </row>
    <row r="1122" spans="1:1" x14ac:dyDescent="0.25">
      <c r="A1122" s="84" t="str">
        <f t="shared" si="17"/>
        <v>__</v>
      </c>
    </row>
    <row r="1123" spans="1:1" x14ac:dyDescent="0.25">
      <c r="A1123" s="84" t="str">
        <f t="shared" si="17"/>
        <v>__</v>
      </c>
    </row>
    <row r="1124" spans="1:1" x14ac:dyDescent="0.25">
      <c r="A1124" s="84" t="str">
        <f t="shared" si="17"/>
        <v>__</v>
      </c>
    </row>
    <row r="1125" spans="1:1" x14ac:dyDescent="0.25">
      <c r="A1125" s="84" t="str">
        <f t="shared" si="17"/>
        <v>__</v>
      </c>
    </row>
    <row r="1126" spans="1:1" x14ac:dyDescent="0.25">
      <c r="A1126" s="84" t="str">
        <f t="shared" si="17"/>
        <v>__</v>
      </c>
    </row>
    <row r="1127" spans="1:1" x14ac:dyDescent="0.25">
      <c r="A1127" s="84" t="str">
        <f t="shared" si="17"/>
        <v>__</v>
      </c>
    </row>
    <row r="1128" spans="1:1" x14ac:dyDescent="0.25">
      <c r="A1128" s="84" t="str">
        <f t="shared" si="17"/>
        <v>__</v>
      </c>
    </row>
    <row r="1129" spans="1:1" x14ac:dyDescent="0.25">
      <c r="A1129" s="84" t="str">
        <f t="shared" si="17"/>
        <v>__</v>
      </c>
    </row>
    <row r="1130" spans="1:1" x14ac:dyDescent="0.25">
      <c r="A1130" s="84" t="str">
        <f t="shared" si="17"/>
        <v>__</v>
      </c>
    </row>
    <row r="1131" spans="1:1" x14ac:dyDescent="0.25">
      <c r="A1131" s="84" t="str">
        <f t="shared" si="17"/>
        <v>__</v>
      </c>
    </row>
    <row r="1132" spans="1:1" x14ac:dyDescent="0.25">
      <c r="A1132" s="84" t="str">
        <f t="shared" si="17"/>
        <v>__</v>
      </c>
    </row>
    <row r="1133" spans="1:1" x14ac:dyDescent="0.25">
      <c r="A1133" s="84" t="str">
        <f t="shared" si="17"/>
        <v>__</v>
      </c>
    </row>
    <row r="1134" spans="1:1" x14ac:dyDescent="0.25">
      <c r="A1134" s="84" t="str">
        <f t="shared" si="17"/>
        <v>__</v>
      </c>
    </row>
    <row r="1135" spans="1:1" x14ac:dyDescent="0.25">
      <c r="A1135" s="84" t="str">
        <f t="shared" si="17"/>
        <v>__</v>
      </c>
    </row>
    <row r="1136" spans="1:1" x14ac:dyDescent="0.25">
      <c r="A1136" s="84" t="str">
        <f t="shared" si="17"/>
        <v>__</v>
      </c>
    </row>
    <row r="1137" spans="1:1" x14ac:dyDescent="0.25">
      <c r="A1137" s="84" t="str">
        <f t="shared" si="17"/>
        <v>__</v>
      </c>
    </row>
    <row r="1138" spans="1:1" x14ac:dyDescent="0.25">
      <c r="A1138" s="84" t="str">
        <f t="shared" si="17"/>
        <v>__</v>
      </c>
    </row>
    <row r="1139" spans="1:1" x14ac:dyDescent="0.25">
      <c r="A1139" s="84" t="str">
        <f t="shared" si="17"/>
        <v>__</v>
      </c>
    </row>
    <row r="1140" spans="1:1" x14ac:dyDescent="0.25">
      <c r="A1140" s="84" t="str">
        <f t="shared" si="17"/>
        <v>__</v>
      </c>
    </row>
    <row r="1141" spans="1:1" x14ac:dyDescent="0.25">
      <c r="A1141" s="84" t="str">
        <f t="shared" si="17"/>
        <v>__</v>
      </c>
    </row>
    <row r="1142" spans="1:1" x14ac:dyDescent="0.25">
      <c r="A1142" s="84" t="str">
        <f t="shared" si="17"/>
        <v>__</v>
      </c>
    </row>
    <row r="1143" spans="1:1" x14ac:dyDescent="0.25">
      <c r="A1143" s="84" t="str">
        <f t="shared" si="17"/>
        <v>__</v>
      </c>
    </row>
    <row r="1144" spans="1:1" x14ac:dyDescent="0.25">
      <c r="A1144" s="84" t="str">
        <f t="shared" si="17"/>
        <v>__</v>
      </c>
    </row>
    <row r="1145" spans="1:1" x14ac:dyDescent="0.25">
      <c r="A1145" s="84" t="str">
        <f t="shared" si="17"/>
        <v>__</v>
      </c>
    </row>
    <row r="1146" spans="1:1" x14ac:dyDescent="0.25">
      <c r="A1146" s="84" t="str">
        <f t="shared" si="17"/>
        <v>__</v>
      </c>
    </row>
    <row r="1147" spans="1:1" x14ac:dyDescent="0.25">
      <c r="A1147" s="84" t="str">
        <f t="shared" si="17"/>
        <v>__</v>
      </c>
    </row>
    <row r="1148" spans="1:1" x14ac:dyDescent="0.25">
      <c r="A1148" s="84" t="str">
        <f t="shared" si="17"/>
        <v>__</v>
      </c>
    </row>
    <row r="1149" spans="1:1" x14ac:dyDescent="0.25">
      <c r="A1149" s="84" t="str">
        <f t="shared" si="17"/>
        <v>__</v>
      </c>
    </row>
    <row r="1150" spans="1:1" x14ac:dyDescent="0.25">
      <c r="A1150" s="84" t="str">
        <f t="shared" si="17"/>
        <v>__</v>
      </c>
    </row>
    <row r="1151" spans="1:1" x14ac:dyDescent="0.25">
      <c r="A1151" s="84" t="str">
        <f t="shared" si="17"/>
        <v>__</v>
      </c>
    </row>
    <row r="1152" spans="1:1" x14ac:dyDescent="0.25">
      <c r="A1152" s="84" t="str">
        <f t="shared" si="17"/>
        <v>__</v>
      </c>
    </row>
    <row r="1153" spans="1:1" x14ac:dyDescent="0.25">
      <c r="A1153" s="84" t="str">
        <f t="shared" si="17"/>
        <v>__</v>
      </c>
    </row>
    <row r="1154" spans="1:1" x14ac:dyDescent="0.25">
      <c r="A1154" s="84" t="str">
        <f t="shared" si="17"/>
        <v>__</v>
      </c>
    </row>
    <row r="1155" spans="1:1" x14ac:dyDescent="0.25">
      <c r="A1155" s="84" t="str">
        <f t="shared" ref="A1155:A1218" si="18">B1155&amp;"_"&amp;C1155&amp;"_"&amp;D1155</f>
        <v>__</v>
      </c>
    </row>
    <row r="1156" spans="1:1" x14ac:dyDescent="0.25">
      <c r="A1156" s="84" t="str">
        <f t="shared" si="18"/>
        <v>__</v>
      </c>
    </row>
    <row r="1157" spans="1:1" x14ac:dyDescent="0.25">
      <c r="A1157" s="84" t="str">
        <f t="shared" si="18"/>
        <v>__</v>
      </c>
    </row>
    <row r="1158" spans="1:1" x14ac:dyDescent="0.25">
      <c r="A1158" s="84" t="str">
        <f t="shared" si="18"/>
        <v>__</v>
      </c>
    </row>
    <row r="1159" spans="1:1" x14ac:dyDescent="0.25">
      <c r="A1159" s="84" t="str">
        <f t="shared" si="18"/>
        <v>__</v>
      </c>
    </row>
    <row r="1160" spans="1:1" x14ac:dyDescent="0.25">
      <c r="A1160" s="84" t="str">
        <f t="shared" si="18"/>
        <v>__</v>
      </c>
    </row>
    <row r="1161" spans="1:1" x14ac:dyDescent="0.25">
      <c r="A1161" s="84" t="str">
        <f t="shared" si="18"/>
        <v>__</v>
      </c>
    </row>
    <row r="1162" spans="1:1" x14ac:dyDescent="0.25">
      <c r="A1162" s="84" t="str">
        <f t="shared" si="18"/>
        <v>__</v>
      </c>
    </row>
    <row r="1163" spans="1:1" x14ac:dyDescent="0.25">
      <c r="A1163" s="84" t="str">
        <f t="shared" si="18"/>
        <v>__</v>
      </c>
    </row>
    <row r="1164" spans="1:1" x14ac:dyDescent="0.25">
      <c r="A1164" s="84" t="str">
        <f t="shared" si="18"/>
        <v>__</v>
      </c>
    </row>
    <row r="1165" spans="1:1" x14ac:dyDescent="0.25">
      <c r="A1165" s="84" t="str">
        <f t="shared" si="18"/>
        <v>__</v>
      </c>
    </row>
    <row r="1166" spans="1:1" x14ac:dyDescent="0.25">
      <c r="A1166" s="84" t="str">
        <f t="shared" si="18"/>
        <v>__</v>
      </c>
    </row>
    <row r="1167" spans="1:1" x14ac:dyDescent="0.25">
      <c r="A1167" s="84" t="str">
        <f t="shared" si="18"/>
        <v>__</v>
      </c>
    </row>
    <row r="1168" spans="1:1" x14ac:dyDescent="0.25">
      <c r="A1168" s="84" t="str">
        <f t="shared" si="18"/>
        <v>__</v>
      </c>
    </row>
    <row r="1169" spans="1:1" x14ac:dyDescent="0.25">
      <c r="A1169" s="84" t="str">
        <f t="shared" si="18"/>
        <v>__</v>
      </c>
    </row>
    <row r="1170" spans="1:1" x14ac:dyDescent="0.25">
      <c r="A1170" s="84" t="str">
        <f t="shared" si="18"/>
        <v>__</v>
      </c>
    </row>
    <row r="1171" spans="1:1" x14ac:dyDescent="0.25">
      <c r="A1171" s="84" t="str">
        <f t="shared" si="18"/>
        <v>__</v>
      </c>
    </row>
    <row r="1172" spans="1:1" x14ac:dyDescent="0.25">
      <c r="A1172" s="84" t="str">
        <f t="shared" si="18"/>
        <v>__</v>
      </c>
    </row>
    <row r="1173" spans="1:1" x14ac:dyDescent="0.25">
      <c r="A1173" s="84" t="str">
        <f t="shared" si="18"/>
        <v>__</v>
      </c>
    </row>
    <row r="1174" spans="1:1" x14ac:dyDescent="0.25">
      <c r="A1174" s="84" t="str">
        <f t="shared" si="18"/>
        <v>__</v>
      </c>
    </row>
    <row r="1175" spans="1:1" x14ac:dyDescent="0.25">
      <c r="A1175" s="84" t="str">
        <f t="shared" si="18"/>
        <v>__</v>
      </c>
    </row>
    <row r="1176" spans="1:1" x14ac:dyDescent="0.25">
      <c r="A1176" s="84" t="str">
        <f t="shared" si="18"/>
        <v>__</v>
      </c>
    </row>
    <row r="1177" spans="1:1" x14ac:dyDescent="0.25">
      <c r="A1177" s="84" t="str">
        <f t="shared" si="18"/>
        <v>__</v>
      </c>
    </row>
    <row r="1178" spans="1:1" x14ac:dyDescent="0.25">
      <c r="A1178" s="84" t="str">
        <f t="shared" si="18"/>
        <v>__</v>
      </c>
    </row>
    <row r="1179" spans="1:1" x14ac:dyDescent="0.25">
      <c r="A1179" s="84" t="str">
        <f t="shared" si="18"/>
        <v>__</v>
      </c>
    </row>
    <row r="1180" spans="1:1" x14ac:dyDescent="0.25">
      <c r="A1180" s="84" t="str">
        <f t="shared" si="18"/>
        <v>__</v>
      </c>
    </row>
    <row r="1181" spans="1:1" x14ac:dyDescent="0.25">
      <c r="A1181" s="84" t="str">
        <f t="shared" si="18"/>
        <v>__</v>
      </c>
    </row>
    <row r="1182" spans="1:1" x14ac:dyDescent="0.25">
      <c r="A1182" s="84" t="str">
        <f t="shared" si="18"/>
        <v>__</v>
      </c>
    </row>
    <row r="1183" spans="1:1" x14ac:dyDescent="0.25">
      <c r="A1183" s="84" t="str">
        <f t="shared" si="18"/>
        <v>__</v>
      </c>
    </row>
    <row r="1184" spans="1:1" x14ac:dyDescent="0.25">
      <c r="A1184" s="84" t="str">
        <f t="shared" si="18"/>
        <v>__</v>
      </c>
    </row>
    <row r="1185" spans="1:1" x14ac:dyDescent="0.25">
      <c r="A1185" s="84" t="str">
        <f t="shared" si="18"/>
        <v>__</v>
      </c>
    </row>
    <row r="1186" spans="1:1" x14ac:dyDescent="0.25">
      <c r="A1186" s="84" t="str">
        <f t="shared" si="18"/>
        <v>__</v>
      </c>
    </row>
    <row r="1187" spans="1:1" x14ac:dyDescent="0.25">
      <c r="A1187" s="84" t="str">
        <f t="shared" si="18"/>
        <v>__</v>
      </c>
    </row>
    <row r="1188" spans="1:1" x14ac:dyDescent="0.25">
      <c r="A1188" s="84" t="str">
        <f t="shared" si="18"/>
        <v>__</v>
      </c>
    </row>
    <row r="1189" spans="1:1" x14ac:dyDescent="0.25">
      <c r="A1189" s="84" t="str">
        <f t="shared" si="18"/>
        <v>__</v>
      </c>
    </row>
    <row r="1190" spans="1:1" x14ac:dyDescent="0.25">
      <c r="A1190" s="84" t="str">
        <f t="shared" si="18"/>
        <v>__</v>
      </c>
    </row>
    <row r="1191" spans="1:1" x14ac:dyDescent="0.25">
      <c r="A1191" s="84" t="str">
        <f t="shared" si="18"/>
        <v>__</v>
      </c>
    </row>
    <row r="1192" spans="1:1" x14ac:dyDescent="0.25">
      <c r="A1192" s="84" t="str">
        <f t="shared" si="18"/>
        <v>__</v>
      </c>
    </row>
    <row r="1193" spans="1:1" x14ac:dyDescent="0.25">
      <c r="A1193" s="84" t="str">
        <f t="shared" si="18"/>
        <v>__</v>
      </c>
    </row>
    <row r="1194" spans="1:1" x14ac:dyDescent="0.25">
      <c r="A1194" s="84" t="str">
        <f t="shared" si="18"/>
        <v>__</v>
      </c>
    </row>
    <row r="1195" spans="1:1" x14ac:dyDescent="0.25">
      <c r="A1195" s="84" t="str">
        <f t="shared" si="18"/>
        <v>__</v>
      </c>
    </row>
    <row r="1196" spans="1:1" x14ac:dyDescent="0.25">
      <c r="A1196" s="84" t="str">
        <f t="shared" si="18"/>
        <v>__</v>
      </c>
    </row>
    <row r="1197" spans="1:1" x14ac:dyDescent="0.25">
      <c r="A1197" s="84" t="str">
        <f t="shared" si="18"/>
        <v>__</v>
      </c>
    </row>
    <row r="1198" spans="1:1" x14ac:dyDescent="0.25">
      <c r="A1198" s="84" t="str">
        <f t="shared" si="18"/>
        <v>__</v>
      </c>
    </row>
    <row r="1199" spans="1:1" x14ac:dyDescent="0.25">
      <c r="A1199" s="84" t="str">
        <f t="shared" si="18"/>
        <v>__</v>
      </c>
    </row>
    <row r="1200" spans="1:1" x14ac:dyDescent="0.25">
      <c r="A1200" s="84" t="str">
        <f t="shared" si="18"/>
        <v>__</v>
      </c>
    </row>
    <row r="1201" spans="1:1" x14ac:dyDescent="0.25">
      <c r="A1201" s="84" t="str">
        <f t="shared" si="18"/>
        <v>__</v>
      </c>
    </row>
    <row r="1202" spans="1:1" x14ac:dyDescent="0.25">
      <c r="A1202" s="84" t="str">
        <f t="shared" si="18"/>
        <v>__</v>
      </c>
    </row>
    <row r="1203" spans="1:1" x14ac:dyDescent="0.25">
      <c r="A1203" s="84" t="str">
        <f t="shared" si="18"/>
        <v>__</v>
      </c>
    </row>
    <row r="1204" spans="1:1" x14ac:dyDescent="0.25">
      <c r="A1204" s="84" t="str">
        <f t="shared" si="18"/>
        <v>__</v>
      </c>
    </row>
    <row r="1205" spans="1:1" x14ac:dyDescent="0.25">
      <c r="A1205" s="84" t="str">
        <f t="shared" si="18"/>
        <v>__</v>
      </c>
    </row>
    <row r="1206" spans="1:1" x14ac:dyDescent="0.25">
      <c r="A1206" s="84" t="str">
        <f t="shared" si="18"/>
        <v>__</v>
      </c>
    </row>
    <row r="1207" spans="1:1" x14ac:dyDescent="0.25">
      <c r="A1207" s="84" t="str">
        <f t="shared" si="18"/>
        <v>__</v>
      </c>
    </row>
    <row r="1208" spans="1:1" x14ac:dyDescent="0.25">
      <c r="A1208" s="84" t="str">
        <f t="shared" si="18"/>
        <v>__</v>
      </c>
    </row>
    <row r="1209" spans="1:1" x14ac:dyDescent="0.25">
      <c r="A1209" s="84" t="str">
        <f t="shared" si="18"/>
        <v>__</v>
      </c>
    </row>
    <row r="1210" spans="1:1" x14ac:dyDescent="0.25">
      <c r="A1210" s="84" t="str">
        <f t="shared" si="18"/>
        <v>__</v>
      </c>
    </row>
    <row r="1211" spans="1:1" x14ac:dyDescent="0.25">
      <c r="A1211" s="84" t="str">
        <f t="shared" si="18"/>
        <v>__</v>
      </c>
    </row>
    <row r="1212" spans="1:1" x14ac:dyDescent="0.25">
      <c r="A1212" s="84" t="str">
        <f t="shared" si="18"/>
        <v>__</v>
      </c>
    </row>
    <row r="1213" spans="1:1" x14ac:dyDescent="0.25">
      <c r="A1213" s="84" t="str">
        <f t="shared" si="18"/>
        <v>__</v>
      </c>
    </row>
    <row r="1214" spans="1:1" x14ac:dyDescent="0.25">
      <c r="A1214" s="84" t="str">
        <f t="shared" si="18"/>
        <v>__</v>
      </c>
    </row>
    <row r="1215" spans="1:1" x14ac:dyDescent="0.25">
      <c r="A1215" s="84" t="str">
        <f t="shared" si="18"/>
        <v>__</v>
      </c>
    </row>
    <row r="1216" spans="1:1" x14ac:dyDescent="0.25">
      <c r="A1216" s="84" t="str">
        <f t="shared" si="18"/>
        <v>__</v>
      </c>
    </row>
    <row r="1217" spans="1:1" x14ac:dyDescent="0.25">
      <c r="A1217" s="84" t="str">
        <f t="shared" si="18"/>
        <v>__</v>
      </c>
    </row>
    <row r="1218" spans="1:1" x14ac:dyDescent="0.25">
      <c r="A1218" s="84" t="str">
        <f t="shared" si="18"/>
        <v>__</v>
      </c>
    </row>
    <row r="1219" spans="1:1" x14ac:dyDescent="0.25">
      <c r="A1219" s="84" t="str">
        <f t="shared" ref="A1219:A1282" si="19">B1219&amp;"_"&amp;C1219&amp;"_"&amp;D1219</f>
        <v>__</v>
      </c>
    </row>
    <row r="1220" spans="1:1" x14ac:dyDescent="0.25">
      <c r="A1220" s="84" t="str">
        <f t="shared" si="19"/>
        <v>__</v>
      </c>
    </row>
    <row r="1221" spans="1:1" x14ac:dyDescent="0.25">
      <c r="A1221" s="84" t="str">
        <f t="shared" si="19"/>
        <v>__</v>
      </c>
    </row>
    <row r="1222" spans="1:1" x14ac:dyDescent="0.25">
      <c r="A1222" s="84" t="str">
        <f t="shared" si="19"/>
        <v>__</v>
      </c>
    </row>
    <row r="1223" spans="1:1" x14ac:dyDescent="0.25">
      <c r="A1223" s="84" t="str">
        <f t="shared" si="19"/>
        <v>__</v>
      </c>
    </row>
    <row r="1224" spans="1:1" x14ac:dyDescent="0.25">
      <c r="A1224" s="84" t="str">
        <f t="shared" si="19"/>
        <v>__</v>
      </c>
    </row>
    <row r="1225" spans="1:1" x14ac:dyDescent="0.25">
      <c r="A1225" s="84" t="str">
        <f t="shared" si="19"/>
        <v>__</v>
      </c>
    </row>
    <row r="1226" spans="1:1" x14ac:dyDescent="0.25">
      <c r="A1226" s="84" t="str">
        <f t="shared" si="19"/>
        <v>__</v>
      </c>
    </row>
    <row r="1227" spans="1:1" x14ac:dyDescent="0.25">
      <c r="A1227" s="84" t="str">
        <f t="shared" si="19"/>
        <v>__</v>
      </c>
    </row>
    <row r="1228" spans="1:1" x14ac:dyDescent="0.25">
      <c r="A1228" s="84" t="str">
        <f t="shared" si="19"/>
        <v>__</v>
      </c>
    </row>
    <row r="1229" spans="1:1" x14ac:dyDescent="0.25">
      <c r="A1229" s="84" t="str">
        <f t="shared" si="19"/>
        <v>__</v>
      </c>
    </row>
    <row r="1230" spans="1:1" x14ac:dyDescent="0.25">
      <c r="A1230" s="84" t="str">
        <f t="shared" si="19"/>
        <v>__</v>
      </c>
    </row>
    <row r="1231" spans="1:1" x14ac:dyDescent="0.25">
      <c r="A1231" s="84" t="str">
        <f t="shared" si="19"/>
        <v>__</v>
      </c>
    </row>
    <row r="1232" spans="1:1" x14ac:dyDescent="0.25">
      <c r="A1232" s="84" t="str">
        <f t="shared" si="19"/>
        <v>__</v>
      </c>
    </row>
    <row r="1233" spans="1:1" x14ac:dyDescent="0.25">
      <c r="A1233" s="84" t="str">
        <f t="shared" si="19"/>
        <v>__</v>
      </c>
    </row>
    <row r="1234" spans="1:1" x14ac:dyDescent="0.25">
      <c r="A1234" s="84" t="str">
        <f t="shared" si="19"/>
        <v>__</v>
      </c>
    </row>
    <row r="1235" spans="1:1" x14ac:dyDescent="0.25">
      <c r="A1235" s="84" t="str">
        <f t="shared" si="19"/>
        <v>__</v>
      </c>
    </row>
    <row r="1236" spans="1:1" x14ac:dyDescent="0.25">
      <c r="A1236" s="84" t="str">
        <f t="shared" si="19"/>
        <v>__</v>
      </c>
    </row>
    <row r="1237" spans="1:1" x14ac:dyDescent="0.25">
      <c r="A1237" s="84" t="str">
        <f t="shared" si="19"/>
        <v>__</v>
      </c>
    </row>
    <row r="1238" spans="1:1" x14ac:dyDescent="0.25">
      <c r="A1238" s="84" t="str">
        <f t="shared" si="19"/>
        <v>__</v>
      </c>
    </row>
    <row r="1239" spans="1:1" x14ac:dyDescent="0.25">
      <c r="A1239" s="84" t="str">
        <f t="shared" si="19"/>
        <v>__</v>
      </c>
    </row>
    <row r="1240" spans="1:1" x14ac:dyDescent="0.25">
      <c r="A1240" s="84" t="str">
        <f t="shared" si="19"/>
        <v>__</v>
      </c>
    </row>
    <row r="1241" spans="1:1" x14ac:dyDescent="0.25">
      <c r="A1241" s="84" t="str">
        <f t="shared" si="19"/>
        <v>__</v>
      </c>
    </row>
    <row r="1242" spans="1:1" x14ac:dyDescent="0.25">
      <c r="A1242" s="84" t="str">
        <f t="shared" si="19"/>
        <v>__</v>
      </c>
    </row>
    <row r="1243" spans="1:1" x14ac:dyDescent="0.25">
      <c r="A1243" s="84" t="str">
        <f t="shared" si="19"/>
        <v>__</v>
      </c>
    </row>
    <row r="1244" spans="1:1" x14ac:dyDescent="0.25">
      <c r="A1244" s="84" t="str">
        <f t="shared" si="19"/>
        <v>__</v>
      </c>
    </row>
    <row r="1245" spans="1:1" x14ac:dyDescent="0.25">
      <c r="A1245" s="84" t="str">
        <f t="shared" si="19"/>
        <v>__</v>
      </c>
    </row>
    <row r="1246" spans="1:1" x14ac:dyDescent="0.25">
      <c r="A1246" s="84" t="str">
        <f t="shared" si="19"/>
        <v>__</v>
      </c>
    </row>
    <row r="1247" spans="1:1" x14ac:dyDescent="0.25">
      <c r="A1247" s="84" t="str">
        <f t="shared" si="19"/>
        <v>__</v>
      </c>
    </row>
    <row r="1248" spans="1:1" x14ac:dyDescent="0.25">
      <c r="A1248" s="84" t="str">
        <f t="shared" si="19"/>
        <v>__</v>
      </c>
    </row>
    <row r="1249" spans="1:1" x14ac:dyDescent="0.25">
      <c r="A1249" s="84" t="str">
        <f t="shared" si="19"/>
        <v>__</v>
      </c>
    </row>
    <row r="1250" spans="1:1" x14ac:dyDescent="0.25">
      <c r="A1250" s="84" t="str">
        <f t="shared" si="19"/>
        <v>__</v>
      </c>
    </row>
    <row r="1251" spans="1:1" x14ac:dyDescent="0.25">
      <c r="A1251" s="84" t="str">
        <f t="shared" si="19"/>
        <v>__</v>
      </c>
    </row>
    <row r="1252" spans="1:1" x14ac:dyDescent="0.25">
      <c r="A1252" s="84" t="str">
        <f t="shared" si="19"/>
        <v>__</v>
      </c>
    </row>
    <row r="1253" spans="1:1" x14ac:dyDescent="0.25">
      <c r="A1253" s="84" t="str">
        <f t="shared" si="19"/>
        <v>__</v>
      </c>
    </row>
    <row r="1254" spans="1:1" x14ac:dyDescent="0.25">
      <c r="A1254" s="84" t="str">
        <f t="shared" si="19"/>
        <v>__</v>
      </c>
    </row>
    <row r="1255" spans="1:1" x14ac:dyDescent="0.25">
      <c r="A1255" s="84" t="str">
        <f t="shared" si="19"/>
        <v>__</v>
      </c>
    </row>
    <row r="1256" spans="1:1" x14ac:dyDescent="0.25">
      <c r="A1256" s="84" t="str">
        <f t="shared" si="19"/>
        <v>__</v>
      </c>
    </row>
    <row r="1257" spans="1:1" x14ac:dyDescent="0.25">
      <c r="A1257" s="84" t="str">
        <f t="shared" si="19"/>
        <v>__</v>
      </c>
    </row>
    <row r="1258" spans="1:1" x14ac:dyDescent="0.25">
      <c r="A1258" s="84" t="str">
        <f t="shared" si="19"/>
        <v>__</v>
      </c>
    </row>
    <row r="1259" spans="1:1" x14ac:dyDescent="0.25">
      <c r="A1259" s="84" t="str">
        <f t="shared" si="19"/>
        <v>__</v>
      </c>
    </row>
    <row r="1260" spans="1:1" x14ac:dyDescent="0.25">
      <c r="A1260" s="84" t="str">
        <f t="shared" si="19"/>
        <v>__</v>
      </c>
    </row>
    <row r="1261" spans="1:1" x14ac:dyDescent="0.25">
      <c r="A1261" s="84" t="str">
        <f t="shared" si="19"/>
        <v>__</v>
      </c>
    </row>
    <row r="1262" spans="1:1" x14ac:dyDescent="0.25">
      <c r="A1262" s="84" t="str">
        <f t="shared" si="19"/>
        <v>__</v>
      </c>
    </row>
    <row r="1263" spans="1:1" x14ac:dyDescent="0.25">
      <c r="A1263" s="84" t="str">
        <f t="shared" si="19"/>
        <v>__</v>
      </c>
    </row>
    <row r="1264" spans="1:1" x14ac:dyDescent="0.25">
      <c r="A1264" s="84" t="str">
        <f t="shared" si="19"/>
        <v>__</v>
      </c>
    </row>
    <row r="1265" spans="1:1" x14ac:dyDescent="0.25">
      <c r="A1265" s="84" t="str">
        <f t="shared" si="19"/>
        <v>__</v>
      </c>
    </row>
    <row r="1266" spans="1:1" x14ac:dyDescent="0.25">
      <c r="A1266" s="84" t="str">
        <f t="shared" si="19"/>
        <v>__</v>
      </c>
    </row>
    <row r="1267" spans="1:1" x14ac:dyDescent="0.25">
      <c r="A1267" s="84" t="str">
        <f t="shared" si="19"/>
        <v>__</v>
      </c>
    </row>
    <row r="1268" spans="1:1" x14ac:dyDescent="0.25">
      <c r="A1268" s="84" t="str">
        <f t="shared" si="19"/>
        <v>__</v>
      </c>
    </row>
    <row r="1269" spans="1:1" x14ac:dyDescent="0.25">
      <c r="A1269" s="84" t="str">
        <f t="shared" si="19"/>
        <v>__</v>
      </c>
    </row>
    <row r="1270" spans="1:1" x14ac:dyDescent="0.25">
      <c r="A1270" s="84" t="str">
        <f t="shared" si="19"/>
        <v>__</v>
      </c>
    </row>
    <row r="1271" spans="1:1" x14ac:dyDescent="0.25">
      <c r="A1271" s="84" t="str">
        <f t="shared" si="19"/>
        <v>__</v>
      </c>
    </row>
    <row r="1272" spans="1:1" x14ac:dyDescent="0.25">
      <c r="A1272" s="84" t="str">
        <f t="shared" si="19"/>
        <v>__</v>
      </c>
    </row>
    <row r="1273" spans="1:1" x14ac:dyDescent="0.25">
      <c r="A1273" s="84" t="str">
        <f t="shared" si="19"/>
        <v>__</v>
      </c>
    </row>
    <row r="1274" spans="1:1" x14ac:dyDescent="0.25">
      <c r="A1274" s="84" t="str">
        <f t="shared" si="19"/>
        <v>__</v>
      </c>
    </row>
    <row r="1275" spans="1:1" x14ac:dyDescent="0.25">
      <c r="A1275" s="84" t="str">
        <f t="shared" si="19"/>
        <v>__</v>
      </c>
    </row>
    <row r="1276" spans="1:1" x14ac:dyDescent="0.25">
      <c r="A1276" s="84" t="str">
        <f t="shared" si="19"/>
        <v>__</v>
      </c>
    </row>
    <row r="1277" spans="1:1" x14ac:dyDescent="0.25">
      <c r="A1277" s="84" t="str">
        <f t="shared" si="19"/>
        <v>__</v>
      </c>
    </row>
    <row r="1278" spans="1:1" x14ac:dyDescent="0.25">
      <c r="A1278" s="84" t="str">
        <f t="shared" si="19"/>
        <v>__</v>
      </c>
    </row>
    <row r="1279" spans="1:1" x14ac:dyDescent="0.25">
      <c r="A1279" s="84" t="str">
        <f t="shared" si="19"/>
        <v>__</v>
      </c>
    </row>
    <row r="1280" spans="1:1" x14ac:dyDescent="0.25">
      <c r="A1280" s="84" t="str">
        <f t="shared" si="19"/>
        <v>__</v>
      </c>
    </row>
    <row r="1281" spans="1:1" x14ac:dyDescent="0.25">
      <c r="A1281" s="84" t="str">
        <f t="shared" si="19"/>
        <v>__</v>
      </c>
    </row>
    <row r="1282" spans="1:1" x14ac:dyDescent="0.25">
      <c r="A1282" s="84" t="str">
        <f t="shared" si="19"/>
        <v>__</v>
      </c>
    </row>
    <row r="1283" spans="1:1" x14ac:dyDescent="0.25">
      <c r="A1283" s="84" t="str">
        <f t="shared" ref="A1283:A1346" si="20">B1283&amp;"_"&amp;C1283&amp;"_"&amp;D1283</f>
        <v>__</v>
      </c>
    </row>
    <row r="1284" spans="1:1" x14ac:dyDescent="0.25">
      <c r="A1284" s="84" t="str">
        <f t="shared" si="20"/>
        <v>__</v>
      </c>
    </row>
    <row r="1285" spans="1:1" x14ac:dyDescent="0.25">
      <c r="A1285" s="84" t="str">
        <f t="shared" si="20"/>
        <v>__</v>
      </c>
    </row>
    <row r="1286" spans="1:1" x14ac:dyDescent="0.25">
      <c r="A1286" s="84" t="str">
        <f t="shared" si="20"/>
        <v>__</v>
      </c>
    </row>
    <row r="1287" spans="1:1" x14ac:dyDescent="0.25">
      <c r="A1287" s="84" t="str">
        <f t="shared" si="20"/>
        <v>__</v>
      </c>
    </row>
    <row r="1288" spans="1:1" x14ac:dyDescent="0.25">
      <c r="A1288" s="84" t="str">
        <f t="shared" si="20"/>
        <v>__</v>
      </c>
    </row>
    <row r="1289" spans="1:1" x14ac:dyDescent="0.25">
      <c r="A1289" s="84" t="str">
        <f t="shared" si="20"/>
        <v>__</v>
      </c>
    </row>
    <row r="1290" spans="1:1" x14ac:dyDescent="0.25">
      <c r="A1290" s="84" t="str">
        <f t="shared" si="20"/>
        <v>__</v>
      </c>
    </row>
    <row r="1291" spans="1:1" x14ac:dyDescent="0.25">
      <c r="A1291" s="84" t="str">
        <f t="shared" si="20"/>
        <v>__</v>
      </c>
    </row>
    <row r="1292" spans="1:1" x14ac:dyDescent="0.25">
      <c r="A1292" s="84" t="str">
        <f t="shared" si="20"/>
        <v>__</v>
      </c>
    </row>
    <row r="1293" spans="1:1" x14ac:dyDescent="0.25">
      <c r="A1293" s="84" t="str">
        <f t="shared" si="20"/>
        <v>__</v>
      </c>
    </row>
    <row r="1294" spans="1:1" x14ac:dyDescent="0.25">
      <c r="A1294" s="84" t="str">
        <f t="shared" si="20"/>
        <v>__</v>
      </c>
    </row>
    <row r="1295" spans="1:1" x14ac:dyDescent="0.25">
      <c r="A1295" s="84" t="str">
        <f t="shared" si="20"/>
        <v>__</v>
      </c>
    </row>
    <row r="1296" spans="1:1" x14ac:dyDescent="0.25">
      <c r="A1296" s="84" t="str">
        <f t="shared" si="20"/>
        <v>__</v>
      </c>
    </row>
    <row r="1297" spans="1:1" x14ac:dyDescent="0.25">
      <c r="A1297" s="84" t="str">
        <f t="shared" si="20"/>
        <v>__</v>
      </c>
    </row>
    <row r="1298" spans="1:1" x14ac:dyDescent="0.25">
      <c r="A1298" s="84" t="str">
        <f t="shared" si="20"/>
        <v>__</v>
      </c>
    </row>
    <row r="1299" spans="1:1" x14ac:dyDescent="0.25">
      <c r="A1299" s="84" t="str">
        <f t="shared" si="20"/>
        <v>__</v>
      </c>
    </row>
    <row r="1300" spans="1:1" x14ac:dyDescent="0.25">
      <c r="A1300" s="84" t="str">
        <f t="shared" si="20"/>
        <v>__</v>
      </c>
    </row>
    <row r="1301" spans="1:1" x14ac:dyDescent="0.25">
      <c r="A1301" s="84" t="str">
        <f t="shared" si="20"/>
        <v>__</v>
      </c>
    </row>
    <row r="1302" spans="1:1" x14ac:dyDescent="0.25">
      <c r="A1302" s="84" t="str">
        <f t="shared" si="20"/>
        <v>__</v>
      </c>
    </row>
    <row r="1303" spans="1:1" x14ac:dyDescent="0.25">
      <c r="A1303" s="84" t="str">
        <f t="shared" si="20"/>
        <v>__</v>
      </c>
    </row>
    <row r="1304" spans="1:1" x14ac:dyDescent="0.25">
      <c r="A1304" s="84" t="str">
        <f t="shared" si="20"/>
        <v>__</v>
      </c>
    </row>
    <row r="1305" spans="1:1" x14ac:dyDescent="0.25">
      <c r="A1305" s="84" t="str">
        <f t="shared" si="20"/>
        <v>__</v>
      </c>
    </row>
    <row r="1306" spans="1:1" x14ac:dyDescent="0.25">
      <c r="A1306" s="84" t="str">
        <f t="shared" si="20"/>
        <v>__</v>
      </c>
    </row>
    <row r="1307" spans="1:1" x14ac:dyDescent="0.25">
      <c r="A1307" s="84" t="str">
        <f t="shared" si="20"/>
        <v>__</v>
      </c>
    </row>
    <row r="1308" spans="1:1" x14ac:dyDescent="0.25">
      <c r="A1308" s="84" t="str">
        <f t="shared" si="20"/>
        <v>__</v>
      </c>
    </row>
    <row r="1309" spans="1:1" x14ac:dyDescent="0.25">
      <c r="A1309" s="84" t="str">
        <f t="shared" si="20"/>
        <v>__</v>
      </c>
    </row>
    <row r="1310" spans="1:1" x14ac:dyDescent="0.25">
      <c r="A1310" s="84" t="str">
        <f t="shared" si="20"/>
        <v>__</v>
      </c>
    </row>
    <row r="1311" spans="1:1" x14ac:dyDescent="0.25">
      <c r="A1311" s="84" t="str">
        <f t="shared" si="20"/>
        <v>__</v>
      </c>
    </row>
    <row r="1312" spans="1:1" x14ac:dyDescent="0.25">
      <c r="A1312" s="84" t="str">
        <f t="shared" si="20"/>
        <v>__</v>
      </c>
    </row>
    <row r="1313" spans="1:1" x14ac:dyDescent="0.25">
      <c r="A1313" s="84" t="str">
        <f t="shared" si="20"/>
        <v>__</v>
      </c>
    </row>
    <row r="1314" spans="1:1" x14ac:dyDescent="0.25">
      <c r="A1314" s="84" t="str">
        <f t="shared" si="20"/>
        <v>__</v>
      </c>
    </row>
    <row r="1315" spans="1:1" x14ac:dyDescent="0.25">
      <c r="A1315" s="84" t="str">
        <f t="shared" si="20"/>
        <v>__</v>
      </c>
    </row>
    <row r="1316" spans="1:1" x14ac:dyDescent="0.25">
      <c r="A1316" s="84" t="str">
        <f t="shared" si="20"/>
        <v>__</v>
      </c>
    </row>
    <row r="1317" spans="1:1" x14ac:dyDescent="0.25">
      <c r="A1317" s="84" t="str">
        <f t="shared" si="20"/>
        <v>__</v>
      </c>
    </row>
    <row r="1318" spans="1:1" x14ac:dyDescent="0.25">
      <c r="A1318" s="84" t="str">
        <f t="shared" si="20"/>
        <v>__</v>
      </c>
    </row>
    <row r="1319" spans="1:1" x14ac:dyDescent="0.25">
      <c r="A1319" s="84" t="str">
        <f t="shared" si="20"/>
        <v>__</v>
      </c>
    </row>
    <row r="1320" spans="1:1" x14ac:dyDescent="0.25">
      <c r="A1320" s="84" t="str">
        <f t="shared" si="20"/>
        <v>__</v>
      </c>
    </row>
    <row r="1321" spans="1:1" x14ac:dyDescent="0.25">
      <c r="A1321" s="84" t="str">
        <f t="shared" si="20"/>
        <v>__</v>
      </c>
    </row>
    <row r="1322" spans="1:1" x14ac:dyDescent="0.25">
      <c r="A1322" s="84" t="str">
        <f t="shared" si="20"/>
        <v>__</v>
      </c>
    </row>
    <row r="1323" spans="1:1" x14ac:dyDescent="0.25">
      <c r="A1323" s="84" t="str">
        <f t="shared" si="20"/>
        <v>__</v>
      </c>
    </row>
    <row r="1324" spans="1:1" x14ac:dyDescent="0.25">
      <c r="A1324" s="84" t="str">
        <f t="shared" si="20"/>
        <v>__</v>
      </c>
    </row>
    <row r="1325" spans="1:1" x14ac:dyDescent="0.25">
      <c r="A1325" s="84" t="str">
        <f t="shared" si="20"/>
        <v>__</v>
      </c>
    </row>
    <row r="1326" spans="1:1" x14ac:dyDescent="0.25">
      <c r="A1326" s="84" t="str">
        <f t="shared" si="20"/>
        <v>__</v>
      </c>
    </row>
    <row r="1327" spans="1:1" x14ac:dyDescent="0.25">
      <c r="A1327" s="84" t="str">
        <f t="shared" si="20"/>
        <v>__</v>
      </c>
    </row>
    <row r="1328" spans="1:1" x14ac:dyDescent="0.25">
      <c r="A1328" s="84" t="str">
        <f t="shared" si="20"/>
        <v>__</v>
      </c>
    </row>
    <row r="1329" spans="1:1" x14ac:dyDescent="0.25">
      <c r="A1329" s="84" t="str">
        <f t="shared" si="20"/>
        <v>__</v>
      </c>
    </row>
    <row r="1330" spans="1:1" x14ac:dyDescent="0.25">
      <c r="A1330" s="84" t="str">
        <f t="shared" si="20"/>
        <v>__</v>
      </c>
    </row>
    <row r="1331" spans="1:1" x14ac:dyDescent="0.25">
      <c r="A1331" s="84" t="str">
        <f t="shared" si="20"/>
        <v>__</v>
      </c>
    </row>
    <row r="1332" spans="1:1" x14ac:dyDescent="0.25">
      <c r="A1332" s="84" t="str">
        <f t="shared" si="20"/>
        <v>__</v>
      </c>
    </row>
    <row r="1333" spans="1:1" x14ac:dyDescent="0.25">
      <c r="A1333" s="84" t="str">
        <f t="shared" si="20"/>
        <v>__</v>
      </c>
    </row>
    <row r="1334" spans="1:1" x14ac:dyDescent="0.25">
      <c r="A1334" s="84" t="str">
        <f t="shared" si="20"/>
        <v>__</v>
      </c>
    </row>
    <row r="1335" spans="1:1" x14ac:dyDescent="0.25">
      <c r="A1335" s="84" t="str">
        <f t="shared" si="20"/>
        <v>__</v>
      </c>
    </row>
    <row r="1336" spans="1:1" x14ac:dyDescent="0.25">
      <c r="A1336" s="84" t="str">
        <f t="shared" si="20"/>
        <v>__</v>
      </c>
    </row>
    <row r="1337" spans="1:1" x14ac:dyDescent="0.25">
      <c r="A1337" s="84" t="str">
        <f t="shared" si="20"/>
        <v>__</v>
      </c>
    </row>
    <row r="1338" spans="1:1" x14ac:dyDescent="0.25">
      <c r="A1338" s="84" t="str">
        <f t="shared" si="20"/>
        <v>__</v>
      </c>
    </row>
    <row r="1339" spans="1:1" x14ac:dyDescent="0.25">
      <c r="A1339" s="84" t="str">
        <f t="shared" si="20"/>
        <v>__</v>
      </c>
    </row>
    <row r="1340" spans="1:1" x14ac:dyDescent="0.25">
      <c r="A1340" s="84" t="str">
        <f t="shared" si="20"/>
        <v>__</v>
      </c>
    </row>
    <row r="1341" spans="1:1" x14ac:dyDescent="0.25">
      <c r="A1341" s="84" t="str">
        <f t="shared" si="20"/>
        <v>__</v>
      </c>
    </row>
    <row r="1342" spans="1:1" x14ac:dyDescent="0.25">
      <c r="A1342" s="84" t="str">
        <f t="shared" si="20"/>
        <v>__</v>
      </c>
    </row>
    <row r="1343" spans="1:1" x14ac:dyDescent="0.25">
      <c r="A1343" s="84" t="str">
        <f t="shared" si="20"/>
        <v>__</v>
      </c>
    </row>
    <row r="1344" spans="1:1" x14ac:dyDescent="0.25">
      <c r="A1344" s="84" t="str">
        <f t="shared" si="20"/>
        <v>__</v>
      </c>
    </row>
    <row r="1345" spans="1:1" x14ac:dyDescent="0.25">
      <c r="A1345" s="84" t="str">
        <f t="shared" si="20"/>
        <v>__</v>
      </c>
    </row>
    <row r="1346" spans="1:1" x14ac:dyDescent="0.25">
      <c r="A1346" s="84" t="str">
        <f t="shared" si="20"/>
        <v>__</v>
      </c>
    </row>
    <row r="1347" spans="1:1" x14ac:dyDescent="0.25">
      <c r="A1347" s="84" t="str">
        <f t="shared" ref="A1347:A1410" si="21">B1347&amp;"_"&amp;C1347&amp;"_"&amp;D1347</f>
        <v>__</v>
      </c>
    </row>
    <row r="1348" spans="1:1" x14ac:dyDescent="0.25">
      <c r="A1348" s="84" t="str">
        <f t="shared" si="21"/>
        <v>__</v>
      </c>
    </row>
    <row r="1349" spans="1:1" x14ac:dyDescent="0.25">
      <c r="A1349" s="84" t="str">
        <f t="shared" si="21"/>
        <v>__</v>
      </c>
    </row>
    <row r="1350" spans="1:1" x14ac:dyDescent="0.25">
      <c r="A1350" s="84" t="str">
        <f t="shared" si="21"/>
        <v>__</v>
      </c>
    </row>
    <row r="1351" spans="1:1" x14ac:dyDescent="0.25">
      <c r="A1351" s="84" t="str">
        <f t="shared" si="21"/>
        <v>__</v>
      </c>
    </row>
    <row r="1352" spans="1:1" x14ac:dyDescent="0.25">
      <c r="A1352" s="84" t="str">
        <f t="shared" si="21"/>
        <v>__</v>
      </c>
    </row>
    <row r="1353" spans="1:1" x14ac:dyDescent="0.25">
      <c r="A1353" s="84" t="str">
        <f t="shared" si="21"/>
        <v>__</v>
      </c>
    </row>
    <row r="1354" spans="1:1" x14ac:dyDescent="0.25">
      <c r="A1354" s="84" t="str">
        <f t="shared" si="21"/>
        <v>__</v>
      </c>
    </row>
    <row r="1355" spans="1:1" x14ac:dyDescent="0.25">
      <c r="A1355" s="84" t="str">
        <f t="shared" si="21"/>
        <v>__</v>
      </c>
    </row>
    <row r="1356" spans="1:1" x14ac:dyDescent="0.25">
      <c r="A1356" s="84" t="str">
        <f t="shared" si="21"/>
        <v>__</v>
      </c>
    </row>
    <row r="1357" spans="1:1" x14ac:dyDescent="0.25">
      <c r="A1357" s="84" t="str">
        <f t="shared" si="21"/>
        <v>__</v>
      </c>
    </row>
    <row r="1358" spans="1:1" x14ac:dyDescent="0.25">
      <c r="A1358" s="84" t="str">
        <f t="shared" si="21"/>
        <v>__</v>
      </c>
    </row>
    <row r="1359" spans="1:1" x14ac:dyDescent="0.25">
      <c r="A1359" s="84" t="str">
        <f t="shared" si="21"/>
        <v>__</v>
      </c>
    </row>
    <row r="1360" spans="1:1" x14ac:dyDescent="0.25">
      <c r="A1360" s="84" t="str">
        <f t="shared" si="21"/>
        <v>__</v>
      </c>
    </row>
    <row r="1361" spans="1:1" x14ac:dyDescent="0.25">
      <c r="A1361" s="84" t="str">
        <f t="shared" si="21"/>
        <v>__</v>
      </c>
    </row>
    <row r="1362" spans="1:1" x14ac:dyDescent="0.25">
      <c r="A1362" s="84" t="str">
        <f t="shared" si="21"/>
        <v>__</v>
      </c>
    </row>
    <row r="1363" spans="1:1" x14ac:dyDescent="0.25">
      <c r="A1363" s="84" t="str">
        <f t="shared" si="21"/>
        <v>__</v>
      </c>
    </row>
    <row r="1364" spans="1:1" x14ac:dyDescent="0.25">
      <c r="A1364" s="84" t="str">
        <f t="shared" si="21"/>
        <v>__</v>
      </c>
    </row>
    <row r="1365" spans="1:1" x14ac:dyDescent="0.25">
      <c r="A1365" s="84" t="str">
        <f t="shared" si="21"/>
        <v>__</v>
      </c>
    </row>
    <row r="1366" spans="1:1" x14ac:dyDescent="0.25">
      <c r="A1366" s="84" t="str">
        <f t="shared" si="21"/>
        <v>__</v>
      </c>
    </row>
    <row r="1367" spans="1:1" x14ac:dyDescent="0.25">
      <c r="A1367" s="84" t="str">
        <f t="shared" si="21"/>
        <v>__</v>
      </c>
    </row>
    <row r="1368" spans="1:1" x14ac:dyDescent="0.25">
      <c r="A1368" s="84" t="str">
        <f t="shared" si="21"/>
        <v>__</v>
      </c>
    </row>
    <row r="1369" spans="1:1" x14ac:dyDescent="0.25">
      <c r="A1369" s="84" t="str">
        <f t="shared" si="21"/>
        <v>__</v>
      </c>
    </row>
    <row r="1370" spans="1:1" x14ac:dyDescent="0.25">
      <c r="A1370" s="84" t="str">
        <f t="shared" si="21"/>
        <v>__</v>
      </c>
    </row>
    <row r="1371" spans="1:1" x14ac:dyDescent="0.25">
      <c r="A1371" s="84" t="str">
        <f t="shared" si="21"/>
        <v>__</v>
      </c>
    </row>
    <row r="1372" spans="1:1" x14ac:dyDescent="0.25">
      <c r="A1372" s="84" t="str">
        <f t="shared" si="21"/>
        <v>__</v>
      </c>
    </row>
    <row r="1373" spans="1:1" x14ac:dyDescent="0.25">
      <c r="A1373" s="84" t="str">
        <f t="shared" si="21"/>
        <v>__</v>
      </c>
    </row>
    <row r="1374" spans="1:1" x14ac:dyDescent="0.25">
      <c r="A1374" s="84" t="str">
        <f t="shared" si="21"/>
        <v>__</v>
      </c>
    </row>
    <row r="1375" spans="1:1" x14ac:dyDescent="0.25">
      <c r="A1375" s="84" t="str">
        <f t="shared" si="21"/>
        <v>__</v>
      </c>
    </row>
    <row r="1376" spans="1:1" x14ac:dyDescent="0.25">
      <c r="A1376" s="84" t="str">
        <f t="shared" si="21"/>
        <v>__</v>
      </c>
    </row>
    <row r="1377" spans="1:1" x14ac:dyDescent="0.25">
      <c r="A1377" s="84" t="str">
        <f t="shared" si="21"/>
        <v>__</v>
      </c>
    </row>
    <row r="1378" spans="1:1" x14ac:dyDescent="0.25">
      <c r="A1378" s="84" t="str">
        <f t="shared" si="21"/>
        <v>__</v>
      </c>
    </row>
    <row r="1379" spans="1:1" x14ac:dyDescent="0.25">
      <c r="A1379" s="84" t="str">
        <f t="shared" si="21"/>
        <v>__</v>
      </c>
    </row>
    <row r="1380" spans="1:1" x14ac:dyDescent="0.25">
      <c r="A1380" s="84" t="str">
        <f t="shared" si="21"/>
        <v>__</v>
      </c>
    </row>
    <row r="1381" spans="1:1" x14ac:dyDescent="0.25">
      <c r="A1381" s="84" t="str">
        <f t="shared" si="21"/>
        <v>__</v>
      </c>
    </row>
    <row r="1382" spans="1:1" x14ac:dyDescent="0.25">
      <c r="A1382" s="84" t="str">
        <f t="shared" si="21"/>
        <v>__</v>
      </c>
    </row>
    <row r="1383" spans="1:1" x14ac:dyDescent="0.25">
      <c r="A1383" s="84" t="str">
        <f t="shared" si="21"/>
        <v>__</v>
      </c>
    </row>
    <row r="1384" spans="1:1" x14ac:dyDescent="0.25">
      <c r="A1384" s="84" t="str">
        <f t="shared" si="21"/>
        <v>__</v>
      </c>
    </row>
    <row r="1385" spans="1:1" x14ac:dyDescent="0.25">
      <c r="A1385" s="84" t="str">
        <f t="shared" si="21"/>
        <v>__</v>
      </c>
    </row>
    <row r="1386" spans="1:1" x14ac:dyDescent="0.25">
      <c r="A1386" s="84" t="str">
        <f t="shared" si="21"/>
        <v>__</v>
      </c>
    </row>
    <row r="1387" spans="1:1" x14ac:dyDescent="0.25">
      <c r="A1387" s="84" t="str">
        <f t="shared" si="21"/>
        <v>__</v>
      </c>
    </row>
    <row r="1388" spans="1:1" x14ac:dyDescent="0.25">
      <c r="A1388" s="84" t="str">
        <f t="shared" si="21"/>
        <v>__</v>
      </c>
    </row>
    <row r="1389" spans="1:1" x14ac:dyDescent="0.25">
      <c r="A1389" s="84" t="str">
        <f t="shared" si="21"/>
        <v>__</v>
      </c>
    </row>
    <row r="1390" spans="1:1" x14ac:dyDescent="0.25">
      <c r="A1390" s="84" t="str">
        <f t="shared" si="21"/>
        <v>__</v>
      </c>
    </row>
    <row r="1391" spans="1:1" x14ac:dyDescent="0.25">
      <c r="A1391" s="84" t="str">
        <f t="shared" si="21"/>
        <v>__</v>
      </c>
    </row>
    <row r="1392" spans="1:1" x14ac:dyDescent="0.25">
      <c r="A1392" s="84" t="str">
        <f t="shared" si="21"/>
        <v>__</v>
      </c>
    </row>
    <row r="1393" spans="1:1" x14ac:dyDescent="0.25">
      <c r="A1393" s="84" t="str">
        <f t="shared" si="21"/>
        <v>__</v>
      </c>
    </row>
    <row r="1394" spans="1:1" x14ac:dyDescent="0.25">
      <c r="A1394" s="84" t="str">
        <f t="shared" si="21"/>
        <v>__</v>
      </c>
    </row>
    <row r="1395" spans="1:1" x14ac:dyDescent="0.25">
      <c r="A1395" s="84" t="str">
        <f t="shared" si="21"/>
        <v>__</v>
      </c>
    </row>
    <row r="1396" spans="1:1" x14ac:dyDescent="0.25">
      <c r="A1396" s="84" t="str">
        <f t="shared" si="21"/>
        <v>__</v>
      </c>
    </row>
    <row r="1397" spans="1:1" x14ac:dyDescent="0.25">
      <c r="A1397" s="84" t="str">
        <f t="shared" si="21"/>
        <v>__</v>
      </c>
    </row>
    <row r="1398" spans="1:1" x14ac:dyDescent="0.25">
      <c r="A1398" s="84" t="str">
        <f t="shared" si="21"/>
        <v>__</v>
      </c>
    </row>
    <row r="1399" spans="1:1" x14ac:dyDescent="0.25">
      <c r="A1399" s="84" t="str">
        <f t="shared" si="21"/>
        <v>__</v>
      </c>
    </row>
    <row r="1400" spans="1:1" x14ac:dyDescent="0.25">
      <c r="A1400" s="84" t="str">
        <f t="shared" si="21"/>
        <v>__</v>
      </c>
    </row>
    <row r="1401" spans="1:1" x14ac:dyDescent="0.25">
      <c r="A1401" s="84" t="str">
        <f t="shared" si="21"/>
        <v>__</v>
      </c>
    </row>
    <row r="1402" spans="1:1" x14ac:dyDescent="0.25">
      <c r="A1402" s="84" t="str">
        <f t="shared" si="21"/>
        <v>__</v>
      </c>
    </row>
    <row r="1403" spans="1:1" x14ac:dyDescent="0.25">
      <c r="A1403" s="84" t="str">
        <f t="shared" si="21"/>
        <v>__</v>
      </c>
    </row>
    <row r="1404" spans="1:1" x14ac:dyDescent="0.25">
      <c r="A1404" s="84" t="str">
        <f t="shared" si="21"/>
        <v>__</v>
      </c>
    </row>
    <row r="1405" spans="1:1" x14ac:dyDescent="0.25">
      <c r="A1405" s="84" t="str">
        <f t="shared" si="21"/>
        <v>__</v>
      </c>
    </row>
    <row r="1406" spans="1:1" x14ac:dyDescent="0.25">
      <c r="A1406" s="84" t="str">
        <f t="shared" si="21"/>
        <v>__</v>
      </c>
    </row>
    <row r="1407" spans="1:1" x14ac:dyDescent="0.25">
      <c r="A1407" s="84" t="str">
        <f t="shared" si="21"/>
        <v>__</v>
      </c>
    </row>
    <row r="1408" spans="1:1" x14ac:dyDescent="0.25">
      <c r="A1408" s="84" t="str">
        <f t="shared" si="21"/>
        <v>__</v>
      </c>
    </row>
    <row r="1409" spans="1:1" x14ac:dyDescent="0.25">
      <c r="A1409" s="84" t="str">
        <f t="shared" si="21"/>
        <v>__</v>
      </c>
    </row>
    <row r="1410" spans="1:1" x14ac:dyDescent="0.25">
      <c r="A1410" s="84" t="str">
        <f t="shared" si="21"/>
        <v>__</v>
      </c>
    </row>
    <row r="1411" spans="1:1" x14ac:dyDescent="0.25">
      <c r="A1411" s="84" t="str">
        <f t="shared" ref="A1411:A1474" si="22">B1411&amp;"_"&amp;C1411&amp;"_"&amp;D1411</f>
        <v>__</v>
      </c>
    </row>
    <row r="1412" spans="1:1" x14ac:dyDescent="0.25">
      <c r="A1412" s="84" t="str">
        <f t="shared" si="22"/>
        <v>__</v>
      </c>
    </row>
    <row r="1413" spans="1:1" x14ac:dyDescent="0.25">
      <c r="A1413" s="84" t="str">
        <f t="shared" si="22"/>
        <v>__</v>
      </c>
    </row>
    <row r="1414" spans="1:1" x14ac:dyDescent="0.25">
      <c r="A1414" s="84" t="str">
        <f t="shared" si="22"/>
        <v>__</v>
      </c>
    </row>
    <row r="1415" spans="1:1" x14ac:dyDescent="0.25">
      <c r="A1415" s="84" t="str">
        <f t="shared" si="22"/>
        <v>__</v>
      </c>
    </row>
    <row r="1416" spans="1:1" x14ac:dyDescent="0.25">
      <c r="A1416" s="84" t="str">
        <f t="shared" si="22"/>
        <v>__</v>
      </c>
    </row>
    <row r="1417" spans="1:1" x14ac:dyDescent="0.25">
      <c r="A1417" s="84" t="str">
        <f t="shared" si="22"/>
        <v>__</v>
      </c>
    </row>
    <row r="1418" spans="1:1" x14ac:dyDescent="0.25">
      <c r="A1418" s="84" t="str">
        <f t="shared" si="22"/>
        <v>__</v>
      </c>
    </row>
    <row r="1419" spans="1:1" x14ac:dyDescent="0.25">
      <c r="A1419" s="84" t="str">
        <f t="shared" si="22"/>
        <v>__</v>
      </c>
    </row>
    <row r="1420" spans="1:1" x14ac:dyDescent="0.25">
      <c r="A1420" s="84" t="str">
        <f t="shared" si="22"/>
        <v>__</v>
      </c>
    </row>
    <row r="1421" spans="1:1" x14ac:dyDescent="0.25">
      <c r="A1421" s="84" t="str">
        <f t="shared" si="22"/>
        <v>__</v>
      </c>
    </row>
    <row r="1422" spans="1:1" x14ac:dyDescent="0.25">
      <c r="A1422" s="84" t="str">
        <f t="shared" si="22"/>
        <v>__</v>
      </c>
    </row>
    <row r="1423" spans="1:1" x14ac:dyDescent="0.25">
      <c r="A1423" s="84" t="str">
        <f t="shared" si="22"/>
        <v>__</v>
      </c>
    </row>
    <row r="1424" spans="1:1" x14ac:dyDescent="0.25">
      <c r="A1424" s="84" t="str">
        <f t="shared" si="22"/>
        <v>__</v>
      </c>
    </row>
    <row r="1425" spans="1:1" x14ac:dyDescent="0.25">
      <c r="A1425" s="84" t="str">
        <f t="shared" si="22"/>
        <v>__</v>
      </c>
    </row>
    <row r="1426" spans="1:1" x14ac:dyDescent="0.25">
      <c r="A1426" s="84" t="str">
        <f t="shared" si="22"/>
        <v>__</v>
      </c>
    </row>
    <row r="1427" spans="1:1" x14ac:dyDescent="0.25">
      <c r="A1427" s="84" t="str">
        <f t="shared" si="22"/>
        <v>__</v>
      </c>
    </row>
    <row r="1428" spans="1:1" x14ac:dyDescent="0.25">
      <c r="A1428" s="84" t="str">
        <f t="shared" si="22"/>
        <v>__</v>
      </c>
    </row>
    <row r="1429" spans="1:1" x14ac:dyDescent="0.25">
      <c r="A1429" s="84" t="str">
        <f t="shared" si="22"/>
        <v>__</v>
      </c>
    </row>
    <row r="1430" spans="1:1" x14ac:dyDescent="0.25">
      <c r="A1430" s="84" t="str">
        <f t="shared" si="22"/>
        <v>__</v>
      </c>
    </row>
    <row r="1431" spans="1:1" x14ac:dyDescent="0.25">
      <c r="A1431" s="84" t="str">
        <f t="shared" si="22"/>
        <v>__</v>
      </c>
    </row>
    <row r="1432" spans="1:1" x14ac:dyDescent="0.25">
      <c r="A1432" s="84" t="str">
        <f t="shared" si="22"/>
        <v>__</v>
      </c>
    </row>
    <row r="1433" spans="1:1" x14ac:dyDescent="0.25">
      <c r="A1433" s="84" t="str">
        <f t="shared" si="22"/>
        <v>__</v>
      </c>
    </row>
    <row r="1434" spans="1:1" x14ac:dyDescent="0.25">
      <c r="A1434" s="84" t="str">
        <f t="shared" si="22"/>
        <v>__</v>
      </c>
    </row>
    <row r="1435" spans="1:1" x14ac:dyDescent="0.25">
      <c r="A1435" s="84" t="str">
        <f t="shared" si="22"/>
        <v>__</v>
      </c>
    </row>
    <row r="1436" spans="1:1" x14ac:dyDescent="0.25">
      <c r="A1436" s="84" t="str">
        <f t="shared" si="22"/>
        <v>__</v>
      </c>
    </row>
    <row r="1437" spans="1:1" x14ac:dyDescent="0.25">
      <c r="A1437" s="84" t="str">
        <f t="shared" si="22"/>
        <v>__</v>
      </c>
    </row>
    <row r="1438" spans="1:1" x14ac:dyDescent="0.25">
      <c r="A1438" s="84" t="str">
        <f t="shared" si="22"/>
        <v>__</v>
      </c>
    </row>
    <row r="1439" spans="1:1" x14ac:dyDescent="0.25">
      <c r="A1439" s="84" t="str">
        <f t="shared" si="22"/>
        <v>__</v>
      </c>
    </row>
    <row r="1440" spans="1:1" x14ac:dyDescent="0.25">
      <c r="A1440" s="84" t="str">
        <f t="shared" si="22"/>
        <v>__</v>
      </c>
    </row>
    <row r="1441" spans="1:1" x14ac:dyDescent="0.25">
      <c r="A1441" s="84" t="str">
        <f t="shared" si="22"/>
        <v>__</v>
      </c>
    </row>
    <row r="1442" spans="1:1" x14ac:dyDescent="0.25">
      <c r="A1442" s="84" t="str">
        <f t="shared" si="22"/>
        <v>__</v>
      </c>
    </row>
    <row r="1443" spans="1:1" x14ac:dyDescent="0.25">
      <c r="A1443" s="84" t="str">
        <f t="shared" si="22"/>
        <v>__</v>
      </c>
    </row>
    <row r="1444" spans="1:1" x14ac:dyDescent="0.25">
      <c r="A1444" s="84" t="str">
        <f t="shared" si="22"/>
        <v>__</v>
      </c>
    </row>
    <row r="1445" spans="1:1" x14ac:dyDescent="0.25">
      <c r="A1445" s="84" t="str">
        <f t="shared" si="22"/>
        <v>__</v>
      </c>
    </row>
    <row r="1446" spans="1:1" x14ac:dyDescent="0.25">
      <c r="A1446" s="84" t="str">
        <f t="shared" si="22"/>
        <v>__</v>
      </c>
    </row>
    <row r="1447" spans="1:1" x14ac:dyDescent="0.25">
      <c r="A1447" s="84" t="str">
        <f t="shared" si="22"/>
        <v>__</v>
      </c>
    </row>
    <row r="1448" spans="1:1" x14ac:dyDescent="0.25">
      <c r="A1448" s="84" t="str">
        <f t="shared" si="22"/>
        <v>__</v>
      </c>
    </row>
    <row r="1449" spans="1:1" x14ac:dyDescent="0.25">
      <c r="A1449" s="84" t="str">
        <f t="shared" si="22"/>
        <v>__</v>
      </c>
    </row>
    <row r="1450" spans="1:1" x14ac:dyDescent="0.25">
      <c r="A1450" s="84" t="str">
        <f t="shared" si="22"/>
        <v>__</v>
      </c>
    </row>
    <row r="1451" spans="1:1" x14ac:dyDescent="0.25">
      <c r="A1451" s="84" t="str">
        <f t="shared" si="22"/>
        <v>__</v>
      </c>
    </row>
    <row r="1452" spans="1:1" x14ac:dyDescent="0.25">
      <c r="A1452" s="84" t="str">
        <f t="shared" si="22"/>
        <v>__</v>
      </c>
    </row>
    <row r="1453" spans="1:1" x14ac:dyDescent="0.25">
      <c r="A1453" s="84" t="str">
        <f t="shared" si="22"/>
        <v>__</v>
      </c>
    </row>
    <row r="1454" spans="1:1" x14ac:dyDescent="0.25">
      <c r="A1454" s="84" t="str">
        <f t="shared" si="22"/>
        <v>__</v>
      </c>
    </row>
    <row r="1455" spans="1:1" x14ac:dyDescent="0.25">
      <c r="A1455" s="84" t="str">
        <f t="shared" si="22"/>
        <v>__</v>
      </c>
    </row>
    <row r="1456" spans="1:1" x14ac:dyDescent="0.25">
      <c r="A1456" s="84" t="str">
        <f t="shared" si="22"/>
        <v>__</v>
      </c>
    </row>
    <row r="1457" spans="1:1" x14ac:dyDescent="0.25">
      <c r="A1457" s="84" t="str">
        <f t="shared" si="22"/>
        <v>__</v>
      </c>
    </row>
    <row r="1458" spans="1:1" x14ac:dyDescent="0.25">
      <c r="A1458" s="84" t="str">
        <f t="shared" si="22"/>
        <v>__</v>
      </c>
    </row>
    <row r="1459" spans="1:1" x14ac:dyDescent="0.25">
      <c r="A1459" s="84" t="str">
        <f t="shared" si="22"/>
        <v>__</v>
      </c>
    </row>
    <row r="1460" spans="1:1" x14ac:dyDescent="0.25">
      <c r="A1460" s="84" t="str">
        <f t="shared" si="22"/>
        <v>__</v>
      </c>
    </row>
    <row r="1461" spans="1:1" x14ac:dyDescent="0.25">
      <c r="A1461" s="84" t="str">
        <f t="shared" si="22"/>
        <v>__</v>
      </c>
    </row>
    <row r="1462" spans="1:1" x14ac:dyDescent="0.25">
      <c r="A1462" s="84" t="str">
        <f t="shared" si="22"/>
        <v>__</v>
      </c>
    </row>
    <row r="1463" spans="1:1" x14ac:dyDescent="0.25">
      <c r="A1463" s="84" t="str">
        <f t="shared" si="22"/>
        <v>__</v>
      </c>
    </row>
    <row r="1464" spans="1:1" x14ac:dyDescent="0.25">
      <c r="A1464" s="84" t="str">
        <f t="shared" si="22"/>
        <v>__</v>
      </c>
    </row>
    <row r="1465" spans="1:1" x14ac:dyDescent="0.25">
      <c r="A1465" s="84" t="str">
        <f t="shared" si="22"/>
        <v>__</v>
      </c>
    </row>
    <row r="1466" spans="1:1" x14ac:dyDescent="0.25">
      <c r="A1466" s="84" t="str">
        <f t="shared" si="22"/>
        <v>__</v>
      </c>
    </row>
    <row r="1467" spans="1:1" x14ac:dyDescent="0.25">
      <c r="A1467" s="84" t="str">
        <f t="shared" si="22"/>
        <v>__</v>
      </c>
    </row>
    <row r="1468" spans="1:1" x14ac:dyDescent="0.25">
      <c r="A1468" s="84" t="str">
        <f t="shared" si="22"/>
        <v>__</v>
      </c>
    </row>
    <row r="1469" spans="1:1" x14ac:dyDescent="0.25">
      <c r="A1469" s="84" t="str">
        <f t="shared" si="22"/>
        <v>__</v>
      </c>
    </row>
    <row r="1470" spans="1:1" x14ac:dyDescent="0.25">
      <c r="A1470" s="84" t="str">
        <f t="shared" si="22"/>
        <v>__</v>
      </c>
    </row>
    <row r="1471" spans="1:1" x14ac:dyDescent="0.25">
      <c r="A1471" s="84" t="str">
        <f t="shared" si="22"/>
        <v>__</v>
      </c>
    </row>
    <row r="1472" spans="1:1" x14ac:dyDescent="0.25">
      <c r="A1472" s="84" t="str">
        <f t="shared" si="22"/>
        <v>__</v>
      </c>
    </row>
    <row r="1473" spans="1:1" x14ac:dyDescent="0.25">
      <c r="A1473" s="84" t="str">
        <f t="shared" si="22"/>
        <v>__</v>
      </c>
    </row>
    <row r="1474" spans="1:1" x14ac:dyDescent="0.25">
      <c r="A1474" s="84" t="str">
        <f t="shared" si="22"/>
        <v>__</v>
      </c>
    </row>
    <row r="1475" spans="1:1" x14ac:dyDescent="0.25">
      <c r="A1475" s="84" t="str">
        <f t="shared" ref="A1475:A1538" si="23">B1475&amp;"_"&amp;C1475&amp;"_"&amp;D1475</f>
        <v>__</v>
      </c>
    </row>
    <row r="1476" spans="1:1" x14ac:dyDescent="0.25">
      <c r="A1476" s="84" t="str">
        <f t="shared" si="23"/>
        <v>__</v>
      </c>
    </row>
    <row r="1477" spans="1:1" x14ac:dyDescent="0.25">
      <c r="A1477" s="84" t="str">
        <f t="shared" si="23"/>
        <v>__</v>
      </c>
    </row>
    <row r="1478" spans="1:1" x14ac:dyDescent="0.25">
      <c r="A1478" s="84" t="str">
        <f t="shared" si="23"/>
        <v>__</v>
      </c>
    </row>
    <row r="1479" spans="1:1" x14ac:dyDescent="0.25">
      <c r="A1479" s="84" t="str">
        <f t="shared" si="23"/>
        <v>__</v>
      </c>
    </row>
    <row r="1480" spans="1:1" x14ac:dyDescent="0.25">
      <c r="A1480" s="84" t="str">
        <f t="shared" si="23"/>
        <v>__</v>
      </c>
    </row>
    <row r="1481" spans="1:1" x14ac:dyDescent="0.25">
      <c r="A1481" s="84" t="str">
        <f t="shared" si="23"/>
        <v>__</v>
      </c>
    </row>
    <row r="1482" spans="1:1" x14ac:dyDescent="0.25">
      <c r="A1482" s="84" t="str">
        <f t="shared" si="23"/>
        <v>__</v>
      </c>
    </row>
    <row r="1483" spans="1:1" x14ac:dyDescent="0.25">
      <c r="A1483" s="84" t="str">
        <f t="shared" si="23"/>
        <v>__</v>
      </c>
    </row>
    <row r="1484" spans="1:1" x14ac:dyDescent="0.25">
      <c r="A1484" s="84" t="str">
        <f t="shared" si="23"/>
        <v>__</v>
      </c>
    </row>
    <row r="1485" spans="1:1" x14ac:dyDescent="0.25">
      <c r="A1485" s="84" t="str">
        <f t="shared" si="23"/>
        <v>__</v>
      </c>
    </row>
    <row r="1486" spans="1:1" x14ac:dyDescent="0.25">
      <c r="A1486" s="84" t="str">
        <f t="shared" si="23"/>
        <v>__</v>
      </c>
    </row>
    <row r="1487" spans="1:1" x14ac:dyDescent="0.25">
      <c r="A1487" s="84" t="str">
        <f t="shared" si="23"/>
        <v>__</v>
      </c>
    </row>
    <row r="1488" spans="1:1" x14ac:dyDescent="0.25">
      <c r="A1488" s="84" t="str">
        <f t="shared" si="23"/>
        <v>__</v>
      </c>
    </row>
    <row r="1489" spans="1:1" x14ac:dyDescent="0.25">
      <c r="A1489" s="84" t="str">
        <f t="shared" si="23"/>
        <v>__</v>
      </c>
    </row>
    <row r="1490" spans="1:1" x14ac:dyDescent="0.25">
      <c r="A1490" s="84" t="str">
        <f t="shared" si="23"/>
        <v>__</v>
      </c>
    </row>
    <row r="1491" spans="1:1" x14ac:dyDescent="0.25">
      <c r="A1491" s="84" t="str">
        <f t="shared" si="23"/>
        <v>__</v>
      </c>
    </row>
    <row r="1492" spans="1:1" x14ac:dyDescent="0.25">
      <c r="A1492" s="84" t="str">
        <f t="shared" si="23"/>
        <v>__</v>
      </c>
    </row>
    <row r="1493" spans="1:1" x14ac:dyDescent="0.25">
      <c r="A1493" s="84" t="str">
        <f t="shared" si="23"/>
        <v>__</v>
      </c>
    </row>
    <row r="1494" spans="1:1" x14ac:dyDescent="0.25">
      <c r="A1494" s="84" t="str">
        <f t="shared" si="23"/>
        <v>__</v>
      </c>
    </row>
    <row r="1495" spans="1:1" x14ac:dyDescent="0.25">
      <c r="A1495" s="84" t="str">
        <f t="shared" si="23"/>
        <v>__</v>
      </c>
    </row>
    <row r="1496" spans="1:1" x14ac:dyDescent="0.25">
      <c r="A1496" s="84" t="str">
        <f t="shared" si="23"/>
        <v>__</v>
      </c>
    </row>
    <row r="1497" spans="1:1" x14ac:dyDescent="0.25">
      <c r="A1497" s="84" t="str">
        <f t="shared" si="23"/>
        <v>__</v>
      </c>
    </row>
    <row r="1498" spans="1:1" x14ac:dyDescent="0.25">
      <c r="A1498" s="84" t="str">
        <f t="shared" si="23"/>
        <v>__</v>
      </c>
    </row>
    <row r="1499" spans="1:1" x14ac:dyDescent="0.25">
      <c r="A1499" s="84" t="str">
        <f t="shared" si="23"/>
        <v>__</v>
      </c>
    </row>
    <row r="1500" spans="1:1" x14ac:dyDescent="0.25">
      <c r="A1500" s="84" t="str">
        <f t="shared" si="23"/>
        <v>__</v>
      </c>
    </row>
    <row r="1501" spans="1:1" x14ac:dyDescent="0.25">
      <c r="A1501" s="84" t="str">
        <f t="shared" si="23"/>
        <v>__</v>
      </c>
    </row>
    <row r="1502" spans="1:1" x14ac:dyDescent="0.25">
      <c r="A1502" s="84" t="str">
        <f t="shared" si="23"/>
        <v>__</v>
      </c>
    </row>
    <row r="1503" spans="1:1" x14ac:dyDescent="0.25">
      <c r="A1503" s="84" t="str">
        <f t="shared" si="23"/>
        <v>__</v>
      </c>
    </row>
    <row r="1504" spans="1:1" x14ac:dyDescent="0.25">
      <c r="A1504" s="84" t="str">
        <f t="shared" si="23"/>
        <v>__</v>
      </c>
    </row>
    <row r="1505" spans="1:1" x14ac:dyDescent="0.25">
      <c r="A1505" s="84" t="str">
        <f t="shared" si="23"/>
        <v>__</v>
      </c>
    </row>
    <row r="1506" spans="1:1" x14ac:dyDescent="0.25">
      <c r="A1506" s="84" t="str">
        <f t="shared" si="23"/>
        <v>__</v>
      </c>
    </row>
    <row r="1507" spans="1:1" x14ac:dyDescent="0.25">
      <c r="A1507" s="84" t="str">
        <f t="shared" si="23"/>
        <v>__</v>
      </c>
    </row>
    <row r="1508" spans="1:1" x14ac:dyDescent="0.25">
      <c r="A1508" s="84" t="str">
        <f t="shared" si="23"/>
        <v>__</v>
      </c>
    </row>
    <row r="1509" spans="1:1" x14ac:dyDescent="0.25">
      <c r="A1509" s="84" t="str">
        <f t="shared" si="23"/>
        <v>__</v>
      </c>
    </row>
    <row r="1510" spans="1:1" x14ac:dyDescent="0.25">
      <c r="A1510" s="84" t="str">
        <f t="shared" si="23"/>
        <v>__</v>
      </c>
    </row>
    <row r="1511" spans="1:1" x14ac:dyDescent="0.25">
      <c r="A1511" s="84" t="str">
        <f t="shared" si="23"/>
        <v>__</v>
      </c>
    </row>
    <row r="1512" spans="1:1" x14ac:dyDescent="0.25">
      <c r="A1512" s="84" t="str">
        <f t="shared" si="23"/>
        <v>__</v>
      </c>
    </row>
    <row r="1513" spans="1:1" x14ac:dyDescent="0.25">
      <c r="A1513" s="84" t="str">
        <f t="shared" si="23"/>
        <v>__</v>
      </c>
    </row>
    <row r="1514" spans="1:1" x14ac:dyDescent="0.25">
      <c r="A1514" s="84" t="str">
        <f t="shared" si="23"/>
        <v>__</v>
      </c>
    </row>
    <row r="1515" spans="1:1" x14ac:dyDescent="0.25">
      <c r="A1515" s="84" t="str">
        <f t="shared" si="23"/>
        <v>__</v>
      </c>
    </row>
    <row r="1516" spans="1:1" x14ac:dyDescent="0.25">
      <c r="A1516" s="84" t="str">
        <f t="shared" si="23"/>
        <v>__</v>
      </c>
    </row>
    <row r="1517" spans="1:1" x14ac:dyDescent="0.25">
      <c r="A1517" s="84" t="str">
        <f t="shared" si="23"/>
        <v>__</v>
      </c>
    </row>
    <row r="1518" spans="1:1" x14ac:dyDescent="0.25">
      <c r="A1518" s="84" t="str">
        <f t="shared" si="23"/>
        <v>__</v>
      </c>
    </row>
    <row r="1519" spans="1:1" x14ac:dyDescent="0.25">
      <c r="A1519" s="84" t="str">
        <f t="shared" si="23"/>
        <v>__</v>
      </c>
    </row>
    <row r="1520" spans="1:1" x14ac:dyDescent="0.25">
      <c r="A1520" s="84" t="str">
        <f t="shared" si="23"/>
        <v>__</v>
      </c>
    </row>
    <row r="1521" spans="1:1" x14ac:dyDescent="0.25">
      <c r="A1521" s="84" t="str">
        <f t="shared" si="23"/>
        <v>__</v>
      </c>
    </row>
    <row r="1522" spans="1:1" x14ac:dyDescent="0.25">
      <c r="A1522" s="84" t="str">
        <f t="shared" si="23"/>
        <v>__</v>
      </c>
    </row>
    <row r="1523" spans="1:1" x14ac:dyDescent="0.25">
      <c r="A1523" s="84" t="str">
        <f t="shared" si="23"/>
        <v>__</v>
      </c>
    </row>
    <row r="1524" spans="1:1" x14ac:dyDescent="0.25">
      <c r="A1524" s="84" t="str">
        <f t="shared" si="23"/>
        <v>__</v>
      </c>
    </row>
    <row r="1525" spans="1:1" x14ac:dyDescent="0.25">
      <c r="A1525" s="84" t="str">
        <f t="shared" si="23"/>
        <v>__</v>
      </c>
    </row>
    <row r="1526" spans="1:1" x14ac:dyDescent="0.25">
      <c r="A1526" s="84" t="str">
        <f t="shared" si="23"/>
        <v>__</v>
      </c>
    </row>
    <row r="1527" spans="1:1" x14ac:dyDescent="0.25">
      <c r="A1527" s="84" t="str">
        <f t="shared" si="23"/>
        <v>__</v>
      </c>
    </row>
    <row r="1528" spans="1:1" x14ac:dyDescent="0.25">
      <c r="A1528" s="84" t="str">
        <f t="shared" si="23"/>
        <v>__</v>
      </c>
    </row>
    <row r="1529" spans="1:1" x14ac:dyDescent="0.25">
      <c r="A1529" s="84" t="str">
        <f t="shared" si="23"/>
        <v>__</v>
      </c>
    </row>
    <row r="1530" spans="1:1" x14ac:dyDescent="0.25">
      <c r="A1530" s="84" t="str">
        <f t="shared" si="23"/>
        <v>__</v>
      </c>
    </row>
    <row r="1531" spans="1:1" x14ac:dyDescent="0.25">
      <c r="A1531" s="84" t="str">
        <f t="shared" si="23"/>
        <v>__</v>
      </c>
    </row>
    <row r="1532" spans="1:1" x14ac:dyDescent="0.25">
      <c r="A1532" s="84" t="str">
        <f t="shared" si="23"/>
        <v>__</v>
      </c>
    </row>
    <row r="1533" spans="1:1" x14ac:dyDescent="0.25">
      <c r="A1533" s="84" t="str">
        <f t="shared" si="23"/>
        <v>__</v>
      </c>
    </row>
    <row r="1534" spans="1:1" x14ac:dyDescent="0.25">
      <c r="A1534" s="84" t="str">
        <f t="shared" si="23"/>
        <v>__</v>
      </c>
    </row>
    <row r="1535" spans="1:1" x14ac:dyDescent="0.25">
      <c r="A1535" s="84" t="str">
        <f t="shared" si="23"/>
        <v>__</v>
      </c>
    </row>
    <row r="1536" spans="1:1" x14ac:dyDescent="0.25">
      <c r="A1536" s="84" t="str">
        <f t="shared" si="23"/>
        <v>__</v>
      </c>
    </row>
    <row r="1537" spans="1:1" x14ac:dyDescent="0.25">
      <c r="A1537" s="84" t="str">
        <f t="shared" si="23"/>
        <v>__</v>
      </c>
    </row>
    <row r="1538" spans="1:1" x14ac:dyDescent="0.25">
      <c r="A1538" s="84" t="str">
        <f t="shared" si="23"/>
        <v>__</v>
      </c>
    </row>
    <row r="1539" spans="1:1" x14ac:dyDescent="0.25">
      <c r="A1539" s="84" t="str">
        <f t="shared" ref="A1539:A1602" si="24">B1539&amp;"_"&amp;C1539&amp;"_"&amp;D1539</f>
        <v>__</v>
      </c>
    </row>
    <row r="1540" spans="1:1" x14ac:dyDescent="0.25">
      <c r="A1540" s="84" t="str">
        <f t="shared" si="24"/>
        <v>__</v>
      </c>
    </row>
    <row r="1541" spans="1:1" x14ac:dyDescent="0.25">
      <c r="A1541" s="84" t="str">
        <f t="shared" si="24"/>
        <v>__</v>
      </c>
    </row>
    <row r="1542" spans="1:1" x14ac:dyDescent="0.25">
      <c r="A1542" s="84" t="str">
        <f t="shared" si="24"/>
        <v>__</v>
      </c>
    </row>
    <row r="1543" spans="1:1" x14ac:dyDescent="0.25">
      <c r="A1543" s="84" t="str">
        <f t="shared" si="24"/>
        <v>__</v>
      </c>
    </row>
    <row r="1544" spans="1:1" x14ac:dyDescent="0.25">
      <c r="A1544" s="84" t="str">
        <f t="shared" si="24"/>
        <v>__</v>
      </c>
    </row>
    <row r="1545" spans="1:1" x14ac:dyDescent="0.25">
      <c r="A1545" s="84" t="str">
        <f t="shared" si="24"/>
        <v>__</v>
      </c>
    </row>
    <row r="1546" spans="1:1" x14ac:dyDescent="0.25">
      <c r="A1546" s="84" t="str">
        <f t="shared" si="24"/>
        <v>__</v>
      </c>
    </row>
    <row r="1547" spans="1:1" x14ac:dyDescent="0.25">
      <c r="A1547" s="84" t="str">
        <f t="shared" si="24"/>
        <v>__</v>
      </c>
    </row>
    <row r="1548" spans="1:1" x14ac:dyDescent="0.25">
      <c r="A1548" s="84" t="str">
        <f t="shared" si="24"/>
        <v>__</v>
      </c>
    </row>
    <row r="1549" spans="1:1" x14ac:dyDescent="0.25">
      <c r="A1549" s="84" t="str">
        <f t="shared" si="24"/>
        <v>__</v>
      </c>
    </row>
    <row r="1550" spans="1:1" x14ac:dyDescent="0.25">
      <c r="A1550" s="84" t="str">
        <f t="shared" si="24"/>
        <v>__</v>
      </c>
    </row>
    <row r="1551" spans="1:1" x14ac:dyDescent="0.25">
      <c r="A1551" s="84" t="str">
        <f t="shared" si="24"/>
        <v>__</v>
      </c>
    </row>
    <row r="1552" spans="1:1" x14ac:dyDescent="0.25">
      <c r="A1552" s="84" t="str">
        <f t="shared" si="24"/>
        <v>__</v>
      </c>
    </row>
    <row r="1553" spans="1:1" x14ac:dyDescent="0.25">
      <c r="A1553" s="84" t="str">
        <f t="shared" si="24"/>
        <v>__</v>
      </c>
    </row>
    <row r="1554" spans="1:1" x14ac:dyDescent="0.25">
      <c r="A1554" s="84" t="str">
        <f t="shared" si="24"/>
        <v>__</v>
      </c>
    </row>
    <row r="1555" spans="1:1" x14ac:dyDescent="0.25">
      <c r="A1555" s="84" t="str">
        <f t="shared" si="24"/>
        <v>__</v>
      </c>
    </row>
    <row r="1556" spans="1:1" x14ac:dyDescent="0.25">
      <c r="A1556" s="84" t="str">
        <f t="shared" si="24"/>
        <v>__</v>
      </c>
    </row>
    <row r="1557" spans="1:1" x14ac:dyDescent="0.25">
      <c r="A1557" s="84" t="str">
        <f t="shared" si="24"/>
        <v>__</v>
      </c>
    </row>
    <row r="1558" spans="1:1" x14ac:dyDescent="0.25">
      <c r="A1558" s="84" t="str">
        <f t="shared" si="24"/>
        <v>__</v>
      </c>
    </row>
    <row r="1559" spans="1:1" x14ac:dyDescent="0.25">
      <c r="A1559" s="84" t="str">
        <f t="shared" si="24"/>
        <v>__</v>
      </c>
    </row>
    <row r="1560" spans="1:1" x14ac:dyDescent="0.25">
      <c r="A1560" s="84" t="str">
        <f t="shared" si="24"/>
        <v>__</v>
      </c>
    </row>
    <row r="1561" spans="1:1" x14ac:dyDescent="0.25">
      <c r="A1561" s="84" t="str">
        <f t="shared" si="24"/>
        <v>__</v>
      </c>
    </row>
    <row r="1562" spans="1:1" x14ac:dyDescent="0.25">
      <c r="A1562" s="84" t="str">
        <f t="shared" si="24"/>
        <v>__</v>
      </c>
    </row>
    <row r="1563" spans="1:1" x14ac:dyDescent="0.25">
      <c r="A1563" s="84" t="str">
        <f t="shared" si="24"/>
        <v>__</v>
      </c>
    </row>
    <row r="1564" spans="1:1" x14ac:dyDescent="0.25">
      <c r="A1564" s="84" t="str">
        <f t="shared" si="24"/>
        <v>__</v>
      </c>
    </row>
    <row r="1565" spans="1:1" x14ac:dyDescent="0.25">
      <c r="A1565" s="84" t="str">
        <f t="shared" si="24"/>
        <v>__</v>
      </c>
    </row>
    <row r="1566" spans="1:1" x14ac:dyDescent="0.25">
      <c r="A1566" s="84" t="str">
        <f t="shared" si="24"/>
        <v>__</v>
      </c>
    </row>
    <row r="1567" spans="1:1" x14ac:dyDescent="0.25">
      <c r="A1567" s="84" t="str">
        <f t="shared" si="24"/>
        <v>__</v>
      </c>
    </row>
    <row r="1568" spans="1:1" x14ac:dyDescent="0.25">
      <c r="A1568" s="84" t="str">
        <f t="shared" si="24"/>
        <v>__</v>
      </c>
    </row>
    <row r="1569" spans="1:1" x14ac:dyDescent="0.25">
      <c r="A1569" s="84" t="str">
        <f t="shared" si="24"/>
        <v>__</v>
      </c>
    </row>
    <row r="1570" spans="1:1" x14ac:dyDescent="0.25">
      <c r="A1570" s="84" t="str">
        <f t="shared" si="24"/>
        <v>__</v>
      </c>
    </row>
    <row r="1571" spans="1:1" x14ac:dyDescent="0.25">
      <c r="A1571" s="84" t="str">
        <f t="shared" si="24"/>
        <v>__</v>
      </c>
    </row>
    <row r="1572" spans="1:1" x14ac:dyDescent="0.25">
      <c r="A1572" s="84" t="str">
        <f t="shared" si="24"/>
        <v>__</v>
      </c>
    </row>
    <row r="1573" spans="1:1" x14ac:dyDescent="0.25">
      <c r="A1573" s="84" t="str">
        <f t="shared" si="24"/>
        <v>__</v>
      </c>
    </row>
    <row r="1574" spans="1:1" x14ac:dyDescent="0.25">
      <c r="A1574" s="84" t="str">
        <f t="shared" si="24"/>
        <v>__</v>
      </c>
    </row>
    <row r="1575" spans="1:1" x14ac:dyDescent="0.25">
      <c r="A1575" s="84" t="str">
        <f t="shared" si="24"/>
        <v>__</v>
      </c>
    </row>
    <row r="1576" spans="1:1" x14ac:dyDescent="0.25">
      <c r="A1576" s="84" t="str">
        <f t="shared" si="24"/>
        <v>__</v>
      </c>
    </row>
    <row r="1577" spans="1:1" x14ac:dyDescent="0.25">
      <c r="A1577" s="84" t="str">
        <f t="shared" si="24"/>
        <v>__</v>
      </c>
    </row>
    <row r="1578" spans="1:1" x14ac:dyDescent="0.25">
      <c r="A1578" s="84" t="str">
        <f t="shared" si="24"/>
        <v>__</v>
      </c>
    </row>
    <row r="1579" spans="1:1" x14ac:dyDescent="0.25">
      <c r="A1579" s="84" t="str">
        <f t="shared" si="24"/>
        <v>__</v>
      </c>
    </row>
    <row r="1580" spans="1:1" x14ac:dyDescent="0.25">
      <c r="A1580" s="84" t="str">
        <f t="shared" si="24"/>
        <v>__</v>
      </c>
    </row>
    <row r="1581" spans="1:1" x14ac:dyDescent="0.25">
      <c r="A1581" s="84" t="str">
        <f t="shared" si="24"/>
        <v>__</v>
      </c>
    </row>
    <row r="1582" spans="1:1" x14ac:dyDescent="0.25">
      <c r="A1582" s="84" t="str">
        <f t="shared" si="24"/>
        <v>__</v>
      </c>
    </row>
    <row r="1583" spans="1:1" x14ac:dyDescent="0.25">
      <c r="A1583" s="84" t="str">
        <f t="shared" si="24"/>
        <v>__</v>
      </c>
    </row>
    <row r="1584" spans="1:1" x14ac:dyDescent="0.25">
      <c r="A1584" s="84" t="str">
        <f t="shared" si="24"/>
        <v>__</v>
      </c>
    </row>
    <row r="1585" spans="1:1" x14ac:dyDescent="0.25">
      <c r="A1585" s="84" t="str">
        <f t="shared" si="24"/>
        <v>__</v>
      </c>
    </row>
    <row r="1586" spans="1:1" x14ac:dyDescent="0.25">
      <c r="A1586" s="84" t="str">
        <f t="shared" si="24"/>
        <v>__</v>
      </c>
    </row>
    <row r="1587" spans="1:1" x14ac:dyDescent="0.25">
      <c r="A1587" s="84" t="str">
        <f t="shared" si="24"/>
        <v>__</v>
      </c>
    </row>
    <row r="1588" spans="1:1" x14ac:dyDescent="0.25">
      <c r="A1588" s="84" t="str">
        <f t="shared" si="24"/>
        <v>__</v>
      </c>
    </row>
    <row r="1589" spans="1:1" x14ac:dyDescent="0.25">
      <c r="A1589" s="84" t="str">
        <f t="shared" si="24"/>
        <v>__</v>
      </c>
    </row>
    <row r="1590" spans="1:1" x14ac:dyDescent="0.25">
      <c r="A1590" s="84" t="str">
        <f t="shared" si="24"/>
        <v>__</v>
      </c>
    </row>
    <row r="1591" spans="1:1" x14ac:dyDescent="0.25">
      <c r="A1591" s="84" t="str">
        <f t="shared" si="24"/>
        <v>__</v>
      </c>
    </row>
    <row r="1592" spans="1:1" x14ac:dyDescent="0.25">
      <c r="A1592" s="84" t="str">
        <f t="shared" si="24"/>
        <v>__</v>
      </c>
    </row>
    <row r="1593" spans="1:1" x14ac:dyDescent="0.25">
      <c r="A1593" s="84" t="str">
        <f t="shared" si="24"/>
        <v>__</v>
      </c>
    </row>
    <row r="1594" spans="1:1" x14ac:dyDescent="0.25">
      <c r="A1594" s="84" t="str">
        <f t="shared" si="24"/>
        <v>__</v>
      </c>
    </row>
    <row r="1595" spans="1:1" x14ac:dyDescent="0.25">
      <c r="A1595" s="84" t="str">
        <f t="shared" si="24"/>
        <v>__</v>
      </c>
    </row>
    <row r="1596" spans="1:1" x14ac:dyDescent="0.25">
      <c r="A1596" s="84" t="str">
        <f t="shared" si="24"/>
        <v>__</v>
      </c>
    </row>
    <row r="1597" spans="1:1" x14ac:dyDescent="0.25">
      <c r="A1597" s="84" t="str">
        <f t="shared" si="24"/>
        <v>__</v>
      </c>
    </row>
    <row r="1598" spans="1:1" x14ac:dyDescent="0.25">
      <c r="A1598" s="84" t="str">
        <f t="shared" si="24"/>
        <v>__</v>
      </c>
    </row>
    <row r="1599" spans="1:1" x14ac:dyDescent="0.25">
      <c r="A1599" s="84" t="str">
        <f t="shared" si="24"/>
        <v>__</v>
      </c>
    </row>
    <row r="1600" spans="1:1" x14ac:dyDescent="0.25">
      <c r="A1600" s="84" t="str">
        <f t="shared" si="24"/>
        <v>__</v>
      </c>
    </row>
    <row r="1601" spans="1:1" x14ac:dyDescent="0.25">
      <c r="A1601" s="84" t="str">
        <f t="shared" si="24"/>
        <v>__</v>
      </c>
    </row>
    <row r="1602" spans="1:1" x14ac:dyDescent="0.25">
      <c r="A1602" s="84" t="str">
        <f t="shared" si="24"/>
        <v>__</v>
      </c>
    </row>
    <row r="1603" spans="1:1" x14ac:dyDescent="0.25">
      <c r="A1603" s="84" t="str">
        <f t="shared" ref="A1603:A1666" si="25">B1603&amp;"_"&amp;C1603&amp;"_"&amp;D1603</f>
        <v>__</v>
      </c>
    </row>
    <row r="1604" spans="1:1" x14ac:dyDescent="0.25">
      <c r="A1604" s="84" t="str">
        <f t="shared" si="25"/>
        <v>__</v>
      </c>
    </row>
    <row r="1605" spans="1:1" x14ac:dyDescent="0.25">
      <c r="A1605" s="84" t="str">
        <f t="shared" si="25"/>
        <v>__</v>
      </c>
    </row>
    <row r="1606" spans="1:1" x14ac:dyDescent="0.25">
      <c r="A1606" s="84" t="str">
        <f t="shared" si="25"/>
        <v>__</v>
      </c>
    </row>
    <row r="1607" spans="1:1" x14ac:dyDescent="0.25">
      <c r="A1607" s="84" t="str">
        <f t="shared" si="25"/>
        <v>__</v>
      </c>
    </row>
    <row r="1608" spans="1:1" x14ac:dyDescent="0.25">
      <c r="A1608" s="84" t="str">
        <f t="shared" si="25"/>
        <v>__</v>
      </c>
    </row>
    <row r="1609" spans="1:1" x14ac:dyDescent="0.25">
      <c r="A1609" s="84" t="str">
        <f t="shared" si="25"/>
        <v>__</v>
      </c>
    </row>
    <row r="1610" spans="1:1" x14ac:dyDescent="0.25">
      <c r="A1610" s="84" t="str">
        <f t="shared" si="25"/>
        <v>__</v>
      </c>
    </row>
    <row r="1611" spans="1:1" x14ac:dyDescent="0.25">
      <c r="A1611" s="84" t="str">
        <f t="shared" si="25"/>
        <v>__</v>
      </c>
    </row>
    <row r="1612" spans="1:1" x14ac:dyDescent="0.25">
      <c r="A1612" s="84" t="str">
        <f t="shared" si="25"/>
        <v>__</v>
      </c>
    </row>
    <row r="1613" spans="1:1" x14ac:dyDescent="0.25">
      <c r="A1613" s="84" t="str">
        <f t="shared" si="25"/>
        <v>__</v>
      </c>
    </row>
    <row r="1614" spans="1:1" x14ac:dyDescent="0.25">
      <c r="A1614" s="84" t="str">
        <f t="shared" si="25"/>
        <v>__</v>
      </c>
    </row>
    <row r="1615" spans="1:1" x14ac:dyDescent="0.25">
      <c r="A1615" s="84" t="str">
        <f t="shared" si="25"/>
        <v>__</v>
      </c>
    </row>
    <row r="1616" spans="1:1" x14ac:dyDescent="0.25">
      <c r="A1616" s="84" t="str">
        <f t="shared" si="25"/>
        <v>__</v>
      </c>
    </row>
    <row r="1617" spans="1:1" x14ac:dyDescent="0.25">
      <c r="A1617" s="84" t="str">
        <f t="shared" si="25"/>
        <v>__</v>
      </c>
    </row>
    <row r="1618" spans="1:1" x14ac:dyDescent="0.25">
      <c r="A1618" s="84" t="str">
        <f t="shared" si="25"/>
        <v>__</v>
      </c>
    </row>
    <row r="1619" spans="1:1" x14ac:dyDescent="0.25">
      <c r="A1619" s="84" t="str">
        <f t="shared" si="25"/>
        <v>__</v>
      </c>
    </row>
    <row r="1620" spans="1:1" x14ac:dyDescent="0.25">
      <c r="A1620" s="84" t="str">
        <f t="shared" si="25"/>
        <v>__</v>
      </c>
    </row>
    <row r="1621" spans="1:1" x14ac:dyDescent="0.25">
      <c r="A1621" s="84" t="str">
        <f t="shared" si="25"/>
        <v>__</v>
      </c>
    </row>
    <row r="1622" spans="1:1" x14ac:dyDescent="0.25">
      <c r="A1622" s="84" t="str">
        <f t="shared" si="25"/>
        <v>__</v>
      </c>
    </row>
    <row r="1623" spans="1:1" x14ac:dyDescent="0.25">
      <c r="A1623" s="84" t="str">
        <f t="shared" si="25"/>
        <v>__</v>
      </c>
    </row>
    <row r="1624" spans="1:1" x14ac:dyDescent="0.25">
      <c r="A1624" s="84" t="str">
        <f t="shared" si="25"/>
        <v>__</v>
      </c>
    </row>
    <row r="1625" spans="1:1" x14ac:dyDescent="0.25">
      <c r="A1625" s="84" t="str">
        <f t="shared" si="25"/>
        <v>__</v>
      </c>
    </row>
    <row r="1626" spans="1:1" x14ac:dyDescent="0.25">
      <c r="A1626" s="84" t="str">
        <f t="shared" si="25"/>
        <v>__</v>
      </c>
    </row>
    <row r="1627" spans="1:1" x14ac:dyDescent="0.25">
      <c r="A1627" s="84" t="str">
        <f t="shared" si="25"/>
        <v>__</v>
      </c>
    </row>
    <row r="1628" spans="1:1" x14ac:dyDescent="0.25">
      <c r="A1628" s="84" t="str">
        <f t="shared" si="25"/>
        <v>__</v>
      </c>
    </row>
    <row r="1629" spans="1:1" x14ac:dyDescent="0.25">
      <c r="A1629" s="84" t="str">
        <f t="shared" si="25"/>
        <v>__</v>
      </c>
    </row>
    <row r="1630" spans="1:1" x14ac:dyDescent="0.25">
      <c r="A1630" s="84" t="str">
        <f t="shared" si="25"/>
        <v>__</v>
      </c>
    </row>
    <row r="1631" spans="1:1" x14ac:dyDescent="0.25">
      <c r="A1631" s="84" t="str">
        <f t="shared" si="25"/>
        <v>__</v>
      </c>
    </row>
    <row r="1632" spans="1:1" x14ac:dyDescent="0.25">
      <c r="A1632" s="84" t="str">
        <f t="shared" si="25"/>
        <v>__</v>
      </c>
    </row>
    <row r="1633" spans="1:1" x14ac:dyDescent="0.25">
      <c r="A1633" s="84" t="str">
        <f t="shared" si="25"/>
        <v>__</v>
      </c>
    </row>
    <row r="1634" spans="1:1" x14ac:dyDescent="0.25">
      <c r="A1634" s="84" t="str">
        <f t="shared" si="25"/>
        <v>__</v>
      </c>
    </row>
    <row r="1635" spans="1:1" x14ac:dyDescent="0.25">
      <c r="A1635" s="84" t="str">
        <f t="shared" si="25"/>
        <v>__</v>
      </c>
    </row>
    <row r="1636" spans="1:1" x14ac:dyDescent="0.25">
      <c r="A1636" s="84" t="str">
        <f t="shared" si="25"/>
        <v>__</v>
      </c>
    </row>
    <row r="1637" spans="1:1" x14ac:dyDescent="0.25">
      <c r="A1637" s="84" t="str">
        <f t="shared" si="25"/>
        <v>__</v>
      </c>
    </row>
    <row r="1638" spans="1:1" x14ac:dyDescent="0.25">
      <c r="A1638" s="84" t="str">
        <f t="shared" si="25"/>
        <v>__</v>
      </c>
    </row>
    <row r="1639" spans="1:1" x14ac:dyDescent="0.25">
      <c r="A1639" s="84" t="str">
        <f t="shared" si="25"/>
        <v>__</v>
      </c>
    </row>
    <row r="1640" spans="1:1" x14ac:dyDescent="0.25">
      <c r="A1640" s="84" t="str">
        <f t="shared" si="25"/>
        <v>__</v>
      </c>
    </row>
    <row r="1641" spans="1:1" x14ac:dyDescent="0.25">
      <c r="A1641" s="84" t="str">
        <f t="shared" si="25"/>
        <v>__</v>
      </c>
    </row>
    <row r="1642" spans="1:1" x14ac:dyDescent="0.25">
      <c r="A1642" s="84" t="str">
        <f t="shared" si="25"/>
        <v>__</v>
      </c>
    </row>
    <row r="1643" spans="1:1" x14ac:dyDescent="0.25">
      <c r="A1643" s="84" t="str">
        <f t="shared" si="25"/>
        <v>__</v>
      </c>
    </row>
    <row r="1644" spans="1:1" x14ac:dyDescent="0.25">
      <c r="A1644" s="84" t="str">
        <f t="shared" si="25"/>
        <v>__</v>
      </c>
    </row>
    <row r="1645" spans="1:1" x14ac:dyDescent="0.25">
      <c r="A1645" s="84" t="str">
        <f t="shared" si="25"/>
        <v>__</v>
      </c>
    </row>
    <row r="1646" spans="1:1" x14ac:dyDescent="0.25">
      <c r="A1646" s="84" t="str">
        <f t="shared" si="25"/>
        <v>__</v>
      </c>
    </row>
    <row r="1647" spans="1:1" x14ac:dyDescent="0.25">
      <c r="A1647" s="84" t="str">
        <f t="shared" si="25"/>
        <v>__</v>
      </c>
    </row>
    <row r="1648" spans="1:1" x14ac:dyDescent="0.25">
      <c r="A1648" s="84" t="str">
        <f t="shared" si="25"/>
        <v>__</v>
      </c>
    </row>
    <row r="1649" spans="1:1" x14ac:dyDescent="0.25">
      <c r="A1649" s="84" t="str">
        <f t="shared" si="25"/>
        <v>__</v>
      </c>
    </row>
    <row r="1650" spans="1:1" x14ac:dyDescent="0.25">
      <c r="A1650" s="84" t="str">
        <f t="shared" si="25"/>
        <v>__</v>
      </c>
    </row>
    <row r="1651" spans="1:1" x14ac:dyDescent="0.25">
      <c r="A1651" s="84" t="str">
        <f t="shared" si="25"/>
        <v>__</v>
      </c>
    </row>
    <row r="1652" spans="1:1" x14ac:dyDescent="0.25">
      <c r="A1652" s="84" t="str">
        <f t="shared" si="25"/>
        <v>__</v>
      </c>
    </row>
    <row r="1653" spans="1:1" x14ac:dyDescent="0.25">
      <c r="A1653" s="84" t="str">
        <f t="shared" si="25"/>
        <v>__</v>
      </c>
    </row>
    <row r="1654" spans="1:1" x14ac:dyDescent="0.25">
      <c r="A1654" s="84" t="str">
        <f t="shared" si="25"/>
        <v>__</v>
      </c>
    </row>
    <row r="1655" spans="1:1" x14ac:dyDescent="0.25">
      <c r="A1655" s="84" t="str">
        <f t="shared" si="25"/>
        <v>__</v>
      </c>
    </row>
    <row r="1656" spans="1:1" x14ac:dyDescent="0.25">
      <c r="A1656" s="84" t="str">
        <f t="shared" si="25"/>
        <v>__</v>
      </c>
    </row>
    <row r="1657" spans="1:1" x14ac:dyDescent="0.25">
      <c r="A1657" s="84" t="str">
        <f t="shared" si="25"/>
        <v>__</v>
      </c>
    </row>
    <row r="1658" spans="1:1" x14ac:dyDescent="0.25">
      <c r="A1658" s="84" t="str">
        <f t="shared" si="25"/>
        <v>__</v>
      </c>
    </row>
    <row r="1659" spans="1:1" x14ac:dyDescent="0.25">
      <c r="A1659" s="84" t="str">
        <f t="shared" si="25"/>
        <v>__</v>
      </c>
    </row>
    <row r="1660" spans="1:1" x14ac:dyDescent="0.25">
      <c r="A1660" s="84" t="str">
        <f t="shared" si="25"/>
        <v>__</v>
      </c>
    </row>
    <row r="1661" spans="1:1" x14ac:dyDescent="0.25">
      <c r="A1661" s="84" t="str">
        <f t="shared" si="25"/>
        <v>__</v>
      </c>
    </row>
    <row r="1662" spans="1:1" x14ac:dyDescent="0.25">
      <c r="A1662" s="84" t="str">
        <f t="shared" si="25"/>
        <v>__</v>
      </c>
    </row>
    <row r="1663" spans="1:1" x14ac:dyDescent="0.25">
      <c r="A1663" s="84" t="str">
        <f t="shared" si="25"/>
        <v>__</v>
      </c>
    </row>
    <row r="1664" spans="1:1" x14ac:dyDescent="0.25">
      <c r="A1664" s="84" t="str">
        <f t="shared" si="25"/>
        <v>__</v>
      </c>
    </row>
    <row r="1665" spans="1:1" x14ac:dyDescent="0.25">
      <c r="A1665" s="84" t="str">
        <f t="shared" si="25"/>
        <v>__</v>
      </c>
    </row>
    <row r="1666" spans="1:1" x14ac:dyDescent="0.25">
      <c r="A1666" s="84" t="str">
        <f t="shared" si="25"/>
        <v>__</v>
      </c>
    </row>
    <row r="1667" spans="1:1" x14ac:dyDescent="0.25">
      <c r="A1667" s="84" t="str">
        <f t="shared" ref="A1667:A1730" si="26">B1667&amp;"_"&amp;C1667&amp;"_"&amp;D1667</f>
        <v>__</v>
      </c>
    </row>
    <row r="1668" spans="1:1" x14ac:dyDescent="0.25">
      <c r="A1668" s="84" t="str">
        <f t="shared" si="26"/>
        <v>__</v>
      </c>
    </row>
    <row r="1669" spans="1:1" x14ac:dyDescent="0.25">
      <c r="A1669" s="84" t="str">
        <f t="shared" si="26"/>
        <v>__</v>
      </c>
    </row>
    <row r="1670" spans="1:1" x14ac:dyDescent="0.25">
      <c r="A1670" s="84" t="str">
        <f t="shared" si="26"/>
        <v>__</v>
      </c>
    </row>
    <row r="1671" spans="1:1" x14ac:dyDescent="0.25">
      <c r="A1671" s="84" t="str">
        <f t="shared" si="26"/>
        <v>__</v>
      </c>
    </row>
    <row r="1672" spans="1:1" x14ac:dyDescent="0.25">
      <c r="A1672" s="84" t="str">
        <f t="shared" si="26"/>
        <v>__</v>
      </c>
    </row>
    <row r="1673" spans="1:1" x14ac:dyDescent="0.25">
      <c r="A1673" s="84" t="str">
        <f t="shared" si="26"/>
        <v>__</v>
      </c>
    </row>
    <row r="1674" spans="1:1" x14ac:dyDescent="0.25">
      <c r="A1674" s="84" t="str">
        <f t="shared" si="26"/>
        <v>__</v>
      </c>
    </row>
    <row r="1675" spans="1:1" x14ac:dyDescent="0.25">
      <c r="A1675" s="84" t="str">
        <f t="shared" si="26"/>
        <v>__</v>
      </c>
    </row>
    <row r="1676" spans="1:1" x14ac:dyDescent="0.25">
      <c r="A1676" s="84" t="str">
        <f t="shared" si="26"/>
        <v>__</v>
      </c>
    </row>
    <row r="1677" spans="1:1" x14ac:dyDescent="0.25">
      <c r="A1677" s="84" t="str">
        <f t="shared" si="26"/>
        <v>__</v>
      </c>
    </row>
    <row r="1678" spans="1:1" x14ac:dyDescent="0.25">
      <c r="A1678" s="84" t="str">
        <f t="shared" si="26"/>
        <v>__</v>
      </c>
    </row>
    <row r="1679" spans="1:1" x14ac:dyDescent="0.25">
      <c r="A1679" s="84" t="str">
        <f t="shared" si="26"/>
        <v>__</v>
      </c>
    </row>
    <row r="1680" spans="1:1" x14ac:dyDescent="0.25">
      <c r="A1680" s="84" t="str">
        <f t="shared" si="26"/>
        <v>__</v>
      </c>
    </row>
    <row r="1681" spans="1:1" x14ac:dyDescent="0.25">
      <c r="A1681" s="84" t="str">
        <f t="shared" si="26"/>
        <v>__</v>
      </c>
    </row>
    <row r="1682" spans="1:1" x14ac:dyDescent="0.25">
      <c r="A1682" s="84" t="str">
        <f t="shared" si="26"/>
        <v>__</v>
      </c>
    </row>
    <row r="1683" spans="1:1" x14ac:dyDescent="0.25">
      <c r="A1683" s="84" t="str">
        <f t="shared" si="26"/>
        <v>__</v>
      </c>
    </row>
    <row r="1684" spans="1:1" x14ac:dyDescent="0.25">
      <c r="A1684" s="84" t="str">
        <f t="shared" si="26"/>
        <v>__</v>
      </c>
    </row>
    <row r="1685" spans="1:1" x14ac:dyDescent="0.25">
      <c r="A1685" s="84" t="str">
        <f t="shared" si="26"/>
        <v>__</v>
      </c>
    </row>
    <row r="1686" spans="1:1" x14ac:dyDescent="0.25">
      <c r="A1686" s="84" t="str">
        <f t="shared" si="26"/>
        <v>__</v>
      </c>
    </row>
    <row r="1687" spans="1:1" x14ac:dyDescent="0.25">
      <c r="A1687" s="84" t="str">
        <f t="shared" si="26"/>
        <v>__</v>
      </c>
    </row>
    <row r="1688" spans="1:1" x14ac:dyDescent="0.25">
      <c r="A1688" s="84" t="str">
        <f t="shared" si="26"/>
        <v>__</v>
      </c>
    </row>
    <row r="1689" spans="1:1" x14ac:dyDescent="0.25">
      <c r="A1689" s="84" t="str">
        <f t="shared" si="26"/>
        <v>__</v>
      </c>
    </row>
    <row r="1690" spans="1:1" x14ac:dyDescent="0.25">
      <c r="A1690" s="84" t="str">
        <f t="shared" si="26"/>
        <v>__</v>
      </c>
    </row>
    <row r="1691" spans="1:1" x14ac:dyDescent="0.25">
      <c r="A1691" s="84" t="str">
        <f t="shared" si="26"/>
        <v>__</v>
      </c>
    </row>
    <row r="1692" spans="1:1" x14ac:dyDescent="0.25">
      <c r="A1692" s="84" t="str">
        <f t="shared" si="26"/>
        <v>__</v>
      </c>
    </row>
    <row r="1693" spans="1:1" x14ac:dyDescent="0.25">
      <c r="A1693" s="84" t="str">
        <f t="shared" si="26"/>
        <v>__</v>
      </c>
    </row>
    <row r="1694" spans="1:1" x14ac:dyDescent="0.25">
      <c r="A1694" s="84" t="str">
        <f t="shared" si="26"/>
        <v>__</v>
      </c>
    </row>
    <row r="1695" spans="1:1" x14ac:dyDescent="0.25">
      <c r="A1695" s="84" t="str">
        <f t="shared" si="26"/>
        <v>__</v>
      </c>
    </row>
    <row r="1696" spans="1:1" x14ac:dyDescent="0.25">
      <c r="A1696" s="84" t="str">
        <f t="shared" si="26"/>
        <v>__</v>
      </c>
    </row>
    <row r="1697" spans="1:1" x14ac:dyDescent="0.25">
      <c r="A1697" s="84" t="str">
        <f t="shared" si="26"/>
        <v>__</v>
      </c>
    </row>
    <row r="1698" spans="1:1" x14ac:dyDescent="0.25">
      <c r="A1698" s="84" t="str">
        <f t="shared" si="26"/>
        <v>__</v>
      </c>
    </row>
    <row r="1699" spans="1:1" x14ac:dyDescent="0.25">
      <c r="A1699" s="84" t="str">
        <f t="shared" si="26"/>
        <v>__</v>
      </c>
    </row>
    <row r="1700" spans="1:1" x14ac:dyDescent="0.25">
      <c r="A1700" s="84" t="str">
        <f t="shared" si="26"/>
        <v>__</v>
      </c>
    </row>
    <row r="1701" spans="1:1" x14ac:dyDescent="0.25">
      <c r="A1701" s="84" t="str">
        <f t="shared" si="26"/>
        <v>__</v>
      </c>
    </row>
    <row r="1702" spans="1:1" x14ac:dyDescent="0.25">
      <c r="A1702" s="84" t="str">
        <f t="shared" si="26"/>
        <v>__</v>
      </c>
    </row>
    <row r="1703" spans="1:1" x14ac:dyDescent="0.25">
      <c r="A1703" s="84" t="str">
        <f t="shared" si="26"/>
        <v>__</v>
      </c>
    </row>
    <row r="1704" spans="1:1" x14ac:dyDescent="0.25">
      <c r="A1704" s="84" t="str">
        <f t="shared" si="26"/>
        <v>__</v>
      </c>
    </row>
    <row r="1705" spans="1:1" x14ac:dyDescent="0.25">
      <c r="A1705" s="84" t="str">
        <f t="shared" si="26"/>
        <v>__</v>
      </c>
    </row>
    <row r="1706" spans="1:1" x14ac:dyDescent="0.25">
      <c r="A1706" s="84" t="str">
        <f t="shared" si="26"/>
        <v>__</v>
      </c>
    </row>
    <row r="1707" spans="1:1" x14ac:dyDescent="0.25">
      <c r="A1707" s="84" t="str">
        <f t="shared" si="26"/>
        <v>__</v>
      </c>
    </row>
    <row r="1708" spans="1:1" x14ac:dyDescent="0.25">
      <c r="A1708" s="84" t="str">
        <f t="shared" si="26"/>
        <v>__</v>
      </c>
    </row>
    <row r="1709" spans="1:1" x14ac:dyDescent="0.25">
      <c r="A1709" s="84" t="str">
        <f t="shared" si="26"/>
        <v>__</v>
      </c>
    </row>
    <row r="1710" spans="1:1" x14ac:dyDescent="0.25">
      <c r="A1710" s="84" t="str">
        <f t="shared" si="26"/>
        <v>__</v>
      </c>
    </row>
    <row r="1711" spans="1:1" x14ac:dyDescent="0.25">
      <c r="A1711" s="84" t="str">
        <f t="shared" si="26"/>
        <v>__</v>
      </c>
    </row>
    <row r="1712" spans="1:1" x14ac:dyDescent="0.25">
      <c r="A1712" s="84" t="str">
        <f t="shared" si="26"/>
        <v>__</v>
      </c>
    </row>
    <row r="1713" spans="1:1" x14ac:dyDescent="0.25">
      <c r="A1713" s="84" t="str">
        <f t="shared" si="26"/>
        <v>__</v>
      </c>
    </row>
    <row r="1714" spans="1:1" x14ac:dyDescent="0.25">
      <c r="A1714" s="84" t="str">
        <f t="shared" si="26"/>
        <v>__</v>
      </c>
    </row>
    <row r="1715" spans="1:1" x14ac:dyDescent="0.25">
      <c r="A1715" s="84" t="str">
        <f t="shared" si="26"/>
        <v>__</v>
      </c>
    </row>
    <row r="1716" spans="1:1" x14ac:dyDescent="0.25">
      <c r="A1716" s="84" t="str">
        <f t="shared" si="26"/>
        <v>__</v>
      </c>
    </row>
    <row r="1717" spans="1:1" x14ac:dyDescent="0.25">
      <c r="A1717" s="84" t="str">
        <f t="shared" si="26"/>
        <v>__</v>
      </c>
    </row>
    <row r="1718" spans="1:1" x14ac:dyDescent="0.25">
      <c r="A1718" s="84" t="str">
        <f t="shared" si="26"/>
        <v>__</v>
      </c>
    </row>
    <row r="1719" spans="1:1" x14ac:dyDescent="0.25">
      <c r="A1719" s="84" t="str">
        <f t="shared" si="26"/>
        <v>__</v>
      </c>
    </row>
    <row r="1720" spans="1:1" x14ac:dyDescent="0.25">
      <c r="A1720" s="84" t="str">
        <f t="shared" si="26"/>
        <v>__</v>
      </c>
    </row>
    <row r="1721" spans="1:1" x14ac:dyDescent="0.25">
      <c r="A1721" s="84" t="str">
        <f t="shared" si="26"/>
        <v>__</v>
      </c>
    </row>
    <row r="1722" spans="1:1" x14ac:dyDescent="0.25">
      <c r="A1722" s="84" t="str">
        <f t="shared" si="26"/>
        <v>__</v>
      </c>
    </row>
    <row r="1723" spans="1:1" x14ac:dyDescent="0.25">
      <c r="A1723" s="84" t="str">
        <f t="shared" si="26"/>
        <v>__</v>
      </c>
    </row>
    <row r="1724" spans="1:1" x14ac:dyDescent="0.25">
      <c r="A1724" s="84" t="str">
        <f t="shared" si="26"/>
        <v>__</v>
      </c>
    </row>
    <row r="1725" spans="1:1" x14ac:dyDescent="0.25">
      <c r="A1725" s="84" t="str">
        <f t="shared" si="26"/>
        <v>__</v>
      </c>
    </row>
    <row r="1726" spans="1:1" x14ac:dyDescent="0.25">
      <c r="A1726" s="84" t="str">
        <f t="shared" si="26"/>
        <v>__</v>
      </c>
    </row>
    <row r="1727" spans="1:1" x14ac:dyDescent="0.25">
      <c r="A1727" s="84" t="str">
        <f t="shared" si="26"/>
        <v>__</v>
      </c>
    </row>
    <row r="1728" spans="1:1" x14ac:dyDescent="0.25">
      <c r="A1728" s="84" t="str">
        <f t="shared" si="26"/>
        <v>__</v>
      </c>
    </row>
    <row r="1729" spans="1:1" x14ac:dyDescent="0.25">
      <c r="A1729" s="84" t="str">
        <f t="shared" si="26"/>
        <v>__</v>
      </c>
    </row>
    <row r="1730" spans="1:1" x14ac:dyDescent="0.25">
      <c r="A1730" s="84" t="str">
        <f t="shared" si="26"/>
        <v>__</v>
      </c>
    </row>
    <row r="1731" spans="1:1" x14ac:dyDescent="0.25">
      <c r="A1731" s="84" t="str">
        <f t="shared" ref="A1731:A1794" si="27">B1731&amp;"_"&amp;C1731&amp;"_"&amp;D1731</f>
        <v>__</v>
      </c>
    </row>
    <row r="1732" spans="1:1" x14ac:dyDescent="0.25">
      <c r="A1732" s="84" t="str">
        <f t="shared" si="27"/>
        <v>__</v>
      </c>
    </row>
    <row r="1733" spans="1:1" x14ac:dyDescent="0.25">
      <c r="A1733" s="84" t="str">
        <f t="shared" si="27"/>
        <v>__</v>
      </c>
    </row>
    <row r="1734" spans="1:1" x14ac:dyDescent="0.25">
      <c r="A1734" s="84" t="str">
        <f t="shared" si="27"/>
        <v>__</v>
      </c>
    </row>
    <row r="1735" spans="1:1" x14ac:dyDescent="0.25">
      <c r="A1735" s="84" t="str">
        <f t="shared" si="27"/>
        <v>__</v>
      </c>
    </row>
    <row r="1736" spans="1:1" x14ac:dyDescent="0.25">
      <c r="A1736" s="84" t="str">
        <f t="shared" si="27"/>
        <v>__</v>
      </c>
    </row>
    <row r="1737" spans="1:1" x14ac:dyDescent="0.25">
      <c r="A1737" s="84" t="str">
        <f t="shared" si="27"/>
        <v>__</v>
      </c>
    </row>
    <row r="1738" spans="1:1" x14ac:dyDescent="0.25">
      <c r="A1738" s="84" t="str">
        <f t="shared" si="27"/>
        <v>__</v>
      </c>
    </row>
    <row r="1739" spans="1:1" x14ac:dyDescent="0.25">
      <c r="A1739" s="84" t="str">
        <f t="shared" si="27"/>
        <v>__</v>
      </c>
    </row>
    <row r="1740" spans="1:1" x14ac:dyDescent="0.25">
      <c r="A1740" s="84" t="str">
        <f t="shared" si="27"/>
        <v>__</v>
      </c>
    </row>
    <row r="1741" spans="1:1" x14ac:dyDescent="0.25">
      <c r="A1741" s="84" t="str">
        <f t="shared" si="27"/>
        <v>__</v>
      </c>
    </row>
    <row r="1742" spans="1:1" x14ac:dyDescent="0.25">
      <c r="A1742" s="84" t="str">
        <f t="shared" si="27"/>
        <v>__</v>
      </c>
    </row>
    <row r="1743" spans="1:1" x14ac:dyDescent="0.25">
      <c r="A1743" s="84" t="str">
        <f t="shared" si="27"/>
        <v>__</v>
      </c>
    </row>
    <row r="1744" spans="1:1" x14ac:dyDescent="0.25">
      <c r="A1744" s="84" t="str">
        <f t="shared" si="27"/>
        <v>__</v>
      </c>
    </row>
    <row r="1745" spans="1:1" x14ac:dyDescent="0.25">
      <c r="A1745" s="84" t="str">
        <f t="shared" si="27"/>
        <v>__</v>
      </c>
    </row>
    <row r="1746" spans="1:1" x14ac:dyDescent="0.25">
      <c r="A1746" s="84" t="str">
        <f t="shared" si="27"/>
        <v>__</v>
      </c>
    </row>
    <row r="1747" spans="1:1" x14ac:dyDescent="0.25">
      <c r="A1747" s="84" t="str">
        <f t="shared" si="27"/>
        <v>__</v>
      </c>
    </row>
    <row r="1748" spans="1:1" x14ac:dyDescent="0.25">
      <c r="A1748" s="84" t="str">
        <f t="shared" si="27"/>
        <v>__</v>
      </c>
    </row>
    <row r="1749" spans="1:1" x14ac:dyDescent="0.25">
      <c r="A1749" s="84" t="str">
        <f t="shared" si="27"/>
        <v>__</v>
      </c>
    </row>
    <row r="1750" spans="1:1" x14ac:dyDescent="0.25">
      <c r="A1750" s="84" t="str">
        <f t="shared" si="27"/>
        <v>__</v>
      </c>
    </row>
    <row r="1751" spans="1:1" x14ac:dyDescent="0.25">
      <c r="A1751" s="84" t="str">
        <f t="shared" si="27"/>
        <v>__</v>
      </c>
    </row>
    <row r="1752" spans="1:1" x14ac:dyDescent="0.25">
      <c r="A1752" s="84" t="str">
        <f t="shared" si="27"/>
        <v>__</v>
      </c>
    </row>
    <row r="1753" spans="1:1" x14ac:dyDescent="0.25">
      <c r="A1753" s="84" t="str">
        <f t="shared" si="27"/>
        <v>__</v>
      </c>
    </row>
    <row r="1754" spans="1:1" x14ac:dyDescent="0.25">
      <c r="A1754" s="84" t="str">
        <f t="shared" si="27"/>
        <v>__</v>
      </c>
    </row>
    <row r="1755" spans="1:1" x14ac:dyDescent="0.25">
      <c r="A1755" s="84" t="str">
        <f t="shared" si="27"/>
        <v>__</v>
      </c>
    </row>
    <row r="1756" spans="1:1" x14ac:dyDescent="0.25">
      <c r="A1756" s="84" t="str">
        <f t="shared" si="27"/>
        <v>__</v>
      </c>
    </row>
    <row r="1757" spans="1:1" x14ac:dyDescent="0.25">
      <c r="A1757" s="84" t="str">
        <f t="shared" si="27"/>
        <v>__</v>
      </c>
    </row>
    <row r="1758" spans="1:1" x14ac:dyDescent="0.25">
      <c r="A1758" s="84" t="str">
        <f t="shared" si="27"/>
        <v>__</v>
      </c>
    </row>
    <row r="1759" spans="1:1" x14ac:dyDescent="0.25">
      <c r="A1759" s="84" t="str">
        <f t="shared" si="27"/>
        <v>__</v>
      </c>
    </row>
    <row r="1760" spans="1:1" x14ac:dyDescent="0.25">
      <c r="A1760" s="84" t="str">
        <f t="shared" si="27"/>
        <v>__</v>
      </c>
    </row>
    <row r="1761" spans="1:1" x14ac:dyDescent="0.25">
      <c r="A1761" s="84" t="str">
        <f t="shared" si="27"/>
        <v>__</v>
      </c>
    </row>
    <row r="1762" spans="1:1" x14ac:dyDescent="0.25">
      <c r="A1762" s="84" t="str">
        <f t="shared" si="27"/>
        <v>__</v>
      </c>
    </row>
    <row r="1763" spans="1:1" x14ac:dyDescent="0.25">
      <c r="A1763" s="84" t="str">
        <f t="shared" si="27"/>
        <v>__</v>
      </c>
    </row>
    <row r="1764" spans="1:1" x14ac:dyDescent="0.25">
      <c r="A1764" s="84" t="str">
        <f t="shared" si="27"/>
        <v>__</v>
      </c>
    </row>
    <row r="1765" spans="1:1" x14ac:dyDescent="0.25">
      <c r="A1765" s="84" t="str">
        <f t="shared" si="27"/>
        <v>__</v>
      </c>
    </row>
    <row r="1766" spans="1:1" x14ac:dyDescent="0.25">
      <c r="A1766" s="84" t="str">
        <f t="shared" si="27"/>
        <v>__</v>
      </c>
    </row>
    <row r="1767" spans="1:1" x14ac:dyDescent="0.25">
      <c r="A1767" s="84" t="str">
        <f t="shared" si="27"/>
        <v>__</v>
      </c>
    </row>
    <row r="1768" spans="1:1" x14ac:dyDescent="0.25">
      <c r="A1768" s="84" t="str">
        <f t="shared" si="27"/>
        <v>__</v>
      </c>
    </row>
    <row r="1769" spans="1:1" x14ac:dyDescent="0.25">
      <c r="A1769" s="84" t="str">
        <f t="shared" si="27"/>
        <v>__</v>
      </c>
    </row>
    <row r="1770" spans="1:1" x14ac:dyDescent="0.25">
      <c r="A1770" s="84" t="str">
        <f t="shared" si="27"/>
        <v>__</v>
      </c>
    </row>
    <row r="1771" spans="1:1" x14ac:dyDescent="0.25">
      <c r="A1771" s="84" t="str">
        <f t="shared" si="27"/>
        <v>__</v>
      </c>
    </row>
    <row r="1772" spans="1:1" x14ac:dyDescent="0.25">
      <c r="A1772" s="84" t="str">
        <f t="shared" si="27"/>
        <v>__</v>
      </c>
    </row>
    <row r="1773" spans="1:1" x14ac:dyDescent="0.25">
      <c r="A1773" s="84" t="str">
        <f t="shared" si="27"/>
        <v>__</v>
      </c>
    </row>
    <row r="1774" spans="1:1" x14ac:dyDescent="0.25">
      <c r="A1774" s="84" t="str">
        <f t="shared" si="27"/>
        <v>__</v>
      </c>
    </row>
    <row r="1775" spans="1:1" x14ac:dyDescent="0.25">
      <c r="A1775" s="84" t="str">
        <f t="shared" si="27"/>
        <v>__</v>
      </c>
    </row>
    <row r="1776" spans="1:1" x14ac:dyDescent="0.25">
      <c r="A1776" s="84" t="str">
        <f t="shared" si="27"/>
        <v>__</v>
      </c>
    </row>
    <row r="1777" spans="1:1" x14ac:dyDescent="0.25">
      <c r="A1777" s="84" t="str">
        <f t="shared" si="27"/>
        <v>__</v>
      </c>
    </row>
    <row r="1778" spans="1:1" x14ac:dyDescent="0.25">
      <c r="A1778" s="84" t="str">
        <f t="shared" si="27"/>
        <v>__</v>
      </c>
    </row>
    <row r="1779" spans="1:1" x14ac:dyDescent="0.25">
      <c r="A1779" s="84" t="str">
        <f t="shared" si="27"/>
        <v>__</v>
      </c>
    </row>
    <row r="1780" spans="1:1" x14ac:dyDescent="0.25">
      <c r="A1780" s="84" t="str">
        <f t="shared" si="27"/>
        <v>__</v>
      </c>
    </row>
    <row r="1781" spans="1:1" x14ac:dyDescent="0.25">
      <c r="A1781" s="84" t="str">
        <f t="shared" si="27"/>
        <v>__</v>
      </c>
    </row>
    <row r="1782" spans="1:1" x14ac:dyDescent="0.25">
      <c r="A1782" s="84" t="str">
        <f t="shared" si="27"/>
        <v>__</v>
      </c>
    </row>
    <row r="1783" spans="1:1" x14ac:dyDescent="0.25">
      <c r="A1783" s="84" t="str">
        <f t="shared" si="27"/>
        <v>__</v>
      </c>
    </row>
    <row r="1784" spans="1:1" x14ac:dyDescent="0.25">
      <c r="A1784" s="84" t="str">
        <f t="shared" si="27"/>
        <v>__</v>
      </c>
    </row>
    <row r="1785" spans="1:1" x14ac:dyDescent="0.25">
      <c r="A1785" s="84" t="str">
        <f t="shared" si="27"/>
        <v>__</v>
      </c>
    </row>
    <row r="1786" spans="1:1" x14ac:dyDescent="0.25">
      <c r="A1786" s="84" t="str">
        <f t="shared" si="27"/>
        <v>__</v>
      </c>
    </row>
    <row r="1787" spans="1:1" x14ac:dyDescent="0.25">
      <c r="A1787" s="84" t="str">
        <f t="shared" si="27"/>
        <v>__</v>
      </c>
    </row>
    <row r="1788" spans="1:1" x14ac:dyDescent="0.25">
      <c r="A1788" s="84" t="str">
        <f t="shared" si="27"/>
        <v>__</v>
      </c>
    </row>
    <row r="1789" spans="1:1" x14ac:dyDescent="0.25">
      <c r="A1789" s="84" t="str">
        <f t="shared" si="27"/>
        <v>__</v>
      </c>
    </row>
    <row r="1790" spans="1:1" x14ac:dyDescent="0.25">
      <c r="A1790" s="84" t="str">
        <f t="shared" si="27"/>
        <v>__</v>
      </c>
    </row>
    <row r="1791" spans="1:1" x14ac:dyDescent="0.25">
      <c r="A1791" s="84" t="str">
        <f t="shared" si="27"/>
        <v>__</v>
      </c>
    </row>
    <row r="1792" spans="1:1" x14ac:dyDescent="0.25">
      <c r="A1792" s="84" t="str">
        <f t="shared" si="27"/>
        <v>__</v>
      </c>
    </row>
    <row r="1793" spans="1:1" x14ac:dyDescent="0.25">
      <c r="A1793" s="84" t="str">
        <f t="shared" si="27"/>
        <v>__</v>
      </c>
    </row>
    <row r="1794" spans="1:1" x14ac:dyDescent="0.25">
      <c r="A1794" s="84" t="str">
        <f t="shared" si="27"/>
        <v>__</v>
      </c>
    </row>
    <row r="1795" spans="1:1" x14ac:dyDescent="0.25">
      <c r="A1795" s="84" t="str">
        <f t="shared" ref="A1795:A1858" si="28">B1795&amp;"_"&amp;C1795&amp;"_"&amp;D1795</f>
        <v>__</v>
      </c>
    </row>
    <row r="1796" spans="1:1" x14ac:dyDescent="0.25">
      <c r="A1796" s="84" t="str">
        <f t="shared" si="28"/>
        <v>__</v>
      </c>
    </row>
    <row r="1797" spans="1:1" x14ac:dyDescent="0.25">
      <c r="A1797" s="84" t="str">
        <f t="shared" si="28"/>
        <v>__</v>
      </c>
    </row>
    <row r="1798" spans="1:1" x14ac:dyDescent="0.25">
      <c r="A1798" s="84" t="str">
        <f t="shared" si="28"/>
        <v>__</v>
      </c>
    </row>
    <row r="1799" spans="1:1" x14ac:dyDescent="0.25">
      <c r="A1799" s="84" t="str">
        <f t="shared" si="28"/>
        <v>__</v>
      </c>
    </row>
    <row r="1800" spans="1:1" x14ac:dyDescent="0.25">
      <c r="A1800" s="84" t="str">
        <f t="shared" si="28"/>
        <v>__</v>
      </c>
    </row>
    <row r="1801" spans="1:1" x14ac:dyDescent="0.25">
      <c r="A1801" s="84" t="str">
        <f t="shared" si="28"/>
        <v>__</v>
      </c>
    </row>
    <row r="1802" spans="1:1" x14ac:dyDescent="0.25">
      <c r="A1802" s="84" t="str">
        <f t="shared" si="28"/>
        <v>__</v>
      </c>
    </row>
    <row r="1803" spans="1:1" x14ac:dyDescent="0.25">
      <c r="A1803" s="84" t="str">
        <f t="shared" si="28"/>
        <v>__</v>
      </c>
    </row>
    <row r="1804" spans="1:1" x14ac:dyDescent="0.25">
      <c r="A1804" s="84" t="str">
        <f t="shared" si="28"/>
        <v>__</v>
      </c>
    </row>
    <row r="1805" spans="1:1" x14ac:dyDescent="0.25">
      <c r="A1805" s="84" t="str">
        <f t="shared" si="28"/>
        <v>__</v>
      </c>
    </row>
    <row r="1806" spans="1:1" x14ac:dyDescent="0.25">
      <c r="A1806" s="84" t="str">
        <f t="shared" si="28"/>
        <v>__</v>
      </c>
    </row>
    <row r="1807" spans="1:1" x14ac:dyDescent="0.25">
      <c r="A1807" s="84" t="str">
        <f t="shared" si="28"/>
        <v>__</v>
      </c>
    </row>
    <row r="1808" spans="1:1" x14ac:dyDescent="0.25">
      <c r="A1808" s="84" t="str">
        <f t="shared" si="28"/>
        <v>__</v>
      </c>
    </row>
    <row r="1809" spans="1:1" x14ac:dyDescent="0.25">
      <c r="A1809" s="84" t="str">
        <f t="shared" si="28"/>
        <v>__</v>
      </c>
    </row>
    <row r="1810" spans="1:1" x14ac:dyDescent="0.25">
      <c r="A1810" s="84" t="str">
        <f t="shared" si="28"/>
        <v>__</v>
      </c>
    </row>
    <row r="1811" spans="1:1" x14ac:dyDescent="0.25">
      <c r="A1811" s="84" t="str">
        <f t="shared" si="28"/>
        <v>__</v>
      </c>
    </row>
    <row r="1812" spans="1:1" x14ac:dyDescent="0.25">
      <c r="A1812" s="84" t="str">
        <f t="shared" si="28"/>
        <v>__</v>
      </c>
    </row>
    <row r="1813" spans="1:1" x14ac:dyDescent="0.25">
      <c r="A1813" s="84" t="str">
        <f t="shared" si="28"/>
        <v>__</v>
      </c>
    </row>
    <row r="1814" spans="1:1" x14ac:dyDescent="0.25">
      <c r="A1814" s="84" t="str">
        <f t="shared" si="28"/>
        <v>__</v>
      </c>
    </row>
    <row r="1815" spans="1:1" x14ac:dyDescent="0.25">
      <c r="A1815" s="84" t="str">
        <f t="shared" si="28"/>
        <v>__</v>
      </c>
    </row>
    <row r="1816" spans="1:1" x14ac:dyDescent="0.25">
      <c r="A1816" s="84" t="str">
        <f t="shared" si="28"/>
        <v>__</v>
      </c>
    </row>
    <row r="1817" spans="1:1" x14ac:dyDescent="0.25">
      <c r="A1817" s="84" t="str">
        <f t="shared" si="28"/>
        <v>__</v>
      </c>
    </row>
    <row r="1818" spans="1:1" x14ac:dyDescent="0.25">
      <c r="A1818" s="84" t="str">
        <f t="shared" si="28"/>
        <v>__</v>
      </c>
    </row>
    <row r="1819" spans="1:1" x14ac:dyDescent="0.25">
      <c r="A1819" s="84" t="str">
        <f t="shared" si="28"/>
        <v>__</v>
      </c>
    </row>
    <row r="1820" spans="1:1" x14ac:dyDescent="0.25">
      <c r="A1820" s="84" t="str">
        <f t="shared" si="28"/>
        <v>__</v>
      </c>
    </row>
    <row r="1821" spans="1:1" x14ac:dyDescent="0.25">
      <c r="A1821" s="84" t="str">
        <f t="shared" si="28"/>
        <v>__</v>
      </c>
    </row>
    <row r="1822" spans="1:1" x14ac:dyDescent="0.25">
      <c r="A1822" s="84" t="str">
        <f t="shared" si="28"/>
        <v>__</v>
      </c>
    </row>
    <row r="1823" spans="1:1" x14ac:dyDescent="0.25">
      <c r="A1823" s="84" t="str">
        <f t="shared" si="28"/>
        <v>__</v>
      </c>
    </row>
    <row r="1824" spans="1:1" x14ac:dyDescent="0.25">
      <c r="A1824" s="84" t="str">
        <f t="shared" si="28"/>
        <v>__</v>
      </c>
    </row>
    <row r="1825" spans="1:1" x14ac:dyDescent="0.25">
      <c r="A1825" s="84" t="str">
        <f t="shared" si="28"/>
        <v>__</v>
      </c>
    </row>
    <row r="1826" spans="1:1" x14ac:dyDescent="0.25">
      <c r="A1826" s="84" t="str">
        <f t="shared" si="28"/>
        <v>__</v>
      </c>
    </row>
    <row r="1827" spans="1:1" x14ac:dyDescent="0.25">
      <c r="A1827" s="84" t="str">
        <f t="shared" si="28"/>
        <v>__</v>
      </c>
    </row>
    <row r="1828" spans="1:1" x14ac:dyDescent="0.25">
      <c r="A1828" s="84" t="str">
        <f t="shared" si="28"/>
        <v>__</v>
      </c>
    </row>
    <row r="1829" spans="1:1" x14ac:dyDescent="0.25">
      <c r="A1829" s="84" t="str">
        <f t="shared" si="28"/>
        <v>__</v>
      </c>
    </row>
    <row r="1830" spans="1:1" x14ac:dyDescent="0.25">
      <c r="A1830" s="84" t="str">
        <f t="shared" si="28"/>
        <v>__</v>
      </c>
    </row>
    <row r="1831" spans="1:1" x14ac:dyDescent="0.25">
      <c r="A1831" s="84" t="str">
        <f t="shared" si="28"/>
        <v>__</v>
      </c>
    </row>
    <row r="1832" spans="1:1" x14ac:dyDescent="0.25">
      <c r="A1832" s="84" t="str">
        <f t="shared" si="28"/>
        <v>__</v>
      </c>
    </row>
    <row r="1833" spans="1:1" x14ac:dyDescent="0.25">
      <c r="A1833" s="84" t="str">
        <f t="shared" si="28"/>
        <v>__</v>
      </c>
    </row>
    <row r="1834" spans="1:1" x14ac:dyDescent="0.25">
      <c r="A1834" s="84" t="str">
        <f t="shared" si="28"/>
        <v>__</v>
      </c>
    </row>
    <row r="1835" spans="1:1" x14ac:dyDescent="0.25">
      <c r="A1835" s="84" t="str">
        <f t="shared" si="28"/>
        <v>__</v>
      </c>
    </row>
    <row r="1836" spans="1:1" x14ac:dyDescent="0.25">
      <c r="A1836" s="84" t="str">
        <f t="shared" si="28"/>
        <v>__</v>
      </c>
    </row>
    <row r="1837" spans="1:1" x14ac:dyDescent="0.25">
      <c r="A1837" s="84" t="str">
        <f t="shared" si="28"/>
        <v>__</v>
      </c>
    </row>
    <row r="1838" spans="1:1" x14ac:dyDescent="0.25">
      <c r="A1838" s="84" t="str">
        <f t="shared" si="28"/>
        <v>__</v>
      </c>
    </row>
    <row r="1839" spans="1:1" x14ac:dyDescent="0.25">
      <c r="A1839" s="84" t="str">
        <f t="shared" si="28"/>
        <v>__</v>
      </c>
    </row>
    <row r="1840" spans="1:1" x14ac:dyDescent="0.25">
      <c r="A1840" s="84" t="str">
        <f t="shared" si="28"/>
        <v>__</v>
      </c>
    </row>
    <row r="1841" spans="1:1" x14ac:dyDescent="0.25">
      <c r="A1841" s="84" t="str">
        <f t="shared" si="28"/>
        <v>__</v>
      </c>
    </row>
    <row r="1842" spans="1:1" x14ac:dyDescent="0.25">
      <c r="A1842" s="84" t="str">
        <f t="shared" si="28"/>
        <v>__</v>
      </c>
    </row>
    <row r="1843" spans="1:1" x14ac:dyDescent="0.25">
      <c r="A1843" s="84" t="str">
        <f t="shared" si="28"/>
        <v>__</v>
      </c>
    </row>
    <row r="1844" spans="1:1" x14ac:dyDescent="0.25">
      <c r="A1844" s="84" t="str">
        <f t="shared" si="28"/>
        <v>__</v>
      </c>
    </row>
    <row r="1845" spans="1:1" x14ac:dyDescent="0.25">
      <c r="A1845" s="84" t="str">
        <f t="shared" si="28"/>
        <v>__</v>
      </c>
    </row>
    <row r="1846" spans="1:1" x14ac:dyDescent="0.25">
      <c r="A1846" s="84" t="str">
        <f t="shared" si="28"/>
        <v>__</v>
      </c>
    </row>
    <row r="1847" spans="1:1" x14ac:dyDescent="0.25">
      <c r="A1847" s="84" t="str">
        <f t="shared" si="28"/>
        <v>__</v>
      </c>
    </row>
    <row r="1848" spans="1:1" x14ac:dyDescent="0.25">
      <c r="A1848" s="84" t="str">
        <f t="shared" si="28"/>
        <v>__</v>
      </c>
    </row>
    <row r="1849" spans="1:1" x14ac:dyDescent="0.25">
      <c r="A1849" s="84" t="str">
        <f t="shared" si="28"/>
        <v>__</v>
      </c>
    </row>
    <row r="1850" spans="1:1" x14ac:dyDescent="0.25">
      <c r="A1850" s="84" t="str">
        <f t="shared" si="28"/>
        <v>__</v>
      </c>
    </row>
    <row r="1851" spans="1:1" x14ac:dyDescent="0.25">
      <c r="A1851" s="84" t="str">
        <f t="shared" si="28"/>
        <v>__</v>
      </c>
    </row>
    <row r="1852" spans="1:1" x14ac:dyDescent="0.25">
      <c r="A1852" s="84" t="str">
        <f t="shared" si="28"/>
        <v>__</v>
      </c>
    </row>
    <row r="1853" spans="1:1" x14ac:dyDescent="0.25">
      <c r="A1853" s="84" t="str">
        <f t="shared" si="28"/>
        <v>__</v>
      </c>
    </row>
    <row r="1854" spans="1:1" x14ac:dyDescent="0.25">
      <c r="A1854" s="84" t="str">
        <f t="shared" si="28"/>
        <v>__</v>
      </c>
    </row>
    <row r="1855" spans="1:1" x14ac:dyDescent="0.25">
      <c r="A1855" s="84" t="str">
        <f t="shared" si="28"/>
        <v>__</v>
      </c>
    </row>
    <row r="1856" spans="1:1" x14ac:dyDescent="0.25">
      <c r="A1856" s="84" t="str">
        <f t="shared" si="28"/>
        <v>__</v>
      </c>
    </row>
    <row r="1857" spans="1:1" x14ac:dyDescent="0.25">
      <c r="A1857" s="84" t="str">
        <f t="shared" si="28"/>
        <v>__</v>
      </c>
    </row>
    <row r="1858" spans="1:1" x14ac:dyDescent="0.25">
      <c r="A1858" s="84" t="str">
        <f t="shared" si="28"/>
        <v>__</v>
      </c>
    </row>
    <row r="1859" spans="1:1" x14ac:dyDescent="0.25">
      <c r="A1859" s="84" t="str">
        <f t="shared" ref="A1859:A1922" si="29">B1859&amp;"_"&amp;C1859&amp;"_"&amp;D1859</f>
        <v>__</v>
      </c>
    </row>
    <row r="1860" spans="1:1" x14ac:dyDescent="0.25">
      <c r="A1860" s="84" t="str">
        <f t="shared" si="29"/>
        <v>__</v>
      </c>
    </row>
    <row r="1861" spans="1:1" x14ac:dyDescent="0.25">
      <c r="A1861" s="84" t="str">
        <f t="shared" si="29"/>
        <v>__</v>
      </c>
    </row>
    <row r="1862" spans="1:1" x14ac:dyDescent="0.25">
      <c r="A1862" s="84" t="str">
        <f t="shared" si="29"/>
        <v>__</v>
      </c>
    </row>
    <row r="1863" spans="1:1" x14ac:dyDescent="0.25">
      <c r="A1863" s="84" t="str">
        <f t="shared" si="29"/>
        <v>__</v>
      </c>
    </row>
    <row r="1864" spans="1:1" x14ac:dyDescent="0.25">
      <c r="A1864" s="84" t="str">
        <f t="shared" si="29"/>
        <v>__</v>
      </c>
    </row>
    <row r="1865" spans="1:1" x14ac:dyDescent="0.25">
      <c r="A1865" s="84" t="str">
        <f t="shared" si="29"/>
        <v>__</v>
      </c>
    </row>
    <row r="1866" spans="1:1" x14ac:dyDescent="0.25">
      <c r="A1866" s="84" t="str">
        <f t="shared" si="29"/>
        <v>__</v>
      </c>
    </row>
    <row r="1867" spans="1:1" x14ac:dyDescent="0.25">
      <c r="A1867" s="84" t="str">
        <f t="shared" si="29"/>
        <v>__</v>
      </c>
    </row>
    <row r="1868" spans="1:1" x14ac:dyDescent="0.25">
      <c r="A1868" s="84" t="str">
        <f t="shared" si="29"/>
        <v>__</v>
      </c>
    </row>
    <row r="1869" spans="1:1" x14ac:dyDescent="0.25">
      <c r="A1869" s="84" t="str">
        <f t="shared" si="29"/>
        <v>__</v>
      </c>
    </row>
    <row r="1870" spans="1:1" x14ac:dyDescent="0.25">
      <c r="A1870" s="84" t="str">
        <f t="shared" si="29"/>
        <v>__</v>
      </c>
    </row>
    <row r="1871" spans="1:1" x14ac:dyDescent="0.25">
      <c r="A1871" s="84" t="str">
        <f t="shared" si="29"/>
        <v>__</v>
      </c>
    </row>
    <row r="1872" spans="1:1" x14ac:dyDescent="0.25">
      <c r="A1872" s="84" t="str">
        <f t="shared" si="29"/>
        <v>__</v>
      </c>
    </row>
    <row r="1873" spans="1:1" x14ac:dyDescent="0.25">
      <c r="A1873" s="84" t="str">
        <f t="shared" si="29"/>
        <v>__</v>
      </c>
    </row>
    <row r="1874" spans="1:1" x14ac:dyDescent="0.25">
      <c r="A1874" s="84" t="str">
        <f t="shared" si="29"/>
        <v>__</v>
      </c>
    </row>
    <row r="1875" spans="1:1" x14ac:dyDescent="0.25">
      <c r="A1875" s="84" t="str">
        <f t="shared" si="29"/>
        <v>__</v>
      </c>
    </row>
    <row r="1876" spans="1:1" x14ac:dyDescent="0.25">
      <c r="A1876" s="84" t="str">
        <f t="shared" si="29"/>
        <v>__</v>
      </c>
    </row>
    <row r="1877" spans="1:1" x14ac:dyDescent="0.25">
      <c r="A1877" s="84" t="str">
        <f t="shared" si="29"/>
        <v>__</v>
      </c>
    </row>
    <row r="1878" spans="1:1" x14ac:dyDescent="0.25">
      <c r="A1878" s="84" t="str">
        <f t="shared" si="29"/>
        <v>__</v>
      </c>
    </row>
    <row r="1879" spans="1:1" x14ac:dyDescent="0.25">
      <c r="A1879" s="84" t="str">
        <f t="shared" si="29"/>
        <v>__</v>
      </c>
    </row>
    <row r="1880" spans="1:1" x14ac:dyDescent="0.25">
      <c r="A1880" s="84" t="str">
        <f t="shared" si="29"/>
        <v>__</v>
      </c>
    </row>
    <row r="1881" spans="1:1" x14ac:dyDescent="0.25">
      <c r="A1881" s="84" t="str">
        <f t="shared" si="29"/>
        <v>__</v>
      </c>
    </row>
    <row r="1882" spans="1:1" x14ac:dyDescent="0.25">
      <c r="A1882" s="84" t="str">
        <f t="shared" si="29"/>
        <v>__</v>
      </c>
    </row>
    <row r="1883" spans="1:1" x14ac:dyDescent="0.25">
      <c r="A1883" s="84" t="str">
        <f t="shared" si="29"/>
        <v>__</v>
      </c>
    </row>
    <row r="1884" spans="1:1" x14ac:dyDescent="0.25">
      <c r="A1884" s="84" t="str">
        <f t="shared" si="29"/>
        <v>__</v>
      </c>
    </row>
    <row r="1885" spans="1:1" x14ac:dyDescent="0.25">
      <c r="A1885" s="84" t="str">
        <f t="shared" si="29"/>
        <v>__</v>
      </c>
    </row>
    <row r="1886" spans="1:1" x14ac:dyDescent="0.25">
      <c r="A1886" s="84" t="str">
        <f t="shared" si="29"/>
        <v>__</v>
      </c>
    </row>
    <row r="1887" spans="1:1" x14ac:dyDescent="0.25">
      <c r="A1887" s="84" t="str">
        <f t="shared" si="29"/>
        <v>__</v>
      </c>
    </row>
    <row r="1888" spans="1:1" x14ac:dyDescent="0.25">
      <c r="A1888" s="84" t="str">
        <f t="shared" si="29"/>
        <v>__</v>
      </c>
    </row>
    <row r="1889" spans="1:1" x14ac:dyDescent="0.25">
      <c r="A1889" s="84" t="str">
        <f t="shared" si="29"/>
        <v>__</v>
      </c>
    </row>
    <row r="1890" spans="1:1" x14ac:dyDescent="0.25">
      <c r="A1890" s="84" t="str">
        <f t="shared" si="29"/>
        <v>__</v>
      </c>
    </row>
    <row r="1891" spans="1:1" x14ac:dyDescent="0.25">
      <c r="A1891" s="84" t="str">
        <f t="shared" si="29"/>
        <v>__</v>
      </c>
    </row>
    <row r="1892" spans="1:1" x14ac:dyDescent="0.25">
      <c r="A1892" s="84" t="str">
        <f t="shared" si="29"/>
        <v>__</v>
      </c>
    </row>
    <row r="1893" spans="1:1" x14ac:dyDescent="0.25">
      <c r="A1893" s="84" t="str">
        <f t="shared" si="29"/>
        <v>__</v>
      </c>
    </row>
    <row r="1894" spans="1:1" x14ac:dyDescent="0.25">
      <c r="A1894" s="84" t="str">
        <f t="shared" si="29"/>
        <v>__</v>
      </c>
    </row>
    <row r="1895" spans="1:1" x14ac:dyDescent="0.25">
      <c r="A1895" s="84" t="str">
        <f t="shared" si="29"/>
        <v>__</v>
      </c>
    </row>
    <row r="1896" spans="1:1" x14ac:dyDescent="0.25">
      <c r="A1896" s="84" t="str">
        <f t="shared" si="29"/>
        <v>__</v>
      </c>
    </row>
    <row r="1897" spans="1:1" x14ac:dyDescent="0.25">
      <c r="A1897" s="84" t="str">
        <f t="shared" si="29"/>
        <v>__</v>
      </c>
    </row>
    <row r="1898" spans="1:1" x14ac:dyDescent="0.25">
      <c r="A1898" s="84" t="str">
        <f t="shared" si="29"/>
        <v>__</v>
      </c>
    </row>
    <row r="1899" spans="1:1" x14ac:dyDescent="0.25">
      <c r="A1899" s="84" t="str">
        <f t="shared" si="29"/>
        <v>__</v>
      </c>
    </row>
    <row r="1900" spans="1:1" x14ac:dyDescent="0.25">
      <c r="A1900" s="84" t="str">
        <f t="shared" si="29"/>
        <v>__</v>
      </c>
    </row>
    <row r="1901" spans="1:1" x14ac:dyDescent="0.25">
      <c r="A1901" s="84" t="str">
        <f t="shared" si="29"/>
        <v>__</v>
      </c>
    </row>
    <row r="1902" spans="1:1" x14ac:dyDescent="0.25">
      <c r="A1902" s="84" t="str">
        <f t="shared" si="29"/>
        <v>__</v>
      </c>
    </row>
    <row r="1903" spans="1:1" x14ac:dyDescent="0.25">
      <c r="A1903" s="84" t="str">
        <f t="shared" si="29"/>
        <v>__</v>
      </c>
    </row>
    <row r="1904" spans="1:1" x14ac:dyDescent="0.25">
      <c r="A1904" s="84" t="str">
        <f t="shared" si="29"/>
        <v>__</v>
      </c>
    </row>
    <row r="1905" spans="1:1" x14ac:dyDescent="0.25">
      <c r="A1905" s="84" t="str">
        <f t="shared" si="29"/>
        <v>__</v>
      </c>
    </row>
    <row r="1906" spans="1:1" x14ac:dyDescent="0.25">
      <c r="A1906" s="84" t="str">
        <f t="shared" si="29"/>
        <v>__</v>
      </c>
    </row>
    <row r="1907" spans="1:1" x14ac:dyDescent="0.25">
      <c r="A1907" s="84" t="str">
        <f t="shared" si="29"/>
        <v>__</v>
      </c>
    </row>
    <row r="1908" spans="1:1" x14ac:dyDescent="0.25">
      <c r="A1908" s="84" t="str">
        <f t="shared" si="29"/>
        <v>__</v>
      </c>
    </row>
    <row r="1909" spans="1:1" x14ac:dyDescent="0.25">
      <c r="A1909" s="84" t="str">
        <f t="shared" si="29"/>
        <v>__</v>
      </c>
    </row>
    <row r="1910" spans="1:1" x14ac:dyDescent="0.25">
      <c r="A1910" s="84" t="str">
        <f t="shared" si="29"/>
        <v>__</v>
      </c>
    </row>
    <row r="1911" spans="1:1" x14ac:dyDescent="0.25">
      <c r="A1911" s="84" t="str">
        <f t="shared" si="29"/>
        <v>__</v>
      </c>
    </row>
    <row r="1912" spans="1:1" x14ac:dyDescent="0.25">
      <c r="A1912" s="84" t="str">
        <f t="shared" si="29"/>
        <v>__</v>
      </c>
    </row>
    <row r="1913" spans="1:1" x14ac:dyDescent="0.25">
      <c r="A1913" s="84" t="str">
        <f t="shared" si="29"/>
        <v>__</v>
      </c>
    </row>
    <row r="1914" spans="1:1" x14ac:dyDescent="0.25">
      <c r="A1914" s="84" t="str">
        <f t="shared" si="29"/>
        <v>__</v>
      </c>
    </row>
    <row r="1915" spans="1:1" x14ac:dyDescent="0.25">
      <c r="A1915" s="84" t="str">
        <f t="shared" si="29"/>
        <v>__</v>
      </c>
    </row>
    <row r="1916" spans="1:1" x14ac:dyDescent="0.25">
      <c r="A1916" s="84" t="str">
        <f t="shared" si="29"/>
        <v>__</v>
      </c>
    </row>
    <row r="1917" spans="1:1" x14ac:dyDescent="0.25">
      <c r="A1917" s="84" t="str">
        <f t="shared" si="29"/>
        <v>__</v>
      </c>
    </row>
    <row r="1918" spans="1:1" x14ac:dyDescent="0.25">
      <c r="A1918" s="84" t="str">
        <f t="shared" si="29"/>
        <v>__</v>
      </c>
    </row>
    <row r="1919" spans="1:1" x14ac:dyDescent="0.25">
      <c r="A1919" s="84" t="str">
        <f t="shared" si="29"/>
        <v>__</v>
      </c>
    </row>
    <row r="1920" spans="1:1" x14ac:dyDescent="0.25">
      <c r="A1920" s="84" t="str">
        <f t="shared" si="29"/>
        <v>__</v>
      </c>
    </row>
    <row r="1921" spans="1:1" x14ac:dyDescent="0.25">
      <c r="A1921" s="84" t="str">
        <f t="shared" si="29"/>
        <v>__</v>
      </c>
    </row>
    <row r="1922" spans="1:1" x14ac:dyDescent="0.25">
      <c r="A1922" s="84" t="str">
        <f t="shared" si="29"/>
        <v>__</v>
      </c>
    </row>
    <row r="1923" spans="1:1" x14ac:dyDescent="0.25">
      <c r="A1923" s="84" t="str">
        <f t="shared" ref="A1923:A1986" si="30">B1923&amp;"_"&amp;C1923&amp;"_"&amp;D1923</f>
        <v>__</v>
      </c>
    </row>
    <row r="1924" spans="1:1" x14ac:dyDescent="0.25">
      <c r="A1924" s="84" t="str">
        <f t="shared" si="30"/>
        <v>__</v>
      </c>
    </row>
    <row r="1925" spans="1:1" x14ac:dyDescent="0.25">
      <c r="A1925" s="84" t="str">
        <f t="shared" si="30"/>
        <v>__</v>
      </c>
    </row>
    <row r="1926" spans="1:1" x14ac:dyDescent="0.25">
      <c r="A1926" s="84" t="str">
        <f t="shared" si="30"/>
        <v>__</v>
      </c>
    </row>
    <row r="1927" spans="1:1" x14ac:dyDescent="0.25">
      <c r="A1927" s="84" t="str">
        <f t="shared" si="30"/>
        <v>__</v>
      </c>
    </row>
    <row r="1928" spans="1:1" x14ac:dyDescent="0.25">
      <c r="A1928" s="84" t="str">
        <f t="shared" si="30"/>
        <v>__</v>
      </c>
    </row>
    <row r="1929" spans="1:1" x14ac:dyDescent="0.25">
      <c r="A1929" s="84" t="str">
        <f t="shared" si="30"/>
        <v>__</v>
      </c>
    </row>
    <row r="1930" spans="1:1" x14ac:dyDescent="0.25">
      <c r="A1930" s="84" t="str">
        <f t="shared" si="30"/>
        <v>__</v>
      </c>
    </row>
    <row r="1931" spans="1:1" x14ac:dyDescent="0.25">
      <c r="A1931" s="84" t="str">
        <f t="shared" si="30"/>
        <v>__</v>
      </c>
    </row>
    <row r="1932" spans="1:1" x14ac:dyDescent="0.25">
      <c r="A1932" s="84" t="str">
        <f t="shared" si="30"/>
        <v>__</v>
      </c>
    </row>
    <row r="1933" spans="1:1" x14ac:dyDescent="0.25">
      <c r="A1933" s="84" t="str">
        <f t="shared" si="30"/>
        <v>__</v>
      </c>
    </row>
    <row r="1934" spans="1:1" x14ac:dyDescent="0.25">
      <c r="A1934" s="84" t="str">
        <f t="shared" si="30"/>
        <v>__</v>
      </c>
    </row>
    <row r="1935" spans="1:1" x14ac:dyDescent="0.25">
      <c r="A1935" s="84" t="str">
        <f t="shared" si="30"/>
        <v>__</v>
      </c>
    </row>
    <row r="1936" spans="1:1" x14ac:dyDescent="0.25">
      <c r="A1936" s="84" t="str">
        <f t="shared" si="30"/>
        <v>__</v>
      </c>
    </row>
    <row r="1937" spans="1:1" x14ac:dyDescent="0.25">
      <c r="A1937" s="84" t="str">
        <f t="shared" si="30"/>
        <v>__</v>
      </c>
    </row>
    <row r="1938" spans="1:1" x14ac:dyDescent="0.25">
      <c r="A1938" s="84" t="str">
        <f t="shared" si="30"/>
        <v>__</v>
      </c>
    </row>
    <row r="1939" spans="1:1" x14ac:dyDescent="0.25">
      <c r="A1939" s="84" t="str">
        <f t="shared" si="30"/>
        <v>__</v>
      </c>
    </row>
    <row r="1940" spans="1:1" x14ac:dyDescent="0.25">
      <c r="A1940" s="84" t="str">
        <f t="shared" si="30"/>
        <v>__</v>
      </c>
    </row>
    <row r="1941" spans="1:1" x14ac:dyDescent="0.25">
      <c r="A1941" s="84" t="str">
        <f t="shared" si="30"/>
        <v>__</v>
      </c>
    </row>
    <row r="1942" spans="1:1" x14ac:dyDescent="0.25">
      <c r="A1942" s="84" t="str">
        <f t="shared" si="30"/>
        <v>__</v>
      </c>
    </row>
    <row r="1943" spans="1:1" x14ac:dyDescent="0.25">
      <c r="A1943" s="84" t="str">
        <f t="shared" si="30"/>
        <v>__</v>
      </c>
    </row>
    <row r="1944" spans="1:1" x14ac:dyDescent="0.25">
      <c r="A1944" s="84" t="str">
        <f t="shared" si="30"/>
        <v>__</v>
      </c>
    </row>
    <row r="1945" spans="1:1" x14ac:dyDescent="0.25">
      <c r="A1945" s="84" t="str">
        <f t="shared" si="30"/>
        <v>__</v>
      </c>
    </row>
    <row r="1946" spans="1:1" x14ac:dyDescent="0.25">
      <c r="A1946" s="84" t="str">
        <f t="shared" si="30"/>
        <v>__</v>
      </c>
    </row>
    <row r="1947" spans="1:1" x14ac:dyDescent="0.25">
      <c r="A1947" s="84" t="str">
        <f t="shared" si="30"/>
        <v>__</v>
      </c>
    </row>
    <row r="1948" spans="1:1" x14ac:dyDescent="0.25">
      <c r="A1948" s="84" t="str">
        <f t="shared" si="30"/>
        <v>__</v>
      </c>
    </row>
    <row r="1949" spans="1:1" x14ac:dyDescent="0.25">
      <c r="A1949" s="84" t="str">
        <f t="shared" si="30"/>
        <v>__</v>
      </c>
    </row>
    <row r="1950" spans="1:1" x14ac:dyDescent="0.25">
      <c r="A1950" s="84" t="str">
        <f t="shared" si="30"/>
        <v>__</v>
      </c>
    </row>
    <row r="1951" spans="1:1" x14ac:dyDescent="0.25">
      <c r="A1951" s="84" t="str">
        <f t="shared" si="30"/>
        <v>__</v>
      </c>
    </row>
    <row r="1952" spans="1:1" x14ac:dyDescent="0.25">
      <c r="A1952" s="84" t="str">
        <f t="shared" si="30"/>
        <v>__</v>
      </c>
    </row>
    <row r="1953" spans="1:1" x14ac:dyDescent="0.25">
      <c r="A1953" s="84" t="str">
        <f t="shared" si="30"/>
        <v>__</v>
      </c>
    </row>
    <row r="1954" spans="1:1" x14ac:dyDescent="0.25">
      <c r="A1954" s="84" t="str">
        <f t="shared" si="30"/>
        <v>__</v>
      </c>
    </row>
    <row r="1955" spans="1:1" x14ac:dyDescent="0.25">
      <c r="A1955" s="84" t="str">
        <f t="shared" si="30"/>
        <v>__</v>
      </c>
    </row>
    <row r="1956" spans="1:1" x14ac:dyDescent="0.25">
      <c r="A1956" s="84" t="str">
        <f t="shared" si="30"/>
        <v>__</v>
      </c>
    </row>
    <row r="1957" spans="1:1" x14ac:dyDescent="0.25">
      <c r="A1957" s="84" t="str">
        <f t="shared" si="30"/>
        <v>__</v>
      </c>
    </row>
    <row r="1958" spans="1:1" x14ac:dyDescent="0.25">
      <c r="A1958" s="84" t="str">
        <f t="shared" si="30"/>
        <v>__</v>
      </c>
    </row>
    <row r="1959" spans="1:1" x14ac:dyDescent="0.25">
      <c r="A1959" s="84" t="str">
        <f t="shared" si="30"/>
        <v>__</v>
      </c>
    </row>
    <row r="1960" spans="1:1" x14ac:dyDescent="0.25">
      <c r="A1960" s="84" t="str">
        <f t="shared" si="30"/>
        <v>__</v>
      </c>
    </row>
    <row r="1961" spans="1:1" x14ac:dyDescent="0.25">
      <c r="A1961" s="84" t="str">
        <f t="shared" si="30"/>
        <v>__</v>
      </c>
    </row>
    <row r="1962" spans="1:1" x14ac:dyDescent="0.25">
      <c r="A1962" s="84" t="str">
        <f t="shared" si="30"/>
        <v>__</v>
      </c>
    </row>
    <row r="1963" spans="1:1" x14ac:dyDescent="0.25">
      <c r="A1963" s="84" t="str">
        <f t="shared" si="30"/>
        <v>__</v>
      </c>
    </row>
    <row r="1964" spans="1:1" x14ac:dyDescent="0.25">
      <c r="A1964" s="84" t="str">
        <f t="shared" si="30"/>
        <v>__</v>
      </c>
    </row>
    <row r="1965" spans="1:1" x14ac:dyDescent="0.25">
      <c r="A1965" s="84" t="str">
        <f t="shared" si="30"/>
        <v>__</v>
      </c>
    </row>
    <row r="1966" spans="1:1" x14ac:dyDescent="0.25">
      <c r="A1966" s="84" t="str">
        <f t="shared" si="30"/>
        <v>__</v>
      </c>
    </row>
    <row r="1967" spans="1:1" x14ac:dyDescent="0.25">
      <c r="A1967" s="84" t="str">
        <f t="shared" si="30"/>
        <v>__</v>
      </c>
    </row>
    <row r="1968" spans="1:1" x14ac:dyDescent="0.25">
      <c r="A1968" s="84" t="str">
        <f t="shared" si="30"/>
        <v>__</v>
      </c>
    </row>
    <row r="1969" spans="1:1" x14ac:dyDescent="0.25">
      <c r="A1969" s="84" t="str">
        <f t="shared" si="30"/>
        <v>__</v>
      </c>
    </row>
    <row r="1970" spans="1:1" x14ac:dyDescent="0.25">
      <c r="A1970" s="84" t="str">
        <f t="shared" si="30"/>
        <v>__</v>
      </c>
    </row>
    <row r="1971" spans="1:1" x14ac:dyDescent="0.25">
      <c r="A1971" s="84" t="str">
        <f t="shared" si="30"/>
        <v>__</v>
      </c>
    </row>
    <row r="1972" spans="1:1" x14ac:dyDescent="0.25">
      <c r="A1972" s="84" t="str">
        <f t="shared" si="30"/>
        <v>__</v>
      </c>
    </row>
    <row r="1973" spans="1:1" x14ac:dyDescent="0.25">
      <c r="A1973" s="84" t="str">
        <f t="shared" si="30"/>
        <v>__</v>
      </c>
    </row>
    <row r="1974" spans="1:1" x14ac:dyDescent="0.25">
      <c r="A1974" s="84" t="str">
        <f t="shared" si="30"/>
        <v>__</v>
      </c>
    </row>
    <row r="1975" spans="1:1" x14ac:dyDescent="0.25">
      <c r="A1975" s="84" t="str">
        <f t="shared" si="30"/>
        <v>__</v>
      </c>
    </row>
    <row r="1976" spans="1:1" x14ac:dyDescent="0.25">
      <c r="A1976" s="84" t="str">
        <f t="shared" si="30"/>
        <v>__</v>
      </c>
    </row>
    <row r="1977" spans="1:1" x14ac:dyDescent="0.25">
      <c r="A1977" s="84" t="str">
        <f t="shared" si="30"/>
        <v>__</v>
      </c>
    </row>
    <row r="1978" spans="1:1" x14ac:dyDescent="0.25">
      <c r="A1978" s="84" t="str">
        <f t="shared" si="30"/>
        <v>__</v>
      </c>
    </row>
    <row r="1979" spans="1:1" x14ac:dyDescent="0.25">
      <c r="A1979" s="84" t="str">
        <f t="shared" si="30"/>
        <v>__</v>
      </c>
    </row>
    <row r="1980" spans="1:1" x14ac:dyDescent="0.25">
      <c r="A1980" s="84" t="str">
        <f t="shared" si="30"/>
        <v>__</v>
      </c>
    </row>
    <row r="1981" spans="1:1" x14ac:dyDescent="0.25">
      <c r="A1981" s="84" t="str">
        <f t="shared" si="30"/>
        <v>__</v>
      </c>
    </row>
    <row r="1982" spans="1:1" x14ac:dyDescent="0.25">
      <c r="A1982" s="84" t="str">
        <f t="shared" si="30"/>
        <v>__</v>
      </c>
    </row>
    <row r="1983" spans="1:1" x14ac:dyDescent="0.25">
      <c r="A1983" s="84" t="str">
        <f t="shared" si="30"/>
        <v>__</v>
      </c>
    </row>
    <row r="1984" spans="1:1" x14ac:dyDescent="0.25">
      <c r="A1984" s="84" t="str">
        <f t="shared" si="30"/>
        <v>__</v>
      </c>
    </row>
    <row r="1985" spans="1:1" x14ac:dyDescent="0.25">
      <c r="A1985" s="84" t="str">
        <f t="shared" si="30"/>
        <v>__</v>
      </c>
    </row>
    <row r="1986" spans="1:1" x14ac:dyDescent="0.25">
      <c r="A1986" s="84" t="str">
        <f t="shared" si="30"/>
        <v>__</v>
      </c>
    </row>
    <row r="1987" spans="1:1" x14ac:dyDescent="0.25">
      <c r="A1987" s="84" t="str">
        <f t="shared" ref="A1987:A2000" si="31">B1987&amp;"_"&amp;C1987&amp;"_"&amp;D1987</f>
        <v>__</v>
      </c>
    </row>
    <row r="1988" spans="1:1" x14ac:dyDescent="0.25">
      <c r="A1988" s="84" t="str">
        <f t="shared" si="31"/>
        <v>__</v>
      </c>
    </row>
    <row r="1989" spans="1:1" x14ac:dyDescent="0.25">
      <c r="A1989" s="84" t="str">
        <f t="shared" si="31"/>
        <v>__</v>
      </c>
    </row>
    <row r="1990" spans="1:1" x14ac:dyDescent="0.25">
      <c r="A1990" s="84" t="str">
        <f t="shared" si="31"/>
        <v>__</v>
      </c>
    </row>
    <row r="1991" spans="1:1" x14ac:dyDescent="0.25">
      <c r="A1991" s="84" t="str">
        <f t="shared" si="31"/>
        <v>__</v>
      </c>
    </row>
    <row r="1992" spans="1:1" x14ac:dyDescent="0.25">
      <c r="A1992" s="84" t="str">
        <f t="shared" si="31"/>
        <v>__</v>
      </c>
    </row>
    <row r="1993" spans="1:1" x14ac:dyDescent="0.25">
      <c r="A1993" s="84" t="str">
        <f t="shared" si="31"/>
        <v>__</v>
      </c>
    </row>
    <row r="1994" spans="1:1" x14ac:dyDescent="0.25">
      <c r="A1994" s="84" t="str">
        <f t="shared" si="31"/>
        <v>__</v>
      </c>
    </row>
    <row r="1995" spans="1:1" x14ac:dyDescent="0.25">
      <c r="A1995" s="84" t="str">
        <f t="shared" si="31"/>
        <v>__</v>
      </c>
    </row>
    <row r="1996" spans="1:1" x14ac:dyDescent="0.25">
      <c r="A1996" s="84" t="str">
        <f t="shared" si="31"/>
        <v>__</v>
      </c>
    </row>
    <row r="1997" spans="1:1" x14ac:dyDescent="0.25">
      <c r="A1997" s="84" t="str">
        <f t="shared" si="31"/>
        <v>__</v>
      </c>
    </row>
    <row r="1998" spans="1:1" x14ac:dyDescent="0.25">
      <c r="A1998" s="84" t="str">
        <f t="shared" si="31"/>
        <v>__</v>
      </c>
    </row>
    <row r="1999" spans="1:1" x14ac:dyDescent="0.25">
      <c r="A1999" s="84" t="str">
        <f t="shared" si="31"/>
        <v>__</v>
      </c>
    </row>
    <row r="2000" spans="1:1" x14ac:dyDescent="0.25">
      <c r="A2000" s="84" t="str">
        <f t="shared" si="31"/>
        <v>__</v>
      </c>
    </row>
  </sheetData>
  <phoneticPr fontId="4" type="noConversion"/>
  <conditionalFormatting sqref="E4:E1000">
    <cfRule type="cellIs" priority="7" stopIfTrue="1" operator="equal">
      <formula>"Missed Sample"</formula>
    </cfRule>
    <cfRule type="cellIs" dxfId="14" priority="8" stopIfTrue="1" operator="lessThanOrEqual">
      <formula>-400</formula>
    </cfRule>
    <cfRule type="cellIs" dxfId="13" priority="9" stopIfTrue="1" operator="greaterThanOrEqual">
      <formula>400</formula>
    </cfRule>
  </conditionalFormatting>
  <conditionalFormatting sqref="D4:D1000">
    <cfRule type="cellIs" dxfId="12" priority="10" stopIfTrue="1" operator="equal">
      <formula>1.83</formula>
    </cfRule>
    <cfRule type="cellIs" dxfId="11" priority="11" stopIfTrue="1" operator="equal">
      <formula>2.83</formula>
    </cfRule>
    <cfRule type="cellIs" dxfId="10" priority="12" stopIfTrue="1" operator="equal">
      <formula>3.83</formula>
    </cfRule>
  </conditionalFormatting>
  <conditionalFormatting sqref="E2:E3">
    <cfRule type="cellIs" priority="1" stopIfTrue="1" operator="equal">
      <formula>"Missed Sample"</formula>
    </cfRule>
    <cfRule type="cellIs" dxfId="9" priority="2" stopIfTrue="1" operator="lessThanOrEqual">
      <formula>-400</formula>
    </cfRule>
    <cfRule type="cellIs" dxfId="8" priority="3" stopIfTrue="1" operator="greaterThanOrEqual">
      <formula>400</formula>
    </cfRule>
  </conditionalFormatting>
  <conditionalFormatting sqref="D2:D3">
    <cfRule type="cellIs" dxfId="7" priority="4" stopIfTrue="1" operator="equal">
      <formula>1.83</formula>
    </cfRule>
    <cfRule type="cellIs" dxfId="6" priority="5" stopIfTrue="1" operator="equal">
      <formula>2.83</formula>
    </cfRule>
    <cfRule type="cellIs" dxfId="5" priority="6" stopIfTrue="1" operator="equal">
      <formula>3.83</formula>
    </cfRule>
  </conditionalFormatting>
  <dataValidations count="2">
    <dataValidation type="whole" allowBlank="1" showInputMessage="1" showErrorMessage="1" errorTitle="Table 3 - Period MSG" error="Please verify Period for this subject." sqref="C2:C188" xr:uid="{00000000-0002-0000-0400-000000000000}">
      <formula1>1</formula1>
      <formula2>4</formula2>
    </dataValidation>
    <dataValidation type="whole" errorStyle="warning" showInputMessage="1" showErrorMessage="1" errorTitle="Tablle 3 - Subject Number MSG" error="Please confirm subject number." sqref="B2:B188" xr:uid="{00000000-0002-0000-0400-000001000000}">
      <formula1>1</formula1>
      <formula2>100</formula2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Z138"/>
  <sheetViews>
    <sheetView zoomScale="102" zoomScaleNormal="102" zoomScalePageLayoutView="102" workbookViewId="0">
      <selection activeCell="H2" sqref="H2"/>
    </sheetView>
  </sheetViews>
  <sheetFormatPr defaultColWidth="9.1796875" defaultRowHeight="12.5" x14ac:dyDescent="0.25"/>
  <cols>
    <col min="1" max="1" width="11.1796875" style="10" customWidth="1"/>
    <col min="2" max="2" width="12.453125" style="10" customWidth="1"/>
    <col min="3" max="3" width="8.7265625" style="10" customWidth="1"/>
    <col min="4" max="6" width="9.1796875" style="10"/>
    <col min="7" max="7" width="17.1796875" style="10" customWidth="1"/>
    <col min="8" max="8" width="9.7265625" style="10" customWidth="1"/>
    <col min="9" max="9" width="10.26953125" style="10" customWidth="1"/>
    <col min="10" max="10" width="11.26953125" style="10" customWidth="1"/>
    <col min="11" max="11" width="9.7265625" style="10" customWidth="1"/>
    <col min="12" max="25" width="9.1796875" style="10"/>
    <col min="26" max="26" width="10.1796875" style="10" customWidth="1"/>
    <col min="27" max="34" width="9.1796875" style="10"/>
    <col min="35" max="35" width="15.1796875" style="10" customWidth="1"/>
    <col min="36" max="16384" width="9.1796875" style="10"/>
  </cols>
  <sheetData>
    <row r="1" spans="1:104" ht="18.75" customHeight="1" thickBot="1" x14ac:dyDescent="0.35">
      <c r="A1" s="14" t="s">
        <v>39</v>
      </c>
      <c r="C1" s="38">
        <v>2</v>
      </c>
      <c r="G1" s="14" t="s">
        <v>36</v>
      </c>
      <c r="H1" s="44">
        <f>COUNTA(Data!$A:$A)-1</f>
        <v>2</v>
      </c>
      <c r="I1" s="73" t="s">
        <v>70</v>
      </c>
      <c r="AC1" s="10" t="s">
        <v>22</v>
      </c>
      <c r="AD1" s="15" t="s">
        <v>77</v>
      </c>
      <c r="AE1" s="10" t="s">
        <v>35</v>
      </c>
      <c r="AF1" s="10" t="s">
        <v>40</v>
      </c>
      <c r="AG1" s="10" t="s">
        <v>45</v>
      </c>
    </row>
    <row r="2" spans="1:104" ht="13.5" thickBot="1" x14ac:dyDescent="0.35">
      <c r="A2" s="25" t="s">
        <v>1</v>
      </c>
      <c r="B2" s="26" t="s">
        <v>2</v>
      </c>
      <c r="C2" s="26" t="s">
        <v>3</v>
      </c>
      <c r="D2" s="26" t="s">
        <v>8</v>
      </c>
      <c r="E2" s="27" t="s">
        <v>24</v>
      </c>
      <c r="F2" s="75"/>
      <c r="G2" s="47" t="s">
        <v>28</v>
      </c>
      <c r="H2" s="42">
        <f>50*1000000</f>
        <v>50000000</v>
      </c>
      <c r="I2" s="24" t="s">
        <v>33</v>
      </c>
      <c r="X2" s="25" t="s">
        <v>1</v>
      </c>
      <c r="Y2" s="26" t="s">
        <v>31</v>
      </c>
      <c r="Z2" s="26" t="s">
        <v>32</v>
      </c>
      <c r="AA2" s="27" t="s">
        <v>21</v>
      </c>
      <c r="AC2" s="10" t="b">
        <f t="shared" ref="AC2:AC66" si="0">IF(AB2&lt;&gt;"",AB2,FALSE)</f>
        <v>0</v>
      </c>
      <c r="CY2" s="15" t="s">
        <v>71</v>
      </c>
      <c r="CZ2" s="15"/>
    </row>
    <row r="3" spans="1:104" ht="15.5" thickBot="1" x14ac:dyDescent="0.35">
      <c r="A3" s="28">
        <f t="shared" ref="A3:A22" si="1">IF(AC3=FALSE,FALSE,INDEX($X$3:$X$70,AC3,1))</f>
        <v>0</v>
      </c>
      <c r="B3" s="10" t="str">
        <f t="shared" ref="B3:B34" si="2">IF(IF(AC3=FALSE,FALSE,INDEX($Y$3:$Y$70,AC3,1))&lt;0,0,IF(AC3=FALSE,FALSE,INDEX($Y$3:$Y$70,AC3,1)))</f>
        <v>BLQ</v>
      </c>
      <c r="D3" s="10" t="b">
        <f>IF(B3=MAX($Y$3:$Y$70),A3,FALSE)</f>
        <v>0</v>
      </c>
      <c r="E3" s="29"/>
      <c r="G3" s="47" t="s">
        <v>48</v>
      </c>
      <c r="H3" s="49">
        <v>0.8</v>
      </c>
      <c r="I3" s="24"/>
      <c r="W3" s="10">
        <v>1</v>
      </c>
      <c r="X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" s="10" t="str">
        <f>IF(ROW()&lt;=COUNTA(Data!$2:$2),INDEX(Data!$C:$AZ,Analysis!$C$1+1,ROW()-2),FALSE)</f>
        <v>BLQ</v>
      </c>
      <c r="Z3" s="30">
        <f>IF(Y3&lt;0,IF(Y3=-999,0,1),0)</f>
        <v>0</v>
      </c>
      <c r="AA3" s="29">
        <f>IF(OR(X3=FALSE,Z3),FALSE,W3)</f>
        <v>1</v>
      </c>
      <c r="AB3" s="10">
        <v>1</v>
      </c>
      <c r="AC3" s="10">
        <f t="shared" si="0"/>
        <v>1</v>
      </c>
      <c r="AD3" s="10">
        <v>17</v>
      </c>
      <c r="AE3" s="10">
        <f t="shared" ref="AE3:AE65" si="3">IF(INDEX($Y$3:$Y$70,W3,1)&lt;0,0,INDEX($X$3:$X$70,W3,1))</f>
        <v>0</v>
      </c>
      <c r="AF3" s="10">
        <f>IF(Y3&lt;0,FALSE,X3)</f>
        <v>0</v>
      </c>
      <c r="AG3" s="48" t="str">
        <f>IF(Y3=MAX($Y$3:$Y$70),ROW()-2,"")</f>
        <v/>
      </c>
      <c r="AH3" s="10">
        <f t="shared" ref="AH3:AH34" si="4">INDEX($AD$3:$AD$70,71-ROW(),1)</f>
        <v>0</v>
      </c>
      <c r="AI3" s="1" t="b">
        <f t="shared" ref="AI3:AI40" si="5">IF($AH3&lt;1,FALSE,INDEX($X$3:$X$70,INDEX($AD$3:$AD$70,71-ROW(),1),1))</f>
        <v>0</v>
      </c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3" t="b">
        <f t="shared" ref="CW3:CW34" si="6">IF(OR(ISERR(LN(INDEX($Y$3:$Y$70,INDEX($AD$3:$AD$70,71-ROW(),1),1))),$AI3&lt;=MIN($D:$D),$AI3=FALSE),FALSE,LN(INDEX($Y$3:$Y$70,INDEX($AD$3:$AD$70,71-ROW(),1),1)))</f>
        <v>0</v>
      </c>
      <c r="CY3" s="76" t="str">
        <f>IF(ROUND(A3,0)&gt;=ROUND($H$4,0),SUM($C$3:$C3),"")</f>
        <v/>
      </c>
    </row>
    <row r="4" spans="1:104" ht="13.5" thickBot="1" x14ac:dyDescent="0.35">
      <c r="A4" s="28">
        <f t="shared" si="1"/>
        <v>0.33300000000000002</v>
      </c>
      <c r="B4" s="10" t="str">
        <f t="shared" si="2"/>
        <v>BLQ</v>
      </c>
      <c r="C4" s="30" t="e">
        <f>IF(A4&lt;=MAX($AI$41:$AI$70),IF(ROW()&lt;=COUNTA(Data!$2:$2)+2,(B4+B3)*(A4-A3)/2,FALSE),FALSE)</f>
        <v>#VALUE!</v>
      </c>
      <c r="D4" s="10" t="b">
        <f t="shared" ref="D4:D67" si="7">IF(B4=MAX($Y$3:$Y$70),A4,FALSE)</f>
        <v>0</v>
      </c>
      <c r="E4" s="29" t="e">
        <f>IF(A4&lt;=MAX($AI$41:$AI$70),IF(ROW()&lt;=COUNTA(Data!$2:$2)+2,(B4*A4+B3*A3)*(A4-A3)/2,FALSE),FALSE)</f>
        <v>#VALUE!</v>
      </c>
      <c r="G4" s="14" t="s">
        <v>73</v>
      </c>
      <c r="H4" s="42">
        <v>24</v>
      </c>
      <c r="I4" s="10" t="s">
        <v>68</v>
      </c>
      <c r="W4" s="10">
        <v>2</v>
      </c>
      <c r="X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0.33300000000000002</v>
      </c>
      <c r="Y4" s="10" t="str">
        <f>IF(ROW()&lt;=COUNTA(Data!$2:$2),INDEX(Data!$C:$AZ,Analysis!$C$1+1,ROW()-2),FALSE)</f>
        <v>BLQ</v>
      </c>
      <c r="Z4" s="30">
        <f>IF(OR(AND(Y4&lt;0,Y4&lt;&gt;-999),NOT(X4),AND(Y4=-999,X4&gt;MAX($AF$3:$AF$70),$G$7),X4&gt;MAX($AE$3:$AE$70)),1,0)</f>
        <v>0</v>
      </c>
      <c r="AA4" s="29">
        <f>IF(OR(X4=FALSE,Z4=1),FALSE,W4)</f>
        <v>2</v>
      </c>
      <c r="AB4" s="10">
        <v>2</v>
      </c>
      <c r="AC4" s="10">
        <f t="shared" si="0"/>
        <v>2</v>
      </c>
      <c r="AD4" s="10">
        <v>16</v>
      </c>
      <c r="AE4" s="10">
        <f t="shared" si="3"/>
        <v>0.33300000000000002</v>
      </c>
      <c r="AF4" s="10">
        <f>IF(NOT(AF3),IF(Y4&gt;=0,X4,FALSE),AF3)</f>
        <v>0.33300000000000002</v>
      </c>
      <c r="AG4" s="12" t="str">
        <f t="shared" ref="AG4:AG67" si="8">IF(Y4=MAX($Y$3:$Y$70),ROW()-2,"")</f>
        <v/>
      </c>
      <c r="AH4" s="10">
        <f t="shared" si="4"/>
        <v>0</v>
      </c>
      <c r="AI4" s="4" t="b">
        <f t="shared" si="5"/>
        <v>0</v>
      </c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 t="b">
        <f t="shared" ref="CV4:CV35" si="9">IF(OR(ISERR(LN(INDEX($Y$3:$Y$70,INDEX($AD$3:$AD$70,71-ROW(),1),1))),$AI4&lt;=MIN($D:$D),$AI4=FALSE),FALSE,LN(INDEX($Y$3:$Y$70,INDEX($AD$3:$AD$70,71-ROW(),1),1)))</f>
        <v>0</v>
      </c>
      <c r="CW4" s="6" t="b">
        <f t="shared" si="6"/>
        <v>0</v>
      </c>
      <c r="CY4" s="77" t="str">
        <f>IF(ROUND(A4,0)&gt;=ROUND($H$4,0),SUM($C$3:$C4),"")</f>
        <v/>
      </c>
    </row>
    <row r="5" spans="1:104" ht="13.5" thickBot="1" x14ac:dyDescent="0.35">
      <c r="A5" s="28">
        <f t="shared" si="1"/>
        <v>0.66700000000000004</v>
      </c>
      <c r="B5" s="10" t="str">
        <f t="shared" si="2"/>
        <v>BLQ</v>
      </c>
      <c r="C5" s="30" t="e">
        <f>IF(A5&lt;=MAX($AI$41:$AI$70),IF(ROW()&lt;=COUNTA(Data!$2:$2)+2,(B5+B4)*(A5-A4)/2,FALSE),FALSE)</f>
        <v>#VALUE!</v>
      </c>
      <c r="D5" s="10" t="b">
        <f t="shared" si="7"/>
        <v>0</v>
      </c>
      <c r="E5" s="29" t="e">
        <f>IF(A5&lt;=MAX($AI$41:$AI$70),IF(ROW()&lt;=COUNTA(Data!$2:$2)+2,(B5*A5+B4*A4)*(A5-A4)/2,FALSE),FALSE)</f>
        <v>#VALUE!</v>
      </c>
      <c r="G5" s="14" t="s">
        <v>79</v>
      </c>
      <c r="H5" s="42">
        <v>3</v>
      </c>
      <c r="I5" s="15" t="s">
        <v>80</v>
      </c>
      <c r="W5" s="10">
        <v>3</v>
      </c>
      <c r="X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0.66700000000000004</v>
      </c>
      <c r="Y5" s="10" t="str">
        <f>IF(ROW()&lt;=COUNTA(Data!$2:$2),INDEX(Data!$C:$AZ,Analysis!$C$1+1,ROW()-2),FALSE)</f>
        <v>BLQ</v>
      </c>
      <c r="Z5" s="30">
        <f t="shared" ref="Z5:Z68" si="10">IF(OR(AND(Y5&lt;0,Y5&lt;&gt;-999),NOT(X5),AND(Y5=-999,X5&gt;MAX($AF$3:$AF$70),$G$7),X5&gt;MAX($AE$3:$AE$70)),1,0)</f>
        <v>0</v>
      </c>
      <c r="AA5" s="29">
        <f t="shared" ref="AA5:AA68" si="11">IF(OR(X5=FALSE,Z5=1),FALSE,W5)</f>
        <v>3</v>
      </c>
      <c r="AB5" s="10">
        <v>3</v>
      </c>
      <c r="AC5" s="10">
        <f t="shared" si="0"/>
        <v>3</v>
      </c>
      <c r="AD5" s="10">
        <v>15</v>
      </c>
      <c r="AE5" s="10">
        <f t="shared" si="3"/>
        <v>0.66700000000000004</v>
      </c>
      <c r="AF5" s="10">
        <f t="shared" ref="AF5:AF68" si="12">IF(NOT(AF4),IF(Y5&gt;=0,X5,FALSE),AF4)</f>
        <v>0.33300000000000002</v>
      </c>
      <c r="AG5" s="12" t="str">
        <f t="shared" si="8"/>
        <v/>
      </c>
      <c r="AH5" s="10">
        <f t="shared" si="4"/>
        <v>0</v>
      </c>
      <c r="AI5" s="4" t="b">
        <f t="shared" si="5"/>
        <v>0</v>
      </c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 t="b">
        <f t="shared" ref="CU5:CU36" si="13">IF(OR(ISERR(LN(INDEX($Y$3:$Y$70,INDEX($AD$3:$AD$70,71-ROW(),1),1))),$AI5&lt;=MIN($D:$D),$AI5=FALSE),FALSE,LN(INDEX($Y$3:$Y$70,INDEX($AD$3:$AD$70,71-ROW(),1),1)))</f>
        <v>0</v>
      </c>
      <c r="CV5" s="5" t="b">
        <f t="shared" si="9"/>
        <v>0</v>
      </c>
      <c r="CW5" s="6" t="b">
        <f t="shared" si="6"/>
        <v>0</v>
      </c>
      <c r="CY5" s="77" t="str">
        <f>IF(ROUND(A5,0)&gt;=ROUND($H$4,0),SUM($C$3:$C5),"")</f>
        <v/>
      </c>
    </row>
    <row r="6" spans="1:104" ht="13" x14ac:dyDescent="0.3">
      <c r="A6" s="28">
        <f t="shared" si="1"/>
        <v>1.1000000000000001</v>
      </c>
      <c r="B6" s="10" t="str">
        <f t="shared" si="2"/>
        <v>BLQ</v>
      </c>
      <c r="C6" s="30" t="e">
        <f>IF(A6&lt;=MAX($AI$41:$AI$70),IF(ROW()&lt;=COUNTA(Data!$2:$2)+2,(B6+B5)*(A6-A5)/2,FALSE),FALSE)</f>
        <v>#VALUE!</v>
      </c>
      <c r="D6" s="10" t="b">
        <f t="shared" si="7"/>
        <v>0</v>
      </c>
      <c r="E6" s="29" t="e">
        <f>IF(A6&lt;=MAX($AI$41:$AI$70),IF(ROW()&lt;=COUNTA(Data!$2:$2)+2,(B6*A6+B5*A5)*(A6-A5)/2,FALSE),FALSE)</f>
        <v>#VALUE!</v>
      </c>
      <c r="G6" s="14"/>
      <c r="T6" s="24"/>
      <c r="U6" s="24"/>
      <c r="V6" s="24"/>
      <c r="W6" s="10">
        <v>4</v>
      </c>
      <c r="X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1.1000000000000001</v>
      </c>
      <c r="Y6" s="10" t="str">
        <f>IF(ROW()&lt;=COUNTA(Data!$2:$2),INDEX(Data!$C:$AZ,Analysis!$C$1+1,ROW()-2),FALSE)</f>
        <v>BLQ</v>
      </c>
      <c r="Z6" s="30">
        <f t="shared" si="10"/>
        <v>0</v>
      </c>
      <c r="AA6" s="29">
        <f t="shared" si="11"/>
        <v>4</v>
      </c>
      <c r="AB6" s="10">
        <v>4</v>
      </c>
      <c r="AC6" s="10">
        <f t="shared" si="0"/>
        <v>4</v>
      </c>
      <c r="AD6" s="10">
        <v>14</v>
      </c>
      <c r="AE6" s="10">
        <f t="shared" si="3"/>
        <v>1.1000000000000001</v>
      </c>
      <c r="AF6" s="10">
        <f t="shared" si="12"/>
        <v>0.33300000000000002</v>
      </c>
      <c r="AG6" s="12" t="str">
        <f t="shared" si="8"/>
        <v/>
      </c>
      <c r="AH6" s="10">
        <f t="shared" si="4"/>
        <v>0</v>
      </c>
      <c r="AI6" s="4" t="b">
        <f t="shared" si="5"/>
        <v>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 t="b">
        <f t="shared" ref="CT6:CT37" si="14">IF(OR(ISERR(LN(INDEX($Y$3:$Y$70,INDEX($AD$3:$AD$70,71-ROW(),1),1))),$AI6&lt;=MIN($D:$D),$AI6=FALSE),FALSE,LN(INDEX($Y$3:$Y$70,INDEX($AD$3:$AD$70,71-ROW(),1),1)))</f>
        <v>0</v>
      </c>
      <c r="CU6" s="5" t="b">
        <f t="shared" si="13"/>
        <v>0</v>
      </c>
      <c r="CV6" s="5" t="b">
        <f t="shared" si="9"/>
        <v>0</v>
      </c>
      <c r="CW6" s="6" t="b">
        <f t="shared" si="6"/>
        <v>0</v>
      </c>
      <c r="CY6" s="77" t="str">
        <f>IF(ROUND(A6,0)&gt;=ROUND($H$4,0),SUM($C$3:$C6),"")</f>
        <v/>
      </c>
    </row>
    <row r="7" spans="1:104" ht="13" x14ac:dyDescent="0.3">
      <c r="A7" s="28">
        <f t="shared" si="1"/>
        <v>1.5</v>
      </c>
      <c r="B7" s="10" t="str">
        <f t="shared" si="2"/>
        <v>BLQ</v>
      </c>
      <c r="C7" s="30" t="e">
        <f>IF(A7&lt;=MAX($AI$41:$AI$70),IF(ROW()&lt;=COUNTA(Data!$2:$2)+2,(B7+B6)*(A7-A6)/2,FALSE),FALSE)</f>
        <v>#VALUE!</v>
      </c>
      <c r="D7" s="10" t="b">
        <f t="shared" si="7"/>
        <v>0</v>
      </c>
      <c r="E7" s="29" t="e">
        <f>IF(A7&lt;=MAX($AI$41:$AI$70),IF(ROW()&lt;=COUNTA(Data!$2:$2)+2,(B7*A7+B6*A6)*(A7-A6)/2,FALSE),FALSE)</f>
        <v>#VALUE!</v>
      </c>
      <c r="G7" s="38" t="b">
        <v>1</v>
      </c>
      <c r="W7" s="10">
        <v>5</v>
      </c>
      <c r="X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1.5</v>
      </c>
      <c r="Y7" s="10" t="str">
        <f>IF(ROW()&lt;=COUNTA(Data!$2:$2),INDEX(Data!$C:$AZ,Analysis!$C$1+1,ROW()-2),FALSE)</f>
        <v>BLQ</v>
      </c>
      <c r="Z7" s="30">
        <f t="shared" si="10"/>
        <v>0</v>
      </c>
      <c r="AA7" s="29">
        <f t="shared" si="11"/>
        <v>5</v>
      </c>
      <c r="AB7" s="10">
        <v>5</v>
      </c>
      <c r="AC7" s="10">
        <f t="shared" si="0"/>
        <v>5</v>
      </c>
      <c r="AD7" s="10">
        <v>13</v>
      </c>
      <c r="AE7" s="10">
        <f t="shared" si="3"/>
        <v>1.5</v>
      </c>
      <c r="AF7" s="10">
        <f t="shared" si="12"/>
        <v>0.33300000000000002</v>
      </c>
      <c r="AG7" s="12" t="str">
        <f t="shared" si="8"/>
        <v/>
      </c>
      <c r="AH7" s="10">
        <f t="shared" si="4"/>
        <v>0</v>
      </c>
      <c r="AI7" s="4" t="b">
        <f t="shared" si="5"/>
        <v>0</v>
      </c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 t="b">
        <f t="shared" ref="CS7:CS38" si="15">IF(OR(ISERR(LN(INDEX($Y$3:$Y$70,INDEX($AD$3:$AD$70,71-ROW(),1),1))),$AI7&lt;=MIN($D:$D),$AI7=FALSE),FALSE,LN(INDEX($Y$3:$Y$70,INDEX($AD$3:$AD$70,71-ROW(),1),1)))</f>
        <v>0</v>
      </c>
      <c r="CT7" s="5" t="b">
        <f t="shared" si="14"/>
        <v>0</v>
      </c>
      <c r="CU7" s="5" t="b">
        <f t="shared" si="13"/>
        <v>0</v>
      </c>
      <c r="CV7" s="5" t="b">
        <f t="shared" si="9"/>
        <v>0</v>
      </c>
      <c r="CW7" s="6" t="b">
        <f t="shared" si="6"/>
        <v>0</v>
      </c>
      <c r="CY7" s="77" t="str">
        <f>IF(ROUND(A7,0)&gt;=ROUND($H$4,0),SUM($C$3:$C7),"")</f>
        <v/>
      </c>
    </row>
    <row r="8" spans="1:104" ht="13" x14ac:dyDescent="0.3">
      <c r="A8" s="28">
        <f t="shared" si="1"/>
        <v>2</v>
      </c>
      <c r="B8" s="10" t="str">
        <f t="shared" si="2"/>
        <v>BLQ</v>
      </c>
      <c r="C8" s="30" t="e">
        <f>IF(A8&lt;=MAX($AI$41:$AI$70),IF(ROW()&lt;=COUNTA(Data!$2:$2)+2,(B8+B7)*(A8-A7)/2,FALSE),FALSE)</f>
        <v>#VALUE!</v>
      </c>
      <c r="D8" s="10" t="b">
        <f t="shared" si="7"/>
        <v>0</v>
      </c>
      <c r="E8" s="29" t="e">
        <f>IF(A8&lt;=MAX($AI$41:$AI$70),IF(ROW()&lt;=COUNTA(Data!$2:$2)+2,(B8*A8+B7*A7)*(A8-A7)/2,FALSE),FALSE)</f>
        <v>#VALUE!</v>
      </c>
      <c r="G8" s="87">
        <f>$H$5</f>
        <v>3</v>
      </c>
      <c r="W8" s="10">
        <v>6</v>
      </c>
      <c r="X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</v>
      </c>
      <c r="Y8" s="10" t="str">
        <f>IF(ROW()&lt;=COUNTA(Data!$2:$2),INDEX(Data!$C:$AZ,Analysis!$C$1+1,ROW()-2),FALSE)</f>
        <v>BLQ</v>
      </c>
      <c r="Z8" s="30">
        <f t="shared" si="10"/>
        <v>0</v>
      </c>
      <c r="AA8" s="29">
        <f t="shared" si="11"/>
        <v>6</v>
      </c>
      <c r="AB8" s="10">
        <v>6</v>
      </c>
      <c r="AC8" s="10">
        <f t="shared" si="0"/>
        <v>6</v>
      </c>
      <c r="AD8" s="10">
        <v>12</v>
      </c>
      <c r="AE8" s="10">
        <f t="shared" si="3"/>
        <v>2</v>
      </c>
      <c r="AF8" s="10">
        <f t="shared" si="12"/>
        <v>0.33300000000000002</v>
      </c>
      <c r="AG8" s="12" t="str">
        <f t="shared" si="8"/>
        <v/>
      </c>
      <c r="AH8" s="10">
        <f t="shared" si="4"/>
        <v>0</v>
      </c>
      <c r="AI8" s="4" t="b">
        <f t="shared" si="5"/>
        <v>0</v>
      </c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 t="b">
        <f t="shared" ref="CR8:CR39" si="16">IF(OR(ISERR(LN(INDEX($Y$3:$Y$70,INDEX($AD$3:$AD$70,71-ROW(),1),1))),$AI8&lt;=MIN($D:$D),$AI8=FALSE),FALSE,LN(INDEX($Y$3:$Y$70,INDEX($AD$3:$AD$70,71-ROW(),1),1)))</f>
        <v>0</v>
      </c>
      <c r="CS8" s="5" t="b">
        <f t="shared" si="15"/>
        <v>0</v>
      </c>
      <c r="CT8" s="5" t="b">
        <f t="shared" si="14"/>
        <v>0</v>
      </c>
      <c r="CU8" s="5" t="b">
        <f t="shared" si="13"/>
        <v>0</v>
      </c>
      <c r="CV8" s="5" t="b">
        <f t="shared" si="9"/>
        <v>0</v>
      </c>
      <c r="CW8" s="6" t="b">
        <f t="shared" si="6"/>
        <v>0</v>
      </c>
      <c r="CY8" s="77" t="str">
        <f>IF(ROUND(A8,0)&gt;=ROUND($H$4,0),SUM($C$3:$C8),"")</f>
        <v/>
      </c>
    </row>
    <row r="9" spans="1:104" ht="13" x14ac:dyDescent="0.3">
      <c r="A9" s="28">
        <f t="shared" si="1"/>
        <v>2.5</v>
      </c>
      <c r="B9" s="10">
        <f t="shared" si="2"/>
        <v>0.8</v>
      </c>
      <c r="C9" s="30" t="e">
        <f>IF(A9&lt;=MAX($AI$41:$AI$70),IF(ROW()&lt;=COUNTA(Data!$2:$2)+2,(B9+B8)*(A9-A8)/2,FALSE),FALSE)</f>
        <v>#VALUE!</v>
      </c>
      <c r="D9" s="10" t="b">
        <f t="shared" si="7"/>
        <v>0</v>
      </c>
      <c r="E9" s="29" t="e">
        <f>IF(A9&lt;=MAX($AI$41:$AI$70),IF(ROW()&lt;=COUNTA(Data!$2:$2)+2,(B9*A9+B8*A8)*(A9-A8)/2,FALSE),FALSE)</f>
        <v>#VALUE!</v>
      </c>
      <c r="G9" s="38" t="b">
        <v>1</v>
      </c>
      <c r="W9" s="10">
        <v>7</v>
      </c>
      <c r="X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2.5</v>
      </c>
      <c r="Y9" s="10">
        <f>IF(ROW()&lt;=COUNTA(Data!$2:$2),INDEX(Data!$C:$AZ,Analysis!$C$1+1,ROW()-2),FALSE)</f>
        <v>0.8</v>
      </c>
      <c r="Z9" s="30">
        <f t="shared" si="10"/>
        <v>0</v>
      </c>
      <c r="AA9" s="29">
        <f t="shared" si="11"/>
        <v>7</v>
      </c>
      <c r="AB9" s="10">
        <v>7</v>
      </c>
      <c r="AC9" s="10">
        <f t="shared" si="0"/>
        <v>7</v>
      </c>
      <c r="AD9" s="10">
        <v>11</v>
      </c>
      <c r="AE9" s="10">
        <f t="shared" si="3"/>
        <v>2.5</v>
      </c>
      <c r="AF9" s="10">
        <f t="shared" si="12"/>
        <v>0.33300000000000002</v>
      </c>
      <c r="AG9" s="12" t="str">
        <f t="shared" si="8"/>
        <v/>
      </c>
      <c r="AH9" s="10">
        <f t="shared" si="4"/>
        <v>0</v>
      </c>
      <c r="AI9" s="4" t="b">
        <f t="shared" si="5"/>
        <v>0</v>
      </c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 t="b">
        <f t="shared" ref="CQ9:CQ40" si="17">IF(OR(ISERR(LN(INDEX($Y$3:$Y$70,INDEX($AD$3:$AD$70,71-ROW(),1),1))),$AI9&lt;=MIN($D:$D),$AI9=FALSE),FALSE,LN(INDEX($Y$3:$Y$70,INDEX($AD$3:$AD$70,71-ROW(),1),1)))</f>
        <v>0</v>
      </c>
      <c r="CR9" s="5" t="b">
        <f t="shared" si="16"/>
        <v>0</v>
      </c>
      <c r="CS9" s="5" t="b">
        <f t="shared" si="15"/>
        <v>0</v>
      </c>
      <c r="CT9" s="5" t="b">
        <f t="shared" si="14"/>
        <v>0</v>
      </c>
      <c r="CU9" s="5" t="b">
        <f t="shared" si="13"/>
        <v>0</v>
      </c>
      <c r="CV9" s="5" t="b">
        <f t="shared" si="9"/>
        <v>0</v>
      </c>
      <c r="CW9" s="6" t="b">
        <f t="shared" si="6"/>
        <v>0</v>
      </c>
      <c r="CY9" s="77" t="str">
        <f>IF(ROUND(A9,0)&gt;=ROUND($H$4,0),SUM($C$3:$C9),"")</f>
        <v/>
      </c>
    </row>
    <row r="10" spans="1:104" ht="13" x14ac:dyDescent="0.3">
      <c r="A10" s="28">
        <f t="shared" si="1"/>
        <v>3</v>
      </c>
      <c r="B10" s="10">
        <f t="shared" si="2"/>
        <v>2.5099999999999998</v>
      </c>
      <c r="C10" s="30">
        <f>IF(A10&lt;=MAX($AI$41:$AI$70),IF(ROW()&lt;=COUNTA(Data!$2:$2)+2,(B10+B9)*(A10-A9)/2,FALSE),FALSE)</f>
        <v>0.8274999999999999</v>
      </c>
      <c r="D10" s="10" t="b">
        <f t="shared" si="7"/>
        <v>0</v>
      </c>
      <c r="E10" s="29">
        <f>IF(A10&lt;=MAX($AI$41:$AI$70),IF(ROW()&lt;=COUNTA(Data!$2:$2)+2,(B10*A10+B9*A9)*(A10-A9)/2,FALSE),FALSE)</f>
        <v>2.3824999999999998</v>
      </c>
      <c r="G10" s="38" t="b">
        <v>0</v>
      </c>
      <c r="W10" s="10">
        <v>8</v>
      </c>
      <c r="X10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</v>
      </c>
      <c r="Y10" s="10">
        <f>IF(ROW()&lt;=COUNTA(Data!$2:$2),INDEX(Data!$C:$AZ,Analysis!$C$1+1,ROW()-2),FALSE)</f>
        <v>2.5099999999999998</v>
      </c>
      <c r="Z10" s="30">
        <f t="shared" si="10"/>
        <v>0</v>
      </c>
      <c r="AA10" s="29">
        <f t="shared" si="11"/>
        <v>8</v>
      </c>
      <c r="AB10" s="10">
        <v>8</v>
      </c>
      <c r="AC10" s="10">
        <f t="shared" si="0"/>
        <v>8</v>
      </c>
      <c r="AD10" s="10">
        <v>10</v>
      </c>
      <c r="AE10" s="10">
        <f t="shared" si="3"/>
        <v>3</v>
      </c>
      <c r="AF10" s="10">
        <f t="shared" si="12"/>
        <v>0.33300000000000002</v>
      </c>
      <c r="AG10" s="12" t="str">
        <f t="shared" si="8"/>
        <v/>
      </c>
      <c r="AH10" s="10">
        <f t="shared" si="4"/>
        <v>0</v>
      </c>
      <c r="AI10" s="4" t="b">
        <f t="shared" si="5"/>
        <v>0</v>
      </c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 t="b">
        <f t="shared" ref="CP10:CP41" si="18">IF(OR(ISERR(LN(INDEX($Y$3:$Y$70,INDEX($AD$3:$AD$70,71-ROW(),1),1))),$AI10&lt;=MIN($D:$D),$AI10=FALSE),FALSE,LN(INDEX($Y$3:$Y$70,INDEX($AD$3:$AD$70,71-ROW(),1),1)))</f>
        <v>0</v>
      </c>
      <c r="CQ10" s="5" t="b">
        <f t="shared" si="17"/>
        <v>0</v>
      </c>
      <c r="CR10" s="5" t="b">
        <f t="shared" si="16"/>
        <v>0</v>
      </c>
      <c r="CS10" s="5" t="b">
        <f t="shared" si="15"/>
        <v>0</v>
      </c>
      <c r="CT10" s="5" t="b">
        <f t="shared" si="14"/>
        <v>0</v>
      </c>
      <c r="CU10" s="5" t="b">
        <f t="shared" si="13"/>
        <v>0</v>
      </c>
      <c r="CV10" s="5" t="b">
        <f t="shared" si="9"/>
        <v>0</v>
      </c>
      <c r="CW10" s="6" t="b">
        <f t="shared" si="6"/>
        <v>0</v>
      </c>
      <c r="CY10" s="77" t="str">
        <f>IF(ROUND(A10,0)&gt;=ROUND($H$4,0),SUM($C$3:$C10),"")</f>
        <v/>
      </c>
    </row>
    <row r="11" spans="1:104" ht="13" x14ac:dyDescent="0.3">
      <c r="A11" s="28">
        <f t="shared" si="1"/>
        <v>3.5</v>
      </c>
      <c r="B11" s="10">
        <f t="shared" si="2"/>
        <v>4.32</v>
      </c>
      <c r="C11" s="30">
        <f>IF(A11&lt;=MAX($AI$41:$AI$70),IF(ROW()&lt;=COUNTA(Data!$2:$2)+2,(B11+B10)*(A11-A10)/2,FALSE),FALSE)</f>
        <v>1.7075</v>
      </c>
      <c r="D11" s="10" t="b">
        <f t="shared" si="7"/>
        <v>0</v>
      </c>
      <c r="E11" s="29">
        <f>IF(A11&lt;=MAX($AI$41:$AI$70),IF(ROW()&lt;=COUNTA(Data!$2:$2)+2,(B11*A11+B10*A10)*(A11-A10)/2,FALSE),FALSE)</f>
        <v>5.6624999999999996</v>
      </c>
      <c r="G11" s="38" t="b">
        <v>0</v>
      </c>
      <c r="H11" s="15"/>
      <c r="I11" s="15"/>
      <c r="J11" s="15"/>
      <c r="K11" s="15"/>
      <c r="L11" s="15"/>
      <c r="M11" s="15"/>
      <c r="N11" s="74"/>
      <c r="W11" s="10">
        <v>9</v>
      </c>
      <c r="X11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3.5</v>
      </c>
      <c r="Y11" s="10">
        <f>IF(ROW()&lt;=COUNTA(Data!$2:$2),INDEX(Data!$C:$AZ,Analysis!$C$1+1,ROW()-2),FALSE)</f>
        <v>4.32</v>
      </c>
      <c r="Z11" s="30">
        <f t="shared" si="10"/>
        <v>0</v>
      </c>
      <c r="AA11" s="29">
        <f t="shared" si="11"/>
        <v>9</v>
      </c>
      <c r="AB11" s="10">
        <v>9</v>
      </c>
      <c r="AC11" s="10">
        <f t="shared" si="0"/>
        <v>9</v>
      </c>
      <c r="AD11" s="10">
        <v>9</v>
      </c>
      <c r="AE11" s="10">
        <f t="shared" si="3"/>
        <v>3.5</v>
      </c>
      <c r="AF11" s="10">
        <f t="shared" si="12"/>
        <v>0.33300000000000002</v>
      </c>
      <c r="AG11" s="12" t="str">
        <f t="shared" si="8"/>
        <v/>
      </c>
      <c r="AH11" s="10">
        <f t="shared" si="4"/>
        <v>0</v>
      </c>
      <c r="AI11" s="4" t="b">
        <f t="shared" si="5"/>
        <v>0</v>
      </c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 t="b">
        <f t="shared" ref="CO11:CO42" si="19">IF(OR(ISERR(LN(INDEX($Y$3:$Y$70,INDEX($AD$3:$AD$70,71-ROW(),1),1))),$AI11&lt;=MIN($D:$D),$AI11=FALSE),FALSE,LN(INDEX($Y$3:$Y$70,INDEX($AD$3:$AD$70,71-ROW(),1),1)))</f>
        <v>0</v>
      </c>
      <c r="CP11" s="5" t="b">
        <f t="shared" si="18"/>
        <v>0</v>
      </c>
      <c r="CQ11" s="5" t="b">
        <f t="shared" si="17"/>
        <v>0</v>
      </c>
      <c r="CR11" s="5" t="b">
        <f t="shared" si="16"/>
        <v>0</v>
      </c>
      <c r="CS11" s="5" t="b">
        <f t="shared" si="15"/>
        <v>0</v>
      </c>
      <c r="CT11" s="5" t="b">
        <f t="shared" si="14"/>
        <v>0</v>
      </c>
      <c r="CU11" s="5" t="b">
        <f t="shared" si="13"/>
        <v>0</v>
      </c>
      <c r="CV11" s="5" t="b">
        <f t="shared" si="9"/>
        <v>0</v>
      </c>
      <c r="CW11" s="6" t="b">
        <f t="shared" si="6"/>
        <v>0</v>
      </c>
      <c r="CY11" s="77" t="str">
        <f>IF(ROUND(A11,0)&gt;=ROUND($H$4,0),SUM($C$3:$C11),"")</f>
        <v/>
      </c>
    </row>
    <row r="12" spans="1:104" ht="13" x14ac:dyDescent="0.3">
      <c r="A12" s="28">
        <f t="shared" si="1"/>
        <v>4</v>
      </c>
      <c r="B12" s="10">
        <f t="shared" si="2"/>
        <v>5.21</v>
      </c>
      <c r="C12" s="30">
        <f>IF(A12&lt;=MAX($AI$41:$AI$70),IF(ROW()&lt;=COUNTA(Data!$2:$2)+2,(B12+B11)*(A12-A11)/2,FALSE),FALSE)</f>
        <v>2.3825000000000003</v>
      </c>
      <c r="D12" s="10" t="b">
        <f t="shared" si="7"/>
        <v>0</v>
      </c>
      <c r="E12" s="29">
        <f>IF(A12&lt;=MAX($AI$41:$AI$70),IF(ROW()&lt;=COUNTA(Data!$2:$2)+2,(B12*A12+B11*A11)*(A12-A11)/2,FALSE),FALSE)</f>
        <v>8.99</v>
      </c>
      <c r="G12" s="38" t="b">
        <v>1</v>
      </c>
      <c r="H12" s="15"/>
      <c r="I12" s="15"/>
      <c r="J12" s="15"/>
      <c r="K12" s="15"/>
      <c r="M12" s="15"/>
      <c r="W12" s="10">
        <v>10</v>
      </c>
      <c r="X12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</v>
      </c>
      <c r="Y12" s="10">
        <f>IF(ROW()&lt;=COUNTA(Data!$2:$2),INDEX(Data!$C:$AZ,Analysis!$C$1+1,ROW()-2),FALSE)</f>
        <v>5.21</v>
      </c>
      <c r="Z12" s="30">
        <f t="shared" si="10"/>
        <v>0</v>
      </c>
      <c r="AA12" s="29">
        <f t="shared" si="11"/>
        <v>10</v>
      </c>
      <c r="AB12" s="10">
        <v>10</v>
      </c>
      <c r="AC12" s="10">
        <f t="shared" si="0"/>
        <v>10</v>
      </c>
      <c r="AD12" s="10">
        <v>8</v>
      </c>
      <c r="AE12" s="10">
        <f t="shared" si="3"/>
        <v>4</v>
      </c>
      <c r="AF12" s="10">
        <f t="shared" si="12"/>
        <v>0.33300000000000002</v>
      </c>
      <c r="AG12" s="12" t="str">
        <f t="shared" si="8"/>
        <v/>
      </c>
      <c r="AH12" s="10">
        <f t="shared" si="4"/>
        <v>0</v>
      </c>
      <c r="AI12" s="4" t="b">
        <f t="shared" si="5"/>
        <v>0</v>
      </c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 t="b">
        <f t="shared" ref="CN12:CN43" si="20">IF(OR(ISERR(LN(INDEX($Y$3:$Y$70,INDEX($AD$3:$AD$70,71-ROW(),1),1))),$AI12&lt;=MIN($D:$D),$AI12=FALSE),FALSE,LN(INDEX($Y$3:$Y$70,INDEX($AD$3:$AD$70,71-ROW(),1),1)))</f>
        <v>0</v>
      </c>
      <c r="CO12" s="5" t="b">
        <f t="shared" si="19"/>
        <v>0</v>
      </c>
      <c r="CP12" s="5" t="b">
        <f t="shared" si="18"/>
        <v>0</v>
      </c>
      <c r="CQ12" s="5" t="b">
        <f t="shared" si="17"/>
        <v>0</v>
      </c>
      <c r="CR12" s="5" t="b">
        <f t="shared" si="16"/>
        <v>0</v>
      </c>
      <c r="CS12" s="5" t="b">
        <f t="shared" si="15"/>
        <v>0</v>
      </c>
      <c r="CT12" s="5" t="b">
        <f t="shared" si="14"/>
        <v>0</v>
      </c>
      <c r="CU12" s="5" t="b">
        <f t="shared" si="13"/>
        <v>0</v>
      </c>
      <c r="CV12" s="5" t="b">
        <f t="shared" si="9"/>
        <v>0</v>
      </c>
      <c r="CW12" s="6" t="b">
        <f t="shared" si="6"/>
        <v>0</v>
      </c>
      <c r="CY12" s="77" t="str">
        <f>IF(ROUND(A12,0)&gt;=ROUND($H$4,0),SUM($C$3:$C12),"")</f>
        <v/>
      </c>
    </row>
    <row r="13" spans="1:104" ht="13" x14ac:dyDescent="0.3">
      <c r="A13" s="28">
        <f t="shared" si="1"/>
        <v>6</v>
      </c>
      <c r="B13" s="10">
        <f t="shared" si="2"/>
        <v>3.61</v>
      </c>
      <c r="C13" s="30">
        <f>IF(A13&lt;=MAX($AI$41:$AI$70),IF(ROW()&lt;=COUNTA(Data!$2:$2)+2,(B13+B12)*(A13-A12)/2,FALSE),FALSE)</f>
        <v>8.82</v>
      </c>
      <c r="D13" s="10" t="b">
        <f t="shared" si="7"/>
        <v>0</v>
      </c>
      <c r="E13" s="29">
        <f>IF(A13&lt;=MAX($AI$41:$AI$70),IF(ROW()&lt;=COUNTA(Data!$2:$2)+2,(B13*A13+B12*A12)*(A13-A12)/2,FALSE),FALSE)</f>
        <v>42.5</v>
      </c>
      <c r="G13" s="50" t="b">
        <v>1</v>
      </c>
      <c r="H13" s="15"/>
      <c r="I13" s="15"/>
      <c r="J13" s="15"/>
      <c r="K13" s="31"/>
      <c r="L13" s="31"/>
      <c r="M13" s="31"/>
      <c r="N13" s="32"/>
      <c r="O13" s="32"/>
      <c r="W13" s="10">
        <v>11</v>
      </c>
      <c r="X13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6</v>
      </c>
      <c r="Y13" s="10">
        <f>IF(ROW()&lt;=COUNTA(Data!$2:$2),INDEX(Data!$C:$AZ,Analysis!$C$1+1,ROW()-2),FALSE)</f>
        <v>3.61</v>
      </c>
      <c r="Z13" s="30">
        <f t="shared" si="10"/>
        <v>0</v>
      </c>
      <c r="AA13" s="29">
        <f t="shared" si="11"/>
        <v>11</v>
      </c>
      <c r="AB13" s="10">
        <v>11</v>
      </c>
      <c r="AC13" s="10">
        <f t="shared" si="0"/>
        <v>11</v>
      </c>
      <c r="AD13" s="10">
        <v>7</v>
      </c>
      <c r="AE13" s="10">
        <f t="shared" si="3"/>
        <v>6</v>
      </c>
      <c r="AF13" s="10">
        <f t="shared" si="12"/>
        <v>0.33300000000000002</v>
      </c>
      <c r="AG13" s="12" t="str">
        <f t="shared" si="8"/>
        <v/>
      </c>
      <c r="AH13" s="10">
        <f t="shared" si="4"/>
        <v>0</v>
      </c>
      <c r="AI13" s="4" t="b">
        <f t="shared" si="5"/>
        <v>0</v>
      </c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 t="b">
        <f t="shared" ref="CM13:CM44" si="21">IF(OR(ISERR(LN(INDEX($Y$3:$Y$70,INDEX($AD$3:$AD$70,71-ROW(),1),1))),$AI13&lt;=MIN($D:$D),$AI13=FALSE),FALSE,LN(INDEX($Y$3:$Y$70,INDEX($AD$3:$AD$70,71-ROW(),1),1)))</f>
        <v>0</v>
      </c>
      <c r="CN13" s="5" t="b">
        <f t="shared" si="20"/>
        <v>0</v>
      </c>
      <c r="CO13" s="5" t="b">
        <f t="shared" si="19"/>
        <v>0</v>
      </c>
      <c r="CP13" s="5" t="b">
        <f t="shared" si="18"/>
        <v>0</v>
      </c>
      <c r="CQ13" s="5" t="b">
        <f t="shared" si="17"/>
        <v>0</v>
      </c>
      <c r="CR13" s="5" t="b">
        <f t="shared" si="16"/>
        <v>0</v>
      </c>
      <c r="CS13" s="5" t="b">
        <f t="shared" si="15"/>
        <v>0</v>
      </c>
      <c r="CT13" s="5" t="b">
        <f t="shared" si="14"/>
        <v>0</v>
      </c>
      <c r="CU13" s="5" t="b">
        <f t="shared" si="13"/>
        <v>0</v>
      </c>
      <c r="CV13" s="5" t="b">
        <f t="shared" si="9"/>
        <v>0</v>
      </c>
      <c r="CW13" s="6" t="b">
        <f t="shared" si="6"/>
        <v>0</v>
      </c>
      <c r="CY13" s="77" t="str">
        <f>IF(ROUND(A13,0)&gt;=ROUND($H$4,0),SUM($C$3:$C13),"")</f>
        <v/>
      </c>
    </row>
    <row r="14" spans="1:104" ht="13.5" thickBot="1" x14ac:dyDescent="0.35">
      <c r="A14" s="28">
        <f t="shared" si="1"/>
        <v>8</v>
      </c>
      <c r="B14" s="10">
        <f t="shared" si="2"/>
        <v>9.07</v>
      </c>
      <c r="C14" s="30">
        <f>IF(A14&lt;=MAX($AI$41:$AI$70),IF(ROW()&lt;=COUNTA(Data!$2:$2)+2,(B14+B13)*(A14-A13)/2,FALSE),FALSE)</f>
        <v>12.68</v>
      </c>
      <c r="D14" s="10" t="b">
        <f t="shared" si="7"/>
        <v>0</v>
      </c>
      <c r="E14" s="29">
        <f>IF(A14&lt;=MAX($AI$41:$AI$70),IF(ROW()&lt;=COUNTA(Data!$2:$2)+2,(B14*A14+B13*A13)*(A14-A13)/2,FALSE),FALSE)</f>
        <v>94.22</v>
      </c>
      <c r="G14" s="60" t="b">
        <v>0</v>
      </c>
      <c r="H14" s="15"/>
      <c r="I14" s="22"/>
      <c r="J14" s="15"/>
      <c r="K14" s="15"/>
      <c r="L14" s="15"/>
      <c r="M14" s="15"/>
      <c r="W14" s="10">
        <v>12</v>
      </c>
      <c r="X14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8</v>
      </c>
      <c r="Y14" s="10">
        <f>IF(ROW()&lt;=COUNTA(Data!$2:$2),INDEX(Data!$C:$AZ,Analysis!$C$1+1,ROW()-2),FALSE)</f>
        <v>9.07</v>
      </c>
      <c r="Z14" s="30">
        <f t="shared" si="10"/>
        <v>0</v>
      </c>
      <c r="AA14" s="29">
        <f t="shared" si="11"/>
        <v>12</v>
      </c>
      <c r="AB14" s="10">
        <v>12</v>
      </c>
      <c r="AC14" s="10">
        <f t="shared" si="0"/>
        <v>12</v>
      </c>
      <c r="AD14" s="10">
        <v>6</v>
      </c>
      <c r="AE14" s="10">
        <f t="shared" si="3"/>
        <v>8</v>
      </c>
      <c r="AF14" s="10">
        <f t="shared" si="12"/>
        <v>0.33300000000000002</v>
      </c>
      <c r="AG14" s="12" t="str">
        <f t="shared" si="8"/>
        <v/>
      </c>
      <c r="AH14" s="10">
        <f t="shared" si="4"/>
        <v>0</v>
      </c>
      <c r="AI14" s="4" t="b">
        <f t="shared" si="5"/>
        <v>0</v>
      </c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 t="b">
        <f t="shared" ref="CL14:CL45" si="22">IF(OR(ISERR(LN(INDEX($Y$3:$Y$70,INDEX($AD$3:$AD$70,71-ROW(),1),1))),$AI14&lt;=MIN($D:$D),$AI14=FALSE),FALSE,LN(INDEX($Y$3:$Y$70,INDEX($AD$3:$AD$70,71-ROW(),1),1)))</f>
        <v>0</v>
      </c>
      <c r="CM14" s="5" t="b">
        <f t="shared" si="21"/>
        <v>0</v>
      </c>
      <c r="CN14" s="5" t="b">
        <f t="shared" si="20"/>
        <v>0</v>
      </c>
      <c r="CO14" s="5" t="b">
        <f t="shared" si="19"/>
        <v>0</v>
      </c>
      <c r="CP14" s="5" t="b">
        <f t="shared" si="18"/>
        <v>0</v>
      </c>
      <c r="CQ14" s="5" t="b">
        <f t="shared" si="17"/>
        <v>0</v>
      </c>
      <c r="CR14" s="5" t="b">
        <f t="shared" si="16"/>
        <v>0</v>
      </c>
      <c r="CS14" s="5" t="b">
        <f t="shared" si="15"/>
        <v>0</v>
      </c>
      <c r="CT14" s="5" t="b">
        <f t="shared" si="14"/>
        <v>0</v>
      </c>
      <c r="CU14" s="5" t="b">
        <f t="shared" si="13"/>
        <v>0</v>
      </c>
      <c r="CV14" s="5" t="b">
        <f t="shared" si="9"/>
        <v>0</v>
      </c>
      <c r="CW14" s="6" t="b">
        <f t="shared" si="6"/>
        <v>0</v>
      </c>
      <c r="CY14" s="77" t="str">
        <f>IF(ROUND(A14,0)&gt;=ROUND($H$4,0),SUM($C$3:$C14),"")</f>
        <v/>
      </c>
    </row>
    <row r="15" spans="1:104" ht="13.5" thickBot="1" x14ac:dyDescent="0.35">
      <c r="A15" s="28">
        <f t="shared" si="1"/>
        <v>12</v>
      </c>
      <c r="B15" s="10">
        <f t="shared" si="2"/>
        <v>16.59</v>
      </c>
      <c r="C15" s="30">
        <f>IF(A15&lt;=MAX($AI$41:$AI$70),IF(ROW()&lt;=COUNTA(Data!$2:$2)+2,(B15+B14)*(A15-A14)/2,FALSE),FALSE)</f>
        <v>51.32</v>
      </c>
      <c r="D15" s="10" t="b">
        <f t="shared" si="7"/>
        <v>0</v>
      </c>
      <c r="E15" s="29">
        <f>IF(A15&lt;=MAX($AI$41:$AI$70),IF(ROW()&lt;=COUNTA(Data!$2:$2)+2,(B15*A15+B14*A14)*(A15-A14)/2,FALSE),FALSE)</f>
        <v>543.28</v>
      </c>
      <c r="G15" s="33" t="s">
        <v>65</v>
      </c>
      <c r="H15" s="71" t="s">
        <v>76</v>
      </c>
      <c r="I15" s="15" t="s">
        <v>67</v>
      </c>
      <c r="J15" s="15"/>
      <c r="K15" s="15"/>
      <c r="L15" s="15"/>
      <c r="M15" s="15"/>
      <c r="W15" s="10">
        <v>13</v>
      </c>
      <c r="X15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12</v>
      </c>
      <c r="Y15" s="10">
        <f>IF(ROW()&lt;=COUNTA(Data!$2:$2),INDEX(Data!$C:$AZ,Analysis!$C$1+1,ROW()-2),FALSE)</f>
        <v>16.59</v>
      </c>
      <c r="Z15" s="30">
        <f t="shared" si="10"/>
        <v>0</v>
      </c>
      <c r="AA15" s="29">
        <f t="shared" si="11"/>
        <v>13</v>
      </c>
      <c r="AB15" s="10">
        <v>13</v>
      </c>
      <c r="AC15" s="10">
        <f t="shared" si="0"/>
        <v>13</v>
      </c>
      <c r="AD15" s="10">
        <v>5</v>
      </c>
      <c r="AE15" s="10">
        <f t="shared" si="3"/>
        <v>12</v>
      </c>
      <c r="AF15" s="10">
        <f t="shared" si="12"/>
        <v>0.33300000000000002</v>
      </c>
      <c r="AG15" s="12" t="str">
        <f t="shared" si="8"/>
        <v/>
      </c>
      <c r="AH15" s="10">
        <f t="shared" si="4"/>
        <v>0</v>
      </c>
      <c r="AI15" s="4" t="b">
        <f t="shared" si="5"/>
        <v>0</v>
      </c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 t="b">
        <f t="shared" ref="CK15:CK46" si="23">IF(OR(ISERR(LN(INDEX($Y$3:$Y$70,INDEX($AD$3:$AD$70,71-ROW(),1),1))),$AI15&lt;=MIN($D:$D),$AI15=FALSE),FALSE,LN(INDEX($Y$3:$Y$70,INDEX($AD$3:$AD$70,71-ROW(),1),1)))</f>
        <v>0</v>
      </c>
      <c r="CL15" s="5" t="b">
        <f t="shared" si="22"/>
        <v>0</v>
      </c>
      <c r="CM15" s="5" t="b">
        <f t="shared" si="21"/>
        <v>0</v>
      </c>
      <c r="CN15" s="5" t="b">
        <f t="shared" si="20"/>
        <v>0</v>
      </c>
      <c r="CO15" s="5" t="b">
        <f t="shared" si="19"/>
        <v>0</v>
      </c>
      <c r="CP15" s="5" t="b">
        <f t="shared" si="18"/>
        <v>0</v>
      </c>
      <c r="CQ15" s="5" t="b">
        <f t="shared" si="17"/>
        <v>0</v>
      </c>
      <c r="CR15" s="5" t="b">
        <f t="shared" si="16"/>
        <v>0</v>
      </c>
      <c r="CS15" s="5" t="b">
        <f t="shared" si="15"/>
        <v>0</v>
      </c>
      <c r="CT15" s="5" t="b">
        <f t="shared" si="14"/>
        <v>0</v>
      </c>
      <c r="CU15" s="5" t="b">
        <f t="shared" si="13"/>
        <v>0</v>
      </c>
      <c r="CV15" s="5" t="b">
        <f t="shared" si="9"/>
        <v>0</v>
      </c>
      <c r="CW15" s="6" t="b">
        <f t="shared" si="6"/>
        <v>0</v>
      </c>
      <c r="CY15" s="77" t="str">
        <f>IF(ROUND(A15,0)&gt;=ROUND($H$4,0),SUM($C$3:$C15),"")</f>
        <v/>
      </c>
    </row>
    <row r="16" spans="1:104" ht="13" x14ac:dyDescent="0.3">
      <c r="A16" s="28">
        <f t="shared" si="1"/>
        <v>24</v>
      </c>
      <c r="B16" s="10">
        <f t="shared" si="2"/>
        <v>23.32</v>
      </c>
      <c r="C16" s="30">
        <f>IF(A16&lt;=MAX($AI$41:$AI$70),IF(ROW()&lt;=COUNTA(Data!$2:$2)+2,(B16+B15)*(A16-A15)/2,FALSE),FALSE)</f>
        <v>239.45999999999998</v>
      </c>
      <c r="D16" s="10">
        <f t="shared" si="7"/>
        <v>24</v>
      </c>
      <c r="E16" s="29">
        <f>IF(A16&lt;=MAX($AI$41:$AI$70),IF(ROW()&lt;=COUNTA(Data!$2:$2)+2,(B16*A16+B15*A15)*(A16-A15)/2,FALSE),FALSE)</f>
        <v>4552.5599999999995</v>
      </c>
      <c r="H16" s="15"/>
      <c r="I16" s="15"/>
      <c r="O16" s="15"/>
      <c r="P16" s="15"/>
      <c r="W16" s="10">
        <v>14</v>
      </c>
      <c r="X16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24</v>
      </c>
      <c r="Y16" s="10">
        <f>IF(ROW()&lt;=COUNTA(Data!$2:$2),INDEX(Data!$C:$AZ,Analysis!$C$1+1,ROW()-2),FALSE)</f>
        <v>23.32</v>
      </c>
      <c r="Z16" s="30">
        <f t="shared" si="10"/>
        <v>0</v>
      </c>
      <c r="AA16" s="29">
        <f t="shared" si="11"/>
        <v>14</v>
      </c>
      <c r="AB16" s="10">
        <v>14</v>
      </c>
      <c r="AC16" s="10">
        <f t="shared" si="0"/>
        <v>14</v>
      </c>
      <c r="AD16" s="10">
        <v>4</v>
      </c>
      <c r="AE16" s="10">
        <f t="shared" si="3"/>
        <v>24</v>
      </c>
      <c r="AF16" s="10">
        <f t="shared" si="12"/>
        <v>0.33300000000000002</v>
      </c>
      <c r="AG16" s="12">
        <f t="shared" si="8"/>
        <v>14</v>
      </c>
      <c r="AH16" s="10">
        <f t="shared" si="4"/>
        <v>0</v>
      </c>
      <c r="AI16" s="4" t="b">
        <f t="shared" si="5"/>
        <v>0</v>
      </c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 t="b">
        <f t="shared" ref="CJ16:CJ47" si="24">IF(OR(ISERR(LN(INDEX($Y$3:$Y$70,INDEX($AD$3:$AD$70,71-ROW(),1),1))),$AI16&lt;=MIN($D:$D),$AI16=FALSE),FALSE,LN(INDEX($Y$3:$Y$70,INDEX($AD$3:$AD$70,71-ROW(),1),1)))</f>
        <v>0</v>
      </c>
      <c r="CK16" s="5" t="b">
        <f t="shared" si="23"/>
        <v>0</v>
      </c>
      <c r="CL16" s="5" t="b">
        <f t="shared" si="22"/>
        <v>0</v>
      </c>
      <c r="CM16" s="5" t="b">
        <f t="shared" si="21"/>
        <v>0</v>
      </c>
      <c r="CN16" s="5" t="b">
        <f t="shared" si="20"/>
        <v>0</v>
      </c>
      <c r="CO16" s="5" t="b">
        <f t="shared" si="19"/>
        <v>0</v>
      </c>
      <c r="CP16" s="5" t="b">
        <f t="shared" si="18"/>
        <v>0</v>
      </c>
      <c r="CQ16" s="5" t="b">
        <f t="shared" si="17"/>
        <v>0</v>
      </c>
      <c r="CR16" s="5" t="b">
        <f t="shared" si="16"/>
        <v>0</v>
      </c>
      <c r="CS16" s="5" t="b">
        <f t="shared" si="15"/>
        <v>0</v>
      </c>
      <c r="CT16" s="5" t="b">
        <f t="shared" si="14"/>
        <v>0</v>
      </c>
      <c r="CU16" s="5" t="b">
        <f t="shared" si="13"/>
        <v>0</v>
      </c>
      <c r="CV16" s="5" t="b">
        <f t="shared" si="9"/>
        <v>0</v>
      </c>
      <c r="CW16" s="6" t="b">
        <f t="shared" si="6"/>
        <v>0</v>
      </c>
      <c r="CY16" s="77" t="e">
        <f>IF(ROUND(A16,0)&gt;=ROUND($H$4,0),SUM($C$3:$C16),"")</f>
        <v>#VALUE!</v>
      </c>
    </row>
    <row r="17" spans="1:103" ht="13.5" thickBot="1" x14ac:dyDescent="0.35">
      <c r="A17" s="28">
        <f t="shared" si="1"/>
        <v>36</v>
      </c>
      <c r="B17" s="10">
        <f t="shared" si="2"/>
        <v>16.11</v>
      </c>
      <c r="C17" s="30">
        <f>IF(A17&lt;=MAX($AI$41:$AI$70),IF(ROW()&lt;=COUNTA(Data!$2:$2)+2,(B17+B16)*(A17-A16)/2,FALSE),FALSE)</f>
        <v>236.57999999999998</v>
      </c>
      <c r="D17" s="10" t="b">
        <f t="shared" si="7"/>
        <v>0</v>
      </c>
      <c r="E17" s="29">
        <f>IF(A17&lt;=MAX($AI$41:$AI$70),IF(ROW()&lt;=COUNTA(Data!$2:$2)+2,(B17*A17+B16*A16)*(A17-A16)/2,FALSE),FALSE)</f>
        <v>6837.84</v>
      </c>
      <c r="G17" s="14" t="s">
        <v>38</v>
      </c>
      <c r="H17" s="15"/>
      <c r="I17" s="15"/>
      <c r="J17" s="14" t="s">
        <v>34</v>
      </c>
      <c r="K17" s="15"/>
      <c r="L17" s="15"/>
      <c r="M17" s="15"/>
      <c r="N17" s="45"/>
      <c r="O17" s="15"/>
      <c r="P17" s="15"/>
      <c r="W17" s="10">
        <v>15</v>
      </c>
      <c r="X17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36</v>
      </c>
      <c r="Y17" s="10">
        <f>IF(ROW()&lt;=COUNTA(Data!$2:$2),INDEX(Data!$C:$AZ,Analysis!$C$1+1,ROW()-2),FALSE)</f>
        <v>16.11</v>
      </c>
      <c r="Z17" s="30">
        <f t="shared" si="10"/>
        <v>0</v>
      </c>
      <c r="AA17" s="29">
        <f t="shared" si="11"/>
        <v>15</v>
      </c>
      <c r="AB17" s="10">
        <v>15</v>
      </c>
      <c r="AC17" s="10">
        <f t="shared" si="0"/>
        <v>15</v>
      </c>
      <c r="AD17" s="10">
        <v>3</v>
      </c>
      <c r="AE17" s="10">
        <f t="shared" si="3"/>
        <v>36</v>
      </c>
      <c r="AF17" s="10">
        <f t="shared" si="12"/>
        <v>0.33300000000000002</v>
      </c>
      <c r="AG17" s="12" t="str">
        <f t="shared" si="8"/>
        <v/>
      </c>
      <c r="AH17" s="10">
        <f t="shared" si="4"/>
        <v>0</v>
      </c>
      <c r="AI17" s="4" t="b">
        <f t="shared" si="5"/>
        <v>0</v>
      </c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 t="b">
        <f t="shared" ref="CI17:CI48" si="25">IF(OR(ISERR(LN(INDEX($Y$3:$Y$70,INDEX($AD$3:$AD$70,71-ROW(),1),1))),$AI17&lt;=MIN($D:$D),$AI17=FALSE),FALSE,LN(INDEX($Y$3:$Y$70,INDEX($AD$3:$AD$70,71-ROW(),1),1)))</f>
        <v>0</v>
      </c>
      <c r="CJ17" s="5" t="b">
        <f t="shared" si="24"/>
        <v>0</v>
      </c>
      <c r="CK17" s="5" t="b">
        <f t="shared" si="23"/>
        <v>0</v>
      </c>
      <c r="CL17" s="5" t="b">
        <f t="shared" si="22"/>
        <v>0</v>
      </c>
      <c r="CM17" s="5" t="b">
        <f t="shared" si="21"/>
        <v>0</v>
      </c>
      <c r="CN17" s="5" t="b">
        <f t="shared" si="20"/>
        <v>0</v>
      </c>
      <c r="CO17" s="5" t="b">
        <f t="shared" si="19"/>
        <v>0</v>
      </c>
      <c r="CP17" s="5" t="b">
        <f t="shared" si="18"/>
        <v>0</v>
      </c>
      <c r="CQ17" s="5" t="b">
        <f t="shared" si="17"/>
        <v>0</v>
      </c>
      <c r="CR17" s="5" t="b">
        <f t="shared" si="16"/>
        <v>0</v>
      </c>
      <c r="CS17" s="5" t="b">
        <f t="shared" si="15"/>
        <v>0</v>
      </c>
      <c r="CT17" s="5" t="b">
        <f t="shared" si="14"/>
        <v>0</v>
      </c>
      <c r="CU17" s="5" t="b">
        <f t="shared" si="13"/>
        <v>0</v>
      </c>
      <c r="CV17" s="5" t="b">
        <f t="shared" si="9"/>
        <v>0</v>
      </c>
      <c r="CW17" s="6" t="b">
        <f t="shared" si="6"/>
        <v>0</v>
      </c>
      <c r="CY17" s="77" t="e">
        <f>IF(ROUND(A17,0)&gt;=ROUND($H$4,0),SUM($C$3:$C17),"")</f>
        <v>#VALUE!</v>
      </c>
    </row>
    <row r="18" spans="1:103" ht="13" x14ac:dyDescent="0.3">
      <c r="A18" s="28">
        <f t="shared" si="1"/>
        <v>48</v>
      </c>
      <c r="B18" s="10">
        <f t="shared" si="2"/>
        <v>16.010000000000002</v>
      </c>
      <c r="C18" s="30">
        <f>IF(A18&lt;=MAX($AI$41:$AI$70),IF(ROW()&lt;=COUNTA(Data!$2:$2)+2,(B18+B17)*(A18-A17)/2,FALSE),FALSE)</f>
        <v>192.72000000000003</v>
      </c>
      <c r="D18" s="10" t="b">
        <f t="shared" si="7"/>
        <v>0</v>
      </c>
      <c r="E18" s="29">
        <f>IF(A18&lt;=MAX($AI$41:$AI$70),IF(ROW()&lt;=COUNTA(Data!$2:$2)+2,(B18*A18+B17*A17)*(A18-A17)/2,FALSE),FALSE)</f>
        <v>8090.64</v>
      </c>
      <c r="G18" s="51" t="s">
        <v>20</v>
      </c>
      <c r="H18" s="52">
        <f>INDEX(Data!$A$2:$A$1000,Analysis!C1,1)</f>
        <v>1</v>
      </c>
      <c r="J18" s="15"/>
      <c r="K18" s="15"/>
      <c r="L18" s="15"/>
      <c r="M18" s="15"/>
      <c r="N18" s="45"/>
      <c r="W18" s="10">
        <v>16</v>
      </c>
      <c r="X18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48</v>
      </c>
      <c r="Y18" s="10">
        <f>IF(ROW()&lt;=COUNTA(Data!$2:$2),INDEX(Data!$C:$AZ,Analysis!$C$1+1,ROW()-2),FALSE)</f>
        <v>16.010000000000002</v>
      </c>
      <c r="Z18" s="30">
        <f t="shared" si="10"/>
        <v>0</v>
      </c>
      <c r="AA18" s="29">
        <f t="shared" si="11"/>
        <v>16</v>
      </c>
      <c r="AB18" s="10">
        <v>16</v>
      </c>
      <c r="AC18" s="10">
        <f t="shared" si="0"/>
        <v>16</v>
      </c>
      <c r="AD18" s="10">
        <v>2</v>
      </c>
      <c r="AE18" s="10">
        <f t="shared" si="3"/>
        <v>48</v>
      </c>
      <c r="AF18" s="10">
        <f t="shared" si="12"/>
        <v>0.33300000000000002</v>
      </c>
      <c r="AG18" s="12" t="str">
        <f t="shared" si="8"/>
        <v/>
      </c>
      <c r="AH18" s="10">
        <f t="shared" si="4"/>
        <v>0</v>
      </c>
      <c r="AI18" s="4" t="b">
        <f t="shared" si="5"/>
        <v>0</v>
      </c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 t="b">
        <f t="shared" ref="CH18:CH49" si="26">IF(OR(ISERR(LN(INDEX($Y$3:$Y$70,INDEX($AD$3:$AD$70,71-ROW(),1),1))),$AI18&lt;=MIN($D:$D),$AI18=FALSE),FALSE,LN(INDEX($Y$3:$Y$70,INDEX($AD$3:$AD$70,71-ROW(),1),1)))</f>
        <v>0</v>
      </c>
      <c r="CI18" s="5" t="b">
        <f t="shared" si="25"/>
        <v>0</v>
      </c>
      <c r="CJ18" s="5" t="b">
        <f t="shared" si="24"/>
        <v>0</v>
      </c>
      <c r="CK18" s="5" t="b">
        <f t="shared" si="23"/>
        <v>0</v>
      </c>
      <c r="CL18" s="5" t="b">
        <f t="shared" si="22"/>
        <v>0</v>
      </c>
      <c r="CM18" s="5" t="b">
        <f t="shared" si="21"/>
        <v>0</v>
      </c>
      <c r="CN18" s="5" t="b">
        <f t="shared" si="20"/>
        <v>0</v>
      </c>
      <c r="CO18" s="5" t="b">
        <f t="shared" si="19"/>
        <v>0</v>
      </c>
      <c r="CP18" s="5" t="b">
        <f t="shared" si="18"/>
        <v>0</v>
      </c>
      <c r="CQ18" s="5" t="b">
        <f t="shared" si="17"/>
        <v>0</v>
      </c>
      <c r="CR18" s="5" t="b">
        <f t="shared" si="16"/>
        <v>0</v>
      </c>
      <c r="CS18" s="5" t="b">
        <f t="shared" si="15"/>
        <v>0</v>
      </c>
      <c r="CT18" s="5" t="b">
        <f t="shared" si="14"/>
        <v>0</v>
      </c>
      <c r="CU18" s="5" t="b">
        <f t="shared" si="13"/>
        <v>0</v>
      </c>
      <c r="CV18" s="5" t="b">
        <f t="shared" si="9"/>
        <v>0</v>
      </c>
      <c r="CW18" s="6" t="b">
        <f t="shared" si="6"/>
        <v>0</v>
      </c>
      <c r="CY18" s="77" t="e">
        <f>IF(ROUND(A18,0)&gt;=ROUND($H$4,0),SUM($C$3:$C18),"")</f>
        <v>#VALUE!</v>
      </c>
    </row>
    <row r="19" spans="1:103" ht="13" x14ac:dyDescent="0.3">
      <c r="A19" s="28">
        <f t="shared" si="1"/>
        <v>72</v>
      </c>
      <c r="B19" s="10">
        <f t="shared" si="2"/>
        <v>15.08</v>
      </c>
      <c r="C19" s="30">
        <f>IF(A19&lt;=MAX($AI$41:$AI$70),IF(ROW()&lt;=COUNTA(Data!$2:$2)+2,(B19+B18)*(A19-A18)/2,FALSE),FALSE)</f>
        <v>373.08000000000004</v>
      </c>
      <c r="D19" s="10" t="b">
        <f t="shared" si="7"/>
        <v>0</v>
      </c>
      <c r="E19" s="29">
        <f>IF(A19&lt;=MAX($AI$41:$AI$70),IF(ROW()&lt;=COUNTA(Data!$2:$2)+2,(B19*A19+B18*A18)*(A19-A18)/2,FALSE),FALSE)</f>
        <v>22250.880000000001</v>
      </c>
      <c r="G19" s="53" t="s">
        <v>26</v>
      </c>
      <c r="H19" s="54" t="str">
        <f>TRIM(VLOOKUP($H$18,Randomization!$A:$E,2,FALSE))&amp;TRIM(VLOOKUP($H$18,Randomization!$A:$E,3,FALSE))&amp;TRIM(VLOOKUP($H$18,Randomization!$A:$E,4,FALSE))&amp;TRIM(VLOOKUP($H$18,Randomization!$A:$E,5,FALSE))</f>
        <v>AB</v>
      </c>
      <c r="M19" s="43" t="s">
        <v>25</v>
      </c>
      <c r="W19" s="10">
        <v>17</v>
      </c>
      <c r="X19" s="61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72</v>
      </c>
      <c r="Y19" s="10">
        <f>IF(ROW()&lt;=COUNTA(Data!$2:$2),INDEX(Data!$C:$AZ,Analysis!$C$1+1,ROW()-2),FALSE)</f>
        <v>15.08</v>
      </c>
      <c r="Z19" s="30">
        <f t="shared" si="10"/>
        <v>0</v>
      </c>
      <c r="AA19" s="29">
        <f t="shared" si="11"/>
        <v>17</v>
      </c>
      <c r="AB19" s="10">
        <v>17</v>
      </c>
      <c r="AC19" s="10">
        <f t="shared" si="0"/>
        <v>17</v>
      </c>
      <c r="AD19" s="10">
        <v>1</v>
      </c>
      <c r="AE19" s="10">
        <f t="shared" si="3"/>
        <v>72</v>
      </c>
      <c r="AF19" s="10">
        <f t="shared" si="12"/>
        <v>0.33300000000000002</v>
      </c>
      <c r="AG19" s="12" t="str">
        <f t="shared" si="8"/>
        <v/>
      </c>
      <c r="AH19" s="10">
        <f t="shared" si="4"/>
        <v>0</v>
      </c>
      <c r="AI19" s="4" t="b">
        <f t="shared" si="5"/>
        <v>0</v>
      </c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b">
        <f t="shared" ref="CG19:CG50" si="27">IF(OR(ISERR(LN(INDEX($Y$3:$Y$70,INDEX($AD$3:$AD$70,71-ROW(),1),1))),$AI19&lt;=MIN($D:$D),$AI19=FALSE),FALSE,LN(INDEX($Y$3:$Y$70,INDEX($AD$3:$AD$70,71-ROW(),1),1)))</f>
        <v>0</v>
      </c>
      <c r="CH19" s="5" t="b">
        <f t="shared" si="26"/>
        <v>0</v>
      </c>
      <c r="CI19" s="5" t="b">
        <f t="shared" si="25"/>
        <v>0</v>
      </c>
      <c r="CJ19" s="5" t="b">
        <f t="shared" si="24"/>
        <v>0</v>
      </c>
      <c r="CK19" s="5" t="b">
        <f t="shared" si="23"/>
        <v>0</v>
      </c>
      <c r="CL19" s="5" t="b">
        <f t="shared" si="22"/>
        <v>0</v>
      </c>
      <c r="CM19" s="5" t="b">
        <f t="shared" si="21"/>
        <v>0</v>
      </c>
      <c r="CN19" s="5" t="b">
        <f t="shared" si="20"/>
        <v>0</v>
      </c>
      <c r="CO19" s="5" t="b">
        <f t="shared" si="19"/>
        <v>0</v>
      </c>
      <c r="CP19" s="5" t="b">
        <f t="shared" si="18"/>
        <v>0</v>
      </c>
      <c r="CQ19" s="5" t="b">
        <f t="shared" si="17"/>
        <v>0</v>
      </c>
      <c r="CR19" s="5" t="b">
        <f t="shared" si="16"/>
        <v>0</v>
      </c>
      <c r="CS19" s="5" t="b">
        <f t="shared" si="15"/>
        <v>0</v>
      </c>
      <c r="CT19" s="5" t="b">
        <f t="shared" si="14"/>
        <v>0</v>
      </c>
      <c r="CU19" s="5" t="b">
        <f t="shared" si="13"/>
        <v>0</v>
      </c>
      <c r="CV19" s="5" t="b">
        <f t="shared" si="9"/>
        <v>0</v>
      </c>
      <c r="CW19" s="6" t="b">
        <f t="shared" si="6"/>
        <v>0</v>
      </c>
      <c r="CY19" s="77" t="e">
        <f>IF(ROUND(A19,0)&gt;=ROUND($H$4,0),SUM($C$3:$C19),"")</f>
        <v>#VALUE!</v>
      </c>
    </row>
    <row r="20" spans="1:103" ht="13" x14ac:dyDescent="0.3">
      <c r="A20" s="28" t="b">
        <f t="shared" si="1"/>
        <v>0</v>
      </c>
      <c r="B20" s="10" t="b">
        <f t="shared" si="2"/>
        <v>0</v>
      </c>
      <c r="C20" s="30" t="b">
        <f>IF(A20&lt;=MAX($AI$41:$AI$70),IF(ROW()&lt;=COUNTA(Data!$2:$2)+2,(B20+B19)*(A20-A19)/2,FALSE),FALSE)</f>
        <v>0</v>
      </c>
      <c r="D20" s="10" t="b">
        <f t="shared" si="7"/>
        <v>0</v>
      </c>
      <c r="E20" s="29" t="b">
        <f>IF(A20&lt;=MAX($AI$41:$AI$70),IF(ROW()&lt;=COUNTA(Data!$2:$2)+2,(B20*A20+B19*A19)*(A20-A19)/2,FALSE),FALSE)</f>
        <v>0</v>
      </c>
      <c r="G20" s="53" t="s">
        <v>6</v>
      </c>
      <c r="H20" s="54">
        <f>INDEX(Data!$A$2:$B$501,Analysis!$C$1,2)</f>
        <v>2</v>
      </c>
      <c r="I20" s="15"/>
      <c r="W20" s="10">
        <v>18</v>
      </c>
      <c r="X2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0" s="10" t="b">
        <f>IF(ROW()&lt;=COUNTA(Data!$2:$2),INDEX(Data!$C:$AZ,Analysis!$C$1+1,ROW()-2),FALSE)</f>
        <v>0</v>
      </c>
      <c r="Z20" s="30">
        <f t="shared" si="10"/>
        <v>1</v>
      </c>
      <c r="AA20" s="29" t="b">
        <f t="shared" si="11"/>
        <v>0</v>
      </c>
      <c r="AC20" s="10" t="b">
        <f t="shared" si="0"/>
        <v>0</v>
      </c>
      <c r="AE20" s="10" t="b">
        <f t="shared" si="3"/>
        <v>0</v>
      </c>
      <c r="AF20" s="10">
        <f t="shared" si="12"/>
        <v>0.33300000000000002</v>
      </c>
      <c r="AG20" s="12" t="str">
        <f t="shared" si="8"/>
        <v/>
      </c>
      <c r="AH20" s="10">
        <f t="shared" si="4"/>
        <v>0</v>
      </c>
      <c r="AI20" s="4" t="b">
        <f t="shared" si="5"/>
        <v>0</v>
      </c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 t="b">
        <f t="shared" ref="CF20:CF51" si="28">IF(OR(ISERR(LN(INDEX($Y$3:$Y$70,INDEX($AD$3:$AD$70,71-ROW(),1),1))),$AI20&lt;=MIN($D:$D),$AI20=FALSE),FALSE,LN(INDEX($Y$3:$Y$70,INDEX($AD$3:$AD$70,71-ROW(),1),1)))</f>
        <v>0</v>
      </c>
      <c r="CG20" s="5" t="b">
        <f t="shared" si="27"/>
        <v>0</v>
      </c>
      <c r="CH20" s="5" t="b">
        <f t="shared" si="26"/>
        <v>0</v>
      </c>
      <c r="CI20" s="5" t="b">
        <f t="shared" si="25"/>
        <v>0</v>
      </c>
      <c r="CJ20" s="5" t="b">
        <f t="shared" si="24"/>
        <v>0</v>
      </c>
      <c r="CK20" s="5" t="b">
        <f t="shared" si="23"/>
        <v>0</v>
      </c>
      <c r="CL20" s="5" t="b">
        <f t="shared" si="22"/>
        <v>0</v>
      </c>
      <c r="CM20" s="5" t="b">
        <f t="shared" si="21"/>
        <v>0</v>
      </c>
      <c r="CN20" s="5" t="b">
        <f t="shared" si="20"/>
        <v>0</v>
      </c>
      <c r="CO20" s="5" t="b">
        <f t="shared" si="19"/>
        <v>0</v>
      </c>
      <c r="CP20" s="5" t="b">
        <f t="shared" si="18"/>
        <v>0</v>
      </c>
      <c r="CQ20" s="5" t="b">
        <f t="shared" si="17"/>
        <v>0</v>
      </c>
      <c r="CR20" s="5" t="b">
        <f t="shared" si="16"/>
        <v>0</v>
      </c>
      <c r="CS20" s="5" t="b">
        <f t="shared" si="15"/>
        <v>0</v>
      </c>
      <c r="CT20" s="5" t="b">
        <f t="shared" si="14"/>
        <v>0</v>
      </c>
      <c r="CU20" s="5" t="b">
        <f t="shared" si="13"/>
        <v>0</v>
      </c>
      <c r="CV20" s="5" t="b">
        <f t="shared" si="9"/>
        <v>0</v>
      </c>
      <c r="CW20" s="6" t="b">
        <f t="shared" si="6"/>
        <v>0</v>
      </c>
      <c r="CY20" s="77" t="str">
        <f>IF(ROUND(A20,0)&gt;=ROUND($H$4,0),SUM($C$3:$C20),"")</f>
        <v/>
      </c>
    </row>
    <row r="21" spans="1:103" ht="13" x14ac:dyDescent="0.3">
      <c r="A21" s="28" t="b">
        <f t="shared" si="1"/>
        <v>0</v>
      </c>
      <c r="B21" s="10" t="b">
        <f t="shared" si="2"/>
        <v>0</v>
      </c>
      <c r="C21" s="30" t="b">
        <f>IF(A21&lt;=MAX($AI$41:$AI$70),IF(ROW()&lt;=COUNTA(Data!$2:$2)+2,(B21+B20)*(A21-A20)/2,FALSE),FALSE)</f>
        <v>0</v>
      </c>
      <c r="D21" s="10" t="b">
        <f t="shared" si="7"/>
        <v>0</v>
      </c>
      <c r="E21" s="29" t="b">
        <f>IF(A21&lt;=MAX($AI$41:$AI$70),IF(ROW()&lt;=COUNTA(Data!$2:$2)+2,(B21*A21+B20*A20)*(A21-A20)/2,FALSE),FALSE)</f>
        <v>0</v>
      </c>
      <c r="G21" s="53" t="s">
        <v>18</v>
      </c>
      <c r="H21" s="54" t="str">
        <f>MID(H19,H20,1)</f>
        <v>B</v>
      </c>
      <c r="W21" s="10">
        <v>19</v>
      </c>
      <c r="X2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1" s="10" t="b">
        <f>IF(ROW()&lt;=COUNTA(Data!$2:$2),INDEX(Data!$C:$AZ,Analysis!$C$1+1,ROW()-2),FALSE)</f>
        <v>0</v>
      </c>
      <c r="Z21" s="30">
        <f t="shared" si="10"/>
        <v>1</v>
      </c>
      <c r="AA21" s="29" t="b">
        <f t="shared" si="11"/>
        <v>0</v>
      </c>
      <c r="AC21" s="10" t="b">
        <f t="shared" si="0"/>
        <v>0</v>
      </c>
      <c r="AE21" s="10" t="b">
        <f t="shared" si="3"/>
        <v>0</v>
      </c>
      <c r="AF21" s="10">
        <f t="shared" si="12"/>
        <v>0.33300000000000002</v>
      </c>
      <c r="AG21" s="12" t="str">
        <f t="shared" si="8"/>
        <v/>
      </c>
      <c r="AH21" s="10">
        <f t="shared" si="4"/>
        <v>0</v>
      </c>
      <c r="AI21" s="4" t="b">
        <f t="shared" si="5"/>
        <v>0</v>
      </c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 t="b">
        <f t="shared" ref="CE21:CE52" si="29">IF(OR(ISERR(LN(INDEX($Y$3:$Y$70,INDEX($AD$3:$AD$70,71-ROW(),1),1))),$AI21&lt;=MIN($D:$D),$AI21=FALSE),FALSE,LN(INDEX($Y$3:$Y$70,INDEX($AD$3:$AD$70,71-ROW(),1),1)))</f>
        <v>0</v>
      </c>
      <c r="CF21" s="5" t="b">
        <f t="shared" si="28"/>
        <v>0</v>
      </c>
      <c r="CG21" s="5" t="b">
        <f t="shared" si="27"/>
        <v>0</v>
      </c>
      <c r="CH21" s="5" t="b">
        <f t="shared" si="26"/>
        <v>0</v>
      </c>
      <c r="CI21" s="5" t="b">
        <f t="shared" si="25"/>
        <v>0</v>
      </c>
      <c r="CJ21" s="5" t="b">
        <f t="shared" si="24"/>
        <v>0</v>
      </c>
      <c r="CK21" s="5" t="b">
        <f t="shared" si="23"/>
        <v>0</v>
      </c>
      <c r="CL21" s="5" t="b">
        <f t="shared" si="22"/>
        <v>0</v>
      </c>
      <c r="CM21" s="5" t="b">
        <f t="shared" si="21"/>
        <v>0</v>
      </c>
      <c r="CN21" s="5" t="b">
        <f t="shared" si="20"/>
        <v>0</v>
      </c>
      <c r="CO21" s="5" t="b">
        <f t="shared" si="19"/>
        <v>0</v>
      </c>
      <c r="CP21" s="5" t="b">
        <f t="shared" si="18"/>
        <v>0</v>
      </c>
      <c r="CQ21" s="5" t="b">
        <f t="shared" si="17"/>
        <v>0</v>
      </c>
      <c r="CR21" s="5" t="b">
        <f t="shared" si="16"/>
        <v>0</v>
      </c>
      <c r="CS21" s="5" t="b">
        <f t="shared" si="15"/>
        <v>0</v>
      </c>
      <c r="CT21" s="5" t="b">
        <f t="shared" si="14"/>
        <v>0</v>
      </c>
      <c r="CU21" s="5" t="b">
        <f t="shared" si="13"/>
        <v>0</v>
      </c>
      <c r="CV21" s="5" t="b">
        <f t="shared" si="9"/>
        <v>0</v>
      </c>
      <c r="CW21" s="6" t="b">
        <f t="shared" si="6"/>
        <v>0</v>
      </c>
      <c r="CY21" s="77" t="str">
        <f>IF(ROUND(A21,0)&gt;=ROUND($H$4,0),SUM($C$3:$C21),"")</f>
        <v/>
      </c>
    </row>
    <row r="22" spans="1:103" ht="13" x14ac:dyDescent="0.3">
      <c r="A22" s="28" t="b">
        <f t="shared" si="1"/>
        <v>0</v>
      </c>
      <c r="B22" s="10" t="b">
        <f t="shared" si="2"/>
        <v>0</v>
      </c>
      <c r="C22" s="30" t="b">
        <f>IF(A22&lt;=MAX($AI$41:$AI$70),IF(ROW()&lt;=COUNTA(Data!$2:$2)+2,(B22+B21)*(A22-A21)/2,FALSE),FALSE)</f>
        <v>0</v>
      </c>
      <c r="D22" s="10" t="b">
        <f t="shared" si="7"/>
        <v>0</v>
      </c>
      <c r="E22" s="29" t="b">
        <f>IF(A22&lt;=MAX($AI$41:$AI$70),IF(ROW()&lt;=COUNTA(Data!$2:$2)+2,(B22*A22+B21*A21)*(A22-A21)/2,FALSE),FALSE)</f>
        <v>0</v>
      </c>
      <c r="G22" s="53" t="s">
        <v>11</v>
      </c>
      <c r="H22" s="54" t="e">
        <f>IF(AND(IF(OR(AND(INDEX(Y3:Y70,$AD$3+1,1)&lt;0,INDEX(Y3:Y70,$AD$3+1,1)&lt;&gt;-999),AND(Y3&lt;0,Y3&lt;&gt;-999)),TRUE,FALSE),$G$9),$H$15,SUM($C$4:$C$70))</f>
        <v>#VALUE!</v>
      </c>
      <c r="W22" s="10">
        <v>20</v>
      </c>
      <c r="X2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2" s="10" t="b">
        <f>IF(ROW()&lt;=COUNTA(Data!$2:$2),INDEX(Data!$C:$AZ,Analysis!$C$1+1,ROW()-2),FALSE)</f>
        <v>0</v>
      </c>
      <c r="Z22" s="30">
        <f t="shared" si="10"/>
        <v>1</v>
      </c>
      <c r="AA22" s="29" t="b">
        <f t="shared" si="11"/>
        <v>0</v>
      </c>
      <c r="AC22" s="10" t="b">
        <f t="shared" si="0"/>
        <v>0</v>
      </c>
      <c r="AE22" s="10" t="b">
        <f t="shared" si="3"/>
        <v>0</v>
      </c>
      <c r="AF22" s="10">
        <f t="shared" si="12"/>
        <v>0.33300000000000002</v>
      </c>
      <c r="AG22" s="12" t="str">
        <f t="shared" si="8"/>
        <v/>
      </c>
      <c r="AH22" s="10">
        <f t="shared" si="4"/>
        <v>0</v>
      </c>
      <c r="AI22" s="4" t="b">
        <f t="shared" si="5"/>
        <v>0</v>
      </c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 t="b">
        <f t="shared" ref="CD22:CD53" si="30">IF(OR(ISERR(LN(INDEX($Y$3:$Y$70,INDEX($AD$3:$AD$70,71-ROW(),1),1))),$AI22&lt;=MIN($D:$D),$AI22=FALSE),FALSE,LN(INDEX($Y$3:$Y$70,INDEX($AD$3:$AD$70,71-ROW(),1),1)))</f>
        <v>0</v>
      </c>
      <c r="CE22" s="5" t="b">
        <f t="shared" si="29"/>
        <v>0</v>
      </c>
      <c r="CF22" s="5" t="b">
        <f t="shared" si="28"/>
        <v>0</v>
      </c>
      <c r="CG22" s="5" t="b">
        <f t="shared" si="27"/>
        <v>0</v>
      </c>
      <c r="CH22" s="5" t="b">
        <f t="shared" si="26"/>
        <v>0</v>
      </c>
      <c r="CI22" s="5" t="b">
        <f t="shared" si="25"/>
        <v>0</v>
      </c>
      <c r="CJ22" s="5" t="b">
        <f t="shared" si="24"/>
        <v>0</v>
      </c>
      <c r="CK22" s="5" t="b">
        <f t="shared" si="23"/>
        <v>0</v>
      </c>
      <c r="CL22" s="5" t="b">
        <f t="shared" si="22"/>
        <v>0</v>
      </c>
      <c r="CM22" s="5" t="b">
        <f t="shared" si="21"/>
        <v>0</v>
      </c>
      <c r="CN22" s="5" t="b">
        <f t="shared" si="20"/>
        <v>0</v>
      </c>
      <c r="CO22" s="5" t="b">
        <f t="shared" si="19"/>
        <v>0</v>
      </c>
      <c r="CP22" s="5" t="b">
        <f t="shared" si="18"/>
        <v>0</v>
      </c>
      <c r="CQ22" s="5" t="b">
        <f t="shared" si="17"/>
        <v>0</v>
      </c>
      <c r="CR22" s="5" t="b">
        <f t="shared" si="16"/>
        <v>0</v>
      </c>
      <c r="CS22" s="5" t="b">
        <f t="shared" si="15"/>
        <v>0</v>
      </c>
      <c r="CT22" s="5" t="b">
        <f t="shared" si="14"/>
        <v>0</v>
      </c>
      <c r="CU22" s="5" t="b">
        <f t="shared" si="13"/>
        <v>0</v>
      </c>
      <c r="CV22" s="5" t="b">
        <f t="shared" si="9"/>
        <v>0</v>
      </c>
      <c r="CW22" s="6" t="b">
        <f t="shared" si="6"/>
        <v>0</v>
      </c>
      <c r="CY22" s="77" t="str">
        <f>IF(ROUND(A22,0)&gt;=ROUND($H$4,0),SUM($C$3:$C22),"")</f>
        <v/>
      </c>
    </row>
    <row r="23" spans="1:103" ht="13" x14ac:dyDescent="0.3">
      <c r="A23" s="28" t="b">
        <f t="shared" ref="A23:A67" si="31">IF(AC23=FALSE,FALSE,INDEX($X$3:$X$70,AC23,1))</f>
        <v>0</v>
      </c>
      <c r="B23" s="10" t="b">
        <f t="shared" si="2"/>
        <v>0</v>
      </c>
      <c r="C23" s="30" t="b">
        <f>IF(A23&lt;=MAX($AI$41:$AI$70),IF(ROW()&lt;=COUNTA(Data!$2:$2)+2,(B23+B22)*(A23-A22)/2,FALSE),FALSE)</f>
        <v>0</v>
      </c>
      <c r="D23" s="10" t="b">
        <f t="shared" si="7"/>
        <v>0</v>
      </c>
      <c r="E23" s="29" t="b">
        <f>IF(A23&lt;=MAX($AI$41:$AI$70),IF(ROW()&lt;=COUNTA(Data!$2:$2)+2,(B23*A23+B22*A22)*(A23-A22)/2,FALSE),FALSE)</f>
        <v>0</v>
      </c>
      <c r="G23" s="53" t="s">
        <v>10</v>
      </c>
      <c r="H23" s="54" t="e">
        <f>IF(H25=MAX($A$3:$A$70),"NA",IF(OR($H$26=$H$15,AND($H$22=$H$15,$G$10=FALSE),IF($AJ$81=$H$15,TRUE,AND(SUM($C$4:$C$70)/(SUM($C$4:$C$70)+H30/$AJ$81)&lt;0.8,G14))),$H$15,SUM($C$4:$C$70)+H30/$AJ$81))</f>
        <v>#VALUE!</v>
      </c>
      <c r="W23" s="10">
        <v>21</v>
      </c>
      <c r="X2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3" s="10" t="b">
        <f>IF(ROW()&lt;=COUNTA(Data!$2:$2),INDEX(Data!$C:$AZ,Analysis!$C$1+1,ROW()-2),FALSE)</f>
        <v>0</v>
      </c>
      <c r="Z23" s="30">
        <f t="shared" si="10"/>
        <v>1</v>
      </c>
      <c r="AA23" s="29" t="b">
        <f t="shared" si="11"/>
        <v>0</v>
      </c>
      <c r="AC23" s="10" t="b">
        <f t="shared" si="0"/>
        <v>0</v>
      </c>
      <c r="AE23" s="10" t="b">
        <f t="shared" si="3"/>
        <v>0</v>
      </c>
      <c r="AF23" s="10">
        <f t="shared" si="12"/>
        <v>0.33300000000000002</v>
      </c>
      <c r="AG23" s="12" t="str">
        <f t="shared" si="8"/>
        <v/>
      </c>
      <c r="AH23" s="10">
        <f t="shared" si="4"/>
        <v>0</v>
      </c>
      <c r="AI23" s="4" t="b">
        <f t="shared" si="5"/>
        <v>0</v>
      </c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 t="b">
        <f t="shared" ref="CC23:CC70" si="32">IF(OR(ISERR(LN(INDEX($Y$3:$Y$70,INDEX($AD$3:$AD$70,71-ROW(),1),1))),$AI23&lt;=MIN($D:$D),$AI23=FALSE),FALSE,LN(INDEX($Y$3:$Y$70,INDEX($AD$3:$AD$70,71-ROW(),1),1)))</f>
        <v>0</v>
      </c>
      <c r="CD23" s="5" t="b">
        <f t="shared" si="30"/>
        <v>0</v>
      </c>
      <c r="CE23" s="5" t="b">
        <f t="shared" si="29"/>
        <v>0</v>
      </c>
      <c r="CF23" s="5" t="b">
        <f t="shared" si="28"/>
        <v>0</v>
      </c>
      <c r="CG23" s="5" t="b">
        <f t="shared" si="27"/>
        <v>0</v>
      </c>
      <c r="CH23" s="5" t="b">
        <f t="shared" si="26"/>
        <v>0</v>
      </c>
      <c r="CI23" s="5" t="b">
        <f t="shared" si="25"/>
        <v>0</v>
      </c>
      <c r="CJ23" s="5" t="b">
        <f t="shared" si="24"/>
        <v>0</v>
      </c>
      <c r="CK23" s="5" t="b">
        <f t="shared" si="23"/>
        <v>0</v>
      </c>
      <c r="CL23" s="5" t="b">
        <f t="shared" si="22"/>
        <v>0</v>
      </c>
      <c r="CM23" s="5" t="b">
        <f t="shared" si="21"/>
        <v>0</v>
      </c>
      <c r="CN23" s="5" t="b">
        <f t="shared" si="20"/>
        <v>0</v>
      </c>
      <c r="CO23" s="5" t="b">
        <f t="shared" si="19"/>
        <v>0</v>
      </c>
      <c r="CP23" s="5" t="b">
        <f t="shared" si="18"/>
        <v>0</v>
      </c>
      <c r="CQ23" s="5" t="b">
        <f t="shared" si="17"/>
        <v>0</v>
      </c>
      <c r="CR23" s="5" t="b">
        <f t="shared" si="16"/>
        <v>0</v>
      </c>
      <c r="CS23" s="5" t="b">
        <f t="shared" si="15"/>
        <v>0</v>
      </c>
      <c r="CT23" s="5" t="b">
        <f t="shared" si="14"/>
        <v>0</v>
      </c>
      <c r="CU23" s="5" t="b">
        <f t="shared" si="13"/>
        <v>0</v>
      </c>
      <c r="CV23" s="5" t="b">
        <f t="shared" si="9"/>
        <v>0</v>
      </c>
      <c r="CW23" s="6" t="b">
        <f t="shared" si="6"/>
        <v>0</v>
      </c>
      <c r="CY23" s="77" t="str">
        <f>IF(ROUND(A23,0)&gt;=ROUND($H$4,0),SUM($C$3:$C23),"")</f>
        <v/>
      </c>
    </row>
    <row r="24" spans="1:103" ht="13" x14ac:dyDescent="0.3">
      <c r="A24" s="28" t="b">
        <f t="shared" si="31"/>
        <v>0</v>
      </c>
      <c r="B24" s="10" t="b">
        <f t="shared" si="2"/>
        <v>0</v>
      </c>
      <c r="C24" s="30" t="b">
        <f>IF(A24&lt;=MAX($AI$41:$AI$70),IF(ROW()&lt;=COUNTA(Data!$2:$2)+2,(B24+B23)*(A24-A23)/2,FALSE),FALSE)</f>
        <v>0</v>
      </c>
      <c r="D24" s="10" t="b">
        <f t="shared" si="7"/>
        <v>0</v>
      </c>
      <c r="E24" s="29" t="b">
        <f>IF(A24&lt;=MAX($AI$41:$AI$70),IF(ROW()&lt;=COUNTA(Data!$2:$2)+2,(B24*A24+B23*A23)*(A24-A23)/2,FALSE),FALSE)</f>
        <v>0</v>
      </c>
      <c r="G24" s="53" t="s">
        <v>7</v>
      </c>
      <c r="H24" s="54">
        <f>IF(OR(AND(INDEX($Y$3:$Y$70,MIN($AG$3:$AG$70)-1,1)&lt;0,INDEX($Y$3:$Y$70,MIN($AG$3:$AG$70)-1,1)&lt;&gt;-999,$G$12),AND(INDEX($Y$3:$Y$70,MIN($AG$3:$AG$70)+1,1)&lt;0,INDEX($Y$3:$Y$70,MIN($AG$3:$AG$70)+1,1)&lt;&gt;-999,$G$12)),$H$15,MAX($Y$3:$Y$70))</f>
        <v>23.32</v>
      </c>
      <c r="W24" s="10">
        <v>22</v>
      </c>
      <c r="X2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4" s="10" t="b">
        <f>IF(ROW()&lt;=COUNTA(Data!$2:$2),INDEX(Data!$C:$AZ,Analysis!$C$1+1,ROW()-2),FALSE)</f>
        <v>0</v>
      </c>
      <c r="Z24" s="30">
        <f t="shared" si="10"/>
        <v>1</v>
      </c>
      <c r="AA24" s="29" t="b">
        <f t="shared" si="11"/>
        <v>0</v>
      </c>
      <c r="AC24" s="10" t="b">
        <f t="shared" si="0"/>
        <v>0</v>
      </c>
      <c r="AE24" s="10" t="b">
        <f t="shared" si="3"/>
        <v>0</v>
      </c>
      <c r="AF24" s="10">
        <f t="shared" si="12"/>
        <v>0.33300000000000002</v>
      </c>
      <c r="AG24" s="12" t="str">
        <f t="shared" si="8"/>
        <v/>
      </c>
      <c r="AH24" s="10">
        <f t="shared" si="4"/>
        <v>0</v>
      </c>
      <c r="AI24" s="4" t="b">
        <f t="shared" si="5"/>
        <v>0</v>
      </c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 t="b">
        <f t="shared" ref="CB24:CB70" si="33">IF(OR(ISERR(LN(INDEX($Y$3:$Y$70,INDEX($AD$3:$AD$70,71-ROW(),1),1))),$AI24&lt;=MIN($D:$D),$AI24=FALSE),FALSE,LN(INDEX($Y$3:$Y$70,INDEX($AD$3:$AD$70,71-ROW(),1),1)))</f>
        <v>0</v>
      </c>
      <c r="CC24" s="5" t="b">
        <f t="shared" si="32"/>
        <v>0</v>
      </c>
      <c r="CD24" s="5" t="b">
        <f t="shared" si="30"/>
        <v>0</v>
      </c>
      <c r="CE24" s="5" t="b">
        <f t="shared" si="29"/>
        <v>0</v>
      </c>
      <c r="CF24" s="5" t="b">
        <f t="shared" si="28"/>
        <v>0</v>
      </c>
      <c r="CG24" s="5" t="b">
        <f t="shared" si="27"/>
        <v>0</v>
      </c>
      <c r="CH24" s="5" t="b">
        <f t="shared" si="26"/>
        <v>0</v>
      </c>
      <c r="CI24" s="5" t="b">
        <f t="shared" si="25"/>
        <v>0</v>
      </c>
      <c r="CJ24" s="5" t="b">
        <f t="shared" si="24"/>
        <v>0</v>
      </c>
      <c r="CK24" s="5" t="b">
        <f t="shared" si="23"/>
        <v>0</v>
      </c>
      <c r="CL24" s="5" t="b">
        <f t="shared" si="22"/>
        <v>0</v>
      </c>
      <c r="CM24" s="5" t="b">
        <f t="shared" si="21"/>
        <v>0</v>
      </c>
      <c r="CN24" s="5" t="b">
        <f t="shared" si="20"/>
        <v>0</v>
      </c>
      <c r="CO24" s="5" t="b">
        <f t="shared" si="19"/>
        <v>0</v>
      </c>
      <c r="CP24" s="5" t="b">
        <f t="shared" si="18"/>
        <v>0</v>
      </c>
      <c r="CQ24" s="5" t="b">
        <f t="shared" si="17"/>
        <v>0</v>
      </c>
      <c r="CR24" s="5" t="b">
        <f t="shared" si="16"/>
        <v>0</v>
      </c>
      <c r="CS24" s="5" t="b">
        <f t="shared" si="15"/>
        <v>0</v>
      </c>
      <c r="CT24" s="5" t="b">
        <f t="shared" si="14"/>
        <v>0</v>
      </c>
      <c r="CU24" s="5" t="b">
        <f t="shared" si="13"/>
        <v>0</v>
      </c>
      <c r="CV24" s="5" t="b">
        <f t="shared" si="9"/>
        <v>0</v>
      </c>
      <c r="CW24" s="6" t="b">
        <f t="shared" si="6"/>
        <v>0</v>
      </c>
      <c r="CY24" s="77" t="str">
        <f>IF(ROUND(A24,0)&gt;=ROUND($H$4,0),SUM($C$3:$C24),"")</f>
        <v/>
      </c>
    </row>
    <row r="25" spans="1:103" ht="13" x14ac:dyDescent="0.3">
      <c r="A25" s="28" t="b">
        <f t="shared" si="31"/>
        <v>0</v>
      </c>
      <c r="B25" s="10" t="b">
        <f t="shared" si="2"/>
        <v>0</v>
      </c>
      <c r="C25" s="30" t="b">
        <f>IF(A25&lt;=MAX($AI$41:$AI$70),IF(ROW()&lt;=COUNTA(Data!$2:$2)+2,(B25+B24)*(A25-A24)/2,FALSE),FALSE)</f>
        <v>0</v>
      </c>
      <c r="D25" s="10" t="b">
        <f t="shared" si="7"/>
        <v>0</v>
      </c>
      <c r="E25" s="29" t="b">
        <f>IF(A25&lt;=MAX($AI$41:$AI$70),IF(ROW()&lt;=COUNTA(Data!$2:$2)+2,(B25*A25+B24*A24)*(A25-A24)/2,FALSE),FALSE)</f>
        <v>0</v>
      </c>
      <c r="G25" s="53" t="s">
        <v>8</v>
      </c>
      <c r="H25" s="54">
        <f>IF(H24=$H$15,$H$15,MIN(D:D))</f>
        <v>24</v>
      </c>
      <c r="L25" s="10" t="s">
        <v>41</v>
      </c>
      <c r="W25" s="10">
        <v>23</v>
      </c>
      <c r="X2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5" s="10" t="b">
        <f>IF(ROW()&lt;=COUNTA(Data!$2:$2),INDEX(Data!$C:$AZ,Analysis!$C$1+1,ROW()-2),FALSE)</f>
        <v>0</v>
      </c>
      <c r="Z25" s="30">
        <f t="shared" si="10"/>
        <v>1</v>
      </c>
      <c r="AA25" s="29" t="b">
        <f t="shared" si="11"/>
        <v>0</v>
      </c>
      <c r="AC25" s="10" t="b">
        <f t="shared" si="0"/>
        <v>0</v>
      </c>
      <c r="AE25" s="10" t="b">
        <f t="shared" si="3"/>
        <v>0</v>
      </c>
      <c r="AF25" s="10">
        <f t="shared" si="12"/>
        <v>0.33300000000000002</v>
      </c>
      <c r="AG25" s="12" t="str">
        <f t="shared" si="8"/>
        <v/>
      </c>
      <c r="AH25" s="10">
        <f t="shared" si="4"/>
        <v>0</v>
      </c>
      <c r="AI25" s="4" t="b">
        <f t="shared" si="5"/>
        <v>0</v>
      </c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 t="b">
        <f t="shared" ref="CA25:CA70" si="34">IF(OR(ISERR(LN(INDEX($Y$3:$Y$70,INDEX($AD$3:$AD$70,71-ROW(),1),1))),$AI25&lt;=MIN($D:$D),$AI25=FALSE),FALSE,LN(INDEX($Y$3:$Y$70,INDEX($AD$3:$AD$70,71-ROW(),1),1)))</f>
        <v>0</v>
      </c>
      <c r="CB25" s="5" t="b">
        <f t="shared" si="33"/>
        <v>0</v>
      </c>
      <c r="CC25" s="5" t="b">
        <f t="shared" si="32"/>
        <v>0</v>
      </c>
      <c r="CD25" s="5" t="b">
        <f t="shared" si="30"/>
        <v>0</v>
      </c>
      <c r="CE25" s="5" t="b">
        <f t="shared" si="29"/>
        <v>0</v>
      </c>
      <c r="CF25" s="5" t="b">
        <f t="shared" si="28"/>
        <v>0</v>
      </c>
      <c r="CG25" s="5" t="b">
        <f t="shared" si="27"/>
        <v>0</v>
      </c>
      <c r="CH25" s="5" t="b">
        <f t="shared" si="26"/>
        <v>0</v>
      </c>
      <c r="CI25" s="5" t="b">
        <f t="shared" si="25"/>
        <v>0</v>
      </c>
      <c r="CJ25" s="5" t="b">
        <f t="shared" si="24"/>
        <v>0</v>
      </c>
      <c r="CK25" s="5" t="b">
        <f t="shared" si="23"/>
        <v>0</v>
      </c>
      <c r="CL25" s="5" t="b">
        <f t="shared" si="22"/>
        <v>0</v>
      </c>
      <c r="CM25" s="5" t="b">
        <f t="shared" si="21"/>
        <v>0</v>
      </c>
      <c r="CN25" s="5" t="b">
        <f t="shared" si="20"/>
        <v>0</v>
      </c>
      <c r="CO25" s="5" t="b">
        <f t="shared" si="19"/>
        <v>0</v>
      </c>
      <c r="CP25" s="5" t="b">
        <f t="shared" si="18"/>
        <v>0</v>
      </c>
      <c r="CQ25" s="5" t="b">
        <f t="shared" si="17"/>
        <v>0</v>
      </c>
      <c r="CR25" s="5" t="b">
        <f t="shared" si="16"/>
        <v>0</v>
      </c>
      <c r="CS25" s="5" t="b">
        <f t="shared" si="15"/>
        <v>0</v>
      </c>
      <c r="CT25" s="5" t="b">
        <f t="shared" si="14"/>
        <v>0</v>
      </c>
      <c r="CU25" s="5" t="b">
        <f t="shared" si="13"/>
        <v>0</v>
      </c>
      <c r="CV25" s="5" t="b">
        <f t="shared" si="9"/>
        <v>0</v>
      </c>
      <c r="CW25" s="6" t="b">
        <f t="shared" si="6"/>
        <v>0</v>
      </c>
      <c r="CY25" s="77" t="str">
        <f>IF(ROUND(A25,0)&gt;=ROUND($H$4,0),SUM($C$3:$C25),"")</f>
        <v/>
      </c>
    </row>
    <row r="26" spans="1:103" ht="13" x14ac:dyDescent="0.3">
      <c r="A26" s="28" t="b">
        <f t="shared" si="31"/>
        <v>0</v>
      </c>
      <c r="B26" s="10" t="b">
        <f t="shared" si="2"/>
        <v>0</v>
      </c>
      <c r="C26" s="30" t="b">
        <f>IF(A26&lt;=MAX($AI$41:$AI$70),IF(ROW()&lt;=COUNTA(Data!$2:$2)+2,(B26+B25)*(A26-A25)/2,FALSE),FALSE)</f>
        <v>0</v>
      </c>
      <c r="D26" s="10" t="b">
        <f t="shared" si="7"/>
        <v>0</v>
      </c>
      <c r="E26" s="29" t="b">
        <f>IF(A26&lt;=MAX($AI$41:$AI$70),IF(ROW()&lt;=COUNTA(Data!$2:$2)+2,(B26*A26+B25*A25)*(A26-A25)/2,FALSE),FALSE)</f>
        <v>0</v>
      </c>
      <c r="G26" s="53" t="s">
        <v>9</v>
      </c>
      <c r="H26" s="54" t="str">
        <f>IF(H25=MAX($A$3:$A$70),"NA",IF(AJ80&gt;=$H$3,$AJ$81,$H$15))</f>
        <v>NA</v>
      </c>
      <c r="W26" s="10">
        <v>24</v>
      </c>
      <c r="X2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6" s="10" t="b">
        <f>IF(ROW()&lt;=COUNTA(Data!$2:$2),INDEX(Data!$C:$AZ,Analysis!$C$1+1,ROW()-2),FALSE)</f>
        <v>0</v>
      </c>
      <c r="Z26" s="30">
        <f t="shared" si="10"/>
        <v>1</v>
      </c>
      <c r="AA26" s="29" t="b">
        <f t="shared" si="11"/>
        <v>0</v>
      </c>
      <c r="AC26" s="10" t="b">
        <f t="shared" si="0"/>
        <v>0</v>
      </c>
      <c r="AE26" s="10" t="b">
        <f t="shared" si="3"/>
        <v>0</v>
      </c>
      <c r="AF26" s="10">
        <f t="shared" si="12"/>
        <v>0.33300000000000002</v>
      </c>
      <c r="AG26" s="12" t="str">
        <f t="shared" si="8"/>
        <v/>
      </c>
      <c r="AH26" s="10">
        <f t="shared" si="4"/>
        <v>0</v>
      </c>
      <c r="AI26" s="4" t="b">
        <f t="shared" si="5"/>
        <v>0</v>
      </c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 t="b">
        <f t="shared" ref="BZ26:BZ70" si="35">IF(OR(ISERR(LN(INDEX($Y$3:$Y$70,INDEX($AD$3:$AD$70,71-ROW(),1),1))),$AI26&lt;=MIN($D:$D),$AI26=FALSE),FALSE,LN(INDEX($Y$3:$Y$70,INDEX($AD$3:$AD$70,71-ROW(),1),1)))</f>
        <v>0</v>
      </c>
      <c r="CA26" s="5" t="b">
        <f t="shared" si="34"/>
        <v>0</v>
      </c>
      <c r="CB26" s="5" t="b">
        <f t="shared" si="33"/>
        <v>0</v>
      </c>
      <c r="CC26" s="5" t="b">
        <f t="shared" si="32"/>
        <v>0</v>
      </c>
      <c r="CD26" s="5" t="b">
        <f t="shared" si="30"/>
        <v>0</v>
      </c>
      <c r="CE26" s="5" t="b">
        <f t="shared" si="29"/>
        <v>0</v>
      </c>
      <c r="CF26" s="5" t="b">
        <f t="shared" si="28"/>
        <v>0</v>
      </c>
      <c r="CG26" s="5" t="b">
        <f t="shared" si="27"/>
        <v>0</v>
      </c>
      <c r="CH26" s="5" t="b">
        <f t="shared" si="26"/>
        <v>0</v>
      </c>
      <c r="CI26" s="5" t="b">
        <f t="shared" si="25"/>
        <v>0</v>
      </c>
      <c r="CJ26" s="5" t="b">
        <f t="shared" si="24"/>
        <v>0</v>
      </c>
      <c r="CK26" s="5" t="b">
        <f t="shared" si="23"/>
        <v>0</v>
      </c>
      <c r="CL26" s="5" t="b">
        <f t="shared" si="22"/>
        <v>0</v>
      </c>
      <c r="CM26" s="5" t="b">
        <f t="shared" si="21"/>
        <v>0</v>
      </c>
      <c r="CN26" s="5" t="b">
        <f t="shared" si="20"/>
        <v>0</v>
      </c>
      <c r="CO26" s="5" t="b">
        <f t="shared" si="19"/>
        <v>0</v>
      </c>
      <c r="CP26" s="5" t="b">
        <f t="shared" si="18"/>
        <v>0</v>
      </c>
      <c r="CQ26" s="5" t="b">
        <f t="shared" si="17"/>
        <v>0</v>
      </c>
      <c r="CR26" s="5" t="b">
        <f t="shared" si="16"/>
        <v>0</v>
      </c>
      <c r="CS26" s="5" t="b">
        <f t="shared" si="15"/>
        <v>0</v>
      </c>
      <c r="CT26" s="5" t="b">
        <f t="shared" si="14"/>
        <v>0</v>
      </c>
      <c r="CU26" s="5" t="b">
        <f t="shared" si="13"/>
        <v>0</v>
      </c>
      <c r="CV26" s="5" t="b">
        <f t="shared" si="9"/>
        <v>0</v>
      </c>
      <c r="CW26" s="6" t="b">
        <f t="shared" si="6"/>
        <v>0</v>
      </c>
      <c r="CY26" s="77" t="str">
        <f>IF(ROUND(A26,0)&gt;=ROUND($H$4,0),SUM($C$3:$C26),"")</f>
        <v/>
      </c>
    </row>
    <row r="27" spans="1:103" ht="13" x14ac:dyDescent="0.3">
      <c r="A27" s="28" t="b">
        <f t="shared" si="31"/>
        <v>0</v>
      </c>
      <c r="B27" s="10" t="b">
        <f t="shared" si="2"/>
        <v>0</v>
      </c>
      <c r="C27" s="30" t="b">
        <f>IF(A27&lt;=MAX($AI$41:$AI$70),IF(ROW()&lt;=COUNTA(Data!$2:$2)+2,(B27+B26)*(A27-A26)/2,FALSE),FALSE)</f>
        <v>0</v>
      </c>
      <c r="D27" s="10" t="b">
        <f t="shared" si="7"/>
        <v>0</v>
      </c>
      <c r="E27" s="29" t="b">
        <f>IF(A27&lt;=MAX($AI$41:$AI$70),IF(ROW()&lt;=COUNTA(Data!$2:$2)+2,(B27*A27+B26*A26)*(A27-A26)/2,FALSE),FALSE)</f>
        <v>0</v>
      </c>
      <c r="G27" s="53" t="s">
        <v>17</v>
      </c>
      <c r="H27" s="54" t="str">
        <f>IF($H$26=$H$15,$H$15,LN(2)/$AJ$81)</f>
        <v>NA</v>
      </c>
      <c r="W27" s="10">
        <v>25</v>
      </c>
      <c r="X2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7" s="10" t="b">
        <f>IF(ROW()&lt;=COUNTA(Data!$2:$2),INDEX(Data!$C:$AZ,Analysis!$C$1+1,ROW()-2),FALSE)</f>
        <v>0</v>
      </c>
      <c r="Z27" s="30">
        <f t="shared" si="10"/>
        <v>1</v>
      </c>
      <c r="AA27" s="29" t="b">
        <f t="shared" si="11"/>
        <v>0</v>
      </c>
      <c r="AC27" s="10" t="b">
        <f t="shared" si="0"/>
        <v>0</v>
      </c>
      <c r="AE27" s="10" t="b">
        <f t="shared" si="3"/>
        <v>0</v>
      </c>
      <c r="AF27" s="10">
        <f t="shared" si="12"/>
        <v>0.33300000000000002</v>
      </c>
      <c r="AG27" s="12" t="str">
        <f t="shared" si="8"/>
        <v/>
      </c>
      <c r="AH27" s="10">
        <f t="shared" si="4"/>
        <v>0</v>
      </c>
      <c r="AI27" s="4" t="b">
        <f t="shared" si="5"/>
        <v>0</v>
      </c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 t="b">
        <f t="shared" ref="BY27:BY70" si="36">IF(OR(ISERR(LN(INDEX($Y$3:$Y$70,INDEX($AD$3:$AD$70,71-ROW(),1),1))),$AI27&lt;=MIN($D:$D),$AI27=FALSE),FALSE,LN(INDEX($Y$3:$Y$70,INDEX($AD$3:$AD$70,71-ROW(),1),1)))</f>
        <v>0</v>
      </c>
      <c r="BZ27" s="5" t="b">
        <f t="shared" si="35"/>
        <v>0</v>
      </c>
      <c r="CA27" s="5" t="b">
        <f t="shared" si="34"/>
        <v>0</v>
      </c>
      <c r="CB27" s="5" t="b">
        <f t="shared" si="33"/>
        <v>0</v>
      </c>
      <c r="CC27" s="5" t="b">
        <f t="shared" si="32"/>
        <v>0</v>
      </c>
      <c r="CD27" s="5" t="b">
        <f t="shared" si="30"/>
        <v>0</v>
      </c>
      <c r="CE27" s="5" t="b">
        <f t="shared" si="29"/>
        <v>0</v>
      </c>
      <c r="CF27" s="5" t="b">
        <f t="shared" si="28"/>
        <v>0</v>
      </c>
      <c r="CG27" s="5" t="b">
        <f t="shared" si="27"/>
        <v>0</v>
      </c>
      <c r="CH27" s="5" t="b">
        <f t="shared" si="26"/>
        <v>0</v>
      </c>
      <c r="CI27" s="5" t="b">
        <f t="shared" si="25"/>
        <v>0</v>
      </c>
      <c r="CJ27" s="5" t="b">
        <f t="shared" si="24"/>
        <v>0</v>
      </c>
      <c r="CK27" s="5" t="b">
        <f t="shared" si="23"/>
        <v>0</v>
      </c>
      <c r="CL27" s="5" t="b">
        <f t="shared" si="22"/>
        <v>0</v>
      </c>
      <c r="CM27" s="5" t="b">
        <f t="shared" si="21"/>
        <v>0</v>
      </c>
      <c r="CN27" s="5" t="b">
        <f t="shared" si="20"/>
        <v>0</v>
      </c>
      <c r="CO27" s="5" t="b">
        <f t="shared" si="19"/>
        <v>0</v>
      </c>
      <c r="CP27" s="5" t="b">
        <f t="shared" si="18"/>
        <v>0</v>
      </c>
      <c r="CQ27" s="5" t="b">
        <f t="shared" si="17"/>
        <v>0</v>
      </c>
      <c r="CR27" s="5" t="b">
        <f t="shared" si="16"/>
        <v>0</v>
      </c>
      <c r="CS27" s="5" t="b">
        <f t="shared" si="15"/>
        <v>0</v>
      </c>
      <c r="CT27" s="5" t="b">
        <f t="shared" si="14"/>
        <v>0</v>
      </c>
      <c r="CU27" s="5" t="b">
        <f t="shared" si="13"/>
        <v>0</v>
      </c>
      <c r="CV27" s="5" t="b">
        <f t="shared" si="9"/>
        <v>0</v>
      </c>
      <c r="CW27" s="6" t="b">
        <f t="shared" si="6"/>
        <v>0</v>
      </c>
      <c r="CY27" s="77" t="str">
        <f>IF(ROUND(A27,0)&gt;=ROUND($H$4,0),SUM($C$3:$C27),"")</f>
        <v/>
      </c>
    </row>
    <row r="28" spans="1:103" ht="13" x14ac:dyDescent="0.3">
      <c r="A28" s="28" t="b">
        <f t="shared" si="31"/>
        <v>0</v>
      </c>
      <c r="B28" s="10" t="b">
        <f t="shared" si="2"/>
        <v>0</v>
      </c>
      <c r="C28" s="30" t="b">
        <f>IF(A28&lt;=MAX($AI$41:$AI$70),IF(ROW()&lt;=COUNTA(Data!$2:$2)+2,(B28+B27)*(A28-A27)/2,FALSE),FALSE)</f>
        <v>0</v>
      </c>
      <c r="D28" s="10" t="b">
        <f t="shared" si="7"/>
        <v>0</v>
      </c>
      <c r="E28" s="29" t="b">
        <f>IF(A28&lt;=MAX($AI$41:$AI$70),IF(ROW()&lt;=COUNTA(Data!$2:$2)+2,(B28*A28+B27*A27)*(A28-A27)/2,FALSE),FALSE)</f>
        <v>0</v>
      </c>
      <c r="G28" s="53" t="s">
        <v>27</v>
      </c>
      <c r="H28" s="54" t="e">
        <f>IF(AND(H22&lt;&gt;$H$15,H23&lt;&gt;$H$15),SUM($C$4:$C$70)/(SUM($C$4:$C$70)+H30/$AJ$81),$H$15)</f>
        <v>#VALUE!</v>
      </c>
      <c r="W28" s="10">
        <v>26</v>
      </c>
      <c r="X2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8" s="10" t="b">
        <f>IF(ROW()&lt;=COUNTA(Data!$2:$2),INDEX(Data!$C:$AZ,Analysis!$C$1+1,ROW()-2),FALSE)</f>
        <v>0</v>
      </c>
      <c r="Z28" s="30">
        <f t="shared" si="10"/>
        <v>1</v>
      </c>
      <c r="AA28" s="29" t="b">
        <f t="shared" si="11"/>
        <v>0</v>
      </c>
      <c r="AC28" s="10" t="b">
        <f t="shared" si="0"/>
        <v>0</v>
      </c>
      <c r="AE28" s="10" t="b">
        <f t="shared" si="3"/>
        <v>0</v>
      </c>
      <c r="AF28" s="10">
        <f t="shared" si="12"/>
        <v>0.33300000000000002</v>
      </c>
      <c r="AG28" s="12" t="str">
        <f t="shared" si="8"/>
        <v/>
      </c>
      <c r="AH28" s="10">
        <f t="shared" si="4"/>
        <v>0</v>
      </c>
      <c r="AI28" s="4" t="b">
        <f t="shared" si="5"/>
        <v>0</v>
      </c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 t="b">
        <f t="shared" ref="BX28:BX70" si="37">IF(OR(ISERR(LN(INDEX($Y$3:$Y$70,INDEX($AD$3:$AD$70,71-ROW(),1),1))),$AI28&lt;=MIN($D:$D),$AI28=FALSE),FALSE,LN(INDEX($Y$3:$Y$70,INDEX($AD$3:$AD$70,71-ROW(),1),1)))</f>
        <v>0</v>
      </c>
      <c r="BY28" s="5" t="b">
        <f t="shared" si="36"/>
        <v>0</v>
      </c>
      <c r="BZ28" s="5" t="b">
        <f t="shared" si="35"/>
        <v>0</v>
      </c>
      <c r="CA28" s="5" t="b">
        <f t="shared" si="34"/>
        <v>0</v>
      </c>
      <c r="CB28" s="5" t="b">
        <f t="shared" si="33"/>
        <v>0</v>
      </c>
      <c r="CC28" s="5" t="b">
        <f t="shared" si="32"/>
        <v>0</v>
      </c>
      <c r="CD28" s="5" t="b">
        <f t="shared" si="30"/>
        <v>0</v>
      </c>
      <c r="CE28" s="5" t="b">
        <f t="shared" si="29"/>
        <v>0</v>
      </c>
      <c r="CF28" s="5" t="b">
        <f t="shared" si="28"/>
        <v>0</v>
      </c>
      <c r="CG28" s="5" t="b">
        <f t="shared" si="27"/>
        <v>0</v>
      </c>
      <c r="CH28" s="5" t="b">
        <f t="shared" si="26"/>
        <v>0</v>
      </c>
      <c r="CI28" s="5" t="b">
        <f t="shared" si="25"/>
        <v>0</v>
      </c>
      <c r="CJ28" s="5" t="b">
        <f t="shared" si="24"/>
        <v>0</v>
      </c>
      <c r="CK28" s="5" t="b">
        <f t="shared" si="23"/>
        <v>0</v>
      </c>
      <c r="CL28" s="5" t="b">
        <f t="shared" si="22"/>
        <v>0</v>
      </c>
      <c r="CM28" s="5" t="b">
        <f t="shared" si="21"/>
        <v>0</v>
      </c>
      <c r="CN28" s="5" t="b">
        <f t="shared" si="20"/>
        <v>0</v>
      </c>
      <c r="CO28" s="5" t="b">
        <f t="shared" si="19"/>
        <v>0</v>
      </c>
      <c r="CP28" s="5" t="b">
        <f t="shared" si="18"/>
        <v>0</v>
      </c>
      <c r="CQ28" s="5" t="b">
        <f t="shared" si="17"/>
        <v>0</v>
      </c>
      <c r="CR28" s="5" t="b">
        <f t="shared" si="16"/>
        <v>0</v>
      </c>
      <c r="CS28" s="5" t="b">
        <f t="shared" si="15"/>
        <v>0</v>
      </c>
      <c r="CT28" s="5" t="b">
        <f t="shared" si="14"/>
        <v>0</v>
      </c>
      <c r="CU28" s="5" t="b">
        <f t="shared" si="13"/>
        <v>0</v>
      </c>
      <c r="CV28" s="5" t="b">
        <f t="shared" si="9"/>
        <v>0</v>
      </c>
      <c r="CW28" s="6" t="b">
        <f t="shared" si="6"/>
        <v>0</v>
      </c>
      <c r="CY28" s="77" t="str">
        <f>IF(ROUND(A28,0)&gt;=ROUND($H$4,0),SUM($C$3:$C28),"")</f>
        <v/>
      </c>
    </row>
    <row r="29" spans="1:103" ht="13" x14ac:dyDescent="0.3">
      <c r="A29" s="28" t="b">
        <f t="shared" si="31"/>
        <v>0</v>
      </c>
      <c r="B29" s="10" t="b">
        <f t="shared" si="2"/>
        <v>0</v>
      </c>
      <c r="C29" s="30" t="b">
        <f>IF(A29&lt;=MAX($AI$41:$AI$70),IF(ROW()&lt;=COUNTA(Data!$2:$2)+2,(B29+B28)*(A29-A28)/2,FALSE),FALSE)</f>
        <v>0</v>
      </c>
      <c r="D29" s="10" t="b">
        <f t="shared" si="7"/>
        <v>0</v>
      </c>
      <c r="E29" s="29" t="b">
        <f>IF(A29&lt;=MAX($AI$41:$AI$70),IF(ROW()&lt;=COUNTA(Data!$2:$2)+2,(B29*A29+B28*A28)*(A29-A28)/2,FALSE),FALSE)</f>
        <v>0</v>
      </c>
      <c r="G29" s="56" t="s">
        <v>62</v>
      </c>
      <c r="H29" s="54" t="str">
        <f>IF(H25=MAX($A$3:$A$70),"NA",$AJ$80)</f>
        <v>NA</v>
      </c>
      <c r="W29" s="10">
        <v>27</v>
      </c>
      <c r="X2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29" s="10" t="b">
        <f>IF(ROW()&lt;=COUNTA(Data!$2:$2),INDEX(Data!$C:$AZ,Analysis!$C$1+1,ROW()-2),FALSE)</f>
        <v>0</v>
      </c>
      <c r="Z29" s="30">
        <f t="shared" si="10"/>
        <v>1</v>
      </c>
      <c r="AA29" s="29" t="b">
        <f t="shared" si="11"/>
        <v>0</v>
      </c>
      <c r="AC29" s="10" t="b">
        <f t="shared" si="0"/>
        <v>0</v>
      </c>
      <c r="AE29" s="10" t="b">
        <f t="shared" si="3"/>
        <v>0</v>
      </c>
      <c r="AF29" s="10">
        <f t="shared" si="12"/>
        <v>0.33300000000000002</v>
      </c>
      <c r="AG29" s="12" t="str">
        <f t="shared" si="8"/>
        <v/>
      </c>
      <c r="AH29" s="10">
        <f t="shared" si="4"/>
        <v>0</v>
      </c>
      <c r="AI29" s="4" t="b">
        <f t="shared" si="5"/>
        <v>0</v>
      </c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b">
        <f t="shared" ref="BW29:BW70" si="38">IF(OR(ISERR(LN(INDEX($Y$3:$Y$70,INDEX($AD$3:$AD$70,71-ROW(),1),1))),$AI29&lt;=MIN($D:$D),$AI29=FALSE),FALSE,LN(INDEX($Y$3:$Y$70,INDEX($AD$3:$AD$70,71-ROW(),1),1)))</f>
        <v>0</v>
      </c>
      <c r="BX29" s="5" t="b">
        <f t="shared" si="37"/>
        <v>0</v>
      </c>
      <c r="BY29" s="5" t="b">
        <f t="shared" si="36"/>
        <v>0</v>
      </c>
      <c r="BZ29" s="5" t="b">
        <f t="shared" si="35"/>
        <v>0</v>
      </c>
      <c r="CA29" s="5" t="b">
        <f t="shared" si="34"/>
        <v>0</v>
      </c>
      <c r="CB29" s="5" t="b">
        <f t="shared" si="33"/>
        <v>0</v>
      </c>
      <c r="CC29" s="5" t="b">
        <f t="shared" si="32"/>
        <v>0</v>
      </c>
      <c r="CD29" s="5" t="b">
        <f t="shared" si="30"/>
        <v>0</v>
      </c>
      <c r="CE29" s="5" t="b">
        <f t="shared" si="29"/>
        <v>0</v>
      </c>
      <c r="CF29" s="5" t="b">
        <f t="shared" si="28"/>
        <v>0</v>
      </c>
      <c r="CG29" s="5" t="b">
        <f t="shared" si="27"/>
        <v>0</v>
      </c>
      <c r="CH29" s="5" t="b">
        <f t="shared" si="26"/>
        <v>0</v>
      </c>
      <c r="CI29" s="5" t="b">
        <f t="shared" si="25"/>
        <v>0</v>
      </c>
      <c r="CJ29" s="5" t="b">
        <f t="shared" si="24"/>
        <v>0</v>
      </c>
      <c r="CK29" s="5" t="b">
        <f t="shared" si="23"/>
        <v>0</v>
      </c>
      <c r="CL29" s="5" t="b">
        <f t="shared" si="22"/>
        <v>0</v>
      </c>
      <c r="CM29" s="5" t="b">
        <f t="shared" si="21"/>
        <v>0</v>
      </c>
      <c r="CN29" s="5" t="b">
        <f t="shared" si="20"/>
        <v>0</v>
      </c>
      <c r="CO29" s="5" t="b">
        <f t="shared" si="19"/>
        <v>0</v>
      </c>
      <c r="CP29" s="5" t="b">
        <f t="shared" si="18"/>
        <v>0</v>
      </c>
      <c r="CQ29" s="5" t="b">
        <f t="shared" si="17"/>
        <v>0</v>
      </c>
      <c r="CR29" s="5" t="b">
        <f t="shared" si="16"/>
        <v>0</v>
      </c>
      <c r="CS29" s="5" t="b">
        <f t="shared" si="15"/>
        <v>0</v>
      </c>
      <c r="CT29" s="5" t="b">
        <f t="shared" si="14"/>
        <v>0</v>
      </c>
      <c r="CU29" s="5" t="b">
        <f t="shared" si="13"/>
        <v>0</v>
      </c>
      <c r="CV29" s="5" t="b">
        <f t="shared" si="9"/>
        <v>0</v>
      </c>
      <c r="CW29" s="6" t="b">
        <f t="shared" si="6"/>
        <v>0</v>
      </c>
      <c r="CY29" s="77" t="str">
        <f>IF(ROUND(A29,0)&gt;=ROUND($H$4,0),SUM($C$3:$C29),"")</f>
        <v/>
      </c>
    </row>
    <row r="30" spans="1:103" ht="13" x14ac:dyDescent="0.3">
      <c r="A30" s="28" t="b">
        <f t="shared" si="31"/>
        <v>0</v>
      </c>
      <c r="B30" s="10" t="b">
        <f t="shared" si="2"/>
        <v>0</v>
      </c>
      <c r="C30" s="30" t="b">
        <f>IF(A30&lt;=MAX($AI$41:$AI$70),IF(ROW()&lt;=COUNTA(Data!$2:$2)+2,(B30+B29)*(A30-A29)/2,FALSE),FALSE)</f>
        <v>0</v>
      </c>
      <c r="D30" s="10" t="b">
        <f t="shared" si="7"/>
        <v>0</v>
      </c>
      <c r="E30" s="29" t="b">
        <f>IF(A30&lt;=MAX($AI$41:$AI$70),IF(ROW()&lt;=COUNTA(Data!$2:$2)+2,(B30*A30+B29*A29)*(A30-A29)/2,FALSE),FALSE)</f>
        <v>0</v>
      </c>
      <c r="G30" s="55" t="s">
        <v>37</v>
      </c>
      <c r="H30" s="54">
        <f>EXP($AJ$70)</f>
        <v>15.079999999999998</v>
      </c>
      <c r="W30" s="10">
        <v>28</v>
      </c>
      <c r="X3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0" s="10" t="b">
        <f>IF(ROW()&lt;=COUNTA(Data!$2:$2),INDEX(Data!$C:$AZ,Analysis!$C$1+1,ROW()-2),FALSE)</f>
        <v>0</v>
      </c>
      <c r="Z30" s="30">
        <f t="shared" si="10"/>
        <v>1</v>
      </c>
      <c r="AA30" s="29" t="b">
        <f t="shared" si="11"/>
        <v>0</v>
      </c>
      <c r="AC30" s="10" t="b">
        <f t="shared" si="0"/>
        <v>0</v>
      </c>
      <c r="AE30" s="10" t="b">
        <f t="shared" si="3"/>
        <v>0</v>
      </c>
      <c r="AF30" s="10">
        <f t="shared" si="12"/>
        <v>0.33300000000000002</v>
      </c>
      <c r="AG30" s="12" t="str">
        <f t="shared" si="8"/>
        <v/>
      </c>
      <c r="AH30" s="10">
        <f t="shared" si="4"/>
        <v>0</v>
      </c>
      <c r="AI30" s="4" t="b">
        <f t="shared" si="5"/>
        <v>0</v>
      </c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 t="b">
        <f t="shared" ref="BV30:BV70" si="39">IF(OR(ISERR(LN(INDEX($Y$3:$Y$70,INDEX($AD$3:$AD$70,71-ROW(),1),1))),$AI30&lt;=MIN($D:$D),$AI30=FALSE),FALSE,LN(INDEX($Y$3:$Y$70,INDEX($AD$3:$AD$70,71-ROW(),1),1)))</f>
        <v>0</v>
      </c>
      <c r="BW30" s="5" t="b">
        <f t="shared" si="38"/>
        <v>0</v>
      </c>
      <c r="BX30" s="5" t="b">
        <f t="shared" si="37"/>
        <v>0</v>
      </c>
      <c r="BY30" s="5" t="b">
        <f t="shared" si="36"/>
        <v>0</v>
      </c>
      <c r="BZ30" s="5" t="b">
        <f t="shared" si="35"/>
        <v>0</v>
      </c>
      <c r="CA30" s="5" t="b">
        <f t="shared" si="34"/>
        <v>0</v>
      </c>
      <c r="CB30" s="5" t="b">
        <f t="shared" si="33"/>
        <v>0</v>
      </c>
      <c r="CC30" s="5" t="b">
        <f t="shared" si="32"/>
        <v>0</v>
      </c>
      <c r="CD30" s="5" t="b">
        <f t="shared" si="30"/>
        <v>0</v>
      </c>
      <c r="CE30" s="5" t="b">
        <f t="shared" si="29"/>
        <v>0</v>
      </c>
      <c r="CF30" s="5" t="b">
        <f t="shared" si="28"/>
        <v>0</v>
      </c>
      <c r="CG30" s="5" t="b">
        <f t="shared" si="27"/>
        <v>0</v>
      </c>
      <c r="CH30" s="5" t="b">
        <f t="shared" si="26"/>
        <v>0</v>
      </c>
      <c r="CI30" s="5" t="b">
        <f t="shared" si="25"/>
        <v>0</v>
      </c>
      <c r="CJ30" s="5" t="b">
        <f t="shared" si="24"/>
        <v>0</v>
      </c>
      <c r="CK30" s="5" t="b">
        <f t="shared" si="23"/>
        <v>0</v>
      </c>
      <c r="CL30" s="5" t="b">
        <f t="shared" si="22"/>
        <v>0</v>
      </c>
      <c r="CM30" s="5" t="b">
        <f t="shared" si="21"/>
        <v>0</v>
      </c>
      <c r="CN30" s="5" t="b">
        <f t="shared" si="20"/>
        <v>0</v>
      </c>
      <c r="CO30" s="5" t="b">
        <f t="shared" si="19"/>
        <v>0</v>
      </c>
      <c r="CP30" s="5" t="b">
        <f t="shared" si="18"/>
        <v>0</v>
      </c>
      <c r="CQ30" s="5" t="b">
        <f t="shared" si="17"/>
        <v>0</v>
      </c>
      <c r="CR30" s="5" t="b">
        <f t="shared" si="16"/>
        <v>0</v>
      </c>
      <c r="CS30" s="5" t="b">
        <f t="shared" si="15"/>
        <v>0</v>
      </c>
      <c r="CT30" s="5" t="b">
        <f t="shared" si="14"/>
        <v>0</v>
      </c>
      <c r="CU30" s="5" t="b">
        <f t="shared" si="13"/>
        <v>0</v>
      </c>
      <c r="CV30" s="5" t="b">
        <f t="shared" si="9"/>
        <v>0</v>
      </c>
      <c r="CW30" s="6" t="b">
        <f t="shared" si="6"/>
        <v>0</v>
      </c>
      <c r="CY30" s="77" t="str">
        <f>IF(ROUND(A30,0)&gt;=ROUND($H$4,0),SUM($C$3:$C30),"")</f>
        <v/>
      </c>
    </row>
    <row r="31" spans="1:103" ht="13" x14ac:dyDescent="0.3">
      <c r="A31" s="28" t="b">
        <f t="shared" si="31"/>
        <v>0</v>
      </c>
      <c r="B31" s="10" t="b">
        <f t="shared" si="2"/>
        <v>0</v>
      </c>
      <c r="C31" s="30" t="b">
        <f>IF(A31&lt;=MAX($AI$41:$AI$70),IF(ROW()&lt;=COUNTA(Data!$2:$2)+2,(B31+B30)*(A31-A30)/2,FALSE),FALSE)</f>
        <v>0</v>
      </c>
      <c r="D31" s="10" t="b">
        <f t="shared" si="7"/>
        <v>0</v>
      </c>
      <c r="E31" s="29" t="b">
        <f>IF(A31&lt;=MAX($AI$41:$AI$70),IF(ROW()&lt;=COUNTA(Data!$2:$2)+2,(B31*A31+B30*A30)*(A31-A30)/2,FALSE),FALSE)</f>
        <v>0</v>
      </c>
      <c r="G31" s="56" t="s">
        <v>59</v>
      </c>
      <c r="H31" s="80" t="str">
        <f>IF(H26=$H$15,$H$15,MAX($AJ$79:$CW$79))</f>
        <v>NA</v>
      </c>
      <c r="W31" s="10">
        <v>29</v>
      </c>
      <c r="X3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1" s="10" t="b">
        <f>IF(ROW()&lt;=COUNTA(Data!$2:$2),INDEX(Data!$C:$AZ,Analysis!$C$1+1,ROW()-2),FALSE)</f>
        <v>0</v>
      </c>
      <c r="Z31" s="30">
        <f t="shared" si="10"/>
        <v>1</v>
      </c>
      <c r="AA31" s="29" t="b">
        <f t="shared" si="11"/>
        <v>0</v>
      </c>
      <c r="AC31" s="10" t="b">
        <f t="shared" si="0"/>
        <v>0</v>
      </c>
      <c r="AE31" s="10" t="b">
        <f t="shared" si="3"/>
        <v>0</v>
      </c>
      <c r="AF31" s="10">
        <f t="shared" si="12"/>
        <v>0.33300000000000002</v>
      </c>
      <c r="AG31" s="12" t="str">
        <f t="shared" si="8"/>
        <v/>
      </c>
      <c r="AH31" s="10">
        <f t="shared" si="4"/>
        <v>0</v>
      </c>
      <c r="AI31" s="4" t="b">
        <f t="shared" si="5"/>
        <v>0</v>
      </c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 t="b">
        <f t="shared" ref="BU31:BU70" si="40">IF(OR(ISERR(LN(INDEX($Y$3:$Y$70,INDEX($AD$3:$AD$70,71-ROW(),1),1))),$AI31&lt;=MIN($D:$D),$AI31=FALSE),FALSE,LN(INDEX($Y$3:$Y$70,INDEX($AD$3:$AD$70,71-ROW(),1),1)))</f>
        <v>0</v>
      </c>
      <c r="BV31" s="5" t="b">
        <f t="shared" si="39"/>
        <v>0</v>
      </c>
      <c r="BW31" s="5" t="b">
        <f t="shared" si="38"/>
        <v>0</v>
      </c>
      <c r="BX31" s="5" t="b">
        <f t="shared" si="37"/>
        <v>0</v>
      </c>
      <c r="BY31" s="5" t="b">
        <f t="shared" si="36"/>
        <v>0</v>
      </c>
      <c r="BZ31" s="5" t="b">
        <f t="shared" si="35"/>
        <v>0</v>
      </c>
      <c r="CA31" s="5" t="b">
        <f t="shared" si="34"/>
        <v>0</v>
      </c>
      <c r="CB31" s="5" t="b">
        <f t="shared" si="33"/>
        <v>0</v>
      </c>
      <c r="CC31" s="5" t="b">
        <f t="shared" si="32"/>
        <v>0</v>
      </c>
      <c r="CD31" s="5" t="b">
        <f t="shared" si="30"/>
        <v>0</v>
      </c>
      <c r="CE31" s="5" t="b">
        <f t="shared" si="29"/>
        <v>0</v>
      </c>
      <c r="CF31" s="5" t="b">
        <f t="shared" si="28"/>
        <v>0</v>
      </c>
      <c r="CG31" s="5" t="b">
        <f t="shared" si="27"/>
        <v>0</v>
      </c>
      <c r="CH31" s="5" t="b">
        <f t="shared" si="26"/>
        <v>0</v>
      </c>
      <c r="CI31" s="5" t="b">
        <f t="shared" si="25"/>
        <v>0</v>
      </c>
      <c r="CJ31" s="5" t="b">
        <f t="shared" si="24"/>
        <v>0</v>
      </c>
      <c r="CK31" s="5" t="b">
        <f t="shared" si="23"/>
        <v>0</v>
      </c>
      <c r="CL31" s="5" t="b">
        <f t="shared" si="22"/>
        <v>0</v>
      </c>
      <c r="CM31" s="5" t="b">
        <f t="shared" si="21"/>
        <v>0</v>
      </c>
      <c r="CN31" s="5" t="b">
        <f t="shared" si="20"/>
        <v>0</v>
      </c>
      <c r="CO31" s="5" t="b">
        <f t="shared" si="19"/>
        <v>0</v>
      </c>
      <c r="CP31" s="5" t="b">
        <f t="shared" si="18"/>
        <v>0</v>
      </c>
      <c r="CQ31" s="5" t="b">
        <f t="shared" si="17"/>
        <v>0</v>
      </c>
      <c r="CR31" s="5" t="b">
        <f t="shared" si="16"/>
        <v>0</v>
      </c>
      <c r="CS31" s="5" t="b">
        <f t="shared" si="15"/>
        <v>0</v>
      </c>
      <c r="CT31" s="5" t="b">
        <f t="shared" si="14"/>
        <v>0</v>
      </c>
      <c r="CU31" s="5" t="b">
        <f t="shared" si="13"/>
        <v>0</v>
      </c>
      <c r="CV31" s="5" t="b">
        <f t="shared" si="9"/>
        <v>0</v>
      </c>
      <c r="CW31" s="6" t="b">
        <f t="shared" si="6"/>
        <v>0</v>
      </c>
      <c r="CY31" s="77" t="str">
        <f>IF(ROUND(A31,0)&gt;=ROUND($H$4,0),SUM($C$3:$C31),"")</f>
        <v/>
      </c>
    </row>
    <row r="32" spans="1:103" ht="13" x14ac:dyDescent="0.3">
      <c r="A32" s="28" t="b">
        <f t="shared" si="31"/>
        <v>0</v>
      </c>
      <c r="B32" s="10" t="b">
        <f t="shared" si="2"/>
        <v>0</v>
      </c>
      <c r="C32" s="30" t="b">
        <f>IF(A32&lt;=MAX($AI$41:$AI$70),IF(ROW()&lt;=COUNTA(Data!$2:$2)+2,(B32+B31)*(A32-A31)/2,FALSE),FALSE)</f>
        <v>0</v>
      </c>
      <c r="D32" s="10" t="b">
        <f t="shared" si="7"/>
        <v>0</v>
      </c>
      <c r="E32" s="29" t="b">
        <f>IF(A32&lt;=MAX($AI$41:$AI$70),IF(ROW()&lt;=COUNTA(Data!$2:$2)+2,(B32*A32+B31*A31)*(A32-A31)/2,FALSE),FALSE)</f>
        <v>0</v>
      </c>
      <c r="G32" s="56" t="s">
        <v>60</v>
      </c>
      <c r="H32" s="81" t="str">
        <f>IF(H26=$H$15,$H$15,MAX($A$3:$A$70))</f>
        <v>NA</v>
      </c>
      <c r="L32" s="10" t="s">
        <v>43</v>
      </c>
      <c r="W32" s="10">
        <v>30</v>
      </c>
      <c r="X3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2" s="10" t="b">
        <f>IF(ROW()&lt;=COUNTA(Data!$2:$2),INDEX(Data!$C:$AZ,Analysis!$C$1+1,ROW()-2),FALSE)</f>
        <v>0</v>
      </c>
      <c r="Z32" s="30">
        <f t="shared" si="10"/>
        <v>1</v>
      </c>
      <c r="AA32" s="29" t="b">
        <f t="shared" si="11"/>
        <v>0</v>
      </c>
      <c r="AC32" s="10" t="b">
        <f t="shared" si="0"/>
        <v>0</v>
      </c>
      <c r="AE32" s="10" t="b">
        <f t="shared" si="3"/>
        <v>0</v>
      </c>
      <c r="AF32" s="10">
        <f t="shared" si="12"/>
        <v>0.33300000000000002</v>
      </c>
      <c r="AG32" s="12" t="str">
        <f t="shared" si="8"/>
        <v/>
      </c>
      <c r="AH32" s="10">
        <f t="shared" si="4"/>
        <v>0</v>
      </c>
      <c r="AI32" s="4" t="b">
        <f t="shared" si="5"/>
        <v>0</v>
      </c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 t="b">
        <f t="shared" ref="BT32:BT70" si="41">IF(OR(ISERR(LN(INDEX($Y$3:$Y$70,INDEX($AD$3:$AD$70,71-ROW(),1),1))),$AI32&lt;=MIN($D:$D),$AI32=FALSE),FALSE,LN(INDEX($Y$3:$Y$70,INDEX($AD$3:$AD$70,71-ROW(),1),1)))</f>
        <v>0</v>
      </c>
      <c r="BU32" s="5" t="b">
        <f t="shared" si="40"/>
        <v>0</v>
      </c>
      <c r="BV32" s="5" t="b">
        <f t="shared" si="39"/>
        <v>0</v>
      </c>
      <c r="BW32" s="5" t="b">
        <f t="shared" si="38"/>
        <v>0</v>
      </c>
      <c r="BX32" s="5" t="b">
        <f t="shared" si="37"/>
        <v>0</v>
      </c>
      <c r="BY32" s="5" t="b">
        <f t="shared" si="36"/>
        <v>0</v>
      </c>
      <c r="BZ32" s="5" t="b">
        <f t="shared" si="35"/>
        <v>0</v>
      </c>
      <c r="CA32" s="5" t="b">
        <f t="shared" si="34"/>
        <v>0</v>
      </c>
      <c r="CB32" s="5" t="b">
        <f t="shared" si="33"/>
        <v>0</v>
      </c>
      <c r="CC32" s="5" t="b">
        <f t="shared" si="32"/>
        <v>0</v>
      </c>
      <c r="CD32" s="5" t="b">
        <f t="shared" si="30"/>
        <v>0</v>
      </c>
      <c r="CE32" s="5" t="b">
        <f t="shared" si="29"/>
        <v>0</v>
      </c>
      <c r="CF32" s="5" t="b">
        <f t="shared" si="28"/>
        <v>0</v>
      </c>
      <c r="CG32" s="5" t="b">
        <f t="shared" si="27"/>
        <v>0</v>
      </c>
      <c r="CH32" s="5" t="b">
        <f t="shared" si="26"/>
        <v>0</v>
      </c>
      <c r="CI32" s="5" t="b">
        <f t="shared" si="25"/>
        <v>0</v>
      </c>
      <c r="CJ32" s="5" t="b">
        <f t="shared" si="24"/>
        <v>0</v>
      </c>
      <c r="CK32" s="5" t="b">
        <f t="shared" si="23"/>
        <v>0</v>
      </c>
      <c r="CL32" s="5" t="b">
        <f t="shared" si="22"/>
        <v>0</v>
      </c>
      <c r="CM32" s="5" t="b">
        <f t="shared" si="21"/>
        <v>0</v>
      </c>
      <c r="CN32" s="5" t="b">
        <f t="shared" si="20"/>
        <v>0</v>
      </c>
      <c r="CO32" s="5" t="b">
        <f t="shared" si="19"/>
        <v>0</v>
      </c>
      <c r="CP32" s="5" t="b">
        <f t="shared" si="18"/>
        <v>0</v>
      </c>
      <c r="CQ32" s="5" t="b">
        <f t="shared" si="17"/>
        <v>0</v>
      </c>
      <c r="CR32" s="5" t="b">
        <f t="shared" si="16"/>
        <v>0</v>
      </c>
      <c r="CS32" s="5" t="b">
        <f t="shared" si="15"/>
        <v>0</v>
      </c>
      <c r="CT32" s="5" t="b">
        <f t="shared" si="14"/>
        <v>0</v>
      </c>
      <c r="CU32" s="5" t="b">
        <f t="shared" si="13"/>
        <v>0</v>
      </c>
      <c r="CV32" s="5" t="b">
        <f t="shared" si="9"/>
        <v>0</v>
      </c>
      <c r="CW32" s="6" t="b">
        <f t="shared" si="6"/>
        <v>0</v>
      </c>
      <c r="CY32" s="77" t="str">
        <f>IF(ROUND(A32,0)&gt;=ROUND($H$4,0),SUM($C$3:$C32),"")</f>
        <v/>
      </c>
    </row>
    <row r="33" spans="1:103" ht="13" x14ac:dyDescent="0.3">
      <c r="A33" s="28" t="b">
        <f t="shared" si="31"/>
        <v>0</v>
      </c>
      <c r="B33" s="10" t="b">
        <f t="shared" si="2"/>
        <v>0</v>
      </c>
      <c r="C33" s="30" t="b">
        <f>IF(A33&lt;=MAX($AI$41:$AI$70),IF(ROW()&lt;=COUNTA(Data!$2:$2)+2,(B33+B32)*(A33-A32)/2,FALSE),FALSE)</f>
        <v>0</v>
      </c>
      <c r="D33" s="10" t="b">
        <f t="shared" si="7"/>
        <v>0</v>
      </c>
      <c r="E33" s="29" t="b">
        <f>IF(A33&lt;=MAX($AI$41:$AI$70),IF(ROW()&lt;=COUNTA(Data!$2:$2)+2,(B33*A33+B32*A32)*(A33-A32)/2,FALSE),FALSE)</f>
        <v>0</v>
      </c>
      <c r="G33" s="56" t="s">
        <v>58</v>
      </c>
      <c r="H33" s="54" t="e">
        <f>IF($B$3=0,$H$15,100*$B$3/$H$24)</f>
        <v>#VALUE!</v>
      </c>
      <c r="W33" s="10">
        <v>31</v>
      </c>
      <c r="X3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3" s="10" t="b">
        <f>IF(ROW()&lt;=COUNTA(Data!$2:$2),INDEX(Data!$C:$AZ,Analysis!$C$1+1,ROW()-2),FALSE)</f>
        <v>0</v>
      </c>
      <c r="Z33" s="30">
        <f t="shared" si="10"/>
        <v>1</v>
      </c>
      <c r="AA33" s="29" t="b">
        <f t="shared" si="11"/>
        <v>0</v>
      </c>
      <c r="AC33" s="10" t="b">
        <f t="shared" si="0"/>
        <v>0</v>
      </c>
      <c r="AE33" s="10" t="b">
        <f t="shared" si="3"/>
        <v>0</v>
      </c>
      <c r="AF33" s="10">
        <f t="shared" si="12"/>
        <v>0.33300000000000002</v>
      </c>
      <c r="AG33" s="12" t="str">
        <f t="shared" si="8"/>
        <v/>
      </c>
      <c r="AH33" s="10">
        <f t="shared" si="4"/>
        <v>0</v>
      </c>
      <c r="AI33" s="4" t="b">
        <f t="shared" si="5"/>
        <v>0</v>
      </c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 t="b">
        <f t="shared" ref="BS33:BS70" si="42">IF(OR(ISERR(LN(INDEX($Y$3:$Y$70,INDEX($AD$3:$AD$70,71-ROW(),1),1))),$AI33&lt;=MIN($D:$D),$AI33=FALSE),FALSE,LN(INDEX($Y$3:$Y$70,INDEX($AD$3:$AD$70,71-ROW(),1),1)))</f>
        <v>0</v>
      </c>
      <c r="BT33" s="5" t="b">
        <f t="shared" si="41"/>
        <v>0</v>
      </c>
      <c r="BU33" s="5" t="b">
        <f t="shared" si="40"/>
        <v>0</v>
      </c>
      <c r="BV33" s="5" t="b">
        <f t="shared" si="39"/>
        <v>0</v>
      </c>
      <c r="BW33" s="5" t="b">
        <f t="shared" si="38"/>
        <v>0</v>
      </c>
      <c r="BX33" s="5" t="b">
        <f t="shared" si="37"/>
        <v>0</v>
      </c>
      <c r="BY33" s="5" t="b">
        <f t="shared" si="36"/>
        <v>0</v>
      </c>
      <c r="BZ33" s="5" t="b">
        <f t="shared" si="35"/>
        <v>0</v>
      </c>
      <c r="CA33" s="5" t="b">
        <f t="shared" si="34"/>
        <v>0</v>
      </c>
      <c r="CB33" s="5" t="b">
        <f t="shared" si="33"/>
        <v>0</v>
      </c>
      <c r="CC33" s="5" t="b">
        <f t="shared" si="32"/>
        <v>0</v>
      </c>
      <c r="CD33" s="5" t="b">
        <f t="shared" si="30"/>
        <v>0</v>
      </c>
      <c r="CE33" s="5" t="b">
        <f t="shared" si="29"/>
        <v>0</v>
      </c>
      <c r="CF33" s="5" t="b">
        <f t="shared" si="28"/>
        <v>0</v>
      </c>
      <c r="CG33" s="5" t="b">
        <f t="shared" si="27"/>
        <v>0</v>
      </c>
      <c r="CH33" s="5" t="b">
        <f t="shared" si="26"/>
        <v>0</v>
      </c>
      <c r="CI33" s="5" t="b">
        <f t="shared" si="25"/>
        <v>0</v>
      </c>
      <c r="CJ33" s="5" t="b">
        <f t="shared" si="24"/>
        <v>0</v>
      </c>
      <c r="CK33" s="5" t="b">
        <f t="shared" si="23"/>
        <v>0</v>
      </c>
      <c r="CL33" s="5" t="b">
        <f t="shared" si="22"/>
        <v>0</v>
      </c>
      <c r="CM33" s="5" t="b">
        <f t="shared" si="21"/>
        <v>0</v>
      </c>
      <c r="CN33" s="5" t="b">
        <f t="shared" si="20"/>
        <v>0</v>
      </c>
      <c r="CO33" s="5" t="b">
        <f t="shared" si="19"/>
        <v>0</v>
      </c>
      <c r="CP33" s="5" t="b">
        <f t="shared" si="18"/>
        <v>0</v>
      </c>
      <c r="CQ33" s="5" t="b">
        <f t="shared" si="17"/>
        <v>0</v>
      </c>
      <c r="CR33" s="5" t="b">
        <f t="shared" si="16"/>
        <v>0</v>
      </c>
      <c r="CS33" s="5" t="b">
        <f t="shared" si="15"/>
        <v>0</v>
      </c>
      <c r="CT33" s="5" t="b">
        <f t="shared" si="14"/>
        <v>0</v>
      </c>
      <c r="CU33" s="5" t="b">
        <f t="shared" si="13"/>
        <v>0</v>
      </c>
      <c r="CV33" s="5" t="b">
        <f t="shared" si="9"/>
        <v>0</v>
      </c>
      <c r="CW33" s="6" t="b">
        <f t="shared" si="6"/>
        <v>0</v>
      </c>
      <c r="CY33" s="77" t="str">
        <f>IF(ROUND(A33,0)&gt;=ROUND($H$4,0),SUM($C$3:$C33),"")</f>
        <v/>
      </c>
    </row>
    <row r="34" spans="1:103" ht="13" x14ac:dyDescent="0.3">
      <c r="A34" s="28" t="b">
        <f t="shared" si="31"/>
        <v>0</v>
      </c>
      <c r="B34" s="10" t="b">
        <f t="shared" si="2"/>
        <v>0</v>
      </c>
      <c r="C34" s="30" t="b">
        <f>IF(A34&lt;=MAX($AI$41:$AI$70),IF(ROW()&lt;=COUNTA(Data!$2:$2)+2,(B34+B33)*(A34-A33)/2,FALSE),FALSE)</f>
        <v>0</v>
      </c>
      <c r="D34" s="10" t="b">
        <f t="shared" si="7"/>
        <v>0</v>
      </c>
      <c r="E34" s="29" t="b">
        <f>IF(A34&lt;=MAX($AI$41:$AI$70),IF(ROW()&lt;=COUNTA(Data!$2:$2)+2,(B34*A34+B33*A33)*(A34-A33)/2,FALSE),FALSE)</f>
        <v>0</v>
      </c>
      <c r="G34" s="72" t="s">
        <v>69</v>
      </c>
      <c r="H34" s="79" t="e">
        <f>IF(OR(ISERROR(MIN($CY$3:$CY$70)/$H$23),MIN($CY$3:$CY$70)=0),$H$15,MIN($CY$3:$CY$70)/$H$23)</f>
        <v>#VALUE!</v>
      </c>
      <c r="W34" s="10">
        <v>32</v>
      </c>
      <c r="X3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4" s="10" t="b">
        <f>IF(ROW()&lt;=COUNTA(Data!$2:$2),INDEX(Data!$C:$AZ,Analysis!$C$1+1,ROW()-2),FALSE)</f>
        <v>0</v>
      </c>
      <c r="Z34" s="30">
        <f t="shared" si="10"/>
        <v>1</v>
      </c>
      <c r="AA34" s="29" t="b">
        <f t="shared" si="11"/>
        <v>0</v>
      </c>
      <c r="AC34" s="10" t="b">
        <f t="shared" si="0"/>
        <v>0</v>
      </c>
      <c r="AE34" s="10" t="b">
        <f t="shared" si="3"/>
        <v>0</v>
      </c>
      <c r="AF34" s="10">
        <f t="shared" si="12"/>
        <v>0.33300000000000002</v>
      </c>
      <c r="AG34" s="12" t="str">
        <f t="shared" si="8"/>
        <v/>
      </c>
      <c r="AH34" s="10">
        <f t="shared" si="4"/>
        <v>0</v>
      </c>
      <c r="AI34" s="4" t="b">
        <f t="shared" si="5"/>
        <v>0</v>
      </c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 t="b">
        <f t="shared" ref="BR34:BR70" si="43">IF(OR(ISERR(LN(INDEX($Y$3:$Y$70,INDEX($AD$3:$AD$70,71-ROW(),1),1))),$AI34&lt;=MIN($D:$D),$AI34=FALSE),FALSE,LN(INDEX($Y$3:$Y$70,INDEX($AD$3:$AD$70,71-ROW(),1),1)))</f>
        <v>0</v>
      </c>
      <c r="BS34" s="5" t="b">
        <f t="shared" si="42"/>
        <v>0</v>
      </c>
      <c r="BT34" s="5" t="b">
        <f t="shared" si="41"/>
        <v>0</v>
      </c>
      <c r="BU34" s="5" t="b">
        <f t="shared" si="40"/>
        <v>0</v>
      </c>
      <c r="BV34" s="5" t="b">
        <f t="shared" si="39"/>
        <v>0</v>
      </c>
      <c r="BW34" s="5" t="b">
        <f t="shared" si="38"/>
        <v>0</v>
      </c>
      <c r="BX34" s="5" t="b">
        <f t="shared" si="37"/>
        <v>0</v>
      </c>
      <c r="BY34" s="5" t="b">
        <f t="shared" si="36"/>
        <v>0</v>
      </c>
      <c r="BZ34" s="5" t="b">
        <f t="shared" si="35"/>
        <v>0</v>
      </c>
      <c r="CA34" s="5" t="b">
        <f t="shared" si="34"/>
        <v>0</v>
      </c>
      <c r="CB34" s="5" t="b">
        <f t="shared" si="33"/>
        <v>0</v>
      </c>
      <c r="CC34" s="5" t="b">
        <f t="shared" si="32"/>
        <v>0</v>
      </c>
      <c r="CD34" s="5" t="b">
        <f t="shared" si="30"/>
        <v>0</v>
      </c>
      <c r="CE34" s="5" t="b">
        <f t="shared" si="29"/>
        <v>0</v>
      </c>
      <c r="CF34" s="5" t="b">
        <f t="shared" si="28"/>
        <v>0</v>
      </c>
      <c r="CG34" s="5" t="b">
        <f t="shared" si="27"/>
        <v>0</v>
      </c>
      <c r="CH34" s="5" t="b">
        <f t="shared" si="26"/>
        <v>0</v>
      </c>
      <c r="CI34" s="5" t="b">
        <f t="shared" si="25"/>
        <v>0</v>
      </c>
      <c r="CJ34" s="5" t="b">
        <f t="shared" si="24"/>
        <v>0</v>
      </c>
      <c r="CK34" s="5" t="b">
        <f t="shared" si="23"/>
        <v>0</v>
      </c>
      <c r="CL34" s="5" t="b">
        <f t="shared" si="22"/>
        <v>0</v>
      </c>
      <c r="CM34" s="5" t="b">
        <f t="shared" si="21"/>
        <v>0</v>
      </c>
      <c r="CN34" s="5" t="b">
        <f t="shared" si="20"/>
        <v>0</v>
      </c>
      <c r="CO34" s="5" t="b">
        <f t="shared" si="19"/>
        <v>0</v>
      </c>
      <c r="CP34" s="5" t="b">
        <f t="shared" si="18"/>
        <v>0</v>
      </c>
      <c r="CQ34" s="5" t="b">
        <f t="shared" si="17"/>
        <v>0</v>
      </c>
      <c r="CR34" s="5" t="b">
        <f t="shared" si="16"/>
        <v>0</v>
      </c>
      <c r="CS34" s="5" t="b">
        <f t="shared" si="15"/>
        <v>0</v>
      </c>
      <c r="CT34" s="5" t="b">
        <f t="shared" si="14"/>
        <v>0</v>
      </c>
      <c r="CU34" s="5" t="b">
        <f t="shared" si="13"/>
        <v>0</v>
      </c>
      <c r="CV34" s="5" t="b">
        <f t="shared" si="9"/>
        <v>0</v>
      </c>
      <c r="CW34" s="6" t="b">
        <f t="shared" si="6"/>
        <v>0</v>
      </c>
      <c r="CY34" s="77" t="str">
        <f>IF(ROUND(A34,0)&gt;=ROUND($H$4,0),SUM($C$3:$C34),"")</f>
        <v/>
      </c>
    </row>
    <row r="35" spans="1:103" ht="13" x14ac:dyDescent="0.3">
      <c r="A35" s="28" t="b">
        <f t="shared" si="31"/>
        <v>0</v>
      </c>
      <c r="B35" s="10" t="b">
        <f t="shared" ref="B35:B70" si="44">IF(IF(AC35=FALSE,FALSE,INDEX($Y$3:$Y$70,AC35,1))&lt;0,0,IF(AC35=FALSE,FALSE,INDEX($Y$3:$Y$70,AC35,1)))</f>
        <v>0</v>
      </c>
      <c r="C35" s="30" t="b">
        <f>IF(A35&lt;=MAX($AI$41:$AI$70),IF(ROW()&lt;=COUNTA(Data!$2:$2)+2,(B35+B34)*(A35-A34)/2,FALSE),FALSE)</f>
        <v>0</v>
      </c>
      <c r="D35" s="10" t="b">
        <f t="shared" si="7"/>
        <v>0</v>
      </c>
      <c r="E35" s="29" t="b">
        <f>IF(A35&lt;=MAX($AI$41:$AI$70),IF(ROW()&lt;=COUNTA(Data!$2:$2)+2,(B35*A35+B34*A34)*(A35-A34)/2,FALSE),FALSE)</f>
        <v>0</v>
      </c>
      <c r="G35" s="72" t="s">
        <v>72</v>
      </c>
      <c r="H35" s="79">
        <f>IF(ISERROR(MIN($AF$3:$AF$70)),$H$15,MIN($AF$3:$AF$70))</f>
        <v>0</v>
      </c>
      <c r="W35" s="10">
        <v>33</v>
      </c>
      <c r="X3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5" s="10" t="b">
        <f>IF(ROW()&lt;=COUNTA(Data!$2:$2),INDEX(Data!$C:$AZ,Analysis!$C$1+1,ROW()-2),FALSE)</f>
        <v>0</v>
      </c>
      <c r="Z35" s="30">
        <f t="shared" si="10"/>
        <v>1</v>
      </c>
      <c r="AA35" s="29" t="b">
        <f t="shared" si="11"/>
        <v>0</v>
      </c>
      <c r="AC35" s="10" t="b">
        <f t="shared" si="0"/>
        <v>0</v>
      </c>
      <c r="AE35" s="10" t="b">
        <f t="shared" si="3"/>
        <v>0</v>
      </c>
      <c r="AF35" s="10">
        <f t="shared" si="12"/>
        <v>0.33300000000000002</v>
      </c>
      <c r="AG35" s="12" t="str">
        <f t="shared" si="8"/>
        <v/>
      </c>
      <c r="AH35" s="10">
        <f t="shared" ref="AH35:AH70" si="45">INDEX($AD$3:$AD$70,71-ROW(),1)</f>
        <v>0</v>
      </c>
      <c r="AI35" s="4" t="b">
        <f t="shared" si="5"/>
        <v>0</v>
      </c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 t="b">
        <f t="shared" ref="BQ35:BQ70" si="46">IF(OR(ISERR(LN(INDEX($Y$3:$Y$70,INDEX($AD$3:$AD$70,71-ROW(),1),1))),$AI35&lt;=MIN($D:$D),$AI35=FALSE),FALSE,LN(INDEX($Y$3:$Y$70,INDEX($AD$3:$AD$70,71-ROW(),1),1)))</f>
        <v>0</v>
      </c>
      <c r="BR35" s="5" t="b">
        <f t="shared" si="43"/>
        <v>0</v>
      </c>
      <c r="BS35" s="5" t="b">
        <f t="shared" si="42"/>
        <v>0</v>
      </c>
      <c r="BT35" s="5" t="b">
        <f t="shared" si="41"/>
        <v>0</v>
      </c>
      <c r="BU35" s="5" t="b">
        <f t="shared" si="40"/>
        <v>0</v>
      </c>
      <c r="BV35" s="5" t="b">
        <f t="shared" si="39"/>
        <v>0</v>
      </c>
      <c r="BW35" s="5" t="b">
        <f t="shared" si="38"/>
        <v>0</v>
      </c>
      <c r="BX35" s="5" t="b">
        <f t="shared" si="37"/>
        <v>0</v>
      </c>
      <c r="BY35" s="5" t="b">
        <f t="shared" si="36"/>
        <v>0</v>
      </c>
      <c r="BZ35" s="5" t="b">
        <f t="shared" si="35"/>
        <v>0</v>
      </c>
      <c r="CA35" s="5" t="b">
        <f t="shared" si="34"/>
        <v>0</v>
      </c>
      <c r="CB35" s="5" t="b">
        <f t="shared" si="33"/>
        <v>0</v>
      </c>
      <c r="CC35" s="5" t="b">
        <f t="shared" si="32"/>
        <v>0</v>
      </c>
      <c r="CD35" s="5" t="b">
        <f t="shared" si="30"/>
        <v>0</v>
      </c>
      <c r="CE35" s="5" t="b">
        <f t="shared" si="29"/>
        <v>0</v>
      </c>
      <c r="CF35" s="5" t="b">
        <f t="shared" si="28"/>
        <v>0</v>
      </c>
      <c r="CG35" s="5" t="b">
        <f t="shared" si="27"/>
        <v>0</v>
      </c>
      <c r="CH35" s="5" t="b">
        <f t="shared" si="26"/>
        <v>0</v>
      </c>
      <c r="CI35" s="5" t="b">
        <f t="shared" si="25"/>
        <v>0</v>
      </c>
      <c r="CJ35" s="5" t="b">
        <f t="shared" si="24"/>
        <v>0</v>
      </c>
      <c r="CK35" s="5" t="b">
        <f t="shared" si="23"/>
        <v>0</v>
      </c>
      <c r="CL35" s="5" t="b">
        <f t="shared" si="22"/>
        <v>0</v>
      </c>
      <c r="CM35" s="5" t="b">
        <f t="shared" si="21"/>
        <v>0</v>
      </c>
      <c r="CN35" s="5" t="b">
        <f t="shared" si="20"/>
        <v>0</v>
      </c>
      <c r="CO35" s="5" t="b">
        <f t="shared" si="19"/>
        <v>0</v>
      </c>
      <c r="CP35" s="5" t="b">
        <f t="shared" si="18"/>
        <v>0</v>
      </c>
      <c r="CQ35" s="5" t="b">
        <f t="shared" si="17"/>
        <v>0</v>
      </c>
      <c r="CR35" s="5" t="b">
        <f t="shared" si="16"/>
        <v>0</v>
      </c>
      <c r="CS35" s="5" t="b">
        <f t="shared" si="15"/>
        <v>0</v>
      </c>
      <c r="CT35" s="5" t="b">
        <f t="shared" si="14"/>
        <v>0</v>
      </c>
      <c r="CU35" s="5" t="b">
        <f t="shared" si="13"/>
        <v>0</v>
      </c>
      <c r="CV35" s="5" t="b">
        <f t="shared" si="9"/>
        <v>0</v>
      </c>
      <c r="CW35" s="6" t="b">
        <f t="shared" ref="CW35:CW70" si="47">IF(OR(ISERR(LN(INDEX($Y$3:$Y$70,INDEX($AD$3:$AD$70,71-ROW(),1),1))),$AI35&lt;=MIN($D:$D),$AI35=FALSE),FALSE,LN(INDEX($Y$3:$Y$70,INDEX($AD$3:$AD$70,71-ROW(),1),1)))</f>
        <v>0</v>
      </c>
      <c r="CY35" s="77" t="str">
        <f>IF(ROUND(A35,0)&gt;=ROUND($H$4,0),SUM($C$3:$C35),"")</f>
        <v/>
      </c>
    </row>
    <row r="36" spans="1:103" ht="13" x14ac:dyDescent="0.3">
      <c r="A36" s="28" t="b">
        <f t="shared" si="31"/>
        <v>0</v>
      </c>
      <c r="B36" s="10" t="b">
        <f t="shared" si="44"/>
        <v>0</v>
      </c>
      <c r="C36" s="30" t="b">
        <f>IF(A36&lt;=MAX($AI$41:$AI$70),IF(ROW()&lt;=COUNTA(Data!$2:$2)+2,(B36+B35)*(A36-A35)/2,FALSE),FALSE)</f>
        <v>0</v>
      </c>
      <c r="D36" s="10" t="b">
        <f t="shared" si="7"/>
        <v>0</v>
      </c>
      <c r="E36" s="29" t="b">
        <f>IF(A36&lt;=MAX($AI$41:$AI$70),IF(ROW()&lt;=COUNTA(Data!$2:$2)+2,(B36*A36+B35*A35)*(A36-A35)/2,FALSE),FALSE)</f>
        <v>0</v>
      </c>
      <c r="G36" s="53" t="s">
        <v>23</v>
      </c>
      <c r="H36" s="54" t="str">
        <f>IF(H26=$H$15,$H$15,(SUM($E$3:$E$70)+($H$30*$AI$70/$AJ$81)+$H$30/($AJ$81^2))/(SUM($C$4:$C$70)+H30/$AJ$81))</f>
        <v>NA</v>
      </c>
      <c r="W36" s="10">
        <v>34</v>
      </c>
      <c r="X3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6" s="10" t="b">
        <f>IF(ROW()&lt;=COUNTA(Data!$2:$2),INDEX(Data!$C:$AZ,Analysis!$C$1+1,ROW()-2),FALSE)</f>
        <v>0</v>
      </c>
      <c r="Z36" s="30">
        <f t="shared" si="10"/>
        <v>1</v>
      </c>
      <c r="AA36" s="29" t="b">
        <f t="shared" si="11"/>
        <v>0</v>
      </c>
      <c r="AC36" s="10" t="b">
        <f t="shared" si="0"/>
        <v>0</v>
      </c>
      <c r="AE36" s="10" t="b">
        <f t="shared" si="3"/>
        <v>0</v>
      </c>
      <c r="AF36" s="10">
        <f t="shared" si="12"/>
        <v>0.33300000000000002</v>
      </c>
      <c r="AG36" s="12" t="str">
        <f t="shared" si="8"/>
        <v/>
      </c>
      <c r="AH36" s="10">
        <f t="shared" si="45"/>
        <v>0</v>
      </c>
      <c r="AI36" s="4" t="b">
        <f t="shared" si="5"/>
        <v>0</v>
      </c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 t="b">
        <f t="shared" ref="BP36:BP70" si="48">IF(OR(ISERR(LN(INDEX($Y$3:$Y$70,INDEX($AD$3:$AD$70,71-ROW(),1),1))),$AI36&lt;=MIN($D:$D),$AI36=FALSE),FALSE,LN(INDEX($Y$3:$Y$70,INDEX($AD$3:$AD$70,71-ROW(),1),1)))</f>
        <v>0</v>
      </c>
      <c r="BQ36" s="5" t="b">
        <f t="shared" si="46"/>
        <v>0</v>
      </c>
      <c r="BR36" s="5" t="b">
        <f t="shared" si="43"/>
        <v>0</v>
      </c>
      <c r="BS36" s="5" t="b">
        <f t="shared" si="42"/>
        <v>0</v>
      </c>
      <c r="BT36" s="5" t="b">
        <f t="shared" si="41"/>
        <v>0</v>
      </c>
      <c r="BU36" s="5" t="b">
        <f t="shared" si="40"/>
        <v>0</v>
      </c>
      <c r="BV36" s="5" t="b">
        <f t="shared" si="39"/>
        <v>0</v>
      </c>
      <c r="BW36" s="5" t="b">
        <f t="shared" si="38"/>
        <v>0</v>
      </c>
      <c r="BX36" s="5" t="b">
        <f t="shared" si="37"/>
        <v>0</v>
      </c>
      <c r="BY36" s="5" t="b">
        <f t="shared" si="36"/>
        <v>0</v>
      </c>
      <c r="BZ36" s="5" t="b">
        <f t="shared" si="35"/>
        <v>0</v>
      </c>
      <c r="CA36" s="5" t="b">
        <f t="shared" si="34"/>
        <v>0</v>
      </c>
      <c r="CB36" s="5" t="b">
        <f t="shared" si="33"/>
        <v>0</v>
      </c>
      <c r="CC36" s="5" t="b">
        <f t="shared" si="32"/>
        <v>0</v>
      </c>
      <c r="CD36" s="5" t="b">
        <f t="shared" si="30"/>
        <v>0</v>
      </c>
      <c r="CE36" s="5" t="b">
        <f t="shared" si="29"/>
        <v>0</v>
      </c>
      <c r="CF36" s="5" t="b">
        <f t="shared" si="28"/>
        <v>0</v>
      </c>
      <c r="CG36" s="5" t="b">
        <f t="shared" si="27"/>
        <v>0</v>
      </c>
      <c r="CH36" s="5" t="b">
        <f t="shared" si="26"/>
        <v>0</v>
      </c>
      <c r="CI36" s="5" t="b">
        <f t="shared" si="25"/>
        <v>0</v>
      </c>
      <c r="CJ36" s="5" t="b">
        <f t="shared" si="24"/>
        <v>0</v>
      </c>
      <c r="CK36" s="5" t="b">
        <f t="shared" si="23"/>
        <v>0</v>
      </c>
      <c r="CL36" s="5" t="b">
        <f t="shared" si="22"/>
        <v>0</v>
      </c>
      <c r="CM36" s="5" t="b">
        <f t="shared" si="21"/>
        <v>0</v>
      </c>
      <c r="CN36" s="5" t="b">
        <f t="shared" si="20"/>
        <v>0</v>
      </c>
      <c r="CO36" s="5" t="b">
        <f t="shared" si="19"/>
        <v>0</v>
      </c>
      <c r="CP36" s="5" t="b">
        <f t="shared" si="18"/>
        <v>0</v>
      </c>
      <c r="CQ36" s="5" t="b">
        <f t="shared" si="17"/>
        <v>0</v>
      </c>
      <c r="CR36" s="5" t="b">
        <f t="shared" si="16"/>
        <v>0</v>
      </c>
      <c r="CS36" s="5" t="b">
        <f t="shared" si="15"/>
        <v>0</v>
      </c>
      <c r="CT36" s="5" t="b">
        <f t="shared" si="14"/>
        <v>0</v>
      </c>
      <c r="CU36" s="5" t="b">
        <f t="shared" si="13"/>
        <v>0</v>
      </c>
      <c r="CV36" s="5" t="b">
        <f t="shared" ref="CV36:CV70" si="49">IF(OR(ISERR(LN(INDEX($Y$3:$Y$70,INDEX($AD$3:$AD$70,71-ROW(),1),1))),$AI36&lt;=MIN($D:$D),$AI36=FALSE),FALSE,LN(INDEX($Y$3:$Y$70,INDEX($AD$3:$AD$70,71-ROW(),1),1)))</f>
        <v>0</v>
      </c>
      <c r="CW36" s="6" t="b">
        <f t="shared" si="47"/>
        <v>0</v>
      </c>
      <c r="CY36" s="77" t="str">
        <f>IF(ROUND(A36,0)&gt;=ROUND($H$4,0),SUM($C$3:$C36),"")</f>
        <v/>
      </c>
    </row>
    <row r="37" spans="1:103" ht="13" x14ac:dyDescent="0.3">
      <c r="A37" s="28" t="b">
        <f t="shared" si="31"/>
        <v>0</v>
      </c>
      <c r="B37" s="10" t="b">
        <f t="shared" si="44"/>
        <v>0</v>
      </c>
      <c r="C37" s="30" t="b">
        <f>IF(A37&lt;=MAX($AI$41:$AI$70),IF(ROW()&lt;=COUNTA(Data!$2:$2)+2,(B37+B36)*(A37-A36)/2,FALSE),FALSE)</f>
        <v>0</v>
      </c>
      <c r="D37" s="10" t="b">
        <f t="shared" si="7"/>
        <v>0</v>
      </c>
      <c r="E37" s="29" t="b">
        <f>IF(A37&lt;=MAX($AI$41:$AI$70),IF(ROW()&lt;=COUNTA(Data!$2:$2)+2,(B37*A37+B36*A36)*(A37-A36)/2,FALSE),FALSE)</f>
        <v>0</v>
      </c>
      <c r="G37" s="53" t="s">
        <v>42</v>
      </c>
      <c r="H37" s="54" t="str">
        <f>IF(H26=$H$15,$H$15,H2/(1000*((SUM($C$4:$C$70)+H30/$AJ$81)*$AJ$81)))</f>
        <v>NA</v>
      </c>
      <c r="W37" s="10">
        <v>35</v>
      </c>
      <c r="X3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7" s="10" t="b">
        <f>IF(ROW()&lt;=COUNTA(Data!$2:$2),INDEX(Data!$C:$AZ,Analysis!$C$1+1,ROW()-2),FALSE)</f>
        <v>0</v>
      </c>
      <c r="Z37" s="30">
        <f t="shared" si="10"/>
        <v>1</v>
      </c>
      <c r="AA37" s="29" t="b">
        <f t="shared" si="11"/>
        <v>0</v>
      </c>
      <c r="AC37" s="10" t="b">
        <f t="shared" si="0"/>
        <v>0</v>
      </c>
      <c r="AE37" s="10" t="b">
        <f t="shared" si="3"/>
        <v>0</v>
      </c>
      <c r="AF37" s="10">
        <f t="shared" si="12"/>
        <v>0.33300000000000002</v>
      </c>
      <c r="AG37" s="12" t="str">
        <f t="shared" si="8"/>
        <v/>
      </c>
      <c r="AH37" s="10">
        <f t="shared" si="45"/>
        <v>0</v>
      </c>
      <c r="AI37" s="4" t="b">
        <f t="shared" si="5"/>
        <v>0</v>
      </c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 t="b">
        <f t="shared" ref="BO37:BO70" si="50">IF(OR(ISERR(LN(INDEX($Y$3:$Y$70,INDEX($AD$3:$AD$70,71-ROW(),1),1))),$AI37&lt;=MIN($D:$D),$AI37=FALSE),FALSE,LN(INDEX($Y$3:$Y$70,INDEX($AD$3:$AD$70,71-ROW(),1),1)))</f>
        <v>0</v>
      </c>
      <c r="BP37" s="5" t="b">
        <f t="shared" si="48"/>
        <v>0</v>
      </c>
      <c r="BQ37" s="5" t="b">
        <f t="shared" si="46"/>
        <v>0</v>
      </c>
      <c r="BR37" s="5" t="b">
        <f t="shared" si="43"/>
        <v>0</v>
      </c>
      <c r="BS37" s="5" t="b">
        <f t="shared" si="42"/>
        <v>0</v>
      </c>
      <c r="BT37" s="5" t="b">
        <f t="shared" si="41"/>
        <v>0</v>
      </c>
      <c r="BU37" s="5" t="b">
        <f t="shared" si="40"/>
        <v>0</v>
      </c>
      <c r="BV37" s="5" t="b">
        <f t="shared" si="39"/>
        <v>0</v>
      </c>
      <c r="BW37" s="5" t="b">
        <f t="shared" si="38"/>
        <v>0</v>
      </c>
      <c r="BX37" s="5" t="b">
        <f t="shared" si="37"/>
        <v>0</v>
      </c>
      <c r="BY37" s="5" t="b">
        <f t="shared" si="36"/>
        <v>0</v>
      </c>
      <c r="BZ37" s="5" t="b">
        <f t="shared" si="35"/>
        <v>0</v>
      </c>
      <c r="CA37" s="5" t="b">
        <f t="shared" si="34"/>
        <v>0</v>
      </c>
      <c r="CB37" s="5" t="b">
        <f t="shared" si="33"/>
        <v>0</v>
      </c>
      <c r="CC37" s="5" t="b">
        <f t="shared" si="32"/>
        <v>0</v>
      </c>
      <c r="CD37" s="5" t="b">
        <f t="shared" si="30"/>
        <v>0</v>
      </c>
      <c r="CE37" s="5" t="b">
        <f t="shared" si="29"/>
        <v>0</v>
      </c>
      <c r="CF37" s="5" t="b">
        <f t="shared" si="28"/>
        <v>0</v>
      </c>
      <c r="CG37" s="5" t="b">
        <f t="shared" si="27"/>
        <v>0</v>
      </c>
      <c r="CH37" s="5" t="b">
        <f t="shared" si="26"/>
        <v>0</v>
      </c>
      <c r="CI37" s="5" t="b">
        <f t="shared" si="25"/>
        <v>0</v>
      </c>
      <c r="CJ37" s="5" t="b">
        <f t="shared" si="24"/>
        <v>0</v>
      </c>
      <c r="CK37" s="5" t="b">
        <f t="shared" si="23"/>
        <v>0</v>
      </c>
      <c r="CL37" s="5" t="b">
        <f t="shared" si="22"/>
        <v>0</v>
      </c>
      <c r="CM37" s="5" t="b">
        <f t="shared" si="21"/>
        <v>0</v>
      </c>
      <c r="CN37" s="5" t="b">
        <f t="shared" si="20"/>
        <v>0</v>
      </c>
      <c r="CO37" s="5" t="b">
        <f t="shared" si="19"/>
        <v>0</v>
      </c>
      <c r="CP37" s="5" t="b">
        <f t="shared" si="18"/>
        <v>0</v>
      </c>
      <c r="CQ37" s="5" t="b">
        <f t="shared" si="17"/>
        <v>0</v>
      </c>
      <c r="CR37" s="5" t="b">
        <f t="shared" si="16"/>
        <v>0</v>
      </c>
      <c r="CS37" s="5" t="b">
        <f t="shared" si="15"/>
        <v>0</v>
      </c>
      <c r="CT37" s="5" t="b">
        <f t="shared" si="14"/>
        <v>0</v>
      </c>
      <c r="CU37" s="5" t="b">
        <f t="shared" ref="CU37:CU70" si="51">IF(OR(ISERR(LN(INDEX($Y$3:$Y$70,INDEX($AD$3:$AD$70,71-ROW(),1),1))),$AI37&lt;=MIN($D:$D),$AI37=FALSE),FALSE,LN(INDEX($Y$3:$Y$70,INDEX($AD$3:$AD$70,71-ROW(),1),1)))</f>
        <v>0</v>
      </c>
      <c r="CV37" s="5" t="b">
        <f t="shared" si="49"/>
        <v>0</v>
      </c>
      <c r="CW37" s="6" t="b">
        <f t="shared" si="47"/>
        <v>0</v>
      </c>
      <c r="CY37" s="77" t="str">
        <f>IF(ROUND(A37,0)&gt;=ROUND($H$4,0),SUM($C$3:$C37),"")</f>
        <v/>
      </c>
    </row>
    <row r="38" spans="1:103" ht="13" x14ac:dyDescent="0.3">
      <c r="A38" s="28" t="b">
        <f t="shared" si="31"/>
        <v>0</v>
      </c>
      <c r="B38" s="10" t="b">
        <f t="shared" si="44"/>
        <v>0</v>
      </c>
      <c r="C38" s="30" t="b">
        <f>IF(A38&lt;=MAX($AI$41:$AI$70),IF(ROW()&lt;=COUNTA(Data!$2:$2)+2,(B38+B37)*(A38-A37)/2,FALSE),FALSE)</f>
        <v>0</v>
      </c>
      <c r="D38" s="10" t="b">
        <f t="shared" si="7"/>
        <v>0</v>
      </c>
      <c r="E38" s="29" t="b">
        <f>IF(A38&lt;=MAX($AI$41:$AI$70),IF(ROW()&lt;=COUNTA(Data!$2:$2)+2,(B38*A38+B37*A37)*(A38-A37)/2,FALSE),FALSE)</f>
        <v>0</v>
      </c>
      <c r="G38" s="53" t="s">
        <v>44</v>
      </c>
      <c r="H38" s="54" t="str">
        <f>IF(H26=$H$15,$H$15,H2/(1000*(SUM($C$4:$C$70)+H30/$AJ$81)))</f>
        <v>NA</v>
      </c>
      <c r="W38" s="10">
        <v>36</v>
      </c>
      <c r="X3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8" s="10" t="b">
        <f>IF(ROW()&lt;=COUNTA(Data!$2:$2),INDEX(Data!$C:$AZ,Analysis!$C$1+1,ROW()-2),FALSE)</f>
        <v>0</v>
      </c>
      <c r="Z38" s="30">
        <f t="shared" si="10"/>
        <v>1</v>
      </c>
      <c r="AA38" s="29" t="b">
        <f t="shared" si="11"/>
        <v>0</v>
      </c>
      <c r="AC38" s="10" t="b">
        <f t="shared" si="0"/>
        <v>0</v>
      </c>
      <c r="AE38" s="10" t="b">
        <f t="shared" si="3"/>
        <v>0</v>
      </c>
      <c r="AF38" s="10">
        <f t="shared" si="12"/>
        <v>0.33300000000000002</v>
      </c>
      <c r="AG38" s="12" t="str">
        <f t="shared" si="8"/>
        <v/>
      </c>
      <c r="AH38" s="10">
        <f t="shared" si="45"/>
        <v>0</v>
      </c>
      <c r="AI38" s="4" t="b">
        <f t="shared" si="5"/>
        <v>0</v>
      </c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 t="b">
        <f t="shared" ref="BN38:BN70" si="52">IF(OR(ISERR(LN(INDEX($Y$3:$Y$70,INDEX($AD$3:$AD$70,71-ROW(),1),1))),$AI38&lt;=MIN($D:$D),$AI38=FALSE),FALSE,LN(INDEX($Y$3:$Y$70,INDEX($AD$3:$AD$70,71-ROW(),1),1)))</f>
        <v>0</v>
      </c>
      <c r="BO38" s="5" t="b">
        <f t="shared" si="50"/>
        <v>0</v>
      </c>
      <c r="BP38" s="5" t="b">
        <f t="shared" si="48"/>
        <v>0</v>
      </c>
      <c r="BQ38" s="5" t="b">
        <f t="shared" si="46"/>
        <v>0</v>
      </c>
      <c r="BR38" s="5" t="b">
        <f t="shared" si="43"/>
        <v>0</v>
      </c>
      <c r="BS38" s="5" t="b">
        <f t="shared" si="42"/>
        <v>0</v>
      </c>
      <c r="BT38" s="5" t="b">
        <f t="shared" si="41"/>
        <v>0</v>
      </c>
      <c r="BU38" s="5" t="b">
        <f t="shared" si="40"/>
        <v>0</v>
      </c>
      <c r="BV38" s="5" t="b">
        <f t="shared" si="39"/>
        <v>0</v>
      </c>
      <c r="BW38" s="5" t="b">
        <f t="shared" si="38"/>
        <v>0</v>
      </c>
      <c r="BX38" s="5" t="b">
        <f t="shared" si="37"/>
        <v>0</v>
      </c>
      <c r="BY38" s="5" t="b">
        <f t="shared" si="36"/>
        <v>0</v>
      </c>
      <c r="BZ38" s="5" t="b">
        <f t="shared" si="35"/>
        <v>0</v>
      </c>
      <c r="CA38" s="5" t="b">
        <f t="shared" si="34"/>
        <v>0</v>
      </c>
      <c r="CB38" s="5" t="b">
        <f t="shared" si="33"/>
        <v>0</v>
      </c>
      <c r="CC38" s="5" t="b">
        <f t="shared" si="32"/>
        <v>0</v>
      </c>
      <c r="CD38" s="5" t="b">
        <f t="shared" si="30"/>
        <v>0</v>
      </c>
      <c r="CE38" s="5" t="b">
        <f t="shared" si="29"/>
        <v>0</v>
      </c>
      <c r="CF38" s="5" t="b">
        <f t="shared" si="28"/>
        <v>0</v>
      </c>
      <c r="CG38" s="5" t="b">
        <f t="shared" si="27"/>
        <v>0</v>
      </c>
      <c r="CH38" s="5" t="b">
        <f t="shared" si="26"/>
        <v>0</v>
      </c>
      <c r="CI38" s="5" t="b">
        <f t="shared" si="25"/>
        <v>0</v>
      </c>
      <c r="CJ38" s="5" t="b">
        <f t="shared" si="24"/>
        <v>0</v>
      </c>
      <c r="CK38" s="5" t="b">
        <f t="shared" si="23"/>
        <v>0</v>
      </c>
      <c r="CL38" s="5" t="b">
        <f t="shared" si="22"/>
        <v>0</v>
      </c>
      <c r="CM38" s="5" t="b">
        <f t="shared" si="21"/>
        <v>0</v>
      </c>
      <c r="CN38" s="5" t="b">
        <f t="shared" si="20"/>
        <v>0</v>
      </c>
      <c r="CO38" s="5" t="b">
        <f t="shared" si="19"/>
        <v>0</v>
      </c>
      <c r="CP38" s="5" t="b">
        <f t="shared" si="18"/>
        <v>0</v>
      </c>
      <c r="CQ38" s="5" t="b">
        <f t="shared" si="17"/>
        <v>0</v>
      </c>
      <c r="CR38" s="5" t="b">
        <f t="shared" si="16"/>
        <v>0</v>
      </c>
      <c r="CS38" s="5" t="b">
        <f t="shared" si="15"/>
        <v>0</v>
      </c>
      <c r="CT38" s="5" t="b">
        <f t="shared" ref="CT38:CT70" si="53">IF(OR(ISERR(LN(INDEX($Y$3:$Y$70,INDEX($AD$3:$AD$70,71-ROW(),1),1))),$AI38&lt;=MIN($D:$D),$AI38=FALSE),FALSE,LN(INDEX($Y$3:$Y$70,INDEX($AD$3:$AD$70,71-ROW(),1),1)))</f>
        <v>0</v>
      </c>
      <c r="CU38" s="5" t="b">
        <f t="shared" si="51"/>
        <v>0</v>
      </c>
      <c r="CV38" s="5" t="b">
        <f t="shared" si="49"/>
        <v>0</v>
      </c>
      <c r="CW38" s="6" t="b">
        <f t="shared" si="47"/>
        <v>0</v>
      </c>
      <c r="CY38" s="77" t="str">
        <f>IF(ROUND(A38,0)&gt;=ROUND($H$4,0),SUM($C$3:$C38),"")</f>
        <v/>
      </c>
    </row>
    <row r="39" spans="1:103" ht="13" x14ac:dyDescent="0.3">
      <c r="A39" s="28" t="b">
        <f t="shared" si="31"/>
        <v>0</v>
      </c>
      <c r="B39" s="10" t="b">
        <f t="shared" si="44"/>
        <v>0</v>
      </c>
      <c r="C39" s="30" t="b">
        <f>IF(A39&lt;=MAX($AI$41:$AI$70),IF(ROW()&lt;=COUNTA(Data!$2:$2)+2,(B39+B38)*(A39-A38)/2,FALSE),FALSE)</f>
        <v>0</v>
      </c>
      <c r="D39" s="10" t="b">
        <f t="shared" si="7"/>
        <v>0</v>
      </c>
      <c r="E39" s="29" t="b">
        <f>IF(A39&lt;=MAX($AI$41:$AI$70),IF(ROW()&lt;=COUNTA(Data!$2:$2)+2,(B39*A39+B38*A38)*(A39-A38)/2,FALSE),FALSE)</f>
        <v>0</v>
      </c>
      <c r="G39" s="56" t="s">
        <v>50</v>
      </c>
      <c r="H39" s="54" t="str">
        <f>IF(H25=MAX($A$3:$A$70),"Last point Cmax.",IF($AJ$80&lt;$H$3,"Adjusted coefficient of variation did not meet the minimum requirement of " &amp; $H$3 &amp; ".",$H$15))</f>
        <v>NA</v>
      </c>
      <c r="W39" s="10">
        <v>37</v>
      </c>
      <c r="X3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39" s="10" t="b">
        <f>IF(ROW()&lt;=COUNTA(Data!$2:$2),INDEX(Data!$C:$AZ,Analysis!$C$1+1,ROW()-2),FALSE)</f>
        <v>0</v>
      </c>
      <c r="Z39" s="30">
        <f t="shared" si="10"/>
        <v>1</v>
      </c>
      <c r="AA39" s="29" t="b">
        <f t="shared" si="11"/>
        <v>0</v>
      </c>
      <c r="AC39" s="10" t="b">
        <f t="shared" si="0"/>
        <v>0</v>
      </c>
      <c r="AE39" s="10" t="b">
        <f t="shared" si="3"/>
        <v>0</v>
      </c>
      <c r="AF39" s="10">
        <f t="shared" si="12"/>
        <v>0.33300000000000002</v>
      </c>
      <c r="AG39" s="12" t="str">
        <f t="shared" si="8"/>
        <v/>
      </c>
      <c r="AH39" s="10">
        <f t="shared" si="45"/>
        <v>0</v>
      </c>
      <c r="AI39" s="4" t="b">
        <f t="shared" si="5"/>
        <v>0</v>
      </c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 t="b">
        <f t="shared" ref="BM39:BM70" si="54">IF(OR(ISERR(LN(INDEX($Y$3:$Y$70,INDEX($AD$3:$AD$70,71-ROW(),1),1))),$AI39&lt;=MIN($D:$D),$AI39=FALSE),FALSE,LN(INDEX($Y$3:$Y$70,INDEX($AD$3:$AD$70,71-ROW(),1),1)))</f>
        <v>0</v>
      </c>
      <c r="BN39" s="5" t="b">
        <f t="shared" si="52"/>
        <v>0</v>
      </c>
      <c r="BO39" s="5" t="b">
        <f t="shared" si="50"/>
        <v>0</v>
      </c>
      <c r="BP39" s="5" t="b">
        <f t="shared" si="48"/>
        <v>0</v>
      </c>
      <c r="BQ39" s="5" t="b">
        <f t="shared" si="46"/>
        <v>0</v>
      </c>
      <c r="BR39" s="5" t="b">
        <f t="shared" si="43"/>
        <v>0</v>
      </c>
      <c r="BS39" s="5" t="b">
        <f t="shared" si="42"/>
        <v>0</v>
      </c>
      <c r="BT39" s="5" t="b">
        <f t="shared" si="41"/>
        <v>0</v>
      </c>
      <c r="BU39" s="5" t="b">
        <f t="shared" si="40"/>
        <v>0</v>
      </c>
      <c r="BV39" s="5" t="b">
        <f t="shared" si="39"/>
        <v>0</v>
      </c>
      <c r="BW39" s="5" t="b">
        <f t="shared" si="38"/>
        <v>0</v>
      </c>
      <c r="BX39" s="5" t="b">
        <f t="shared" si="37"/>
        <v>0</v>
      </c>
      <c r="BY39" s="5" t="b">
        <f t="shared" si="36"/>
        <v>0</v>
      </c>
      <c r="BZ39" s="5" t="b">
        <f t="shared" si="35"/>
        <v>0</v>
      </c>
      <c r="CA39" s="5" t="b">
        <f t="shared" si="34"/>
        <v>0</v>
      </c>
      <c r="CB39" s="5" t="b">
        <f t="shared" si="33"/>
        <v>0</v>
      </c>
      <c r="CC39" s="5" t="b">
        <f t="shared" si="32"/>
        <v>0</v>
      </c>
      <c r="CD39" s="5" t="b">
        <f t="shared" si="30"/>
        <v>0</v>
      </c>
      <c r="CE39" s="5" t="b">
        <f t="shared" si="29"/>
        <v>0</v>
      </c>
      <c r="CF39" s="5" t="b">
        <f t="shared" si="28"/>
        <v>0</v>
      </c>
      <c r="CG39" s="5" t="b">
        <f t="shared" si="27"/>
        <v>0</v>
      </c>
      <c r="CH39" s="5" t="b">
        <f t="shared" si="26"/>
        <v>0</v>
      </c>
      <c r="CI39" s="5" t="b">
        <f t="shared" si="25"/>
        <v>0</v>
      </c>
      <c r="CJ39" s="5" t="b">
        <f t="shared" si="24"/>
        <v>0</v>
      </c>
      <c r="CK39" s="5" t="b">
        <f t="shared" si="23"/>
        <v>0</v>
      </c>
      <c r="CL39" s="5" t="b">
        <f t="shared" si="22"/>
        <v>0</v>
      </c>
      <c r="CM39" s="5" t="b">
        <f t="shared" si="21"/>
        <v>0</v>
      </c>
      <c r="CN39" s="5" t="b">
        <f t="shared" si="20"/>
        <v>0</v>
      </c>
      <c r="CO39" s="5" t="b">
        <f t="shared" si="19"/>
        <v>0</v>
      </c>
      <c r="CP39" s="5" t="b">
        <f t="shared" si="18"/>
        <v>0</v>
      </c>
      <c r="CQ39" s="5" t="b">
        <f t="shared" si="17"/>
        <v>0</v>
      </c>
      <c r="CR39" s="5" t="b">
        <f t="shared" si="16"/>
        <v>0</v>
      </c>
      <c r="CS39" s="5" t="b">
        <f t="shared" ref="CS39:CS70" si="55">IF(OR(ISERR(LN(INDEX($Y$3:$Y$70,INDEX($AD$3:$AD$70,71-ROW(),1),1))),$AI39&lt;=MIN($D:$D),$AI39=FALSE),FALSE,LN(INDEX($Y$3:$Y$70,INDEX($AD$3:$AD$70,71-ROW(),1),1)))</f>
        <v>0</v>
      </c>
      <c r="CT39" s="5" t="b">
        <f t="shared" si="53"/>
        <v>0</v>
      </c>
      <c r="CU39" s="5" t="b">
        <f t="shared" si="51"/>
        <v>0</v>
      </c>
      <c r="CV39" s="5" t="b">
        <f t="shared" si="49"/>
        <v>0</v>
      </c>
      <c r="CW39" s="6" t="b">
        <f t="shared" si="47"/>
        <v>0</v>
      </c>
      <c r="CY39" s="77" t="str">
        <f>IF(ROUND(A39,0)&gt;=ROUND($H$4,0),SUM($C$3:$C39),"")</f>
        <v/>
      </c>
    </row>
    <row r="40" spans="1:103" ht="13" x14ac:dyDescent="0.3">
      <c r="A40" s="28" t="b">
        <f t="shared" si="31"/>
        <v>0</v>
      </c>
      <c r="B40" s="10" t="b">
        <f t="shared" si="44"/>
        <v>0</v>
      </c>
      <c r="C40" s="30" t="b">
        <f>IF(A40&lt;=MAX($AI$41:$AI$70),IF(ROW()&lt;=COUNTA(Data!$2:$2)+2,(B40+B39)*(A40-A39)/2,FALSE),FALSE)</f>
        <v>0</v>
      </c>
      <c r="D40" s="10" t="b">
        <f t="shared" si="7"/>
        <v>0</v>
      </c>
      <c r="E40" s="29" t="b">
        <f>IF(A40&lt;=MAX($AI$41:$AI$70),IF(ROW()&lt;=COUNTA(Data!$2:$2)+2,(B40*A40+B39*A39)*(A40-A39)/2,FALSE),FALSE)</f>
        <v>0</v>
      </c>
      <c r="G40" s="56" t="s">
        <v>51</v>
      </c>
      <c r="H40" s="54" t="str">
        <f>IF($AJ$81&lt;0,"Lambda must be positive (a positive slope was not found).",$H$15)</f>
        <v>NA</v>
      </c>
      <c r="W40" s="10">
        <v>38</v>
      </c>
      <c r="X4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0" s="10" t="b">
        <f>IF(ROW()&lt;=COUNTA(Data!$2:$2),INDEX(Data!$C:$AZ,Analysis!$C$1+1,ROW()-2),FALSE)</f>
        <v>0</v>
      </c>
      <c r="Z40" s="30">
        <f t="shared" si="10"/>
        <v>1</v>
      </c>
      <c r="AA40" s="29" t="b">
        <f t="shared" si="11"/>
        <v>0</v>
      </c>
      <c r="AC40" s="10" t="b">
        <f t="shared" si="0"/>
        <v>0</v>
      </c>
      <c r="AE40" s="10" t="b">
        <f t="shared" si="3"/>
        <v>0</v>
      </c>
      <c r="AF40" s="10">
        <f t="shared" si="12"/>
        <v>0.33300000000000002</v>
      </c>
      <c r="AG40" s="12" t="str">
        <f t="shared" si="8"/>
        <v/>
      </c>
      <c r="AH40" s="10">
        <f t="shared" si="45"/>
        <v>0</v>
      </c>
      <c r="AI40" s="4" t="b">
        <f t="shared" si="5"/>
        <v>0</v>
      </c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 t="b">
        <f t="shared" ref="BL40:BL70" si="56">IF(OR(ISERR(LN(INDEX($Y$3:$Y$70,INDEX($AD$3:$AD$70,71-ROW(),1),1))),$AI40&lt;=MIN($D:$D),$AI40=FALSE),FALSE,LN(INDEX($Y$3:$Y$70,INDEX($AD$3:$AD$70,71-ROW(),1),1)))</f>
        <v>0</v>
      </c>
      <c r="BM40" s="5" t="b">
        <f t="shared" si="54"/>
        <v>0</v>
      </c>
      <c r="BN40" s="5" t="b">
        <f t="shared" si="52"/>
        <v>0</v>
      </c>
      <c r="BO40" s="5" t="b">
        <f t="shared" si="50"/>
        <v>0</v>
      </c>
      <c r="BP40" s="5" t="b">
        <f t="shared" si="48"/>
        <v>0</v>
      </c>
      <c r="BQ40" s="5" t="b">
        <f t="shared" si="46"/>
        <v>0</v>
      </c>
      <c r="BR40" s="5" t="b">
        <f t="shared" si="43"/>
        <v>0</v>
      </c>
      <c r="BS40" s="5" t="b">
        <f t="shared" si="42"/>
        <v>0</v>
      </c>
      <c r="BT40" s="5" t="b">
        <f t="shared" si="41"/>
        <v>0</v>
      </c>
      <c r="BU40" s="5" t="b">
        <f t="shared" si="40"/>
        <v>0</v>
      </c>
      <c r="BV40" s="5" t="b">
        <f t="shared" si="39"/>
        <v>0</v>
      </c>
      <c r="BW40" s="5" t="b">
        <f t="shared" si="38"/>
        <v>0</v>
      </c>
      <c r="BX40" s="5" t="b">
        <f t="shared" si="37"/>
        <v>0</v>
      </c>
      <c r="BY40" s="5" t="b">
        <f t="shared" si="36"/>
        <v>0</v>
      </c>
      <c r="BZ40" s="5" t="b">
        <f t="shared" si="35"/>
        <v>0</v>
      </c>
      <c r="CA40" s="5" t="b">
        <f t="shared" si="34"/>
        <v>0</v>
      </c>
      <c r="CB40" s="5" t="b">
        <f t="shared" si="33"/>
        <v>0</v>
      </c>
      <c r="CC40" s="5" t="b">
        <f t="shared" si="32"/>
        <v>0</v>
      </c>
      <c r="CD40" s="5" t="b">
        <f t="shared" si="30"/>
        <v>0</v>
      </c>
      <c r="CE40" s="5" t="b">
        <f t="shared" si="29"/>
        <v>0</v>
      </c>
      <c r="CF40" s="5" t="b">
        <f t="shared" si="28"/>
        <v>0</v>
      </c>
      <c r="CG40" s="5" t="b">
        <f t="shared" si="27"/>
        <v>0</v>
      </c>
      <c r="CH40" s="5" t="b">
        <f t="shared" si="26"/>
        <v>0</v>
      </c>
      <c r="CI40" s="5" t="b">
        <f t="shared" si="25"/>
        <v>0</v>
      </c>
      <c r="CJ40" s="5" t="b">
        <f t="shared" si="24"/>
        <v>0</v>
      </c>
      <c r="CK40" s="5" t="b">
        <f t="shared" si="23"/>
        <v>0</v>
      </c>
      <c r="CL40" s="5" t="b">
        <f t="shared" si="22"/>
        <v>0</v>
      </c>
      <c r="CM40" s="5" t="b">
        <f t="shared" si="21"/>
        <v>0</v>
      </c>
      <c r="CN40" s="5" t="b">
        <f t="shared" si="20"/>
        <v>0</v>
      </c>
      <c r="CO40" s="5" t="b">
        <f t="shared" si="19"/>
        <v>0</v>
      </c>
      <c r="CP40" s="5" t="b">
        <f t="shared" si="18"/>
        <v>0</v>
      </c>
      <c r="CQ40" s="5" t="b">
        <f t="shared" si="17"/>
        <v>0</v>
      </c>
      <c r="CR40" s="5" t="b">
        <f t="shared" ref="CR40:CR70" si="57">IF(OR(ISERR(LN(INDEX($Y$3:$Y$70,INDEX($AD$3:$AD$70,71-ROW(),1),1))),$AI40&lt;=MIN($D:$D),$AI40=FALSE),FALSE,LN(INDEX($Y$3:$Y$70,INDEX($AD$3:$AD$70,71-ROW(),1),1)))</f>
        <v>0</v>
      </c>
      <c r="CS40" s="5" t="b">
        <f t="shared" si="55"/>
        <v>0</v>
      </c>
      <c r="CT40" s="5" t="b">
        <f t="shared" si="53"/>
        <v>0</v>
      </c>
      <c r="CU40" s="5" t="b">
        <f t="shared" si="51"/>
        <v>0</v>
      </c>
      <c r="CV40" s="5" t="b">
        <f t="shared" si="49"/>
        <v>0</v>
      </c>
      <c r="CW40" s="6" t="b">
        <f t="shared" si="47"/>
        <v>0</v>
      </c>
      <c r="CY40" s="77" t="str">
        <f>IF(ROUND(A40,0)&gt;=ROUND($H$4,0),SUM($C$3:$C40),"")</f>
        <v/>
      </c>
    </row>
    <row r="41" spans="1:103" ht="13" x14ac:dyDescent="0.3">
      <c r="A41" s="28" t="b">
        <f t="shared" si="31"/>
        <v>0</v>
      </c>
      <c r="B41" s="10" t="b">
        <f t="shared" si="44"/>
        <v>0</v>
      </c>
      <c r="C41" s="30" t="b">
        <f>IF(A41&lt;=MAX($AI$41:$AI$70),IF(ROW()&lt;=COUNTA(Data!$2:$2)+2,(B41+B40)*(A41-A40)/2,FALSE),FALSE)</f>
        <v>0</v>
      </c>
      <c r="D41" s="10" t="b">
        <f t="shared" si="7"/>
        <v>0</v>
      </c>
      <c r="E41" s="29" t="b">
        <f>IF(A41&lt;=MAX($AI$41:$AI$70),IF(ROW()&lt;=COUNTA(Data!$2:$2)+2,(B41*A41+B40*A40)*(A41-A40)/2,FALSE),FALSE)</f>
        <v>0</v>
      </c>
      <c r="G41" s="56" t="s">
        <v>52</v>
      </c>
      <c r="H41" s="54" t="str">
        <f>IF(OR(AND(INDEX($Y$3:$Y$70,MIN($AG$3:$AG$70)-1,1)&lt;0,INDEX($Y$3:$Y$70,MIN($AG$3:$AG$70)-1,1)&lt;&gt;-999,$G$12),AND(INDEX($Y$3:$Y$70,MIN($AG$3:$AG$70)+1,1)&lt;0,INDEX($Y$3:$Y$70,MIN($AG$3:$AG$70)+1,1)&lt;&gt;-999,$G$12)),"Cmax located next to a missed or undeterminable concentration.",$H$15)</f>
        <v>NA</v>
      </c>
      <c r="W41" s="10">
        <v>39</v>
      </c>
      <c r="X4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1" s="10" t="b">
        <f>IF(ROW()&lt;=COUNTA(Data!$2:$2),INDEX(Data!$C:$AZ,Analysis!$C$1+1,ROW()-2),FALSE)</f>
        <v>0</v>
      </c>
      <c r="Z41" s="30">
        <f t="shared" si="10"/>
        <v>1</v>
      </c>
      <c r="AA41" s="29" t="b">
        <f t="shared" si="11"/>
        <v>0</v>
      </c>
      <c r="AC41" s="10" t="b">
        <f t="shared" si="0"/>
        <v>0</v>
      </c>
      <c r="AE41" s="10" t="b">
        <f t="shared" si="3"/>
        <v>0</v>
      </c>
      <c r="AF41" s="10">
        <f t="shared" si="12"/>
        <v>0.33300000000000002</v>
      </c>
      <c r="AG41" s="12" t="str">
        <f t="shared" si="8"/>
        <v/>
      </c>
      <c r="AH41" s="10">
        <f t="shared" si="45"/>
        <v>0</v>
      </c>
      <c r="AI41" s="4" t="b">
        <f t="shared" ref="AI41:AI70" si="58">IF($AH41&lt;1,FALSE,INDEX($X$3:$X$70,INDEX($AD$3:$AD$70,71-ROW(),1),1))</f>
        <v>0</v>
      </c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 t="b">
        <f t="shared" ref="BK41:BK70" si="59">IF(OR(ISERR(LN(INDEX($Y$3:$Y$70,INDEX($AD$3:$AD$70,71-ROW(),1),1))),$AI41&lt;=MIN($D:$D),$AI41=FALSE),FALSE,LN(INDEX($Y$3:$Y$70,INDEX($AD$3:$AD$70,71-ROW(),1),1)))</f>
        <v>0</v>
      </c>
      <c r="BL41" s="5" t="b">
        <f t="shared" si="56"/>
        <v>0</v>
      </c>
      <c r="BM41" s="5" t="b">
        <f t="shared" si="54"/>
        <v>0</v>
      </c>
      <c r="BN41" s="5" t="b">
        <f t="shared" si="52"/>
        <v>0</v>
      </c>
      <c r="BO41" s="5" t="b">
        <f t="shared" si="50"/>
        <v>0</v>
      </c>
      <c r="BP41" s="5" t="b">
        <f t="shared" si="48"/>
        <v>0</v>
      </c>
      <c r="BQ41" s="5" t="b">
        <f t="shared" si="46"/>
        <v>0</v>
      </c>
      <c r="BR41" s="5" t="b">
        <f t="shared" si="43"/>
        <v>0</v>
      </c>
      <c r="BS41" s="5" t="b">
        <f t="shared" si="42"/>
        <v>0</v>
      </c>
      <c r="BT41" s="5" t="b">
        <f t="shared" si="41"/>
        <v>0</v>
      </c>
      <c r="BU41" s="5" t="b">
        <f t="shared" si="40"/>
        <v>0</v>
      </c>
      <c r="BV41" s="5" t="b">
        <f t="shared" si="39"/>
        <v>0</v>
      </c>
      <c r="BW41" s="5" t="b">
        <f t="shared" si="38"/>
        <v>0</v>
      </c>
      <c r="BX41" s="5" t="b">
        <f t="shared" si="37"/>
        <v>0</v>
      </c>
      <c r="BY41" s="5" t="b">
        <f t="shared" si="36"/>
        <v>0</v>
      </c>
      <c r="BZ41" s="5" t="b">
        <f t="shared" si="35"/>
        <v>0</v>
      </c>
      <c r="CA41" s="5" t="b">
        <f t="shared" si="34"/>
        <v>0</v>
      </c>
      <c r="CB41" s="5" t="b">
        <f t="shared" si="33"/>
        <v>0</v>
      </c>
      <c r="CC41" s="5" t="b">
        <f t="shared" si="32"/>
        <v>0</v>
      </c>
      <c r="CD41" s="5" t="b">
        <f t="shared" si="30"/>
        <v>0</v>
      </c>
      <c r="CE41" s="5" t="b">
        <f t="shared" si="29"/>
        <v>0</v>
      </c>
      <c r="CF41" s="5" t="b">
        <f t="shared" si="28"/>
        <v>0</v>
      </c>
      <c r="CG41" s="5" t="b">
        <f t="shared" si="27"/>
        <v>0</v>
      </c>
      <c r="CH41" s="5" t="b">
        <f t="shared" si="26"/>
        <v>0</v>
      </c>
      <c r="CI41" s="5" t="b">
        <f t="shared" si="25"/>
        <v>0</v>
      </c>
      <c r="CJ41" s="5" t="b">
        <f t="shared" si="24"/>
        <v>0</v>
      </c>
      <c r="CK41" s="5" t="b">
        <f t="shared" si="23"/>
        <v>0</v>
      </c>
      <c r="CL41" s="5" t="b">
        <f t="shared" si="22"/>
        <v>0</v>
      </c>
      <c r="CM41" s="5" t="b">
        <f t="shared" si="21"/>
        <v>0</v>
      </c>
      <c r="CN41" s="5" t="b">
        <f t="shared" si="20"/>
        <v>0</v>
      </c>
      <c r="CO41" s="5" t="b">
        <f t="shared" si="19"/>
        <v>0</v>
      </c>
      <c r="CP41" s="5" t="b">
        <f t="shared" si="18"/>
        <v>0</v>
      </c>
      <c r="CQ41" s="5" t="b">
        <f t="shared" ref="CQ41:CQ70" si="60">IF(OR(ISERR(LN(INDEX($Y$3:$Y$70,INDEX($AD$3:$AD$70,71-ROW(),1),1))),$AI41&lt;=MIN($D:$D),$AI41=FALSE),FALSE,LN(INDEX($Y$3:$Y$70,INDEX($AD$3:$AD$70,71-ROW(),1),1)))</f>
        <v>0</v>
      </c>
      <c r="CR41" s="5" t="b">
        <f t="shared" si="57"/>
        <v>0</v>
      </c>
      <c r="CS41" s="5" t="b">
        <f t="shared" si="55"/>
        <v>0</v>
      </c>
      <c r="CT41" s="5" t="b">
        <f t="shared" si="53"/>
        <v>0</v>
      </c>
      <c r="CU41" s="5" t="b">
        <f t="shared" si="51"/>
        <v>0</v>
      </c>
      <c r="CV41" s="5" t="b">
        <f t="shared" si="49"/>
        <v>0</v>
      </c>
      <c r="CW41" s="6" t="b">
        <f t="shared" si="47"/>
        <v>0</v>
      </c>
      <c r="CY41" s="77" t="str">
        <f>IF(ROUND(A41,0)&gt;=ROUND($H$4,0),SUM($C$3:$C41),"")</f>
        <v/>
      </c>
    </row>
    <row r="42" spans="1:103" ht="13" x14ac:dyDescent="0.3">
      <c r="A42" s="28" t="b">
        <f t="shared" si="31"/>
        <v>0</v>
      </c>
      <c r="B42" s="10" t="b">
        <f t="shared" si="44"/>
        <v>0</v>
      </c>
      <c r="C42" s="30" t="b">
        <f>IF(A42&lt;=MAX($AI$41:$AI$70),IF(ROW()&lt;=COUNTA(Data!$2:$2)+2,(B42+B41)*(A42-A41)/2,FALSE),FALSE)</f>
        <v>0</v>
      </c>
      <c r="D42" s="10" t="b">
        <f t="shared" si="7"/>
        <v>0</v>
      </c>
      <c r="E42" s="29" t="b">
        <f>IF(A42&lt;=MAX($AI$41:$AI$70),IF(ROW()&lt;=COUNTA(Data!$2:$2)+2,(B42*A42+B41*A41)*(A42-A41)/2,FALSE),FALSE)</f>
        <v>0</v>
      </c>
      <c r="G42" s="56" t="s">
        <v>53</v>
      </c>
      <c r="H42" s="54" t="str">
        <f>IF(AND(INDEX($Y$3:$Y$70,$AD$3+1,1)&lt;0,INDEX($Y$3:$Y$70,$AD$3+1,1)&lt;&gt;-999),"Clast followed by a missed or undeterminable concentration. AUCt not estimated.",$H$15)</f>
        <v>NA</v>
      </c>
      <c r="W42" s="10">
        <v>40</v>
      </c>
      <c r="X4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2" s="10" t="b">
        <f>IF(ROW()&lt;=COUNTA(Data!$2:$2),INDEX(Data!$C:$AZ,Analysis!$C$1+1,ROW()-2),FALSE)</f>
        <v>0</v>
      </c>
      <c r="Z42" s="30">
        <f t="shared" si="10"/>
        <v>1</v>
      </c>
      <c r="AA42" s="29" t="b">
        <f t="shared" si="11"/>
        <v>0</v>
      </c>
      <c r="AC42" s="10" t="b">
        <f t="shared" si="0"/>
        <v>0</v>
      </c>
      <c r="AE42" s="10" t="b">
        <f t="shared" si="3"/>
        <v>0</v>
      </c>
      <c r="AF42" s="10">
        <f t="shared" si="12"/>
        <v>0.33300000000000002</v>
      </c>
      <c r="AG42" s="12" t="str">
        <f t="shared" si="8"/>
        <v/>
      </c>
      <c r="AH42" s="10">
        <f t="shared" si="45"/>
        <v>0</v>
      </c>
      <c r="AI42" s="4" t="b">
        <f t="shared" si="58"/>
        <v>0</v>
      </c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 t="b">
        <f t="shared" ref="BJ42:BJ70" si="61">IF(OR(ISERR(LN(INDEX($Y$3:$Y$70,INDEX($AD$3:$AD$70,71-ROW(),1),1))),$AI42&lt;=MIN($D:$D),$AI42=FALSE),FALSE,LN(INDEX($Y$3:$Y$70,INDEX($AD$3:$AD$70,71-ROW(),1),1)))</f>
        <v>0</v>
      </c>
      <c r="BK42" s="5" t="b">
        <f t="shared" si="59"/>
        <v>0</v>
      </c>
      <c r="BL42" s="5" t="b">
        <f t="shared" si="56"/>
        <v>0</v>
      </c>
      <c r="BM42" s="5" t="b">
        <f t="shared" si="54"/>
        <v>0</v>
      </c>
      <c r="BN42" s="5" t="b">
        <f t="shared" si="52"/>
        <v>0</v>
      </c>
      <c r="BO42" s="5" t="b">
        <f t="shared" si="50"/>
        <v>0</v>
      </c>
      <c r="BP42" s="5" t="b">
        <f t="shared" si="48"/>
        <v>0</v>
      </c>
      <c r="BQ42" s="5" t="b">
        <f t="shared" si="46"/>
        <v>0</v>
      </c>
      <c r="BR42" s="5" t="b">
        <f t="shared" si="43"/>
        <v>0</v>
      </c>
      <c r="BS42" s="5" t="b">
        <f t="shared" si="42"/>
        <v>0</v>
      </c>
      <c r="BT42" s="5" t="b">
        <f t="shared" si="41"/>
        <v>0</v>
      </c>
      <c r="BU42" s="5" t="b">
        <f t="shared" si="40"/>
        <v>0</v>
      </c>
      <c r="BV42" s="5" t="b">
        <f t="shared" si="39"/>
        <v>0</v>
      </c>
      <c r="BW42" s="5" t="b">
        <f t="shared" si="38"/>
        <v>0</v>
      </c>
      <c r="BX42" s="5" t="b">
        <f t="shared" si="37"/>
        <v>0</v>
      </c>
      <c r="BY42" s="5" t="b">
        <f t="shared" si="36"/>
        <v>0</v>
      </c>
      <c r="BZ42" s="5" t="b">
        <f t="shared" si="35"/>
        <v>0</v>
      </c>
      <c r="CA42" s="5" t="b">
        <f t="shared" si="34"/>
        <v>0</v>
      </c>
      <c r="CB42" s="5" t="b">
        <f t="shared" si="33"/>
        <v>0</v>
      </c>
      <c r="CC42" s="5" t="b">
        <f t="shared" si="32"/>
        <v>0</v>
      </c>
      <c r="CD42" s="5" t="b">
        <f t="shared" si="30"/>
        <v>0</v>
      </c>
      <c r="CE42" s="5" t="b">
        <f t="shared" si="29"/>
        <v>0</v>
      </c>
      <c r="CF42" s="5" t="b">
        <f t="shared" si="28"/>
        <v>0</v>
      </c>
      <c r="CG42" s="5" t="b">
        <f t="shared" si="27"/>
        <v>0</v>
      </c>
      <c r="CH42" s="5" t="b">
        <f t="shared" si="26"/>
        <v>0</v>
      </c>
      <c r="CI42" s="5" t="b">
        <f t="shared" si="25"/>
        <v>0</v>
      </c>
      <c r="CJ42" s="5" t="b">
        <f t="shared" si="24"/>
        <v>0</v>
      </c>
      <c r="CK42" s="5" t="b">
        <f t="shared" si="23"/>
        <v>0</v>
      </c>
      <c r="CL42" s="5" t="b">
        <f t="shared" si="22"/>
        <v>0</v>
      </c>
      <c r="CM42" s="5" t="b">
        <f t="shared" si="21"/>
        <v>0</v>
      </c>
      <c r="CN42" s="5" t="b">
        <f t="shared" si="20"/>
        <v>0</v>
      </c>
      <c r="CO42" s="5" t="b">
        <f t="shared" si="19"/>
        <v>0</v>
      </c>
      <c r="CP42" s="5" t="b">
        <f t="shared" ref="CP42:CP70" si="62">IF(OR(ISERR(LN(INDEX($Y$3:$Y$70,INDEX($AD$3:$AD$70,71-ROW(),1),1))),$AI42&lt;=MIN($D:$D),$AI42=FALSE),FALSE,LN(INDEX($Y$3:$Y$70,INDEX($AD$3:$AD$70,71-ROW(),1),1)))</f>
        <v>0</v>
      </c>
      <c r="CQ42" s="5" t="b">
        <f t="shared" si="60"/>
        <v>0</v>
      </c>
      <c r="CR42" s="5" t="b">
        <f t="shared" si="57"/>
        <v>0</v>
      </c>
      <c r="CS42" s="5" t="b">
        <f t="shared" si="55"/>
        <v>0</v>
      </c>
      <c r="CT42" s="5" t="b">
        <f t="shared" si="53"/>
        <v>0</v>
      </c>
      <c r="CU42" s="5" t="b">
        <f t="shared" si="51"/>
        <v>0</v>
      </c>
      <c r="CV42" s="5" t="b">
        <f t="shared" si="49"/>
        <v>0</v>
      </c>
      <c r="CW42" s="6" t="b">
        <f t="shared" si="47"/>
        <v>0</v>
      </c>
      <c r="CY42" s="77" t="str">
        <f>IF(ROUND(A42,0)&gt;=ROUND($H$4,0),SUM($C$3:$C42),"")</f>
        <v/>
      </c>
    </row>
    <row r="43" spans="1:103" ht="13" x14ac:dyDescent="0.3">
      <c r="A43" s="28" t="b">
        <f t="shared" si="31"/>
        <v>0</v>
      </c>
      <c r="B43" s="10" t="b">
        <f t="shared" si="44"/>
        <v>0</v>
      </c>
      <c r="C43" s="30" t="b">
        <f>IF(A43&lt;=MAX($AI$41:$AI$70),IF(ROW()&lt;=COUNTA(Data!$2:$2)+2,(B43+B42)*(A43-A42)/2,FALSE),FALSE)</f>
        <v>0</v>
      </c>
      <c r="D43" s="10" t="b">
        <f t="shared" si="7"/>
        <v>0</v>
      </c>
      <c r="E43" s="29" t="b">
        <f>IF(A43&lt;=MAX($AI$41:$AI$70),IF(ROW()&lt;=COUNTA(Data!$2:$2)+2,(B43*A43+B42*A42)*(A43-A42)/2,FALSE),FALSE)</f>
        <v>0</v>
      </c>
      <c r="G43" s="56" t="s">
        <v>54</v>
      </c>
      <c r="H43" s="54" t="str">
        <f>IF(MAX(AJ71:CW71)&lt;$H$5,"Insufficient points in elimination phase.",IF(AND($G$13,$H$26=$H$15,OR($AJ$75:$CW$75)),"Time span for lambda estimation inadequate. Check individual regressions.",$H$15))</f>
        <v>Time span for lambda estimation inadequate. Check individual regressions.</v>
      </c>
      <c r="W43" s="10">
        <v>41</v>
      </c>
      <c r="X4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3" s="10" t="b">
        <f>IF(ROW()&lt;=COUNTA(Data!$2:$2),INDEX(Data!$C:$AZ,Analysis!$C$1+1,ROW()-2),FALSE)</f>
        <v>0</v>
      </c>
      <c r="Z43" s="30">
        <f t="shared" si="10"/>
        <v>1</v>
      </c>
      <c r="AA43" s="29" t="b">
        <f t="shared" si="11"/>
        <v>0</v>
      </c>
      <c r="AC43" s="10" t="b">
        <f t="shared" si="0"/>
        <v>0</v>
      </c>
      <c r="AE43" s="10" t="b">
        <f t="shared" si="3"/>
        <v>0</v>
      </c>
      <c r="AF43" s="10">
        <f t="shared" si="12"/>
        <v>0.33300000000000002</v>
      </c>
      <c r="AG43" s="12" t="str">
        <f t="shared" si="8"/>
        <v/>
      </c>
      <c r="AH43" s="10">
        <f t="shared" si="45"/>
        <v>0</v>
      </c>
      <c r="AI43" s="4" t="b">
        <f t="shared" si="58"/>
        <v>0</v>
      </c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 t="b">
        <f t="shared" ref="BI43:BI70" si="63">IF(OR(ISERR(LN(INDEX($Y$3:$Y$70,INDEX($AD$3:$AD$70,71-ROW(),1),1))),$AI43&lt;=MIN($D:$D),$AI43=FALSE),FALSE,LN(INDEX($Y$3:$Y$70,INDEX($AD$3:$AD$70,71-ROW(),1),1)))</f>
        <v>0</v>
      </c>
      <c r="BJ43" s="5" t="b">
        <f t="shared" si="61"/>
        <v>0</v>
      </c>
      <c r="BK43" s="5" t="b">
        <f t="shared" si="59"/>
        <v>0</v>
      </c>
      <c r="BL43" s="5" t="b">
        <f t="shared" si="56"/>
        <v>0</v>
      </c>
      <c r="BM43" s="5" t="b">
        <f t="shared" si="54"/>
        <v>0</v>
      </c>
      <c r="BN43" s="5" t="b">
        <f t="shared" si="52"/>
        <v>0</v>
      </c>
      <c r="BO43" s="5" t="b">
        <f t="shared" si="50"/>
        <v>0</v>
      </c>
      <c r="BP43" s="5" t="b">
        <f t="shared" si="48"/>
        <v>0</v>
      </c>
      <c r="BQ43" s="5" t="b">
        <f t="shared" si="46"/>
        <v>0</v>
      </c>
      <c r="BR43" s="5" t="b">
        <f t="shared" si="43"/>
        <v>0</v>
      </c>
      <c r="BS43" s="5" t="b">
        <f t="shared" si="42"/>
        <v>0</v>
      </c>
      <c r="BT43" s="5" t="b">
        <f t="shared" si="41"/>
        <v>0</v>
      </c>
      <c r="BU43" s="5" t="b">
        <f t="shared" si="40"/>
        <v>0</v>
      </c>
      <c r="BV43" s="5" t="b">
        <f t="shared" si="39"/>
        <v>0</v>
      </c>
      <c r="BW43" s="5" t="b">
        <f t="shared" si="38"/>
        <v>0</v>
      </c>
      <c r="BX43" s="5" t="b">
        <f t="shared" si="37"/>
        <v>0</v>
      </c>
      <c r="BY43" s="5" t="b">
        <f t="shared" si="36"/>
        <v>0</v>
      </c>
      <c r="BZ43" s="5" t="b">
        <f t="shared" si="35"/>
        <v>0</v>
      </c>
      <c r="CA43" s="5" t="b">
        <f t="shared" si="34"/>
        <v>0</v>
      </c>
      <c r="CB43" s="5" t="b">
        <f t="shared" si="33"/>
        <v>0</v>
      </c>
      <c r="CC43" s="5" t="b">
        <f t="shared" si="32"/>
        <v>0</v>
      </c>
      <c r="CD43" s="5" t="b">
        <f t="shared" si="30"/>
        <v>0</v>
      </c>
      <c r="CE43" s="5" t="b">
        <f t="shared" si="29"/>
        <v>0</v>
      </c>
      <c r="CF43" s="5" t="b">
        <f t="shared" si="28"/>
        <v>0</v>
      </c>
      <c r="CG43" s="5" t="b">
        <f t="shared" si="27"/>
        <v>0</v>
      </c>
      <c r="CH43" s="5" t="b">
        <f t="shared" si="26"/>
        <v>0</v>
      </c>
      <c r="CI43" s="5" t="b">
        <f t="shared" si="25"/>
        <v>0</v>
      </c>
      <c r="CJ43" s="5" t="b">
        <f t="shared" si="24"/>
        <v>0</v>
      </c>
      <c r="CK43" s="5" t="b">
        <f t="shared" si="23"/>
        <v>0</v>
      </c>
      <c r="CL43" s="5" t="b">
        <f t="shared" si="22"/>
        <v>0</v>
      </c>
      <c r="CM43" s="5" t="b">
        <f t="shared" si="21"/>
        <v>0</v>
      </c>
      <c r="CN43" s="5" t="b">
        <f t="shared" si="20"/>
        <v>0</v>
      </c>
      <c r="CO43" s="5" t="b">
        <f t="shared" ref="CO43:CO70" si="64">IF(OR(ISERR(LN(INDEX($Y$3:$Y$70,INDEX($AD$3:$AD$70,71-ROW(),1),1))),$AI43&lt;=MIN($D:$D),$AI43=FALSE),FALSE,LN(INDEX($Y$3:$Y$70,INDEX($AD$3:$AD$70,71-ROW(),1),1)))</f>
        <v>0</v>
      </c>
      <c r="CP43" s="5" t="b">
        <f t="shared" si="62"/>
        <v>0</v>
      </c>
      <c r="CQ43" s="5" t="b">
        <f t="shared" si="60"/>
        <v>0</v>
      </c>
      <c r="CR43" s="5" t="b">
        <f t="shared" si="57"/>
        <v>0</v>
      </c>
      <c r="CS43" s="5" t="b">
        <f t="shared" si="55"/>
        <v>0</v>
      </c>
      <c r="CT43" s="5" t="b">
        <f t="shared" si="53"/>
        <v>0</v>
      </c>
      <c r="CU43" s="5" t="b">
        <f t="shared" si="51"/>
        <v>0</v>
      </c>
      <c r="CV43" s="5" t="b">
        <f t="shared" si="49"/>
        <v>0</v>
      </c>
      <c r="CW43" s="6" t="b">
        <f t="shared" si="47"/>
        <v>0</v>
      </c>
      <c r="CY43" s="77" t="str">
        <f>IF(ROUND(A43,0)&gt;=ROUND($H$4,0),SUM($C$3:$C43),"")</f>
        <v/>
      </c>
    </row>
    <row r="44" spans="1:103" ht="13.5" thickBot="1" x14ac:dyDescent="0.35">
      <c r="A44" s="28" t="b">
        <f t="shared" si="31"/>
        <v>0</v>
      </c>
      <c r="B44" s="10" t="b">
        <f t="shared" si="44"/>
        <v>0</v>
      </c>
      <c r="C44" s="30" t="b">
        <f>IF(A44&lt;=MAX($AI$41:$AI$70),IF(ROW()&lt;=COUNTA(Data!$2:$2)+2,(B44+B43)*(A44-A43)/2,FALSE),FALSE)</f>
        <v>0</v>
      </c>
      <c r="D44" s="10" t="b">
        <f t="shared" si="7"/>
        <v>0</v>
      </c>
      <c r="E44" s="29" t="b">
        <f>IF(A44&lt;=MAX($AI$41:$AI$70),IF(ROW()&lt;=COUNTA(Data!$2:$2)+2,(B44*A44+B43*A43)*(A44-A43)/2,FALSE),FALSE)</f>
        <v>0</v>
      </c>
      <c r="G44" s="57" t="s">
        <v>66</v>
      </c>
      <c r="H44" s="82" t="str">
        <f>IF($AJ$81=$H$15,$H$15,IF(AND(SUM($C$4:$C$70)/(SUM($C$4:$C$70)+H29/$AJ$81)&lt;0.8,$G$14),"80% coverage of AUC not reached by tlast. AUCinf not estimated.",$H$15))</f>
        <v>NA</v>
      </c>
      <c r="K44" s="66"/>
      <c r="W44" s="10">
        <v>42</v>
      </c>
      <c r="X4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4" s="10" t="b">
        <f>IF(ROW()&lt;=COUNTA(Data!$2:$2),INDEX(Data!$C:$AZ,Analysis!$C$1+1,ROW()-2),FALSE)</f>
        <v>0</v>
      </c>
      <c r="Z44" s="30">
        <f t="shared" si="10"/>
        <v>1</v>
      </c>
      <c r="AA44" s="29" t="b">
        <f t="shared" si="11"/>
        <v>0</v>
      </c>
      <c r="AC44" s="10" t="b">
        <f t="shared" si="0"/>
        <v>0</v>
      </c>
      <c r="AE44" s="10" t="b">
        <f t="shared" si="3"/>
        <v>0</v>
      </c>
      <c r="AF44" s="10">
        <f t="shared" si="12"/>
        <v>0.33300000000000002</v>
      </c>
      <c r="AG44" s="12" t="str">
        <f t="shared" si="8"/>
        <v/>
      </c>
      <c r="AH44" s="10">
        <f t="shared" si="45"/>
        <v>0</v>
      </c>
      <c r="AI44" s="4" t="b">
        <f t="shared" si="58"/>
        <v>0</v>
      </c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 t="b">
        <f t="shared" ref="BH44:BH70" si="65">IF(OR(ISERR(LN(INDEX($Y$3:$Y$70,INDEX($AD$3:$AD$70,71-ROW(),1),1))),$AI44&lt;=MIN($D:$D),$AI44=FALSE),FALSE,LN(INDEX($Y$3:$Y$70,INDEX($AD$3:$AD$70,71-ROW(),1),1)))</f>
        <v>0</v>
      </c>
      <c r="BI44" s="5" t="b">
        <f t="shared" si="63"/>
        <v>0</v>
      </c>
      <c r="BJ44" s="5" t="b">
        <f t="shared" si="61"/>
        <v>0</v>
      </c>
      <c r="BK44" s="5" t="b">
        <f t="shared" si="59"/>
        <v>0</v>
      </c>
      <c r="BL44" s="5" t="b">
        <f t="shared" si="56"/>
        <v>0</v>
      </c>
      <c r="BM44" s="5" t="b">
        <f t="shared" si="54"/>
        <v>0</v>
      </c>
      <c r="BN44" s="5" t="b">
        <f t="shared" si="52"/>
        <v>0</v>
      </c>
      <c r="BO44" s="5" t="b">
        <f t="shared" si="50"/>
        <v>0</v>
      </c>
      <c r="BP44" s="5" t="b">
        <f t="shared" si="48"/>
        <v>0</v>
      </c>
      <c r="BQ44" s="5" t="b">
        <f t="shared" si="46"/>
        <v>0</v>
      </c>
      <c r="BR44" s="5" t="b">
        <f t="shared" si="43"/>
        <v>0</v>
      </c>
      <c r="BS44" s="5" t="b">
        <f t="shared" si="42"/>
        <v>0</v>
      </c>
      <c r="BT44" s="5" t="b">
        <f t="shared" si="41"/>
        <v>0</v>
      </c>
      <c r="BU44" s="5" t="b">
        <f t="shared" si="40"/>
        <v>0</v>
      </c>
      <c r="BV44" s="5" t="b">
        <f t="shared" si="39"/>
        <v>0</v>
      </c>
      <c r="BW44" s="5" t="b">
        <f t="shared" si="38"/>
        <v>0</v>
      </c>
      <c r="BX44" s="5" t="b">
        <f t="shared" si="37"/>
        <v>0</v>
      </c>
      <c r="BY44" s="5" t="b">
        <f t="shared" si="36"/>
        <v>0</v>
      </c>
      <c r="BZ44" s="5" t="b">
        <f t="shared" si="35"/>
        <v>0</v>
      </c>
      <c r="CA44" s="5" t="b">
        <f t="shared" si="34"/>
        <v>0</v>
      </c>
      <c r="CB44" s="5" t="b">
        <f t="shared" si="33"/>
        <v>0</v>
      </c>
      <c r="CC44" s="5" t="b">
        <f t="shared" si="32"/>
        <v>0</v>
      </c>
      <c r="CD44" s="5" t="b">
        <f t="shared" si="30"/>
        <v>0</v>
      </c>
      <c r="CE44" s="5" t="b">
        <f t="shared" si="29"/>
        <v>0</v>
      </c>
      <c r="CF44" s="5" t="b">
        <f t="shared" si="28"/>
        <v>0</v>
      </c>
      <c r="CG44" s="5" t="b">
        <f t="shared" si="27"/>
        <v>0</v>
      </c>
      <c r="CH44" s="5" t="b">
        <f t="shared" si="26"/>
        <v>0</v>
      </c>
      <c r="CI44" s="5" t="b">
        <f t="shared" si="25"/>
        <v>0</v>
      </c>
      <c r="CJ44" s="5" t="b">
        <f t="shared" si="24"/>
        <v>0</v>
      </c>
      <c r="CK44" s="5" t="b">
        <f t="shared" si="23"/>
        <v>0</v>
      </c>
      <c r="CL44" s="5" t="b">
        <f t="shared" si="22"/>
        <v>0</v>
      </c>
      <c r="CM44" s="5" t="b">
        <f t="shared" si="21"/>
        <v>0</v>
      </c>
      <c r="CN44" s="5" t="b">
        <f t="shared" ref="CN44:CN70" si="66">IF(OR(ISERR(LN(INDEX($Y$3:$Y$70,INDEX($AD$3:$AD$70,71-ROW(),1),1))),$AI44&lt;=MIN($D:$D),$AI44=FALSE),FALSE,LN(INDEX($Y$3:$Y$70,INDEX($AD$3:$AD$70,71-ROW(),1),1)))</f>
        <v>0</v>
      </c>
      <c r="CO44" s="5" t="b">
        <f t="shared" si="64"/>
        <v>0</v>
      </c>
      <c r="CP44" s="5" t="b">
        <f t="shared" si="62"/>
        <v>0</v>
      </c>
      <c r="CQ44" s="5" t="b">
        <f t="shared" si="60"/>
        <v>0</v>
      </c>
      <c r="CR44" s="5" t="b">
        <f t="shared" si="57"/>
        <v>0</v>
      </c>
      <c r="CS44" s="5" t="b">
        <f t="shared" si="55"/>
        <v>0</v>
      </c>
      <c r="CT44" s="5" t="b">
        <f t="shared" si="53"/>
        <v>0</v>
      </c>
      <c r="CU44" s="5" t="b">
        <f t="shared" si="51"/>
        <v>0</v>
      </c>
      <c r="CV44" s="5" t="b">
        <f t="shared" si="49"/>
        <v>0</v>
      </c>
      <c r="CW44" s="6" t="b">
        <f t="shared" si="47"/>
        <v>0</v>
      </c>
      <c r="CY44" s="77" t="str">
        <f>IF(ROUND(A44,0)&gt;=ROUND($H$4,0),SUM($C$3:$C44),"")</f>
        <v/>
      </c>
    </row>
    <row r="45" spans="1:103" ht="13" x14ac:dyDescent="0.3">
      <c r="A45" s="28" t="b">
        <f t="shared" si="31"/>
        <v>0</v>
      </c>
      <c r="B45" s="10" t="b">
        <f t="shared" si="44"/>
        <v>0</v>
      </c>
      <c r="C45" s="30" t="b">
        <f>IF(A45&lt;=MAX($AI$41:$AI$70),IF(ROW()&lt;=COUNTA(Data!$2:$2)+2,(B45+B44)*(A45-A44)/2,FALSE),FALSE)</f>
        <v>0</v>
      </c>
      <c r="D45" s="10" t="b">
        <f t="shared" si="7"/>
        <v>0</v>
      </c>
      <c r="E45" s="29" t="b">
        <f>IF(A45&lt;=MAX($AI$41:$AI$70),IF(ROW()&lt;=COUNTA(Data!$2:$2)+2,(B45*A45+B44*A44)*(A45-A44)/2,FALSE),FALSE)</f>
        <v>0</v>
      </c>
      <c r="W45" s="10">
        <v>43</v>
      </c>
      <c r="X4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5" s="10" t="b">
        <f>IF(ROW()&lt;=COUNTA(Data!$2:$2),INDEX(Data!$C:$AZ,Analysis!$C$1+1,ROW()-2),FALSE)</f>
        <v>0</v>
      </c>
      <c r="Z45" s="30">
        <f t="shared" si="10"/>
        <v>1</v>
      </c>
      <c r="AA45" s="29" t="b">
        <f t="shared" si="11"/>
        <v>0</v>
      </c>
      <c r="AC45" s="10" t="b">
        <f t="shared" si="0"/>
        <v>0</v>
      </c>
      <c r="AE45" s="10" t="b">
        <f t="shared" si="3"/>
        <v>0</v>
      </c>
      <c r="AF45" s="10">
        <f t="shared" si="12"/>
        <v>0.33300000000000002</v>
      </c>
      <c r="AG45" s="12" t="str">
        <f t="shared" si="8"/>
        <v/>
      </c>
      <c r="AH45" s="10">
        <f t="shared" si="45"/>
        <v>0</v>
      </c>
      <c r="AI45" s="4" t="b">
        <f t="shared" si="58"/>
        <v>0</v>
      </c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 t="b">
        <f t="shared" ref="BG45:BG70" si="67">IF(OR(ISERR(LN(INDEX($Y$3:$Y$70,INDEX($AD$3:$AD$70,71-ROW(),1),1))),$AI45&lt;=MIN($D:$D),$AI45=FALSE),FALSE,LN(INDEX($Y$3:$Y$70,INDEX($AD$3:$AD$70,71-ROW(),1),1)))</f>
        <v>0</v>
      </c>
      <c r="BH45" s="5" t="b">
        <f t="shared" si="65"/>
        <v>0</v>
      </c>
      <c r="BI45" s="5" t="b">
        <f t="shared" si="63"/>
        <v>0</v>
      </c>
      <c r="BJ45" s="5" t="b">
        <f t="shared" si="61"/>
        <v>0</v>
      </c>
      <c r="BK45" s="5" t="b">
        <f t="shared" si="59"/>
        <v>0</v>
      </c>
      <c r="BL45" s="5" t="b">
        <f t="shared" si="56"/>
        <v>0</v>
      </c>
      <c r="BM45" s="5" t="b">
        <f t="shared" si="54"/>
        <v>0</v>
      </c>
      <c r="BN45" s="5" t="b">
        <f t="shared" si="52"/>
        <v>0</v>
      </c>
      <c r="BO45" s="5" t="b">
        <f t="shared" si="50"/>
        <v>0</v>
      </c>
      <c r="BP45" s="5" t="b">
        <f t="shared" si="48"/>
        <v>0</v>
      </c>
      <c r="BQ45" s="5" t="b">
        <f t="shared" si="46"/>
        <v>0</v>
      </c>
      <c r="BR45" s="5" t="b">
        <f t="shared" si="43"/>
        <v>0</v>
      </c>
      <c r="BS45" s="5" t="b">
        <f t="shared" si="42"/>
        <v>0</v>
      </c>
      <c r="BT45" s="5" t="b">
        <f t="shared" si="41"/>
        <v>0</v>
      </c>
      <c r="BU45" s="5" t="b">
        <f t="shared" si="40"/>
        <v>0</v>
      </c>
      <c r="BV45" s="5" t="b">
        <f t="shared" si="39"/>
        <v>0</v>
      </c>
      <c r="BW45" s="5" t="b">
        <f t="shared" si="38"/>
        <v>0</v>
      </c>
      <c r="BX45" s="5" t="b">
        <f t="shared" si="37"/>
        <v>0</v>
      </c>
      <c r="BY45" s="5" t="b">
        <f t="shared" si="36"/>
        <v>0</v>
      </c>
      <c r="BZ45" s="5" t="b">
        <f t="shared" si="35"/>
        <v>0</v>
      </c>
      <c r="CA45" s="5" t="b">
        <f t="shared" si="34"/>
        <v>0</v>
      </c>
      <c r="CB45" s="5" t="b">
        <f t="shared" si="33"/>
        <v>0</v>
      </c>
      <c r="CC45" s="5" t="b">
        <f t="shared" si="32"/>
        <v>0</v>
      </c>
      <c r="CD45" s="5" t="b">
        <f t="shared" si="30"/>
        <v>0</v>
      </c>
      <c r="CE45" s="5" t="b">
        <f t="shared" si="29"/>
        <v>0</v>
      </c>
      <c r="CF45" s="5" t="b">
        <f t="shared" si="28"/>
        <v>0</v>
      </c>
      <c r="CG45" s="5" t="b">
        <f t="shared" si="27"/>
        <v>0</v>
      </c>
      <c r="CH45" s="5" t="b">
        <f t="shared" si="26"/>
        <v>0</v>
      </c>
      <c r="CI45" s="5" t="b">
        <f t="shared" si="25"/>
        <v>0</v>
      </c>
      <c r="CJ45" s="5" t="b">
        <f t="shared" si="24"/>
        <v>0</v>
      </c>
      <c r="CK45" s="5" t="b">
        <f t="shared" si="23"/>
        <v>0</v>
      </c>
      <c r="CL45" s="5" t="b">
        <f t="shared" si="22"/>
        <v>0</v>
      </c>
      <c r="CM45" s="5" t="b">
        <f t="shared" ref="CM45:CM70" si="68">IF(OR(ISERR(LN(INDEX($Y$3:$Y$70,INDEX($AD$3:$AD$70,71-ROW(),1),1))),$AI45&lt;=MIN($D:$D),$AI45=FALSE),FALSE,LN(INDEX($Y$3:$Y$70,INDEX($AD$3:$AD$70,71-ROW(),1),1)))</f>
        <v>0</v>
      </c>
      <c r="CN45" s="5" t="b">
        <f t="shared" si="66"/>
        <v>0</v>
      </c>
      <c r="CO45" s="5" t="b">
        <f t="shared" si="64"/>
        <v>0</v>
      </c>
      <c r="CP45" s="5" t="b">
        <f t="shared" si="62"/>
        <v>0</v>
      </c>
      <c r="CQ45" s="5" t="b">
        <f t="shared" si="60"/>
        <v>0</v>
      </c>
      <c r="CR45" s="5" t="b">
        <f t="shared" si="57"/>
        <v>0</v>
      </c>
      <c r="CS45" s="5" t="b">
        <f t="shared" si="55"/>
        <v>0</v>
      </c>
      <c r="CT45" s="5" t="b">
        <f t="shared" si="53"/>
        <v>0</v>
      </c>
      <c r="CU45" s="5" t="b">
        <f t="shared" si="51"/>
        <v>0</v>
      </c>
      <c r="CV45" s="5" t="b">
        <f t="shared" si="49"/>
        <v>0</v>
      </c>
      <c r="CW45" s="6" t="b">
        <f t="shared" si="47"/>
        <v>0</v>
      </c>
      <c r="CY45" s="77" t="str">
        <f>IF(ROUND(A45,0)&gt;=ROUND($H$4,0),SUM($C$3:$C45),"")</f>
        <v/>
      </c>
    </row>
    <row r="46" spans="1:103" ht="13" x14ac:dyDescent="0.3">
      <c r="A46" s="28" t="b">
        <f t="shared" si="31"/>
        <v>0</v>
      </c>
      <c r="B46" s="10" t="b">
        <f t="shared" si="44"/>
        <v>0</v>
      </c>
      <c r="C46" s="30" t="b">
        <f>IF(A46&lt;=MAX($AI$41:$AI$70),IF(ROW()&lt;=COUNTA(Data!$2:$2)+2,(B46+B45)*(A46-A45)/2,FALSE),FALSE)</f>
        <v>0</v>
      </c>
      <c r="D46" s="10" t="b">
        <f t="shared" si="7"/>
        <v>0</v>
      </c>
      <c r="E46" s="29" t="b">
        <f>IF(A46&lt;=MAX($AI$41:$AI$70),IF(ROW()&lt;=COUNTA(Data!$2:$2)+2,(B46*A46+B45*A45)*(A46-A45)/2,FALSE),FALSE)</f>
        <v>0</v>
      </c>
      <c r="W46" s="10">
        <v>44</v>
      </c>
      <c r="X4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6" s="10" t="b">
        <f>IF(ROW()&lt;=COUNTA(Data!$2:$2),INDEX(Data!$C:$AZ,Analysis!$C$1+1,ROW()-2),FALSE)</f>
        <v>0</v>
      </c>
      <c r="Z46" s="30">
        <f t="shared" si="10"/>
        <v>1</v>
      </c>
      <c r="AA46" s="29" t="b">
        <f t="shared" si="11"/>
        <v>0</v>
      </c>
      <c r="AC46" s="10" t="b">
        <f t="shared" si="0"/>
        <v>0</v>
      </c>
      <c r="AE46" s="10" t="b">
        <f t="shared" si="3"/>
        <v>0</v>
      </c>
      <c r="AF46" s="10">
        <f t="shared" si="12"/>
        <v>0.33300000000000002</v>
      </c>
      <c r="AG46" s="12" t="str">
        <f t="shared" si="8"/>
        <v/>
      </c>
      <c r="AH46" s="10">
        <f t="shared" si="45"/>
        <v>0</v>
      </c>
      <c r="AI46" s="4" t="b">
        <f t="shared" si="58"/>
        <v>0</v>
      </c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 t="b">
        <f t="shared" ref="BF46:BF70" si="69">IF(OR(ISERR(LN(INDEX($Y$3:$Y$70,INDEX($AD$3:$AD$70,71-ROW(),1),1))),$AI46&lt;=MIN($D:$D),$AI46=FALSE),FALSE,LN(INDEX($Y$3:$Y$70,INDEX($AD$3:$AD$70,71-ROW(),1),1)))</f>
        <v>0</v>
      </c>
      <c r="BG46" s="5" t="b">
        <f t="shared" si="67"/>
        <v>0</v>
      </c>
      <c r="BH46" s="5" t="b">
        <f t="shared" si="65"/>
        <v>0</v>
      </c>
      <c r="BI46" s="5" t="b">
        <f t="shared" si="63"/>
        <v>0</v>
      </c>
      <c r="BJ46" s="5" t="b">
        <f t="shared" si="61"/>
        <v>0</v>
      </c>
      <c r="BK46" s="5" t="b">
        <f t="shared" si="59"/>
        <v>0</v>
      </c>
      <c r="BL46" s="5" t="b">
        <f t="shared" si="56"/>
        <v>0</v>
      </c>
      <c r="BM46" s="5" t="b">
        <f t="shared" si="54"/>
        <v>0</v>
      </c>
      <c r="BN46" s="5" t="b">
        <f t="shared" si="52"/>
        <v>0</v>
      </c>
      <c r="BO46" s="5" t="b">
        <f t="shared" si="50"/>
        <v>0</v>
      </c>
      <c r="BP46" s="5" t="b">
        <f t="shared" si="48"/>
        <v>0</v>
      </c>
      <c r="BQ46" s="5" t="b">
        <f t="shared" si="46"/>
        <v>0</v>
      </c>
      <c r="BR46" s="5" t="b">
        <f t="shared" si="43"/>
        <v>0</v>
      </c>
      <c r="BS46" s="5" t="b">
        <f t="shared" si="42"/>
        <v>0</v>
      </c>
      <c r="BT46" s="5" t="b">
        <f t="shared" si="41"/>
        <v>0</v>
      </c>
      <c r="BU46" s="5" t="b">
        <f t="shared" si="40"/>
        <v>0</v>
      </c>
      <c r="BV46" s="5" t="b">
        <f t="shared" si="39"/>
        <v>0</v>
      </c>
      <c r="BW46" s="5" t="b">
        <f t="shared" si="38"/>
        <v>0</v>
      </c>
      <c r="BX46" s="5" t="b">
        <f t="shared" si="37"/>
        <v>0</v>
      </c>
      <c r="BY46" s="5" t="b">
        <f t="shared" si="36"/>
        <v>0</v>
      </c>
      <c r="BZ46" s="5" t="b">
        <f t="shared" si="35"/>
        <v>0</v>
      </c>
      <c r="CA46" s="5" t="b">
        <f t="shared" si="34"/>
        <v>0</v>
      </c>
      <c r="CB46" s="5" t="b">
        <f t="shared" si="33"/>
        <v>0</v>
      </c>
      <c r="CC46" s="5" t="b">
        <f t="shared" si="32"/>
        <v>0</v>
      </c>
      <c r="CD46" s="5" t="b">
        <f t="shared" si="30"/>
        <v>0</v>
      </c>
      <c r="CE46" s="5" t="b">
        <f t="shared" si="29"/>
        <v>0</v>
      </c>
      <c r="CF46" s="5" t="b">
        <f t="shared" si="28"/>
        <v>0</v>
      </c>
      <c r="CG46" s="5" t="b">
        <f t="shared" si="27"/>
        <v>0</v>
      </c>
      <c r="CH46" s="5" t="b">
        <f t="shared" si="26"/>
        <v>0</v>
      </c>
      <c r="CI46" s="5" t="b">
        <f t="shared" si="25"/>
        <v>0</v>
      </c>
      <c r="CJ46" s="5" t="b">
        <f t="shared" si="24"/>
        <v>0</v>
      </c>
      <c r="CK46" s="5" t="b">
        <f t="shared" si="23"/>
        <v>0</v>
      </c>
      <c r="CL46" s="5" t="b">
        <f t="shared" ref="CL46:CL70" si="70">IF(OR(ISERR(LN(INDEX($Y$3:$Y$70,INDEX($AD$3:$AD$70,71-ROW(),1),1))),$AI46&lt;=MIN($D:$D),$AI46=FALSE),FALSE,LN(INDEX($Y$3:$Y$70,INDEX($AD$3:$AD$70,71-ROW(),1),1)))</f>
        <v>0</v>
      </c>
      <c r="CM46" s="5" t="b">
        <f t="shared" si="68"/>
        <v>0</v>
      </c>
      <c r="CN46" s="5" t="b">
        <f t="shared" si="66"/>
        <v>0</v>
      </c>
      <c r="CO46" s="5" t="b">
        <f t="shared" si="64"/>
        <v>0</v>
      </c>
      <c r="CP46" s="5" t="b">
        <f t="shared" si="62"/>
        <v>0</v>
      </c>
      <c r="CQ46" s="5" t="b">
        <f t="shared" si="60"/>
        <v>0</v>
      </c>
      <c r="CR46" s="5" t="b">
        <f t="shared" si="57"/>
        <v>0</v>
      </c>
      <c r="CS46" s="5" t="b">
        <f t="shared" si="55"/>
        <v>0</v>
      </c>
      <c r="CT46" s="5" t="b">
        <f t="shared" si="53"/>
        <v>0</v>
      </c>
      <c r="CU46" s="5" t="b">
        <f t="shared" si="51"/>
        <v>0</v>
      </c>
      <c r="CV46" s="5" t="b">
        <f t="shared" si="49"/>
        <v>0</v>
      </c>
      <c r="CW46" s="6" t="b">
        <f t="shared" si="47"/>
        <v>0</v>
      </c>
      <c r="CY46" s="77" t="str">
        <f>IF(ROUND(A46,0)&gt;=ROUND($H$4,0),SUM($C$3:$C46),"")</f>
        <v/>
      </c>
    </row>
    <row r="47" spans="1:103" ht="13" x14ac:dyDescent="0.3">
      <c r="A47" s="28" t="b">
        <f t="shared" si="31"/>
        <v>0</v>
      </c>
      <c r="B47" s="10" t="b">
        <f t="shared" si="44"/>
        <v>0</v>
      </c>
      <c r="C47" s="30" t="b">
        <f>IF(A47&lt;=MAX($AI$41:$AI$70),IF(ROW()&lt;=COUNTA(Data!$2:$2)+2,(B47+B46)*(A47-A46)/2,FALSE),FALSE)</f>
        <v>0</v>
      </c>
      <c r="D47" s="10" t="b">
        <f t="shared" si="7"/>
        <v>0</v>
      </c>
      <c r="E47" s="29" t="b">
        <f>IF(A47&lt;=MAX($AI$41:$AI$70),IF(ROW()&lt;=COUNTA(Data!$2:$2)+2,(B47*A47+B46*A46)*(A47-A46)/2,FALSE),FALSE)</f>
        <v>0</v>
      </c>
      <c r="W47" s="10">
        <v>45</v>
      </c>
      <c r="X4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7" s="10" t="b">
        <f>IF(ROW()&lt;=COUNTA(Data!$2:$2),INDEX(Data!$C:$AZ,Analysis!$C$1+1,ROW()-2),FALSE)</f>
        <v>0</v>
      </c>
      <c r="Z47" s="30">
        <f t="shared" si="10"/>
        <v>1</v>
      </c>
      <c r="AA47" s="29" t="b">
        <f t="shared" si="11"/>
        <v>0</v>
      </c>
      <c r="AC47" s="10" t="b">
        <f t="shared" si="0"/>
        <v>0</v>
      </c>
      <c r="AE47" s="10" t="b">
        <f t="shared" si="3"/>
        <v>0</v>
      </c>
      <c r="AF47" s="10">
        <f t="shared" si="12"/>
        <v>0.33300000000000002</v>
      </c>
      <c r="AG47" s="12" t="str">
        <f t="shared" si="8"/>
        <v/>
      </c>
      <c r="AH47" s="10">
        <f t="shared" si="45"/>
        <v>0</v>
      </c>
      <c r="AI47" s="4" t="b">
        <f t="shared" si="58"/>
        <v>0</v>
      </c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 t="b">
        <f t="shared" ref="BE47:BE70" si="71">IF(OR(ISERR(LN(INDEX($Y$3:$Y$70,INDEX($AD$3:$AD$70,71-ROW(),1),1))),$AI47&lt;=MIN($D:$D),$AI47=FALSE),FALSE,LN(INDEX($Y$3:$Y$70,INDEX($AD$3:$AD$70,71-ROW(),1),1)))</f>
        <v>0</v>
      </c>
      <c r="BF47" s="5" t="b">
        <f t="shared" si="69"/>
        <v>0</v>
      </c>
      <c r="BG47" s="5" t="b">
        <f t="shared" si="67"/>
        <v>0</v>
      </c>
      <c r="BH47" s="5" t="b">
        <f t="shared" si="65"/>
        <v>0</v>
      </c>
      <c r="BI47" s="5" t="b">
        <f t="shared" si="63"/>
        <v>0</v>
      </c>
      <c r="BJ47" s="5" t="b">
        <f t="shared" si="61"/>
        <v>0</v>
      </c>
      <c r="BK47" s="5" t="b">
        <f t="shared" si="59"/>
        <v>0</v>
      </c>
      <c r="BL47" s="5" t="b">
        <f t="shared" si="56"/>
        <v>0</v>
      </c>
      <c r="BM47" s="5" t="b">
        <f t="shared" si="54"/>
        <v>0</v>
      </c>
      <c r="BN47" s="5" t="b">
        <f t="shared" si="52"/>
        <v>0</v>
      </c>
      <c r="BO47" s="5" t="b">
        <f t="shared" si="50"/>
        <v>0</v>
      </c>
      <c r="BP47" s="5" t="b">
        <f t="shared" si="48"/>
        <v>0</v>
      </c>
      <c r="BQ47" s="5" t="b">
        <f t="shared" si="46"/>
        <v>0</v>
      </c>
      <c r="BR47" s="5" t="b">
        <f t="shared" si="43"/>
        <v>0</v>
      </c>
      <c r="BS47" s="5" t="b">
        <f t="shared" si="42"/>
        <v>0</v>
      </c>
      <c r="BT47" s="5" t="b">
        <f t="shared" si="41"/>
        <v>0</v>
      </c>
      <c r="BU47" s="5" t="b">
        <f t="shared" si="40"/>
        <v>0</v>
      </c>
      <c r="BV47" s="5" t="b">
        <f t="shared" si="39"/>
        <v>0</v>
      </c>
      <c r="BW47" s="5" t="b">
        <f t="shared" si="38"/>
        <v>0</v>
      </c>
      <c r="BX47" s="5" t="b">
        <f t="shared" si="37"/>
        <v>0</v>
      </c>
      <c r="BY47" s="5" t="b">
        <f t="shared" si="36"/>
        <v>0</v>
      </c>
      <c r="BZ47" s="5" t="b">
        <f t="shared" si="35"/>
        <v>0</v>
      </c>
      <c r="CA47" s="5" t="b">
        <f t="shared" si="34"/>
        <v>0</v>
      </c>
      <c r="CB47" s="5" t="b">
        <f t="shared" si="33"/>
        <v>0</v>
      </c>
      <c r="CC47" s="5" t="b">
        <f t="shared" si="32"/>
        <v>0</v>
      </c>
      <c r="CD47" s="5" t="b">
        <f t="shared" si="30"/>
        <v>0</v>
      </c>
      <c r="CE47" s="5" t="b">
        <f t="shared" si="29"/>
        <v>0</v>
      </c>
      <c r="CF47" s="5" t="b">
        <f t="shared" si="28"/>
        <v>0</v>
      </c>
      <c r="CG47" s="5" t="b">
        <f t="shared" si="27"/>
        <v>0</v>
      </c>
      <c r="CH47" s="5" t="b">
        <f t="shared" si="26"/>
        <v>0</v>
      </c>
      <c r="CI47" s="5" t="b">
        <f t="shared" si="25"/>
        <v>0</v>
      </c>
      <c r="CJ47" s="5" t="b">
        <f t="shared" si="24"/>
        <v>0</v>
      </c>
      <c r="CK47" s="5" t="b">
        <f t="shared" ref="CK47:CK70" si="72">IF(OR(ISERR(LN(INDEX($Y$3:$Y$70,INDEX($AD$3:$AD$70,71-ROW(),1),1))),$AI47&lt;=MIN($D:$D),$AI47=FALSE),FALSE,LN(INDEX($Y$3:$Y$70,INDEX($AD$3:$AD$70,71-ROW(),1),1)))</f>
        <v>0</v>
      </c>
      <c r="CL47" s="5" t="b">
        <f t="shared" si="70"/>
        <v>0</v>
      </c>
      <c r="CM47" s="5" t="b">
        <f t="shared" si="68"/>
        <v>0</v>
      </c>
      <c r="CN47" s="5" t="b">
        <f t="shared" si="66"/>
        <v>0</v>
      </c>
      <c r="CO47" s="5" t="b">
        <f t="shared" si="64"/>
        <v>0</v>
      </c>
      <c r="CP47" s="5" t="b">
        <f t="shared" si="62"/>
        <v>0</v>
      </c>
      <c r="CQ47" s="5" t="b">
        <f t="shared" si="60"/>
        <v>0</v>
      </c>
      <c r="CR47" s="5" t="b">
        <f t="shared" si="57"/>
        <v>0</v>
      </c>
      <c r="CS47" s="5" t="b">
        <f t="shared" si="55"/>
        <v>0</v>
      </c>
      <c r="CT47" s="5" t="b">
        <f t="shared" si="53"/>
        <v>0</v>
      </c>
      <c r="CU47" s="5" t="b">
        <f t="shared" si="51"/>
        <v>0</v>
      </c>
      <c r="CV47" s="5" t="b">
        <f t="shared" si="49"/>
        <v>0</v>
      </c>
      <c r="CW47" s="6" t="b">
        <f t="shared" si="47"/>
        <v>0</v>
      </c>
      <c r="CY47" s="77" t="str">
        <f>IF(ROUND(A47,0)&gt;=ROUND($H$4,0),SUM($C$3:$C47),"")</f>
        <v/>
      </c>
    </row>
    <row r="48" spans="1:103" ht="13" x14ac:dyDescent="0.3">
      <c r="A48" s="28" t="b">
        <f t="shared" si="31"/>
        <v>0</v>
      </c>
      <c r="B48" s="10" t="b">
        <f t="shared" si="44"/>
        <v>0</v>
      </c>
      <c r="C48" s="30" t="b">
        <f>IF(A48&lt;=MAX($AI$41:$AI$70),IF(ROW()&lt;=COUNTA(Data!$2:$2)+2,(B48+B47)*(A48-A47)/2,FALSE),FALSE)</f>
        <v>0</v>
      </c>
      <c r="D48" s="10" t="b">
        <f t="shared" si="7"/>
        <v>0</v>
      </c>
      <c r="E48" s="29" t="b">
        <f>IF(A48&lt;=MAX($AI$41:$AI$70),IF(ROW()&lt;=COUNTA(Data!$2:$2)+2,(B48*A48+B47*A47)*(A48-A47)/2,FALSE),FALSE)</f>
        <v>0</v>
      </c>
      <c r="W48" s="10">
        <v>46</v>
      </c>
      <c r="X4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8" s="10" t="b">
        <f>IF(ROW()&lt;=COUNTA(Data!$2:$2),INDEX(Data!$C:$AZ,Analysis!$C$1+1,ROW()-2),FALSE)</f>
        <v>0</v>
      </c>
      <c r="Z48" s="30">
        <f t="shared" si="10"/>
        <v>1</v>
      </c>
      <c r="AA48" s="29" t="b">
        <f t="shared" si="11"/>
        <v>0</v>
      </c>
      <c r="AC48" s="10" t="b">
        <f t="shared" si="0"/>
        <v>0</v>
      </c>
      <c r="AE48" s="10" t="b">
        <f t="shared" si="3"/>
        <v>0</v>
      </c>
      <c r="AF48" s="10">
        <f t="shared" si="12"/>
        <v>0.33300000000000002</v>
      </c>
      <c r="AG48" s="12" t="str">
        <f t="shared" si="8"/>
        <v/>
      </c>
      <c r="AH48" s="10">
        <f t="shared" si="45"/>
        <v>0</v>
      </c>
      <c r="AI48" s="4" t="b">
        <f t="shared" si="58"/>
        <v>0</v>
      </c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 t="b">
        <f t="shared" ref="BD48:BD70" si="73">IF(OR(ISERR(LN(INDEX($Y$3:$Y$70,INDEX($AD$3:$AD$70,71-ROW(),1),1))),$AI48&lt;=MIN($D:$D),$AI48=FALSE),FALSE,LN(INDEX($Y$3:$Y$70,INDEX($AD$3:$AD$70,71-ROW(),1),1)))</f>
        <v>0</v>
      </c>
      <c r="BE48" s="5" t="b">
        <f t="shared" si="71"/>
        <v>0</v>
      </c>
      <c r="BF48" s="5" t="b">
        <f t="shared" si="69"/>
        <v>0</v>
      </c>
      <c r="BG48" s="5" t="b">
        <f t="shared" si="67"/>
        <v>0</v>
      </c>
      <c r="BH48" s="5" t="b">
        <f t="shared" si="65"/>
        <v>0</v>
      </c>
      <c r="BI48" s="5" t="b">
        <f t="shared" si="63"/>
        <v>0</v>
      </c>
      <c r="BJ48" s="5" t="b">
        <f t="shared" si="61"/>
        <v>0</v>
      </c>
      <c r="BK48" s="5" t="b">
        <f t="shared" si="59"/>
        <v>0</v>
      </c>
      <c r="BL48" s="5" t="b">
        <f t="shared" si="56"/>
        <v>0</v>
      </c>
      <c r="BM48" s="5" t="b">
        <f t="shared" si="54"/>
        <v>0</v>
      </c>
      <c r="BN48" s="5" t="b">
        <f t="shared" si="52"/>
        <v>0</v>
      </c>
      <c r="BO48" s="5" t="b">
        <f t="shared" si="50"/>
        <v>0</v>
      </c>
      <c r="BP48" s="5" t="b">
        <f t="shared" si="48"/>
        <v>0</v>
      </c>
      <c r="BQ48" s="5" t="b">
        <f t="shared" si="46"/>
        <v>0</v>
      </c>
      <c r="BR48" s="5" t="b">
        <f t="shared" si="43"/>
        <v>0</v>
      </c>
      <c r="BS48" s="5" t="b">
        <f t="shared" si="42"/>
        <v>0</v>
      </c>
      <c r="BT48" s="5" t="b">
        <f t="shared" si="41"/>
        <v>0</v>
      </c>
      <c r="BU48" s="5" t="b">
        <f t="shared" si="40"/>
        <v>0</v>
      </c>
      <c r="BV48" s="5" t="b">
        <f t="shared" si="39"/>
        <v>0</v>
      </c>
      <c r="BW48" s="5" t="b">
        <f t="shared" si="38"/>
        <v>0</v>
      </c>
      <c r="BX48" s="5" t="b">
        <f t="shared" si="37"/>
        <v>0</v>
      </c>
      <c r="BY48" s="5" t="b">
        <f t="shared" si="36"/>
        <v>0</v>
      </c>
      <c r="BZ48" s="5" t="b">
        <f t="shared" si="35"/>
        <v>0</v>
      </c>
      <c r="CA48" s="5" t="b">
        <f t="shared" si="34"/>
        <v>0</v>
      </c>
      <c r="CB48" s="5" t="b">
        <f t="shared" si="33"/>
        <v>0</v>
      </c>
      <c r="CC48" s="5" t="b">
        <f t="shared" si="32"/>
        <v>0</v>
      </c>
      <c r="CD48" s="5" t="b">
        <f t="shared" si="30"/>
        <v>0</v>
      </c>
      <c r="CE48" s="5" t="b">
        <f t="shared" si="29"/>
        <v>0</v>
      </c>
      <c r="CF48" s="5" t="b">
        <f t="shared" si="28"/>
        <v>0</v>
      </c>
      <c r="CG48" s="5" t="b">
        <f t="shared" si="27"/>
        <v>0</v>
      </c>
      <c r="CH48" s="5" t="b">
        <f t="shared" si="26"/>
        <v>0</v>
      </c>
      <c r="CI48" s="5" t="b">
        <f t="shared" si="25"/>
        <v>0</v>
      </c>
      <c r="CJ48" s="5" t="b">
        <f t="shared" ref="CJ48:CJ70" si="74">IF(OR(ISERR(LN(INDEX($Y$3:$Y$70,INDEX($AD$3:$AD$70,71-ROW(),1),1))),$AI48&lt;=MIN($D:$D),$AI48=FALSE),FALSE,LN(INDEX($Y$3:$Y$70,INDEX($AD$3:$AD$70,71-ROW(),1),1)))</f>
        <v>0</v>
      </c>
      <c r="CK48" s="5" t="b">
        <f t="shared" si="72"/>
        <v>0</v>
      </c>
      <c r="CL48" s="5" t="b">
        <f t="shared" si="70"/>
        <v>0</v>
      </c>
      <c r="CM48" s="5" t="b">
        <f t="shared" si="68"/>
        <v>0</v>
      </c>
      <c r="CN48" s="5" t="b">
        <f t="shared" si="66"/>
        <v>0</v>
      </c>
      <c r="CO48" s="5" t="b">
        <f t="shared" si="64"/>
        <v>0</v>
      </c>
      <c r="CP48" s="5" t="b">
        <f t="shared" si="62"/>
        <v>0</v>
      </c>
      <c r="CQ48" s="5" t="b">
        <f t="shared" si="60"/>
        <v>0</v>
      </c>
      <c r="CR48" s="5" t="b">
        <f t="shared" si="57"/>
        <v>0</v>
      </c>
      <c r="CS48" s="5" t="b">
        <f t="shared" si="55"/>
        <v>0</v>
      </c>
      <c r="CT48" s="5" t="b">
        <f t="shared" si="53"/>
        <v>0</v>
      </c>
      <c r="CU48" s="5" t="b">
        <f t="shared" si="51"/>
        <v>0</v>
      </c>
      <c r="CV48" s="5" t="b">
        <f t="shared" si="49"/>
        <v>0</v>
      </c>
      <c r="CW48" s="6" t="b">
        <f t="shared" si="47"/>
        <v>0</v>
      </c>
      <c r="CY48" s="77" t="str">
        <f>IF(ROUND(A48,0)&gt;=ROUND($H$4,0),SUM($C$3:$C48),"")</f>
        <v/>
      </c>
    </row>
    <row r="49" spans="1:103" ht="13" x14ac:dyDescent="0.3">
      <c r="A49" s="28" t="b">
        <f t="shared" si="31"/>
        <v>0</v>
      </c>
      <c r="B49" s="10" t="b">
        <f t="shared" si="44"/>
        <v>0</v>
      </c>
      <c r="C49" s="30" t="b">
        <f>IF(A49&lt;=MAX($AI$41:$AI$70),IF(ROW()&lt;=COUNTA(Data!$2:$2)+2,(B49+B48)*(A49-A48)/2,FALSE),FALSE)</f>
        <v>0</v>
      </c>
      <c r="D49" s="10" t="b">
        <f t="shared" si="7"/>
        <v>0</v>
      </c>
      <c r="E49" s="29" t="b">
        <f>IF(A49&lt;=MAX($AI$41:$AI$70),IF(ROW()&lt;=COUNTA(Data!$2:$2)+2,(B49*A49+B48*A48)*(A49-A48)/2,FALSE),FALSE)</f>
        <v>0</v>
      </c>
      <c r="W49" s="10">
        <v>47</v>
      </c>
      <c r="X4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49" s="10" t="b">
        <f>IF(ROW()&lt;=COUNTA(Data!$2:$2),INDEX(Data!$C:$AZ,Analysis!$C$1+1,ROW()-2),FALSE)</f>
        <v>0</v>
      </c>
      <c r="Z49" s="30">
        <f t="shared" si="10"/>
        <v>1</v>
      </c>
      <c r="AA49" s="29" t="b">
        <f t="shared" si="11"/>
        <v>0</v>
      </c>
      <c r="AC49" s="10" t="b">
        <f t="shared" si="0"/>
        <v>0</v>
      </c>
      <c r="AE49" s="10" t="b">
        <f t="shared" si="3"/>
        <v>0</v>
      </c>
      <c r="AF49" s="10">
        <f t="shared" si="12"/>
        <v>0.33300000000000002</v>
      </c>
      <c r="AG49" s="12" t="str">
        <f t="shared" si="8"/>
        <v/>
      </c>
      <c r="AH49" s="10">
        <f t="shared" si="45"/>
        <v>0</v>
      </c>
      <c r="AI49" s="4" t="b">
        <f t="shared" si="58"/>
        <v>0</v>
      </c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 t="b">
        <f t="shared" ref="BC49:BC70" si="75">IF(OR(ISERR(LN(INDEX($Y$3:$Y$70,INDEX($AD$3:$AD$70,71-ROW(),1),1))),$AI49&lt;=MIN($D:$D),$AI49=FALSE),FALSE,LN(INDEX($Y$3:$Y$70,INDEX($AD$3:$AD$70,71-ROW(),1),1)))</f>
        <v>0</v>
      </c>
      <c r="BD49" s="5" t="b">
        <f t="shared" si="73"/>
        <v>0</v>
      </c>
      <c r="BE49" s="5" t="b">
        <f t="shared" si="71"/>
        <v>0</v>
      </c>
      <c r="BF49" s="5" t="b">
        <f t="shared" si="69"/>
        <v>0</v>
      </c>
      <c r="BG49" s="5" t="b">
        <f t="shared" si="67"/>
        <v>0</v>
      </c>
      <c r="BH49" s="5" t="b">
        <f t="shared" si="65"/>
        <v>0</v>
      </c>
      <c r="BI49" s="5" t="b">
        <f t="shared" si="63"/>
        <v>0</v>
      </c>
      <c r="BJ49" s="5" t="b">
        <f t="shared" si="61"/>
        <v>0</v>
      </c>
      <c r="BK49" s="5" t="b">
        <f t="shared" si="59"/>
        <v>0</v>
      </c>
      <c r="BL49" s="5" t="b">
        <f t="shared" si="56"/>
        <v>0</v>
      </c>
      <c r="BM49" s="5" t="b">
        <f t="shared" si="54"/>
        <v>0</v>
      </c>
      <c r="BN49" s="5" t="b">
        <f t="shared" si="52"/>
        <v>0</v>
      </c>
      <c r="BO49" s="5" t="b">
        <f t="shared" si="50"/>
        <v>0</v>
      </c>
      <c r="BP49" s="5" t="b">
        <f t="shared" si="48"/>
        <v>0</v>
      </c>
      <c r="BQ49" s="5" t="b">
        <f t="shared" si="46"/>
        <v>0</v>
      </c>
      <c r="BR49" s="5" t="b">
        <f t="shared" si="43"/>
        <v>0</v>
      </c>
      <c r="BS49" s="5" t="b">
        <f t="shared" si="42"/>
        <v>0</v>
      </c>
      <c r="BT49" s="5" t="b">
        <f t="shared" si="41"/>
        <v>0</v>
      </c>
      <c r="BU49" s="5" t="b">
        <f t="shared" si="40"/>
        <v>0</v>
      </c>
      <c r="BV49" s="5" t="b">
        <f t="shared" si="39"/>
        <v>0</v>
      </c>
      <c r="BW49" s="5" t="b">
        <f t="shared" si="38"/>
        <v>0</v>
      </c>
      <c r="BX49" s="5" t="b">
        <f t="shared" si="37"/>
        <v>0</v>
      </c>
      <c r="BY49" s="5" t="b">
        <f t="shared" si="36"/>
        <v>0</v>
      </c>
      <c r="BZ49" s="5" t="b">
        <f t="shared" si="35"/>
        <v>0</v>
      </c>
      <c r="CA49" s="5" t="b">
        <f t="shared" si="34"/>
        <v>0</v>
      </c>
      <c r="CB49" s="5" t="b">
        <f t="shared" si="33"/>
        <v>0</v>
      </c>
      <c r="CC49" s="5" t="b">
        <f t="shared" si="32"/>
        <v>0</v>
      </c>
      <c r="CD49" s="5" t="b">
        <f t="shared" si="30"/>
        <v>0</v>
      </c>
      <c r="CE49" s="5" t="b">
        <f t="shared" si="29"/>
        <v>0</v>
      </c>
      <c r="CF49" s="5" t="b">
        <f t="shared" si="28"/>
        <v>0</v>
      </c>
      <c r="CG49" s="5" t="b">
        <f t="shared" si="27"/>
        <v>0</v>
      </c>
      <c r="CH49" s="5" t="b">
        <f t="shared" si="26"/>
        <v>0</v>
      </c>
      <c r="CI49" s="5" t="b">
        <f t="shared" ref="CI49:CI70" si="76">IF(OR(ISERR(LN(INDEX($Y$3:$Y$70,INDEX($AD$3:$AD$70,71-ROW(),1),1))),$AI49&lt;=MIN($D:$D),$AI49=FALSE),FALSE,LN(INDEX($Y$3:$Y$70,INDEX($AD$3:$AD$70,71-ROW(),1),1)))</f>
        <v>0</v>
      </c>
      <c r="CJ49" s="5" t="b">
        <f t="shared" si="74"/>
        <v>0</v>
      </c>
      <c r="CK49" s="5" t="b">
        <f t="shared" si="72"/>
        <v>0</v>
      </c>
      <c r="CL49" s="5" t="b">
        <f t="shared" si="70"/>
        <v>0</v>
      </c>
      <c r="CM49" s="5" t="b">
        <f t="shared" si="68"/>
        <v>0</v>
      </c>
      <c r="CN49" s="5" t="b">
        <f t="shared" si="66"/>
        <v>0</v>
      </c>
      <c r="CO49" s="5" t="b">
        <f t="shared" si="64"/>
        <v>0</v>
      </c>
      <c r="CP49" s="5" t="b">
        <f t="shared" si="62"/>
        <v>0</v>
      </c>
      <c r="CQ49" s="5" t="b">
        <f t="shared" si="60"/>
        <v>0</v>
      </c>
      <c r="CR49" s="5" t="b">
        <f t="shared" si="57"/>
        <v>0</v>
      </c>
      <c r="CS49" s="5" t="b">
        <f t="shared" si="55"/>
        <v>0</v>
      </c>
      <c r="CT49" s="5" t="b">
        <f t="shared" si="53"/>
        <v>0</v>
      </c>
      <c r="CU49" s="5" t="b">
        <f t="shared" si="51"/>
        <v>0</v>
      </c>
      <c r="CV49" s="5" t="b">
        <f t="shared" si="49"/>
        <v>0</v>
      </c>
      <c r="CW49" s="6" t="b">
        <f t="shared" si="47"/>
        <v>0</v>
      </c>
      <c r="CY49" s="77" t="str">
        <f>IF(ROUND(A49,0)&gt;=ROUND($H$4,0),SUM($C$3:$C49),"")</f>
        <v/>
      </c>
    </row>
    <row r="50" spans="1:103" ht="13" x14ac:dyDescent="0.3">
      <c r="A50" s="28" t="b">
        <f t="shared" si="31"/>
        <v>0</v>
      </c>
      <c r="B50" s="10" t="b">
        <f t="shared" si="44"/>
        <v>0</v>
      </c>
      <c r="C50" s="30" t="b">
        <f>IF(A50&lt;=MAX($AI$41:$AI$70),IF(ROW()&lt;=COUNTA(Data!$2:$2)+2,(B50+B49)*(A50-A49)/2,FALSE),FALSE)</f>
        <v>0</v>
      </c>
      <c r="D50" s="10" t="b">
        <f t="shared" si="7"/>
        <v>0</v>
      </c>
      <c r="E50" s="29" t="b">
        <f>IF(A50&lt;=MAX($AI$41:$AI$70),IF(ROW()&lt;=COUNTA(Data!$2:$2)+2,(B50*A50+B49*A49)*(A50-A49)/2,FALSE),FALSE)</f>
        <v>0</v>
      </c>
      <c r="W50" s="10">
        <v>48</v>
      </c>
      <c r="X5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0" s="10" t="b">
        <f>IF(ROW()&lt;=COUNTA(Data!$2:$2),INDEX(Data!$C:$AZ,Analysis!$C$1+1,ROW()-2),FALSE)</f>
        <v>0</v>
      </c>
      <c r="Z50" s="30">
        <f t="shared" si="10"/>
        <v>1</v>
      </c>
      <c r="AA50" s="29" t="b">
        <f t="shared" si="11"/>
        <v>0</v>
      </c>
      <c r="AC50" s="10" t="b">
        <f t="shared" si="0"/>
        <v>0</v>
      </c>
      <c r="AE50" s="10" t="b">
        <f t="shared" si="3"/>
        <v>0</v>
      </c>
      <c r="AF50" s="10">
        <f t="shared" si="12"/>
        <v>0.33300000000000002</v>
      </c>
      <c r="AG50" s="12" t="str">
        <f t="shared" si="8"/>
        <v/>
      </c>
      <c r="AH50" s="10">
        <f t="shared" si="45"/>
        <v>0</v>
      </c>
      <c r="AI50" s="4" t="b">
        <f t="shared" si="58"/>
        <v>0</v>
      </c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 t="b">
        <f t="shared" ref="BB50:BB70" si="77">IF(OR(ISERR(LN(INDEX($Y$3:$Y$70,INDEX($AD$3:$AD$70,71-ROW(),1),1))),$AI50&lt;=MIN($D:$D),$AI50=FALSE),FALSE,LN(INDEX($Y$3:$Y$70,INDEX($AD$3:$AD$70,71-ROW(),1),1)))</f>
        <v>0</v>
      </c>
      <c r="BC50" s="5" t="b">
        <f t="shared" si="75"/>
        <v>0</v>
      </c>
      <c r="BD50" s="5" t="b">
        <f t="shared" si="73"/>
        <v>0</v>
      </c>
      <c r="BE50" s="5" t="b">
        <f t="shared" si="71"/>
        <v>0</v>
      </c>
      <c r="BF50" s="5" t="b">
        <f t="shared" si="69"/>
        <v>0</v>
      </c>
      <c r="BG50" s="5" t="b">
        <f t="shared" si="67"/>
        <v>0</v>
      </c>
      <c r="BH50" s="5" t="b">
        <f t="shared" si="65"/>
        <v>0</v>
      </c>
      <c r="BI50" s="5" t="b">
        <f t="shared" si="63"/>
        <v>0</v>
      </c>
      <c r="BJ50" s="5" t="b">
        <f t="shared" si="61"/>
        <v>0</v>
      </c>
      <c r="BK50" s="5" t="b">
        <f t="shared" si="59"/>
        <v>0</v>
      </c>
      <c r="BL50" s="5" t="b">
        <f t="shared" si="56"/>
        <v>0</v>
      </c>
      <c r="BM50" s="5" t="b">
        <f t="shared" si="54"/>
        <v>0</v>
      </c>
      <c r="BN50" s="5" t="b">
        <f t="shared" si="52"/>
        <v>0</v>
      </c>
      <c r="BO50" s="5" t="b">
        <f t="shared" si="50"/>
        <v>0</v>
      </c>
      <c r="BP50" s="5" t="b">
        <f t="shared" si="48"/>
        <v>0</v>
      </c>
      <c r="BQ50" s="5" t="b">
        <f t="shared" si="46"/>
        <v>0</v>
      </c>
      <c r="BR50" s="5" t="b">
        <f t="shared" si="43"/>
        <v>0</v>
      </c>
      <c r="BS50" s="5" t="b">
        <f t="shared" si="42"/>
        <v>0</v>
      </c>
      <c r="BT50" s="5" t="b">
        <f t="shared" si="41"/>
        <v>0</v>
      </c>
      <c r="BU50" s="5" t="b">
        <f t="shared" si="40"/>
        <v>0</v>
      </c>
      <c r="BV50" s="5" t="b">
        <f t="shared" si="39"/>
        <v>0</v>
      </c>
      <c r="BW50" s="5" t="b">
        <f t="shared" si="38"/>
        <v>0</v>
      </c>
      <c r="BX50" s="5" t="b">
        <f t="shared" si="37"/>
        <v>0</v>
      </c>
      <c r="BY50" s="5" t="b">
        <f t="shared" si="36"/>
        <v>0</v>
      </c>
      <c r="BZ50" s="5" t="b">
        <f t="shared" si="35"/>
        <v>0</v>
      </c>
      <c r="CA50" s="5" t="b">
        <f t="shared" si="34"/>
        <v>0</v>
      </c>
      <c r="CB50" s="5" t="b">
        <f t="shared" si="33"/>
        <v>0</v>
      </c>
      <c r="CC50" s="5" t="b">
        <f t="shared" si="32"/>
        <v>0</v>
      </c>
      <c r="CD50" s="5" t="b">
        <f t="shared" si="30"/>
        <v>0</v>
      </c>
      <c r="CE50" s="5" t="b">
        <f t="shared" si="29"/>
        <v>0</v>
      </c>
      <c r="CF50" s="5" t="b">
        <f t="shared" si="28"/>
        <v>0</v>
      </c>
      <c r="CG50" s="5" t="b">
        <f t="shared" si="27"/>
        <v>0</v>
      </c>
      <c r="CH50" s="5" t="b">
        <f t="shared" ref="CH50:CH70" si="78">IF(OR(ISERR(LN(INDEX($Y$3:$Y$70,INDEX($AD$3:$AD$70,71-ROW(),1),1))),$AI50&lt;=MIN($D:$D),$AI50=FALSE),FALSE,LN(INDEX($Y$3:$Y$70,INDEX($AD$3:$AD$70,71-ROW(),1),1)))</f>
        <v>0</v>
      </c>
      <c r="CI50" s="5" t="b">
        <f t="shared" si="76"/>
        <v>0</v>
      </c>
      <c r="CJ50" s="5" t="b">
        <f t="shared" si="74"/>
        <v>0</v>
      </c>
      <c r="CK50" s="5" t="b">
        <f t="shared" si="72"/>
        <v>0</v>
      </c>
      <c r="CL50" s="5" t="b">
        <f t="shared" si="70"/>
        <v>0</v>
      </c>
      <c r="CM50" s="5" t="b">
        <f t="shared" si="68"/>
        <v>0</v>
      </c>
      <c r="CN50" s="5" t="b">
        <f t="shared" si="66"/>
        <v>0</v>
      </c>
      <c r="CO50" s="5" t="b">
        <f t="shared" si="64"/>
        <v>0</v>
      </c>
      <c r="CP50" s="5" t="b">
        <f t="shared" si="62"/>
        <v>0</v>
      </c>
      <c r="CQ50" s="5" t="b">
        <f t="shared" si="60"/>
        <v>0</v>
      </c>
      <c r="CR50" s="5" t="b">
        <f t="shared" si="57"/>
        <v>0</v>
      </c>
      <c r="CS50" s="5" t="b">
        <f t="shared" si="55"/>
        <v>0</v>
      </c>
      <c r="CT50" s="5" t="b">
        <f t="shared" si="53"/>
        <v>0</v>
      </c>
      <c r="CU50" s="5" t="b">
        <f t="shared" si="51"/>
        <v>0</v>
      </c>
      <c r="CV50" s="5" t="b">
        <f t="shared" si="49"/>
        <v>0</v>
      </c>
      <c r="CW50" s="6" t="b">
        <f t="shared" si="47"/>
        <v>0</v>
      </c>
      <c r="CY50" s="77" t="str">
        <f>IF(ROUND(A50,0)&gt;=ROUND($H$4,0),SUM($C$3:$C50),"")</f>
        <v/>
      </c>
    </row>
    <row r="51" spans="1:103" ht="13" x14ac:dyDescent="0.3">
      <c r="A51" s="28" t="b">
        <f t="shared" si="31"/>
        <v>0</v>
      </c>
      <c r="B51" s="10" t="b">
        <f t="shared" si="44"/>
        <v>0</v>
      </c>
      <c r="C51" s="30" t="b">
        <f>IF(A51&lt;=MAX($AI$41:$AI$70),IF(ROW()&lt;=COUNTA(Data!$2:$2)+2,(B51+B50)*(A51-A50)/2,FALSE),FALSE)</f>
        <v>0</v>
      </c>
      <c r="D51" s="10" t="b">
        <f t="shared" si="7"/>
        <v>0</v>
      </c>
      <c r="E51" s="29" t="b">
        <f>IF(A51&lt;=MAX($AI$41:$AI$70),IF(ROW()&lt;=COUNTA(Data!$2:$2)+2,(B51*A51+B50*A50)*(A51-A50)/2,FALSE),FALSE)</f>
        <v>0</v>
      </c>
      <c r="W51" s="10">
        <v>49</v>
      </c>
      <c r="X5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1" s="10" t="b">
        <f>IF(ROW()&lt;=COUNTA(Data!$2:$2),INDEX(Data!$C:$AZ,Analysis!$C$1+1,ROW()-2),FALSE)</f>
        <v>0</v>
      </c>
      <c r="Z51" s="30">
        <f t="shared" si="10"/>
        <v>1</v>
      </c>
      <c r="AA51" s="29" t="b">
        <f t="shared" si="11"/>
        <v>0</v>
      </c>
      <c r="AC51" s="10" t="b">
        <f t="shared" si="0"/>
        <v>0</v>
      </c>
      <c r="AE51" s="10" t="b">
        <f t="shared" si="3"/>
        <v>0</v>
      </c>
      <c r="AF51" s="10">
        <f t="shared" si="12"/>
        <v>0.33300000000000002</v>
      </c>
      <c r="AG51" s="12" t="str">
        <f t="shared" si="8"/>
        <v/>
      </c>
      <c r="AH51" s="10">
        <f t="shared" si="45"/>
        <v>0</v>
      </c>
      <c r="AI51" s="4" t="b">
        <f t="shared" si="58"/>
        <v>0</v>
      </c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 t="b">
        <f t="shared" ref="BA51:BA70" si="79">IF(OR(ISERR(LN(INDEX($Y$3:$Y$70,INDEX($AD$3:$AD$70,71-ROW(),1),1))),$AI51&lt;=MIN($D:$D),$AI51=FALSE),FALSE,LN(INDEX($Y$3:$Y$70,INDEX($AD$3:$AD$70,71-ROW(),1),1)))</f>
        <v>0</v>
      </c>
      <c r="BB51" s="5" t="b">
        <f t="shared" si="77"/>
        <v>0</v>
      </c>
      <c r="BC51" s="5" t="b">
        <f t="shared" si="75"/>
        <v>0</v>
      </c>
      <c r="BD51" s="5" t="b">
        <f t="shared" si="73"/>
        <v>0</v>
      </c>
      <c r="BE51" s="5" t="b">
        <f t="shared" si="71"/>
        <v>0</v>
      </c>
      <c r="BF51" s="5" t="b">
        <f t="shared" si="69"/>
        <v>0</v>
      </c>
      <c r="BG51" s="5" t="b">
        <f t="shared" si="67"/>
        <v>0</v>
      </c>
      <c r="BH51" s="5" t="b">
        <f t="shared" si="65"/>
        <v>0</v>
      </c>
      <c r="BI51" s="5" t="b">
        <f t="shared" si="63"/>
        <v>0</v>
      </c>
      <c r="BJ51" s="5" t="b">
        <f t="shared" si="61"/>
        <v>0</v>
      </c>
      <c r="BK51" s="5" t="b">
        <f t="shared" si="59"/>
        <v>0</v>
      </c>
      <c r="BL51" s="5" t="b">
        <f t="shared" si="56"/>
        <v>0</v>
      </c>
      <c r="BM51" s="5" t="b">
        <f t="shared" si="54"/>
        <v>0</v>
      </c>
      <c r="BN51" s="5" t="b">
        <f t="shared" si="52"/>
        <v>0</v>
      </c>
      <c r="BO51" s="5" t="b">
        <f t="shared" si="50"/>
        <v>0</v>
      </c>
      <c r="BP51" s="5" t="b">
        <f t="shared" si="48"/>
        <v>0</v>
      </c>
      <c r="BQ51" s="5" t="b">
        <f t="shared" si="46"/>
        <v>0</v>
      </c>
      <c r="BR51" s="5" t="b">
        <f t="shared" si="43"/>
        <v>0</v>
      </c>
      <c r="BS51" s="5" t="b">
        <f t="shared" si="42"/>
        <v>0</v>
      </c>
      <c r="BT51" s="5" t="b">
        <f t="shared" si="41"/>
        <v>0</v>
      </c>
      <c r="BU51" s="5" t="b">
        <f t="shared" si="40"/>
        <v>0</v>
      </c>
      <c r="BV51" s="5" t="b">
        <f t="shared" si="39"/>
        <v>0</v>
      </c>
      <c r="BW51" s="5" t="b">
        <f t="shared" si="38"/>
        <v>0</v>
      </c>
      <c r="BX51" s="5" t="b">
        <f t="shared" si="37"/>
        <v>0</v>
      </c>
      <c r="BY51" s="5" t="b">
        <f t="shared" si="36"/>
        <v>0</v>
      </c>
      <c r="BZ51" s="5" t="b">
        <f t="shared" si="35"/>
        <v>0</v>
      </c>
      <c r="CA51" s="5" t="b">
        <f t="shared" si="34"/>
        <v>0</v>
      </c>
      <c r="CB51" s="5" t="b">
        <f t="shared" si="33"/>
        <v>0</v>
      </c>
      <c r="CC51" s="5" t="b">
        <f t="shared" si="32"/>
        <v>0</v>
      </c>
      <c r="CD51" s="5" t="b">
        <f t="shared" si="30"/>
        <v>0</v>
      </c>
      <c r="CE51" s="5" t="b">
        <f t="shared" si="29"/>
        <v>0</v>
      </c>
      <c r="CF51" s="5" t="b">
        <f t="shared" si="28"/>
        <v>0</v>
      </c>
      <c r="CG51" s="5" t="b">
        <f t="shared" ref="CG51:CG70" si="80">IF(OR(ISERR(LN(INDEX($Y$3:$Y$70,INDEX($AD$3:$AD$70,71-ROW(),1),1))),$AI51&lt;=MIN($D:$D),$AI51=FALSE),FALSE,LN(INDEX($Y$3:$Y$70,INDEX($AD$3:$AD$70,71-ROW(),1),1)))</f>
        <v>0</v>
      </c>
      <c r="CH51" s="5" t="b">
        <f t="shared" si="78"/>
        <v>0</v>
      </c>
      <c r="CI51" s="5" t="b">
        <f t="shared" si="76"/>
        <v>0</v>
      </c>
      <c r="CJ51" s="5" t="b">
        <f t="shared" si="74"/>
        <v>0</v>
      </c>
      <c r="CK51" s="5" t="b">
        <f t="shared" si="72"/>
        <v>0</v>
      </c>
      <c r="CL51" s="5" t="b">
        <f t="shared" si="70"/>
        <v>0</v>
      </c>
      <c r="CM51" s="5" t="b">
        <f t="shared" si="68"/>
        <v>0</v>
      </c>
      <c r="CN51" s="5" t="b">
        <f t="shared" si="66"/>
        <v>0</v>
      </c>
      <c r="CO51" s="5" t="b">
        <f t="shared" si="64"/>
        <v>0</v>
      </c>
      <c r="CP51" s="5" t="b">
        <f t="shared" si="62"/>
        <v>0</v>
      </c>
      <c r="CQ51" s="5" t="b">
        <f t="shared" si="60"/>
        <v>0</v>
      </c>
      <c r="CR51" s="5" t="b">
        <f t="shared" si="57"/>
        <v>0</v>
      </c>
      <c r="CS51" s="5" t="b">
        <f t="shared" si="55"/>
        <v>0</v>
      </c>
      <c r="CT51" s="5" t="b">
        <f t="shared" si="53"/>
        <v>0</v>
      </c>
      <c r="CU51" s="5" t="b">
        <f t="shared" si="51"/>
        <v>0</v>
      </c>
      <c r="CV51" s="5" t="b">
        <f t="shared" si="49"/>
        <v>0</v>
      </c>
      <c r="CW51" s="6" t="b">
        <f t="shared" si="47"/>
        <v>0</v>
      </c>
      <c r="CY51" s="77" t="str">
        <f>IF(ROUND(A51,0)&gt;=ROUND($H$4,0),SUM($C$3:$C51),"")</f>
        <v/>
      </c>
    </row>
    <row r="52" spans="1:103" ht="13" x14ac:dyDescent="0.3">
      <c r="A52" s="28" t="b">
        <f t="shared" si="31"/>
        <v>0</v>
      </c>
      <c r="B52" s="10" t="b">
        <f t="shared" si="44"/>
        <v>0</v>
      </c>
      <c r="C52" s="30" t="b">
        <f>IF(A52&lt;=MAX($AI$41:$AI$70),IF(ROW()&lt;=COUNTA(Data!$2:$2)+2,(B52+B51)*(A52-A51)/2,FALSE),FALSE)</f>
        <v>0</v>
      </c>
      <c r="D52" s="10" t="b">
        <f t="shared" si="7"/>
        <v>0</v>
      </c>
      <c r="E52" s="29" t="b">
        <f>IF(A52&lt;=MAX($AI$41:$AI$70),IF(ROW()&lt;=COUNTA(Data!$2:$2)+2,(B52*A52+B51*A51)*(A52-A51)/2,FALSE),FALSE)</f>
        <v>0</v>
      </c>
      <c r="W52" s="10">
        <v>50</v>
      </c>
      <c r="X5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2" s="10" t="b">
        <f>IF(ROW()&lt;=COUNTA(Data!$2:$2),INDEX(Data!$C:$AZ,Analysis!$C$1+1,ROW()-2),FALSE)</f>
        <v>0</v>
      </c>
      <c r="Z52" s="30">
        <f t="shared" si="10"/>
        <v>1</v>
      </c>
      <c r="AA52" s="29" t="b">
        <f t="shared" si="11"/>
        <v>0</v>
      </c>
      <c r="AC52" s="10" t="b">
        <f t="shared" si="0"/>
        <v>0</v>
      </c>
      <c r="AE52" s="10" t="b">
        <f t="shared" si="3"/>
        <v>0</v>
      </c>
      <c r="AF52" s="10">
        <f t="shared" si="12"/>
        <v>0.33300000000000002</v>
      </c>
      <c r="AG52" s="12" t="str">
        <f t="shared" si="8"/>
        <v/>
      </c>
      <c r="AH52" s="10">
        <f t="shared" si="45"/>
        <v>0</v>
      </c>
      <c r="AI52" s="4" t="b">
        <f t="shared" si="58"/>
        <v>0</v>
      </c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 t="b">
        <f t="shared" ref="AZ52:AZ70" si="81">IF(OR(ISERR(LN(INDEX($Y$3:$Y$70,INDEX($AD$3:$AD$70,71-ROW(),1),1))),$AI52&lt;=MIN($D:$D),$AI52=FALSE),FALSE,LN(INDEX($Y$3:$Y$70,INDEX($AD$3:$AD$70,71-ROW(),1),1)))</f>
        <v>0</v>
      </c>
      <c r="BA52" s="5" t="b">
        <f t="shared" si="79"/>
        <v>0</v>
      </c>
      <c r="BB52" s="5" t="b">
        <f t="shared" si="77"/>
        <v>0</v>
      </c>
      <c r="BC52" s="5" t="b">
        <f t="shared" si="75"/>
        <v>0</v>
      </c>
      <c r="BD52" s="5" t="b">
        <f t="shared" si="73"/>
        <v>0</v>
      </c>
      <c r="BE52" s="5" t="b">
        <f t="shared" si="71"/>
        <v>0</v>
      </c>
      <c r="BF52" s="5" t="b">
        <f t="shared" si="69"/>
        <v>0</v>
      </c>
      <c r="BG52" s="5" t="b">
        <f t="shared" si="67"/>
        <v>0</v>
      </c>
      <c r="BH52" s="5" t="b">
        <f t="shared" si="65"/>
        <v>0</v>
      </c>
      <c r="BI52" s="5" t="b">
        <f t="shared" si="63"/>
        <v>0</v>
      </c>
      <c r="BJ52" s="5" t="b">
        <f t="shared" si="61"/>
        <v>0</v>
      </c>
      <c r="BK52" s="5" t="b">
        <f t="shared" si="59"/>
        <v>0</v>
      </c>
      <c r="BL52" s="5" t="b">
        <f t="shared" si="56"/>
        <v>0</v>
      </c>
      <c r="BM52" s="5" t="b">
        <f t="shared" si="54"/>
        <v>0</v>
      </c>
      <c r="BN52" s="5" t="b">
        <f t="shared" si="52"/>
        <v>0</v>
      </c>
      <c r="BO52" s="5" t="b">
        <f t="shared" si="50"/>
        <v>0</v>
      </c>
      <c r="BP52" s="5" t="b">
        <f t="shared" si="48"/>
        <v>0</v>
      </c>
      <c r="BQ52" s="5" t="b">
        <f t="shared" si="46"/>
        <v>0</v>
      </c>
      <c r="BR52" s="5" t="b">
        <f t="shared" si="43"/>
        <v>0</v>
      </c>
      <c r="BS52" s="5" t="b">
        <f t="shared" si="42"/>
        <v>0</v>
      </c>
      <c r="BT52" s="5" t="b">
        <f t="shared" si="41"/>
        <v>0</v>
      </c>
      <c r="BU52" s="5" t="b">
        <f t="shared" si="40"/>
        <v>0</v>
      </c>
      <c r="BV52" s="5" t="b">
        <f t="shared" si="39"/>
        <v>0</v>
      </c>
      <c r="BW52" s="5" t="b">
        <f t="shared" si="38"/>
        <v>0</v>
      </c>
      <c r="BX52" s="5" t="b">
        <f t="shared" si="37"/>
        <v>0</v>
      </c>
      <c r="BY52" s="5" t="b">
        <f t="shared" si="36"/>
        <v>0</v>
      </c>
      <c r="BZ52" s="5" t="b">
        <f t="shared" si="35"/>
        <v>0</v>
      </c>
      <c r="CA52" s="5" t="b">
        <f t="shared" si="34"/>
        <v>0</v>
      </c>
      <c r="CB52" s="5" t="b">
        <f t="shared" si="33"/>
        <v>0</v>
      </c>
      <c r="CC52" s="5" t="b">
        <f t="shared" si="32"/>
        <v>0</v>
      </c>
      <c r="CD52" s="5" t="b">
        <f t="shared" si="30"/>
        <v>0</v>
      </c>
      <c r="CE52" s="5" t="b">
        <f t="shared" si="29"/>
        <v>0</v>
      </c>
      <c r="CF52" s="5" t="b">
        <f t="shared" ref="CF52:CF70" si="82">IF(OR(ISERR(LN(INDEX($Y$3:$Y$70,INDEX($AD$3:$AD$70,71-ROW(),1),1))),$AI52&lt;=MIN($D:$D),$AI52=FALSE),FALSE,LN(INDEX($Y$3:$Y$70,INDEX($AD$3:$AD$70,71-ROW(),1),1)))</f>
        <v>0</v>
      </c>
      <c r="CG52" s="5" t="b">
        <f t="shared" si="80"/>
        <v>0</v>
      </c>
      <c r="CH52" s="5" t="b">
        <f t="shared" si="78"/>
        <v>0</v>
      </c>
      <c r="CI52" s="5" t="b">
        <f t="shared" si="76"/>
        <v>0</v>
      </c>
      <c r="CJ52" s="5" t="b">
        <f t="shared" si="74"/>
        <v>0</v>
      </c>
      <c r="CK52" s="5" t="b">
        <f t="shared" si="72"/>
        <v>0</v>
      </c>
      <c r="CL52" s="5" t="b">
        <f t="shared" si="70"/>
        <v>0</v>
      </c>
      <c r="CM52" s="5" t="b">
        <f t="shared" si="68"/>
        <v>0</v>
      </c>
      <c r="CN52" s="5" t="b">
        <f t="shared" si="66"/>
        <v>0</v>
      </c>
      <c r="CO52" s="5" t="b">
        <f t="shared" si="64"/>
        <v>0</v>
      </c>
      <c r="CP52" s="5" t="b">
        <f t="shared" si="62"/>
        <v>0</v>
      </c>
      <c r="CQ52" s="5" t="b">
        <f t="shared" si="60"/>
        <v>0</v>
      </c>
      <c r="CR52" s="5" t="b">
        <f t="shared" si="57"/>
        <v>0</v>
      </c>
      <c r="CS52" s="5" t="b">
        <f t="shared" si="55"/>
        <v>0</v>
      </c>
      <c r="CT52" s="5" t="b">
        <f t="shared" si="53"/>
        <v>0</v>
      </c>
      <c r="CU52" s="5" t="b">
        <f t="shared" si="51"/>
        <v>0</v>
      </c>
      <c r="CV52" s="5" t="b">
        <f t="shared" si="49"/>
        <v>0</v>
      </c>
      <c r="CW52" s="6" t="b">
        <f t="shared" si="47"/>
        <v>0</v>
      </c>
      <c r="CY52" s="77" t="str">
        <f>IF(ROUND(A52,0)&gt;=ROUND($H$4,0),SUM($C$3:$C52),"")</f>
        <v/>
      </c>
    </row>
    <row r="53" spans="1:103" ht="13" x14ac:dyDescent="0.3">
      <c r="A53" s="28" t="b">
        <f t="shared" si="31"/>
        <v>0</v>
      </c>
      <c r="B53" s="10" t="b">
        <f t="shared" si="44"/>
        <v>0</v>
      </c>
      <c r="C53" s="30" t="b">
        <f>IF(A53&lt;=MAX($AI$41:$AI$70),IF(ROW()&lt;=COUNTA(Data!$2:$2)+2,(B53+B52)*(A53-A52)/2,FALSE),FALSE)</f>
        <v>0</v>
      </c>
      <c r="D53" s="10" t="b">
        <f t="shared" si="7"/>
        <v>0</v>
      </c>
      <c r="E53" s="29" t="b">
        <f>IF(A53&lt;=MAX($AI$41:$AI$70),IF(ROW()&lt;=COUNTA(Data!$2:$2)+2,(B53*A53+B52*A52)*(A53-A52)/2,FALSE),FALSE)</f>
        <v>0</v>
      </c>
      <c r="W53" s="10">
        <v>51</v>
      </c>
      <c r="X5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3" s="10" t="b">
        <f>IF(ROW()&lt;=COUNTA(Data!$2:$2),INDEX(Data!$C:$AZ,Analysis!$C$1+1,ROW()-2),FALSE)</f>
        <v>0</v>
      </c>
      <c r="Z53" s="30">
        <f t="shared" si="10"/>
        <v>1</v>
      </c>
      <c r="AA53" s="29" t="b">
        <f t="shared" si="11"/>
        <v>0</v>
      </c>
      <c r="AC53" s="10" t="b">
        <f t="shared" si="0"/>
        <v>0</v>
      </c>
      <c r="AE53" s="10" t="b">
        <f t="shared" si="3"/>
        <v>0</v>
      </c>
      <c r="AF53" s="10">
        <f t="shared" si="12"/>
        <v>0.33300000000000002</v>
      </c>
      <c r="AG53" s="12" t="str">
        <f t="shared" si="8"/>
        <v/>
      </c>
      <c r="AH53" s="10">
        <f t="shared" si="45"/>
        <v>0</v>
      </c>
      <c r="AI53" s="4" t="b">
        <f t="shared" si="58"/>
        <v>0</v>
      </c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 t="b">
        <f t="shared" ref="AY53:AY70" si="83">IF(OR(ISERR(LN(INDEX($Y$3:$Y$70,INDEX($AD$3:$AD$70,71-ROW(),1),1))),$AI53&lt;=MIN($D:$D),$AI53=FALSE),FALSE,LN(INDEX($Y$3:$Y$70,INDEX($AD$3:$AD$70,71-ROW(),1),1)))</f>
        <v>0</v>
      </c>
      <c r="AZ53" s="5" t="b">
        <f t="shared" si="81"/>
        <v>0</v>
      </c>
      <c r="BA53" s="5" t="b">
        <f t="shared" si="79"/>
        <v>0</v>
      </c>
      <c r="BB53" s="5" t="b">
        <f t="shared" si="77"/>
        <v>0</v>
      </c>
      <c r="BC53" s="5" t="b">
        <f t="shared" si="75"/>
        <v>0</v>
      </c>
      <c r="BD53" s="5" t="b">
        <f t="shared" si="73"/>
        <v>0</v>
      </c>
      <c r="BE53" s="5" t="b">
        <f t="shared" si="71"/>
        <v>0</v>
      </c>
      <c r="BF53" s="5" t="b">
        <f t="shared" si="69"/>
        <v>0</v>
      </c>
      <c r="BG53" s="5" t="b">
        <f t="shared" si="67"/>
        <v>0</v>
      </c>
      <c r="BH53" s="5" t="b">
        <f t="shared" si="65"/>
        <v>0</v>
      </c>
      <c r="BI53" s="5" t="b">
        <f t="shared" si="63"/>
        <v>0</v>
      </c>
      <c r="BJ53" s="5" t="b">
        <f t="shared" si="61"/>
        <v>0</v>
      </c>
      <c r="BK53" s="5" t="b">
        <f t="shared" si="59"/>
        <v>0</v>
      </c>
      <c r="BL53" s="5" t="b">
        <f t="shared" si="56"/>
        <v>0</v>
      </c>
      <c r="BM53" s="5" t="b">
        <f t="shared" si="54"/>
        <v>0</v>
      </c>
      <c r="BN53" s="5" t="b">
        <f t="shared" si="52"/>
        <v>0</v>
      </c>
      <c r="BO53" s="5" t="b">
        <f t="shared" si="50"/>
        <v>0</v>
      </c>
      <c r="BP53" s="5" t="b">
        <f t="shared" si="48"/>
        <v>0</v>
      </c>
      <c r="BQ53" s="5" t="b">
        <f t="shared" si="46"/>
        <v>0</v>
      </c>
      <c r="BR53" s="5" t="b">
        <f t="shared" si="43"/>
        <v>0</v>
      </c>
      <c r="BS53" s="5" t="b">
        <f t="shared" si="42"/>
        <v>0</v>
      </c>
      <c r="BT53" s="5" t="b">
        <f t="shared" si="41"/>
        <v>0</v>
      </c>
      <c r="BU53" s="5" t="b">
        <f t="shared" si="40"/>
        <v>0</v>
      </c>
      <c r="BV53" s="5" t="b">
        <f t="shared" si="39"/>
        <v>0</v>
      </c>
      <c r="BW53" s="5" t="b">
        <f t="shared" si="38"/>
        <v>0</v>
      </c>
      <c r="BX53" s="5" t="b">
        <f t="shared" si="37"/>
        <v>0</v>
      </c>
      <c r="BY53" s="5" t="b">
        <f t="shared" si="36"/>
        <v>0</v>
      </c>
      <c r="BZ53" s="5" t="b">
        <f t="shared" si="35"/>
        <v>0</v>
      </c>
      <c r="CA53" s="5" t="b">
        <f t="shared" si="34"/>
        <v>0</v>
      </c>
      <c r="CB53" s="5" t="b">
        <f t="shared" si="33"/>
        <v>0</v>
      </c>
      <c r="CC53" s="5" t="b">
        <f t="shared" si="32"/>
        <v>0</v>
      </c>
      <c r="CD53" s="5" t="b">
        <f t="shared" si="30"/>
        <v>0</v>
      </c>
      <c r="CE53" s="5" t="b">
        <f t="shared" ref="CE53:CE70" si="84">IF(OR(ISERR(LN(INDEX($Y$3:$Y$70,INDEX($AD$3:$AD$70,71-ROW(),1),1))),$AI53&lt;=MIN($D:$D),$AI53=FALSE),FALSE,LN(INDEX($Y$3:$Y$70,INDEX($AD$3:$AD$70,71-ROW(),1),1)))</f>
        <v>0</v>
      </c>
      <c r="CF53" s="5" t="b">
        <f t="shared" si="82"/>
        <v>0</v>
      </c>
      <c r="CG53" s="5" t="b">
        <f t="shared" si="80"/>
        <v>0</v>
      </c>
      <c r="CH53" s="5" t="b">
        <f t="shared" si="78"/>
        <v>0</v>
      </c>
      <c r="CI53" s="5" t="b">
        <f t="shared" si="76"/>
        <v>0</v>
      </c>
      <c r="CJ53" s="5" t="b">
        <f t="shared" si="74"/>
        <v>0</v>
      </c>
      <c r="CK53" s="5" t="b">
        <f t="shared" si="72"/>
        <v>0</v>
      </c>
      <c r="CL53" s="5" t="b">
        <f t="shared" si="70"/>
        <v>0</v>
      </c>
      <c r="CM53" s="5" t="b">
        <f t="shared" si="68"/>
        <v>0</v>
      </c>
      <c r="CN53" s="5" t="b">
        <f t="shared" si="66"/>
        <v>0</v>
      </c>
      <c r="CO53" s="5" t="b">
        <f t="shared" si="64"/>
        <v>0</v>
      </c>
      <c r="CP53" s="5" t="b">
        <f t="shared" si="62"/>
        <v>0</v>
      </c>
      <c r="CQ53" s="5" t="b">
        <f t="shared" si="60"/>
        <v>0</v>
      </c>
      <c r="CR53" s="5" t="b">
        <f t="shared" si="57"/>
        <v>0</v>
      </c>
      <c r="CS53" s="5" t="b">
        <f t="shared" si="55"/>
        <v>0</v>
      </c>
      <c r="CT53" s="5" t="b">
        <f t="shared" si="53"/>
        <v>0</v>
      </c>
      <c r="CU53" s="5" t="b">
        <f t="shared" si="51"/>
        <v>0</v>
      </c>
      <c r="CV53" s="5" t="b">
        <f t="shared" si="49"/>
        <v>0</v>
      </c>
      <c r="CW53" s="6" t="b">
        <f t="shared" si="47"/>
        <v>0</v>
      </c>
      <c r="CY53" s="77" t="str">
        <f>IF(ROUND(A53,0)&gt;=ROUND($H$4,0),SUM($C$3:$C53),"")</f>
        <v/>
      </c>
    </row>
    <row r="54" spans="1:103" ht="13" x14ac:dyDescent="0.3">
      <c r="A54" s="28" t="b">
        <f t="shared" si="31"/>
        <v>0</v>
      </c>
      <c r="B54" s="10" t="b">
        <f t="shared" si="44"/>
        <v>0</v>
      </c>
      <c r="C54" s="30" t="b">
        <f>IF(A54&lt;=MAX($AI$41:$AI$70),IF(ROW()&lt;=COUNTA(Data!$2:$2)+2,(B54+B53)*(A54-A53)/2,FALSE),FALSE)</f>
        <v>0</v>
      </c>
      <c r="D54" s="10" t="b">
        <f t="shared" si="7"/>
        <v>0</v>
      </c>
      <c r="E54" s="29" t="b">
        <f>IF(A54&lt;=MAX($AI$41:$AI$70),IF(ROW()&lt;=COUNTA(Data!$2:$2)+2,(B54*A54+B53*A53)*(A54-A53)/2,FALSE),FALSE)</f>
        <v>0</v>
      </c>
      <c r="W54" s="10">
        <v>52</v>
      </c>
      <c r="X5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4" s="10" t="b">
        <f>IF(ROW()&lt;=COUNTA(Data!$2:$2),INDEX(Data!$C:$AZ,Analysis!$C$1+1,ROW()-2),FALSE)</f>
        <v>0</v>
      </c>
      <c r="Z54" s="30">
        <f t="shared" si="10"/>
        <v>1</v>
      </c>
      <c r="AA54" s="29" t="b">
        <f t="shared" si="11"/>
        <v>0</v>
      </c>
      <c r="AC54" s="10" t="b">
        <f t="shared" si="0"/>
        <v>0</v>
      </c>
      <c r="AE54" s="10" t="b">
        <f t="shared" si="3"/>
        <v>0</v>
      </c>
      <c r="AF54" s="10">
        <f t="shared" si="12"/>
        <v>0.33300000000000002</v>
      </c>
      <c r="AG54" s="12" t="str">
        <f t="shared" si="8"/>
        <v/>
      </c>
      <c r="AH54" s="10">
        <f t="shared" si="45"/>
        <v>1</v>
      </c>
      <c r="AI54" s="4">
        <f t="shared" si="58"/>
        <v>0</v>
      </c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 t="b">
        <f t="shared" ref="AX54:AX70" si="85">IF(OR(ISERR(LN(INDEX($Y$3:$Y$70,INDEX($AD$3:$AD$70,71-ROW(),1),1))),$AI54&lt;=MIN($D:$D),$AI54=FALSE),FALSE,LN(INDEX($Y$3:$Y$70,INDEX($AD$3:$AD$70,71-ROW(),1),1)))</f>
        <v>0</v>
      </c>
      <c r="AY54" s="5" t="b">
        <f t="shared" si="83"/>
        <v>0</v>
      </c>
      <c r="AZ54" s="5" t="b">
        <f t="shared" si="81"/>
        <v>0</v>
      </c>
      <c r="BA54" s="5" t="b">
        <f t="shared" si="79"/>
        <v>0</v>
      </c>
      <c r="BB54" s="5" t="b">
        <f t="shared" si="77"/>
        <v>0</v>
      </c>
      <c r="BC54" s="5" t="b">
        <f t="shared" si="75"/>
        <v>0</v>
      </c>
      <c r="BD54" s="5" t="b">
        <f t="shared" si="73"/>
        <v>0</v>
      </c>
      <c r="BE54" s="5" t="b">
        <f t="shared" si="71"/>
        <v>0</v>
      </c>
      <c r="BF54" s="5" t="b">
        <f t="shared" si="69"/>
        <v>0</v>
      </c>
      <c r="BG54" s="5" t="b">
        <f t="shared" si="67"/>
        <v>0</v>
      </c>
      <c r="BH54" s="5" t="b">
        <f t="shared" si="65"/>
        <v>0</v>
      </c>
      <c r="BI54" s="5" t="b">
        <f t="shared" si="63"/>
        <v>0</v>
      </c>
      <c r="BJ54" s="5" t="b">
        <f t="shared" si="61"/>
        <v>0</v>
      </c>
      <c r="BK54" s="5" t="b">
        <f t="shared" si="59"/>
        <v>0</v>
      </c>
      <c r="BL54" s="5" t="b">
        <f t="shared" si="56"/>
        <v>0</v>
      </c>
      <c r="BM54" s="5" t="b">
        <f t="shared" si="54"/>
        <v>0</v>
      </c>
      <c r="BN54" s="5" t="b">
        <f t="shared" si="52"/>
        <v>0</v>
      </c>
      <c r="BO54" s="5" t="b">
        <f t="shared" si="50"/>
        <v>0</v>
      </c>
      <c r="BP54" s="5" t="b">
        <f t="shared" si="48"/>
        <v>0</v>
      </c>
      <c r="BQ54" s="5" t="b">
        <f t="shared" si="46"/>
        <v>0</v>
      </c>
      <c r="BR54" s="5" t="b">
        <f t="shared" si="43"/>
        <v>0</v>
      </c>
      <c r="BS54" s="5" t="b">
        <f t="shared" si="42"/>
        <v>0</v>
      </c>
      <c r="BT54" s="5" t="b">
        <f t="shared" si="41"/>
        <v>0</v>
      </c>
      <c r="BU54" s="5" t="b">
        <f t="shared" si="40"/>
        <v>0</v>
      </c>
      <c r="BV54" s="5" t="b">
        <f t="shared" si="39"/>
        <v>0</v>
      </c>
      <c r="BW54" s="5" t="b">
        <f t="shared" si="38"/>
        <v>0</v>
      </c>
      <c r="BX54" s="5" t="b">
        <f t="shared" si="37"/>
        <v>0</v>
      </c>
      <c r="BY54" s="5" t="b">
        <f t="shared" si="36"/>
        <v>0</v>
      </c>
      <c r="BZ54" s="5" t="b">
        <f t="shared" si="35"/>
        <v>0</v>
      </c>
      <c r="CA54" s="5" t="b">
        <f t="shared" si="34"/>
        <v>0</v>
      </c>
      <c r="CB54" s="5" t="b">
        <f t="shared" si="33"/>
        <v>0</v>
      </c>
      <c r="CC54" s="5" t="b">
        <f t="shared" si="32"/>
        <v>0</v>
      </c>
      <c r="CD54" s="5" t="b">
        <f t="shared" ref="CD54:CD70" si="86">IF(OR(ISERR(LN(INDEX($Y$3:$Y$70,INDEX($AD$3:$AD$70,71-ROW(),1),1))),$AI54&lt;=MIN($D:$D),$AI54=FALSE),FALSE,LN(INDEX($Y$3:$Y$70,INDEX($AD$3:$AD$70,71-ROW(),1),1)))</f>
        <v>0</v>
      </c>
      <c r="CE54" s="5" t="b">
        <f t="shared" si="84"/>
        <v>0</v>
      </c>
      <c r="CF54" s="5" t="b">
        <f t="shared" si="82"/>
        <v>0</v>
      </c>
      <c r="CG54" s="5" t="b">
        <f t="shared" si="80"/>
        <v>0</v>
      </c>
      <c r="CH54" s="5" t="b">
        <f t="shared" si="78"/>
        <v>0</v>
      </c>
      <c r="CI54" s="5" t="b">
        <f t="shared" si="76"/>
        <v>0</v>
      </c>
      <c r="CJ54" s="5" t="b">
        <f t="shared" si="74"/>
        <v>0</v>
      </c>
      <c r="CK54" s="5" t="b">
        <f t="shared" si="72"/>
        <v>0</v>
      </c>
      <c r="CL54" s="5" t="b">
        <f t="shared" si="70"/>
        <v>0</v>
      </c>
      <c r="CM54" s="5" t="b">
        <f t="shared" si="68"/>
        <v>0</v>
      </c>
      <c r="CN54" s="5" t="b">
        <f t="shared" si="66"/>
        <v>0</v>
      </c>
      <c r="CO54" s="5" t="b">
        <f t="shared" si="64"/>
        <v>0</v>
      </c>
      <c r="CP54" s="5" t="b">
        <f t="shared" si="62"/>
        <v>0</v>
      </c>
      <c r="CQ54" s="5" t="b">
        <f t="shared" si="60"/>
        <v>0</v>
      </c>
      <c r="CR54" s="5" t="b">
        <f t="shared" si="57"/>
        <v>0</v>
      </c>
      <c r="CS54" s="5" t="b">
        <f t="shared" si="55"/>
        <v>0</v>
      </c>
      <c r="CT54" s="5" t="b">
        <f t="shared" si="53"/>
        <v>0</v>
      </c>
      <c r="CU54" s="5" t="b">
        <f t="shared" si="51"/>
        <v>0</v>
      </c>
      <c r="CV54" s="5" t="b">
        <f t="shared" si="49"/>
        <v>0</v>
      </c>
      <c r="CW54" s="6" t="b">
        <f t="shared" si="47"/>
        <v>0</v>
      </c>
      <c r="CY54" s="77" t="str">
        <f>IF(ROUND(A54,0)&gt;=ROUND($H$4,0),SUM($C$3:$C54),"")</f>
        <v/>
      </c>
    </row>
    <row r="55" spans="1:103" ht="13" x14ac:dyDescent="0.3">
      <c r="A55" s="28" t="b">
        <f t="shared" si="31"/>
        <v>0</v>
      </c>
      <c r="B55" s="10" t="b">
        <f t="shared" si="44"/>
        <v>0</v>
      </c>
      <c r="C55" s="30" t="b">
        <f>IF(A55&lt;=MAX($AI$41:$AI$70),IF(ROW()&lt;=COUNTA(Data!$2:$2)+2,(B55+B54)*(A55-A54)/2,FALSE),FALSE)</f>
        <v>0</v>
      </c>
      <c r="D55" s="10" t="b">
        <f t="shared" si="7"/>
        <v>0</v>
      </c>
      <c r="E55" s="29" t="b">
        <f>IF(A55&lt;=MAX($AI$41:$AI$70),IF(ROW()&lt;=COUNTA(Data!$2:$2)+2,(B55*A55+B54*A54)*(A55-A54)/2,FALSE),FALSE)</f>
        <v>0</v>
      </c>
      <c r="W55" s="10">
        <v>53</v>
      </c>
      <c r="X5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5" s="10" t="b">
        <f>IF(ROW()&lt;=COUNTA(Data!$2:$2),INDEX(Data!$C:$AZ,Analysis!$C$1+1,ROW()-2),FALSE)</f>
        <v>0</v>
      </c>
      <c r="Z55" s="30">
        <f t="shared" si="10"/>
        <v>1</v>
      </c>
      <c r="AA55" s="29" t="b">
        <f t="shared" si="11"/>
        <v>0</v>
      </c>
      <c r="AC55" s="10" t="b">
        <f t="shared" si="0"/>
        <v>0</v>
      </c>
      <c r="AE55" s="10" t="b">
        <f t="shared" si="3"/>
        <v>0</v>
      </c>
      <c r="AF55" s="10">
        <f t="shared" si="12"/>
        <v>0.33300000000000002</v>
      </c>
      <c r="AG55" s="12" t="str">
        <f t="shared" si="8"/>
        <v/>
      </c>
      <c r="AH55" s="10">
        <f t="shared" si="45"/>
        <v>2</v>
      </c>
      <c r="AI55" s="4">
        <f t="shared" si="58"/>
        <v>0.33300000000000002</v>
      </c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 t="b">
        <f t="shared" ref="AW55:AW70" si="87">IF(OR(ISERR(LN(INDEX($Y$3:$Y$70,INDEX($AD$3:$AD$70,71-ROW(),1),1))),$AI55&lt;=MIN($D:$D),$AI55=FALSE),FALSE,LN(INDEX($Y$3:$Y$70,INDEX($AD$3:$AD$70,71-ROW(),1),1)))</f>
        <v>0</v>
      </c>
      <c r="AX55" s="5" t="b">
        <f t="shared" si="85"/>
        <v>0</v>
      </c>
      <c r="AY55" s="5" t="b">
        <f t="shared" si="83"/>
        <v>0</v>
      </c>
      <c r="AZ55" s="5" t="b">
        <f t="shared" si="81"/>
        <v>0</v>
      </c>
      <c r="BA55" s="5" t="b">
        <f t="shared" si="79"/>
        <v>0</v>
      </c>
      <c r="BB55" s="5" t="b">
        <f t="shared" si="77"/>
        <v>0</v>
      </c>
      <c r="BC55" s="5" t="b">
        <f t="shared" si="75"/>
        <v>0</v>
      </c>
      <c r="BD55" s="5" t="b">
        <f t="shared" si="73"/>
        <v>0</v>
      </c>
      <c r="BE55" s="5" t="b">
        <f t="shared" si="71"/>
        <v>0</v>
      </c>
      <c r="BF55" s="5" t="b">
        <f t="shared" si="69"/>
        <v>0</v>
      </c>
      <c r="BG55" s="5" t="b">
        <f t="shared" si="67"/>
        <v>0</v>
      </c>
      <c r="BH55" s="5" t="b">
        <f t="shared" si="65"/>
        <v>0</v>
      </c>
      <c r="BI55" s="5" t="b">
        <f t="shared" si="63"/>
        <v>0</v>
      </c>
      <c r="BJ55" s="5" t="b">
        <f t="shared" si="61"/>
        <v>0</v>
      </c>
      <c r="BK55" s="5" t="b">
        <f t="shared" si="59"/>
        <v>0</v>
      </c>
      <c r="BL55" s="5" t="b">
        <f t="shared" si="56"/>
        <v>0</v>
      </c>
      <c r="BM55" s="5" t="b">
        <f t="shared" si="54"/>
        <v>0</v>
      </c>
      <c r="BN55" s="5" t="b">
        <f t="shared" si="52"/>
        <v>0</v>
      </c>
      <c r="BO55" s="5" t="b">
        <f t="shared" si="50"/>
        <v>0</v>
      </c>
      <c r="BP55" s="5" t="b">
        <f t="shared" si="48"/>
        <v>0</v>
      </c>
      <c r="BQ55" s="5" t="b">
        <f t="shared" si="46"/>
        <v>0</v>
      </c>
      <c r="BR55" s="5" t="b">
        <f t="shared" si="43"/>
        <v>0</v>
      </c>
      <c r="BS55" s="5" t="b">
        <f t="shared" si="42"/>
        <v>0</v>
      </c>
      <c r="BT55" s="5" t="b">
        <f t="shared" si="41"/>
        <v>0</v>
      </c>
      <c r="BU55" s="5" t="b">
        <f t="shared" si="40"/>
        <v>0</v>
      </c>
      <c r="BV55" s="5" t="b">
        <f t="shared" si="39"/>
        <v>0</v>
      </c>
      <c r="BW55" s="5" t="b">
        <f t="shared" si="38"/>
        <v>0</v>
      </c>
      <c r="BX55" s="5" t="b">
        <f t="shared" si="37"/>
        <v>0</v>
      </c>
      <c r="BY55" s="5" t="b">
        <f t="shared" si="36"/>
        <v>0</v>
      </c>
      <c r="BZ55" s="5" t="b">
        <f t="shared" si="35"/>
        <v>0</v>
      </c>
      <c r="CA55" s="5" t="b">
        <f t="shared" si="34"/>
        <v>0</v>
      </c>
      <c r="CB55" s="5" t="b">
        <f t="shared" si="33"/>
        <v>0</v>
      </c>
      <c r="CC55" s="5" t="b">
        <f t="shared" si="32"/>
        <v>0</v>
      </c>
      <c r="CD55" s="5" t="b">
        <f t="shared" si="86"/>
        <v>0</v>
      </c>
      <c r="CE55" s="5" t="b">
        <f t="shared" si="84"/>
        <v>0</v>
      </c>
      <c r="CF55" s="5" t="b">
        <f t="shared" si="82"/>
        <v>0</v>
      </c>
      <c r="CG55" s="5" t="b">
        <f t="shared" si="80"/>
        <v>0</v>
      </c>
      <c r="CH55" s="5" t="b">
        <f t="shared" si="78"/>
        <v>0</v>
      </c>
      <c r="CI55" s="5" t="b">
        <f t="shared" si="76"/>
        <v>0</v>
      </c>
      <c r="CJ55" s="5" t="b">
        <f t="shared" si="74"/>
        <v>0</v>
      </c>
      <c r="CK55" s="5" t="b">
        <f t="shared" si="72"/>
        <v>0</v>
      </c>
      <c r="CL55" s="5" t="b">
        <f t="shared" si="70"/>
        <v>0</v>
      </c>
      <c r="CM55" s="5" t="b">
        <f t="shared" si="68"/>
        <v>0</v>
      </c>
      <c r="CN55" s="5" t="b">
        <f t="shared" si="66"/>
        <v>0</v>
      </c>
      <c r="CO55" s="5" t="b">
        <f t="shared" si="64"/>
        <v>0</v>
      </c>
      <c r="CP55" s="5" t="b">
        <f t="shared" si="62"/>
        <v>0</v>
      </c>
      <c r="CQ55" s="5" t="b">
        <f t="shared" si="60"/>
        <v>0</v>
      </c>
      <c r="CR55" s="5" t="b">
        <f t="shared" si="57"/>
        <v>0</v>
      </c>
      <c r="CS55" s="5" t="b">
        <f t="shared" si="55"/>
        <v>0</v>
      </c>
      <c r="CT55" s="5" t="b">
        <f t="shared" si="53"/>
        <v>0</v>
      </c>
      <c r="CU55" s="5" t="b">
        <f t="shared" si="51"/>
        <v>0</v>
      </c>
      <c r="CV55" s="5" t="b">
        <f t="shared" si="49"/>
        <v>0</v>
      </c>
      <c r="CW55" s="6" t="b">
        <f t="shared" si="47"/>
        <v>0</v>
      </c>
      <c r="CY55" s="77" t="str">
        <f>IF(ROUND(A55,0)&gt;=ROUND($H$4,0),SUM($C$3:$C55),"")</f>
        <v/>
      </c>
    </row>
    <row r="56" spans="1:103" ht="13" x14ac:dyDescent="0.3">
      <c r="A56" s="28" t="b">
        <f t="shared" si="31"/>
        <v>0</v>
      </c>
      <c r="B56" s="10" t="b">
        <f t="shared" si="44"/>
        <v>0</v>
      </c>
      <c r="C56" s="30" t="b">
        <f>IF(A56&lt;=MAX($AI$41:$AI$70),IF(ROW()&lt;=COUNTA(Data!$2:$2)+2,(B56+B55)*(A56-A55)/2,FALSE),FALSE)</f>
        <v>0</v>
      </c>
      <c r="D56" s="10" t="b">
        <f t="shared" si="7"/>
        <v>0</v>
      </c>
      <c r="E56" s="29" t="b">
        <f>IF(A56&lt;=MAX($AI$41:$AI$70),IF(ROW()&lt;=COUNTA(Data!$2:$2)+2,(B56*A56+B55*A55)*(A56-A55)/2,FALSE),FALSE)</f>
        <v>0</v>
      </c>
      <c r="W56" s="10">
        <v>54</v>
      </c>
      <c r="X5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6" s="10" t="b">
        <f>IF(ROW()&lt;=COUNTA(Data!$2:$2),INDEX(Data!$C:$AZ,Analysis!$C$1+1,ROW()-2),FALSE)</f>
        <v>0</v>
      </c>
      <c r="Z56" s="30">
        <f t="shared" si="10"/>
        <v>1</v>
      </c>
      <c r="AA56" s="29" t="b">
        <f t="shared" si="11"/>
        <v>0</v>
      </c>
      <c r="AC56" s="10" t="b">
        <f t="shared" si="0"/>
        <v>0</v>
      </c>
      <c r="AE56" s="10" t="b">
        <f t="shared" si="3"/>
        <v>0</v>
      </c>
      <c r="AF56" s="10">
        <f t="shared" si="12"/>
        <v>0.33300000000000002</v>
      </c>
      <c r="AG56" s="12" t="str">
        <f t="shared" si="8"/>
        <v/>
      </c>
      <c r="AH56" s="10">
        <f t="shared" si="45"/>
        <v>3</v>
      </c>
      <c r="AI56" s="4">
        <f t="shared" si="58"/>
        <v>0.66700000000000004</v>
      </c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 t="b">
        <f t="shared" ref="AV56:AV70" si="88">IF(OR(ISERR(LN(INDEX($Y$3:$Y$70,INDEX($AD$3:$AD$70,71-ROW(),1),1))),$AI56&lt;=MIN($D:$D),$AI56=FALSE),FALSE,LN(INDEX($Y$3:$Y$70,INDEX($AD$3:$AD$70,71-ROW(),1),1)))</f>
        <v>0</v>
      </c>
      <c r="AW56" s="5" t="b">
        <f t="shared" si="87"/>
        <v>0</v>
      </c>
      <c r="AX56" s="5" t="b">
        <f t="shared" si="85"/>
        <v>0</v>
      </c>
      <c r="AY56" s="5" t="b">
        <f t="shared" si="83"/>
        <v>0</v>
      </c>
      <c r="AZ56" s="5" t="b">
        <f t="shared" si="81"/>
        <v>0</v>
      </c>
      <c r="BA56" s="5" t="b">
        <f t="shared" si="79"/>
        <v>0</v>
      </c>
      <c r="BB56" s="5" t="b">
        <f t="shared" si="77"/>
        <v>0</v>
      </c>
      <c r="BC56" s="5" t="b">
        <f t="shared" si="75"/>
        <v>0</v>
      </c>
      <c r="BD56" s="5" t="b">
        <f t="shared" si="73"/>
        <v>0</v>
      </c>
      <c r="BE56" s="5" t="b">
        <f t="shared" si="71"/>
        <v>0</v>
      </c>
      <c r="BF56" s="5" t="b">
        <f t="shared" si="69"/>
        <v>0</v>
      </c>
      <c r="BG56" s="5" t="b">
        <f t="shared" si="67"/>
        <v>0</v>
      </c>
      <c r="BH56" s="5" t="b">
        <f t="shared" si="65"/>
        <v>0</v>
      </c>
      <c r="BI56" s="5" t="b">
        <f t="shared" si="63"/>
        <v>0</v>
      </c>
      <c r="BJ56" s="5" t="b">
        <f t="shared" si="61"/>
        <v>0</v>
      </c>
      <c r="BK56" s="5" t="b">
        <f t="shared" si="59"/>
        <v>0</v>
      </c>
      <c r="BL56" s="5" t="b">
        <f t="shared" si="56"/>
        <v>0</v>
      </c>
      <c r="BM56" s="5" t="b">
        <f t="shared" si="54"/>
        <v>0</v>
      </c>
      <c r="BN56" s="5" t="b">
        <f t="shared" si="52"/>
        <v>0</v>
      </c>
      <c r="BO56" s="5" t="b">
        <f t="shared" si="50"/>
        <v>0</v>
      </c>
      <c r="BP56" s="5" t="b">
        <f t="shared" si="48"/>
        <v>0</v>
      </c>
      <c r="BQ56" s="5" t="b">
        <f t="shared" si="46"/>
        <v>0</v>
      </c>
      <c r="BR56" s="5" t="b">
        <f t="shared" si="43"/>
        <v>0</v>
      </c>
      <c r="BS56" s="5" t="b">
        <f t="shared" si="42"/>
        <v>0</v>
      </c>
      <c r="BT56" s="5" t="b">
        <f t="shared" si="41"/>
        <v>0</v>
      </c>
      <c r="BU56" s="5" t="b">
        <f t="shared" si="40"/>
        <v>0</v>
      </c>
      <c r="BV56" s="5" t="b">
        <f t="shared" si="39"/>
        <v>0</v>
      </c>
      <c r="BW56" s="5" t="b">
        <f t="shared" si="38"/>
        <v>0</v>
      </c>
      <c r="BX56" s="5" t="b">
        <f t="shared" si="37"/>
        <v>0</v>
      </c>
      <c r="BY56" s="5" t="b">
        <f t="shared" si="36"/>
        <v>0</v>
      </c>
      <c r="BZ56" s="5" t="b">
        <f t="shared" si="35"/>
        <v>0</v>
      </c>
      <c r="CA56" s="5" t="b">
        <f t="shared" si="34"/>
        <v>0</v>
      </c>
      <c r="CB56" s="5" t="b">
        <f t="shared" si="33"/>
        <v>0</v>
      </c>
      <c r="CC56" s="5" t="b">
        <f t="shared" si="32"/>
        <v>0</v>
      </c>
      <c r="CD56" s="5" t="b">
        <f t="shared" si="86"/>
        <v>0</v>
      </c>
      <c r="CE56" s="5" t="b">
        <f t="shared" si="84"/>
        <v>0</v>
      </c>
      <c r="CF56" s="5" t="b">
        <f t="shared" si="82"/>
        <v>0</v>
      </c>
      <c r="CG56" s="5" t="b">
        <f t="shared" si="80"/>
        <v>0</v>
      </c>
      <c r="CH56" s="5" t="b">
        <f t="shared" si="78"/>
        <v>0</v>
      </c>
      <c r="CI56" s="5" t="b">
        <f t="shared" si="76"/>
        <v>0</v>
      </c>
      <c r="CJ56" s="5" t="b">
        <f t="shared" si="74"/>
        <v>0</v>
      </c>
      <c r="CK56" s="5" t="b">
        <f t="shared" si="72"/>
        <v>0</v>
      </c>
      <c r="CL56" s="5" t="b">
        <f t="shared" si="70"/>
        <v>0</v>
      </c>
      <c r="CM56" s="5" t="b">
        <f t="shared" si="68"/>
        <v>0</v>
      </c>
      <c r="CN56" s="5" t="b">
        <f t="shared" si="66"/>
        <v>0</v>
      </c>
      <c r="CO56" s="5" t="b">
        <f t="shared" si="64"/>
        <v>0</v>
      </c>
      <c r="CP56" s="5" t="b">
        <f t="shared" si="62"/>
        <v>0</v>
      </c>
      <c r="CQ56" s="5" t="b">
        <f t="shared" si="60"/>
        <v>0</v>
      </c>
      <c r="CR56" s="5" t="b">
        <f t="shared" si="57"/>
        <v>0</v>
      </c>
      <c r="CS56" s="5" t="b">
        <f t="shared" si="55"/>
        <v>0</v>
      </c>
      <c r="CT56" s="5" t="b">
        <f t="shared" si="53"/>
        <v>0</v>
      </c>
      <c r="CU56" s="5" t="b">
        <f t="shared" si="51"/>
        <v>0</v>
      </c>
      <c r="CV56" s="5" t="b">
        <f t="shared" si="49"/>
        <v>0</v>
      </c>
      <c r="CW56" s="6" t="b">
        <f t="shared" si="47"/>
        <v>0</v>
      </c>
      <c r="CY56" s="77" t="str">
        <f>IF(ROUND(A56,0)&gt;=ROUND($H$4,0),SUM($C$3:$C56),"")</f>
        <v/>
      </c>
    </row>
    <row r="57" spans="1:103" ht="13" x14ac:dyDescent="0.3">
      <c r="A57" s="28" t="b">
        <f t="shared" si="31"/>
        <v>0</v>
      </c>
      <c r="B57" s="10" t="b">
        <f t="shared" si="44"/>
        <v>0</v>
      </c>
      <c r="C57" s="30" t="b">
        <f>IF(A57&lt;=MAX($AI$41:$AI$70),IF(ROW()&lt;=COUNTA(Data!$2:$2)+2,(B57+B56)*(A57-A56)/2,FALSE),FALSE)</f>
        <v>0</v>
      </c>
      <c r="D57" s="10" t="b">
        <f t="shared" si="7"/>
        <v>0</v>
      </c>
      <c r="E57" s="29" t="b">
        <f>IF(A57&lt;=MAX($AI$41:$AI$70),IF(ROW()&lt;=COUNTA(Data!$2:$2)+2,(B57*A57+B56*A56)*(A57-A56)/2,FALSE),FALSE)</f>
        <v>0</v>
      </c>
      <c r="W57" s="10">
        <v>55</v>
      </c>
      <c r="X5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7" s="10" t="b">
        <f>IF(ROW()&lt;=COUNTA(Data!$2:$2),INDEX(Data!$C:$AZ,Analysis!$C$1+1,ROW()-2),FALSE)</f>
        <v>0</v>
      </c>
      <c r="Z57" s="30">
        <f t="shared" si="10"/>
        <v>1</v>
      </c>
      <c r="AA57" s="29" t="b">
        <f t="shared" si="11"/>
        <v>0</v>
      </c>
      <c r="AC57" s="10" t="b">
        <f t="shared" si="0"/>
        <v>0</v>
      </c>
      <c r="AE57" s="10" t="b">
        <f t="shared" si="3"/>
        <v>0</v>
      </c>
      <c r="AF57" s="10">
        <f t="shared" si="12"/>
        <v>0.33300000000000002</v>
      </c>
      <c r="AG57" s="12" t="str">
        <f t="shared" si="8"/>
        <v/>
      </c>
      <c r="AH57" s="10">
        <f t="shared" si="45"/>
        <v>4</v>
      </c>
      <c r="AI57" s="4">
        <f t="shared" si="58"/>
        <v>1.1000000000000001</v>
      </c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 t="b">
        <f t="shared" ref="AU57:AU70" si="89">IF(OR(ISERR(LN(INDEX($Y$3:$Y$70,INDEX($AD$3:$AD$70,71-ROW(),1),1))),$AI57&lt;=MIN($D:$D),$AI57=FALSE),FALSE,LN(INDEX($Y$3:$Y$70,INDEX($AD$3:$AD$70,71-ROW(),1),1)))</f>
        <v>0</v>
      </c>
      <c r="AV57" s="5" t="b">
        <f t="shared" si="88"/>
        <v>0</v>
      </c>
      <c r="AW57" s="5" t="b">
        <f t="shared" si="87"/>
        <v>0</v>
      </c>
      <c r="AX57" s="5" t="b">
        <f t="shared" si="85"/>
        <v>0</v>
      </c>
      <c r="AY57" s="5" t="b">
        <f t="shared" si="83"/>
        <v>0</v>
      </c>
      <c r="AZ57" s="5" t="b">
        <f t="shared" si="81"/>
        <v>0</v>
      </c>
      <c r="BA57" s="5" t="b">
        <f t="shared" si="79"/>
        <v>0</v>
      </c>
      <c r="BB57" s="5" t="b">
        <f t="shared" si="77"/>
        <v>0</v>
      </c>
      <c r="BC57" s="5" t="b">
        <f t="shared" si="75"/>
        <v>0</v>
      </c>
      <c r="BD57" s="5" t="b">
        <f t="shared" si="73"/>
        <v>0</v>
      </c>
      <c r="BE57" s="5" t="b">
        <f t="shared" si="71"/>
        <v>0</v>
      </c>
      <c r="BF57" s="5" t="b">
        <f t="shared" si="69"/>
        <v>0</v>
      </c>
      <c r="BG57" s="5" t="b">
        <f t="shared" si="67"/>
        <v>0</v>
      </c>
      <c r="BH57" s="5" t="b">
        <f t="shared" si="65"/>
        <v>0</v>
      </c>
      <c r="BI57" s="5" t="b">
        <f t="shared" si="63"/>
        <v>0</v>
      </c>
      <c r="BJ57" s="5" t="b">
        <f t="shared" si="61"/>
        <v>0</v>
      </c>
      <c r="BK57" s="5" t="b">
        <f t="shared" si="59"/>
        <v>0</v>
      </c>
      <c r="BL57" s="5" t="b">
        <f t="shared" si="56"/>
        <v>0</v>
      </c>
      <c r="BM57" s="5" t="b">
        <f t="shared" si="54"/>
        <v>0</v>
      </c>
      <c r="BN57" s="5" t="b">
        <f t="shared" si="52"/>
        <v>0</v>
      </c>
      <c r="BO57" s="5" t="b">
        <f t="shared" si="50"/>
        <v>0</v>
      </c>
      <c r="BP57" s="5" t="b">
        <f t="shared" si="48"/>
        <v>0</v>
      </c>
      <c r="BQ57" s="5" t="b">
        <f t="shared" si="46"/>
        <v>0</v>
      </c>
      <c r="BR57" s="5" t="b">
        <f t="shared" si="43"/>
        <v>0</v>
      </c>
      <c r="BS57" s="5" t="b">
        <f t="shared" si="42"/>
        <v>0</v>
      </c>
      <c r="BT57" s="5" t="b">
        <f t="shared" si="41"/>
        <v>0</v>
      </c>
      <c r="BU57" s="5" t="b">
        <f t="shared" si="40"/>
        <v>0</v>
      </c>
      <c r="BV57" s="5" t="b">
        <f t="shared" si="39"/>
        <v>0</v>
      </c>
      <c r="BW57" s="5" t="b">
        <f t="shared" si="38"/>
        <v>0</v>
      </c>
      <c r="BX57" s="5" t="b">
        <f t="shared" si="37"/>
        <v>0</v>
      </c>
      <c r="BY57" s="5" t="b">
        <f t="shared" si="36"/>
        <v>0</v>
      </c>
      <c r="BZ57" s="5" t="b">
        <f t="shared" si="35"/>
        <v>0</v>
      </c>
      <c r="CA57" s="5" t="b">
        <f t="shared" si="34"/>
        <v>0</v>
      </c>
      <c r="CB57" s="5" t="b">
        <f t="shared" si="33"/>
        <v>0</v>
      </c>
      <c r="CC57" s="5" t="b">
        <f t="shared" si="32"/>
        <v>0</v>
      </c>
      <c r="CD57" s="5" t="b">
        <f t="shared" si="86"/>
        <v>0</v>
      </c>
      <c r="CE57" s="5" t="b">
        <f t="shared" si="84"/>
        <v>0</v>
      </c>
      <c r="CF57" s="5" t="b">
        <f t="shared" si="82"/>
        <v>0</v>
      </c>
      <c r="CG57" s="5" t="b">
        <f t="shared" si="80"/>
        <v>0</v>
      </c>
      <c r="CH57" s="5" t="b">
        <f t="shared" si="78"/>
        <v>0</v>
      </c>
      <c r="CI57" s="5" t="b">
        <f t="shared" si="76"/>
        <v>0</v>
      </c>
      <c r="CJ57" s="5" t="b">
        <f t="shared" si="74"/>
        <v>0</v>
      </c>
      <c r="CK57" s="5" t="b">
        <f t="shared" si="72"/>
        <v>0</v>
      </c>
      <c r="CL57" s="5" t="b">
        <f t="shared" si="70"/>
        <v>0</v>
      </c>
      <c r="CM57" s="5" t="b">
        <f t="shared" si="68"/>
        <v>0</v>
      </c>
      <c r="CN57" s="5" t="b">
        <f t="shared" si="66"/>
        <v>0</v>
      </c>
      <c r="CO57" s="5" t="b">
        <f t="shared" si="64"/>
        <v>0</v>
      </c>
      <c r="CP57" s="5" t="b">
        <f t="shared" si="62"/>
        <v>0</v>
      </c>
      <c r="CQ57" s="5" t="b">
        <f t="shared" si="60"/>
        <v>0</v>
      </c>
      <c r="CR57" s="5" t="b">
        <f t="shared" si="57"/>
        <v>0</v>
      </c>
      <c r="CS57" s="5" t="b">
        <f t="shared" si="55"/>
        <v>0</v>
      </c>
      <c r="CT57" s="5" t="b">
        <f t="shared" si="53"/>
        <v>0</v>
      </c>
      <c r="CU57" s="5" t="b">
        <f t="shared" si="51"/>
        <v>0</v>
      </c>
      <c r="CV57" s="5" t="b">
        <f t="shared" si="49"/>
        <v>0</v>
      </c>
      <c r="CW57" s="6" t="b">
        <f t="shared" si="47"/>
        <v>0</v>
      </c>
      <c r="CY57" s="77" t="str">
        <f>IF(ROUND(A57,0)&gt;=ROUND($H$4,0),SUM($C$3:$C57),"")</f>
        <v/>
      </c>
    </row>
    <row r="58" spans="1:103" ht="13" x14ac:dyDescent="0.3">
      <c r="A58" s="28" t="b">
        <f t="shared" si="31"/>
        <v>0</v>
      </c>
      <c r="B58" s="10" t="b">
        <f t="shared" si="44"/>
        <v>0</v>
      </c>
      <c r="C58" s="30" t="b">
        <f>IF(A58&lt;=MAX($AI$41:$AI$70),IF(ROW()&lt;=COUNTA(Data!$2:$2)+2,(B58+B57)*(A58-A57)/2,FALSE),FALSE)</f>
        <v>0</v>
      </c>
      <c r="D58" s="10" t="b">
        <f t="shared" si="7"/>
        <v>0</v>
      </c>
      <c r="E58" s="29" t="b">
        <f>IF(A58&lt;=MAX($AI$41:$AI$70),IF(ROW()&lt;=COUNTA(Data!$2:$2)+2,(B58*A58+B57*A57)*(A58-A57)/2,FALSE),FALSE)</f>
        <v>0</v>
      </c>
      <c r="W58" s="10">
        <v>56</v>
      </c>
      <c r="X5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8" s="10" t="b">
        <f>IF(ROW()&lt;=COUNTA(Data!$2:$2),INDEX(Data!$C:$AZ,Analysis!$C$1+1,ROW()-2),FALSE)</f>
        <v>0</v>
      </c>
      <c r="Z58" s="30">
        <f t="shared" si="10"/>
        <v>1</v>
      </c>
      <c r="AA58" s="29" t="b">
        <f t="shared" si="11"/>
        <v>0</v>
      </c>
      <c r="AC58" s="10" t="b">
        <f t="shared" si="0"/>
        <v>0</v>
      </c>
      <c r="AE58" s="10" t="b">
        <f t="shared" si="3"/>
        <v>0</v>
      </c>
      <c r="AF58" s="10">
        <f t="shared" si="12"/>
        <v>0.33300000000000002</v>
      </c>
      <c r="AG58" s="12" t="str">
        <f t="shared" si="8"/>
        <v/>
      </c>
      <c r="AH58" s="10">
        <f t="shared" si="45"/>
        <v>5</v>
      </c>
      <c r="AI58" s="4">
        <f t="shared" si="58"/>
        <v>1.5</v>
      </c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 t="b">
        <f t="shared" ref="AT58:AT70" si="90">IF(OR(ISERR(LN(INDEX($Y$3:$Y$70,INDEX($AD$3:$AD$70,71-ROW(),1),1))),$AI58&lt;=MIN($D:$D),$AI58=FALSE),FALSE,LN(INDEX($Y$3:$Y$70,INDEX($AD$3:$AD$70,71-ROW(),1),1)))</f>
        <v>0</v>
      </c>
      <c r="AU58" s="5" t="b">
        <f t="shared" si="89"/>
        <v>0</v>
      </c>
      <c r="AV58" s="5" t="b">
        <f t="shared" si="88"/>
        <v>0</v>
      </c>
      <c r="AW58" s="5" t="b">
        <f t="shared" si="87"/>
        <v>0</v>
      </c>
      <c r="AX58" s="5" t="b">
        <f t="shared" si="85"/>
        <v>0</v>
      </c>
      <c r="AY58" s="5" t="b">
        <f t="shared" si="83"/>
        <v>0</v>
      </c>
      <c r="AZ58" s="5" t="b">
        <f t="shared" si="81"/>
        <v>0</v>
      </c>
      <c r="BA58" s="5" t="b">
        <f t="shared" si="79"/>
        <v>0</v>
      </c>
      <c r="BB58" s="5" t="b">
        <f t="shared" si="77"/>
        <v>0</v>
      </c>
      <c r="BC58" s="5" t="b">
        <f t="shared" si="75"/>
        <v>0</v>
      </c>
      <c r="BD58" s="5" t="b">
        <f t="shared" si="73"/>
        <v>0</v>
      </c>
      <c r="BE58" s="5" t="b">
        <f t="shared" si="71"/>
        <v>0</v>
      </c>
      <c r="BF58" s="5" t="b">
        <f t="shared" si="69"/>
        <v>0</v>
      </c>
      <c r="BG58" s="5" t="b">
        <f t="shared" si="67"/>
        <v>0</v>
      </c>
      <c r="BH58" s="5" t="b">
        <f t="shared" si="65"/>
        <v>0</v>
      </c>
      <c r="BI58" s="5" t="b">
        <f t="shared" si="63"/>
        <v>0</v>
      </c>
      <c r="BJ58" s="5" t="b">
        <f t="shared" si="61"/>
        <v>0</v>
      </c>
      <c r="BK58" s="5" t="b">
        <f t="shared" si="59"/>
        <v>0</v>
      </c>
      <c r="BL58" s="5" t="b">
        <f t="shared" si="56"/>
        <v>0</v>
      </c>
      <c r="BM58" s="5" t="b">
        <f t="shared" si="54"/>
        <v>0</v>
      </c>
      <c r="BN58" s="5" t="b">
        <f t="shared" si="52"/>
        <v>0</v>
      </c>
      <c r="BO58" s="5" t="b">
        <f t="shared" si="50"/>
        <v>0</v>
      </c>
      <c r="BP58" s="5" t="b">
        <f t="shared" si="48"/>
        <v>0</v>
      </c>
      <c r="BQ58" s="5" t="b">
        <f t="shared" si="46"/>
        <v>0</v>
      </c>
      <c r="BR58" s="5" t="b">
        <f t="shared" si="43"/>
        <v>0</v>
      </c>
      <c r="BS58" s="5" t="b">
        <f t="shared" si="42"/>
        <v>0</v>
      </c>
      <c r="BT58" s="5" t="b">
        <f t="shared" si="41"/>
        <v>0</v>
      </c>
      <c r="BU58" s="5" t="b">
        <f t="shared" si="40"/>
        <v>0</v>
      </c>
      <c r="BV58" s="5" t="b">
        <f t="shared" si="39"/>
        <v>0</v>
      </c>
      <c r="BW58" s="5" t="b">
        <f t="shared" si="38"/>
        <v>0</v>
      </c>
      <c r="BX58" s="5" t="b">
        <f t="shared" si="37"/>
        <v>0</v>
      </c>
      <c r="BY58" s="5" t="b">
        <f t="shared" si="36"/>
        <v>0</v>
      </c>
      <c r="BZ58" s="5" t="b">
        <f t="shared" si="35"/>
        <v>0</v>
      </c>
      <c r="CA58" s="5" t="b">
        <f t="shared" si="34"/>
        <v>0</v>
      </c>
      <c r="CB58" s="5" t="b">
        <f t="shared" si="33"/>
        <v>0</v>
      </c>
      <c r="CC58" s="5" t="b">
        <f t="shared" si="32"/>
        <v>0</v>
      </c>
      <c r="CD58" s="5" t="b">
        <f t="shared" si="86"/>
        <v>0</v>
      </c>
      <c r="CE58" s="5" t="b">
        <f t="shared" si="84"/>
        <v>0</v>
      </c>
      <c r="CF58" s="5" t="b">
        <f t="shared" si="82"/>
        <v>0</v>
      </c>
      <c r="CG58" s="5" t="b">
        <f t="shared" si="80"/>
        <v>0</v>
      </c>
      <c r="CH58" s="5" t="b">
        <f t="shared" si="78"/>
        <v>0</v>
      </c>
      <c r="CI58" s="5" t="b">
        <f t="shared" si="76"/>
        <v>0</v>
      </c>
      <c r="CJ58" s="5" t="b">
        <f t="shared" si="74"/>
        <v>0</v>
      </c>
      <c r="CK58" s="5" t="b">
        <f t="shared" si="72"/>
        <v>0</v>
      </c>
      <c r="CL58" s="5" t="b">
        <f t="shared" si="70"/>
        <v>0</v>
      </c>
      <c r="CM58" s="5" t="b">
        <f t="shared" si="68"/>
        <v>0</v>
      </c>
      <c r="CN58" s="5" t="b">
        <f t="shared" si="66"/>
        <v>0</v>
      </c>
      <c r="CO58" s="5" t="b">
        <f t="shared" si="64"/>
        <v>0</v>
      </c>
      <c r="CP58" s="5" t="b">
        <f t="shared" si="62"/>
        <v>0</v>
      </c>
      <c r="CQ58" s="5" t="b">
        <f t="shared" si="60"/>
        <v>0</v>
      </c>
      <c r="CR58" s="5" t="b">
        <f t="shared" si="57"/>
        <v>0</v>
      </c>
      <c r="CS58" s="5" t="b">
        <f t="shared" si="55"/>
        <v>0</v>
      </c>
      <c r="CT58" s="5" t="b">
        <f t="shared" si="53"/>
        <v>0</v>
      </c>
      <c r="CU58" s="5" t="b">
        <f t="shared" si="51"/>
        <v>0</v>
      </c>
      <c r="CV58" s="5" t="b">
        <f t="shared" si="49"/>
        <v>0</v>
      </c>
      <c r="CW58" s="6" t="b">
        <f t="shared" si="47"/>
        <v>0</v>
      </c>
      <c r="CY58" s="77" t="str">
        <f>IF(ROUND(A58,0)&gt;=ROUND($H$4,0),SUM($C$3:$C58),"")</f>
        <v/>
      </c>
    </row>
    <row r="59" spans="1:103" ht="13" x14ac:dyDescent="0.3">
      <c r="A59" s="28" t="b">
        <f t="shared" si="31"/>
        <v>0</v>
      </c>
      <c r="B59" s="10" t="b">
        <f t="shared" si="44"/>
        <v>0</v>
      </c>
      <c r="C59" s="30" t="b">
        <f>IF(A59&lt;=MAX($AI$41:$AI$70),IF(ROW()&lt;=COUNTA(Data!$2:$2)+2,(B59+B58)*(A59-A58)/2,FALSE),FALSE)</f>
        <v>0</v>
      </c>
      <c r="D59" s="10" t="b">
        <f t="shared" si="7"/>
        <v>0</v>
      </c>
      <c r="E59" s="29" t="b">
        <f>IF(A59&lt;=MAX($AI$41:$AI$70),IF(ROW()&lt;=COUNTA(Data!$2:$2)+2,(B59*A59+B58*A58)*(A59-A58)/2,FALSE),FALSE)</f>
        <v>0</v>
      </c>
      <c r="W59" s="10">
        <v>57</v>
      </c>
      <c r="X5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59" s="10" t="b">
        <f>IF(ROW()&lt;=COUNTA(Data!$2:$2),INDEX(Data!$C:$AZ,Analysis!$C$1+1,ROW()-2),FALSE)</f>
        <v>0</v>
      </c>
      <c r="Z59" s="30">
        <f t="shared" si="10"/>
        <v>1</v>
      </c>
      <c r="AA59" s="29" t="b">
        <f t="shared" si="11"/>
        <v>0</v>
      </c>
      <c r="AC59" s="10" t="b">
        <f t="shared" si="0"/>
        <v>0</v>
      </c>
      <c r="AE59" s="10" t="b">
        <f t="shared" si="3"/>
        <v>0</v>
      </c>
      <c r="AF59" s="10">
        <f t="shared" si="12"/>
        <v>0.33300000000000002</v>
      </c>
      <c r="AG59" s="12" t="str">
        <f t="shared" si="8"/>
        <v/>
      </c>
      <c r="AH59" s="10">
        <f t="shared" si="45"/>
        <v>6</v>
      </c>
      <c r="AI59" s="4">
        <f t="shared" si="58"/>
        <v>2</v>
      </c>
      <c r="AJ59" s="5"/>
      <c r="AK59" s="5"/>
      <c r="AL59" s="5"/>
      <c r="AM59" s="5"/>
      <c r="AN59" s="5"/>
      <c r="AO59" s="5"/>
      <c r="AP59" s="5"/>
      <c r="AQ59" s="5"/>
      <c r="AR59" s="5"/>
      <c r="AS59" s="5" t="b">
        <f t="shared" ref="AS59:AS70" si="91">IF(OR(ISERR(LN(INDEX($Y$3:$Y$70,INDEX($AD$3:$AD$70,71-ROW(),1),1))),$AI59&lt;=MIN($D:$D),$AI59=FALSE),FALSE,LN(INDEX($Y$3:$Y$70,INDEX($AD$3:$AD$70,71-ROW(),1),1)))</f>
        <v>0</v>
      </c>
      <c r="AT59" s="5" t="b">
        <f t="shared" si="90"/>
        <v>0</v>
      </c>
      <c r="AU59" s="5" t="b">
        <f t="shared" si="89"/>
        <v>0</v>
      </c>
      <c r="AV59" s="5" t="b">
        <f t="shared" si="88"/>
        <v>0</v>
      </c>
      <c r="AW59" s="5" t="b">
        <f t="shared" si="87"/>
        <v>0</v>
      </c>
      <c r="AX59" s="5" t="b">
        <f t="shared" si="85"/>
        <v>0</v>
      </c>
      <c r="AY59" s="5" t="b">
        <f t="shared" si="83"/>
        <v>0</v>
      </c>
      <c r="AZ59" s="5" t="b">
        <f t="shared" si="81"/>
        <v>0</v>
      </c>
      <c r="BA59" s="5" t="b">
        <f t="shared" si="79"/>
        <v>0</v>
      </c>
      <c r="BB59" s="5" t="b">
        <f t="shared" si="77"/>
        <v>0</v>
      </c>
      <c r="BC59" s="5" t="b">
        <f t="shared" si="75"/>
        <v>0</v>
      </c>
      <c r="BD59" s="5" t="b">
        <f t="shared" si="73"/>
        <v>0</v>
      </c>
      <c r="BE59" s="5" t="b">
        <f t="shared" si="71"/>
        <v>0</v>
      </c>
      <c r="BF59" s="5" t="b">
        <f t="shared" si="69"/>
        <v>0</v>
      </c>
      <c r="BG59" s="5" t="b">
        <f t="shared" si="67"/>
        <v>0</v>
      </c>
      <c r="BH59" s="5" t="b">
        <f t="shared" si="65"/>
        <v>0</v>
      </c>
      <c r="BI59" s="5" t="b">
        <f t="shared" si="63"/>
        <v>0</v>
      </c>
      <c r="BJ59" s="5" t="b">
        <f t="shared" si="61"/>
        <v>0</v>
      </c>
      <c r="BK59" s="5" t="b">
        <f t="shared" si="59"/>
        <v>0</v>
      </c>
      <c r="BL59" s="5" t="b">
        <f t="shared" si="56"/>
        <v>0</v>
      </c>
      <c r="BM59" s="5" t="b">
        <f t="shared" si="54"/>
        <v>0</v>
      </c>
      <c r="BN59" s="5" t="b">
        <f t="shared" si="52"/>
        <v>0</v>
      </c>
      <c r="BO59" s="5" t="b">
        <f t="shared" si="50"/>
        <v>0</v>
      </c>
      <c r="BP59" s="5" t="b">
        <f t="shared" si="48"/>
        <v>0</v>
      </c>
      <c r="BQ59" s="5" t="b">
        <f t="shared" si="46"/>
        <v>0</v>
      </c>
      <c r="BR59" s="5" t="b">
        <f t="shared" si="43"/>
        <v>0</v>
      </c>
      <c r="BS59" s="5" t="b">
        <f t="shared" si="42"/>
        <v>0</v>
      </c>
      <c r="BT59" s="5" t="b">
        <f t="shared" si="41"/>
        <v>0</v>
      </c>
      <c r="BU59" s="5" t="b">
        <f t="shared" si="40"/>
        <v>0</v>
      </c>
      <c r="BV59" s="5" t="b">
        <f t="shared" si="39"/>
        <v>0</v>
      </c>
      <c r="BW59" s="5" t="b">
        <f t="shared" si="38"/>
        <v>0</v>
      </c>
      <c r="BX59" s="5" t="b">
        <f t="shared" si="37"/>
        <v>0</v>
      </c>
      <c r="BY59" s="5" t="b">
        <f t="shared" si="36"/>
        <v>0</v>
      </c>
      <c r="BZ59" s="5" t="b">
        <f t="shared" si="35"/>
        <v>0</v>
      </c>
      <c r="CA59" s="5" t="b">
        <f t="shared" si="34"/>
        <v>0</v>
      </c>
      <c r="CB59" s="5" t="b">
        <f t="shared" si="33"/>
        <v>0</v>
      </c>
      <c r="CC59" s="5" t="b">
        <f t="shared" si="32"/>
        <v>0</v>
      </c>
      <c r="CD59" s="5" t="b">
        <f t="shared" si="86"/>
        <v>0</v>
      </c>
      <c r="CE59" s="5" t="b">
        <f t="shared" si="84"/>
        <v>0</v>
      </c>
      <c r="CF59" s="5" t="b">
        <f t="shared" si="82"/>
        <v>0</v>
      </c>
      <c r="CG59" s="5" t="b">
        <f t="shared" si="80"/>
        <v>0</v>
      </c>
      <c r="CH59" s="5" t="b">
        <f t="shared" si="78"/>
        <v>0</v>
      </c>
      <c r="CI59" s="5" t="b">
        <f t="shared" si="76"/>
        <v>0</v>
      </c>
      <c r="CJ59" s="5" t="b">
        <f t="shared" si="74"/>
        <v>0</v>
      </c>
      <c r="CK59" s="5" t="b">
        <f t="shared" si="72"/>
        <v>0</v>
      </c>
      <c r="CL59" s="5" t="b">
        <f t="shared" si="70"/>
        <v>0</v>
      </c>
      <c r="CM59" s="5" t="b">
        <f t="shared" si="68"/>
        <v>0</v>
      </c>
      <c r="CN59" s="5" t="b">
        <f t="shared" si="66"/>
        <v>0</v>
      </c>
      <c r="CO59" s="5" t="b">
        <f t="shared" si="64"/>
        <v>0</v>
      </c>
      <c r="CP59" s="5" t="b">
        <f t="shared" si="62"/>
        <v>0</v>
      </c>
      <c r="CQ59" s="5" t="b">
        <f t="shared" si="60"/>
        <v>0</v>
      </c>
      <c r="CR59" s="5" t="b">
        <f t="shared" si="57"/>
        <v>0</v>
      </c>
      <c r="CS59" s="5" t="b">
        <f t="shared" si="55"/>
        <v>0</v>
      </c>
      <c r="CT59" s="5" t="b">
        <f t="shared" si="53"/>
        <v>0</v>
      </c>
      <c r="CU59" s="5" t="b">
        <f t="shared" si="51"/>
        <v>0</v>
      </c>
      <c r="CV59" s="5" t="b">
        <f t="shared" si="49"/>
        <v>0</v>
      </c>
      <c r="CW59" s="6" t="b">
        <f t="shared" si="47"/>
        <v>0</v>
      </c>
      <c r="CY59" s="77" t="str">
        <f>IF(ROUND(A59,0)&gt;=ROUND($H$4,0),SUM($C$3:$C59),"")</f>
        <v/>
      </c>
    </row>
    <row r="60" spans="1:103" ht="13" x14ac:dyDescent="0.3">
      <c r="A60" s="28" t="b">
        <f t="shared" si="31"/>
        <v>0</v>
      </c>
      <c r="B60" s="10" t="b">
        <f t="shared" si="44"/>
        <v>0</v>
      </c>
      <c r="C60" s="30" t="b">
        <f>IF(A60&lt;=MAX($AI$41:$AI$70),IF(ROW()&lt;=COUNTA(Data!$2:$2)+2,(B60+B59)*(A60-A59)/2,FALSE),FALSE)</f>
        <v>0</v>
      </c>
      <c r="D60" s="10" t="b">
        <f t="shared" si="7"/>
        <v>0</v>
      </c>
      <c r="E60" s="29" t="b">
        <f>IF(A60&lt;=MAX($AI$41:$AI$70),IF(ROW()&lt;=COUNTA(Data!$2:$2)+2,(B60*A60+B59*A59)*(A60-A59)/2,FALSE),FALSE)</f>
        <v>0</v>
      </c>
      <c r="W60" s="10">
        <v>58</v>
      </c>
      <c r="X60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0" s="10" t="b">
        <f>IF(ROW()&lt;=COUNTA(Data!$2:$2),INDEX(Data!$C:$AZ,Analysis!$C$1+1,ROW()-2),FALSE)</f>
        <v>0</v>
      </c>
      <c r="Z60" s="30">
        <f t="shared" si="10"/>
        <v>1</v>
      </c>
      <c r="AA60" s="29" t="b">
        <f t="shared" si="11"/>
        <v>0</v>
      </c>
      <c r="AC60" s="10" t="b">
        <f t="shared" si="0"/>
        <v>0</v>
      </c>
      <c r="AE60" s="10" t="b">
        <f t="shared" si="3"/>
        <v>0</v>
      </c>
      <c r="AF60" s="10">
        <f t="shared" si="12"/>
        <v>0.33300000000000002</v>
      </c>
      <c r="AG60" s="12" t="str">
        <f t="shared" si="8"/>
        <v/>
      </c>
      <c r="AH60" s="10">
        <f t="shared" si="45"/>
        <v>7</v>
      </c>
      <c r="AI60" s="4">
        <f t="shared" si="58"/>
        <v>2.5</v>
      </c>
      <c r="AJ60" s="5"/>
      <c r="AK60" s="5"/>
      <c r="AL60" s="5"/>
      <c r="AM60" s="5"/>
      <c r="AN60" s="5"/>
      <c r="AO60" s="5"/>
      <c r="AP60" s="5"/>
      <c r="AQ60" s="5"/>
      <c r="AR60" s="5" t="b">
        <f t="shared" ref="AR60:AR70" si="92">IF(OR(ISERR(LN(INDEX($Y$3:$Y$70,INDEX($AD$3:$AD$70,71-ROW(),1),1))),$AI60&lt;=MIN($D:$D),$AI60=FALSE),FALSE,LN(INDEX($Y$3:$Y$70,INDEX($AD$3:$AD$70,71-ROW(),1),1)))</f>
        <v>0</v>
      </c>
      <c r="AS60" s="5" t="b">
        <f t="shared" si="91"/>
        <v>0</v>
      </c>
      <c r="AT60" s="5" t="b">
        <f t="shared" si="90"/>
        <v>0</v>
      </c>
      <c r="AU60" s="5" t="b">
        <f t="shared" si="89"/>
        <v>0</v>
      </c>
      <c r="AV60" s="5" t="b">
        <f t="shared" si="88"/>
        <v>0</v>
      </c>
      <c r="AW60" s="5" t="b">
        <f t="shared" si="87"/>
        <v>0</v>
      </c>
      <c r="AX60" s="5" t="b">
        <f t="shared" si="85"/>
        <v>0</v>
      </c>
      <c r="AY60" s="5" t="b">
        <f t="shared" si="83"/>
        <v>0</v>
      </c>
      <c r="AZ60" s="5" t="b">
        <f t="shared" si="81"/>
        <v>0</v>
      </c>
      <c r="BA60" s="5" t="b">
        <f t="shared" si="79"/>
        <v>0</v>
      </c>
      <c r="BB60" s="5" t="b">
        <f t="shared" si="77"/>
        <v>0</v>
      </c>
      <c r="BC60" s="5" t="b">
        <f t="shared" si="75"/>
        <v>0</v>
      </c>
      <c r="BD60" s="5" t="b">
        <f t="shared" si="73"/>
        <v>0</v>
      </c>
      <c r="BE60" s="5" t="b">
        <f t="shared" si="71"/>
        <v>0</v>
      </c>
      <c r="BF60" s="5" t="b">
        <f t="shared" si="69"/>
        <v>0</v>
      </c>
      <c r="BG60" s="5" t="b">
        <f t="shared" si="67"/>
        <v>0</v>
      </c>
      <c r="BH60" s="5" t="b">
        <f t="shared" si="65"/>
        <v>0</v>
      </c>
      <c r="BI60" s="5" t="b">
        <f t="shared" si="63"/>
        <v>0</v>
      </c>
      <c r="BJ60" s="5" t="b">
        <f t="shared" si="61"/>
        <v>0</v>
      </c>
      <c r="BK60" s="5" t="b">
        <f t="shared" si="59"/>
        <v>0</v>
      </c>
      <c r="BL60" s="5" t="b">
        <f t="shared" si="56"/>
        <v>0</v>
      </c>
      <c r="BM60" s="5" t="b">
        <f t="shared" si="54"/>
        <v>0</v>
      </c>
      <c r="BN60" s="5" t="b">
        <f t="shared" si="52"/>
        <v>0</v>
      </c>
      <c r="BO60" s="5" t="b">
        <f t="shared" si="50"/>
        <v>0</v>
      </c>
      <c r="BP60" s="5" t="b">
        <f t="shared" si="48"/>
        <v>0</v>
      </c>
      <c r="BQ60" s="5" t="b">
        <f t="shared" si="46"/>
        <v>0</v>
      </c>
      <c r="BR60" s="5" t="b">
        <f t="shared" si="43"/>
        <v>0</v>
      </c>
      <c r="BS60" s="5" t="b">
        <f t="shared" si="42"/>
        <v>0</v>
      </c>
      <c r="BT60" s="5" t="b">
        <f t="shared" si="41"/>
        <v>0</v>
      </c>
      <c r="BU60" s="5" t="b">
        <f t="shared" si="40"/>
        <v>0</v>
      </c>
      <c r="BV60" s="5" t="b">
        <f t="shared" si="39"/>
        <v>0</v>
      </c>
      <c r="BW60" s="5" t="b">
        <f t="shared" si="38"/>
        <v>0</v>
      </c>
      <c r="BX60" s="5" t="b">
        <f t="shared" si="37"/>
        <v>0</v>
      </c>
      <c r="BY60" s="5" t="b">
        <f t="shared" si="36"/>
        <v>0</v>
      </c>
      <c r="BZ60" s="5" t="b">
        <f t="shared" si="35"/>
        <v>0</v>
      </c>
      <c r="CA60" s="5" t="b">
        <f t="shared" si="34"/>
        <v>0</v>
      </c>
      <c r="CB60" s="5" t="b">
        <f t="shared" si="33"/>
        <v>0</v>
      </c>
      <c r="CC60" s="5" t="b">
        <f t="shared" si="32"/>
        <v>0</v>
      </c>
      <c r="CD60" s="5" t="b">
        <f t="shared" si="86"/>
        <v>0</v>
      </c>
      <c r="CE60" s="5" t="b">
        <f t="shared" si="84"/>
        <v>0</v>
      </c>
      <c r="CF60" s="5" t="b">
        <f t="shared" si="82"/>
        <v>0</v>
      </c>
      <c r="CG60" s="5" t="b">
        <f t="shared" si="80"/>
        <v>0</v>
      </c>
      <c r="CH60" s="5" t="b">
        <f t="shared" si="78"/>
        <v>0</v>
      </c>
      <c r="CI60" s="5" t="b">
        <f t="shared" si="76"/>
        <v>0</v>
      </c>
      <c r="CJ60" s="5" t="b">
        <f t="shared" si="74"/>
        <v>0</v>
      </c>
      <c r="CK60" s="5" t="b">
        <f t="shared" si="72"/>
        <v>0</v>
      </c>
      <c r="CL60" s="5" t="b">
        <f t="shared" si="70"/>
        <v>0</v>
      </c>
      <c r="CM60" s="5" t="b">
        <f t="shared" si="68"/>
        <v>0</v>
      </c>
      <c r="CN60" s="5" t="b">
        <f t="shared" si="66"/>
        <v>0</v>
      </c>
      <c r="CO60" s="5" t="b">
        <f t="shared" si="64"/>
        <v>0</v>
      </c>
      <c r="CP60" s="5" t="b">
        <f t="shared" si="62"/>
        <v>0</v>
      </c>
      <c r="CQ60" s="5" t="b">
        <f t="shared" si="60"/>
        <v>0</v>
      </c>
      <c r="CR60" s="5" t="b">
        <f t="shared" si="57"/>
        <v>0</v>
      </c>
      <c r="CS60" s="5" t="b">
        <f t="shared" si="55"/>
        <v>0</v>
      </c>
      <c r="CT60" s="5" t="b">
        <f t="shared" si="53"/>
        <v>0</v>
      </c>
      <c r="CU60" s="5" t="b">
        <f t="shared" si="51"/>
        <v>0</v>
      </c>
      <c r="CV60" s="5" t="b">
        <f t="shared" si="49"/>
        <v>0</v>
      </c>
      <c r="CW60" s="6" t="b">
        <f t="shared" si="47"/>
        <v>0</v>
      </c>
      <c r="CY60" s="77" t="str">
        <f>IF(ROUND(A60,0)&gt;=ROUND($H$4,0),SUM($C$3:$C60),"")</f>
        <v/>
      </c>
    </row>
    <row r="61" spans="1:103" ht="13" x14ac:dyDescent="0.3">
      <c r="A61" s="28" t="b">
        <f t="shared" si="31"/>
        <v>0</v>
      </c>
      <c r="B61" s="10" t="b">
        <f t="shared" si="44"/>
        <v>0</v>
      </c>
      <c r="C61" s="30" t="b">
        <f>IF(A61&lt;=MAX($AI$41:$AI$70),IF(ROW()&lt;=COUNTA(Data!$2:$2)+2,(B61+B60)*(A61-A60)/2,FALSE),FALSE)</f>
        <v>0</v>
      </c>
      <c r="D61" s="10" t="b">
        <f t="shared" si="7"/>
        <v>0</v>
      </c>
      <c r="E61" s="29" t="b">
        <f>IF(A61&lt;=MAX($AI$41:$AI$70),IF(ROW()&lt;=COUNTA(Data!$2:$2)+2,(B61*A61+B60*A60)*(A61-A60)/2,FALSE),FALSE)</f>
        <v>0</v>
      </c>
      <c r="W61" s="10">
        <v>59</v>
      </c>
      <c r="X61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1" s="10" t="b">
        <f>IF(ROW()&lt;=COUNTA(Data!$2:$2),INDEX(Data!$C:$AZ,Analysis!$C$1+1,ROW()-2),FALSE)</f>
        <v>0</v>
      </c>
      <c r="Z61" s="30">
        <f t="shared" si="10"/>
        <v>1</v>
      </c>
      <c r="AA61" s="29" t="b">
        <f t="shared" si="11"/>
        <v>0</v>
      </c>
      <c r="AC61" s="10" t="b">
        <f t="shared" si="0"/>
        <v>0</v>
      </c>
      <c r="AE61" s="10" t="b">
        <f t="shared" si="3"/>
        <v>0</v>
      </c>
      <c r="AF61" s="10">
        <f t="shared" si="12"/>
        <v>0.33300000000000002</v>
      </c>
      <c r="AG61" s="12" t="str">
        <f t="shared" si="8"/>
        <v/>
      </c>
      <c r="AH61" s="10">
        <f t="shared" si="45"/>
        <v>8</v>
      </c>
      <c r="AI61" s="4">
        <f t="shared" si="58"/>
        <v>3</v>
      </c>
      <c r="AJ61" s="5"/>
      <c r="AK61" s="5"/>
      <c r="AL61" s="5"/>
      <c r="AM61" s="5"/>
      <c r="AN61" s="5"/>
      <c r="AO61" s="5"/>
      <c r="AP61" s="5"/>
      <c r="AQ61" s="5" t="b">
        <f t="shared" ref="AQ61:AQ70" si="93">IF(OR(ISERR(LN(INDEX($Y$3:$Y$70,INDEX($AD$3:$AD$70,71-ROW(),1),1))),$AI61&lt;=MIN($D:$D),$AI61=FALSE),FALSE,LN(INDEX($Y$3:$Y$70,INDEX($AD$3:$AD$70,71-ROW(),1),1)))</f>
        <v>0</v>
      </c>
      <c r="AR61" s="5" t="b">
        <f t="shared" si="92"/>
        <v>0</v>
      </c>
      <c r="AS61" s="5" t="b">
        <f t="shared" si="91"/>
        <v>0</v>
      </c>
      <c r="AT61" s="5" t="b">
        <f t="shared" si="90"/>
        <v>0</v>
      </c>
      <c r="AU61" s="5" t="b">
        <f t="shared" si="89"/>
        <v>0</v>
      </c>
      <c r="AV61" s="5" t="b">
        <f t="shared" si="88"/>
        <v>0</v>
      </c>
      <c r="AW61" s="5" t="b">
        <f t="shared" si="87"/>
        <v>0</v>
      </c>
      <c r="AX61" s="5" t="b">
        <f t="shared" si="85"/>
        <v>0</v>
      </c>
      <c r="AY61" s="5" t="b">
        <f t="shared" si="83"/>
        <v>0</v>
      </c>
      <c r="AZ61" s="5" t="b">
        <f t="shared" si="81"/>
        <v>0</v>
      </c>
      <c r="BA61" s="5" t="b">
        <f t="shared" si="79"/>
        <v>0</v>
      </c>
      <c r="BB61" s="5" t="b">
        <f t="shared" si="77"/>
        <v>0</v>
      </c>
      <c r="BC61" s="5" t="b">
        <f t="shared" si="75"/>
        <v>0</v>
      </c>
      <c r="BD61" s="5" t="b">
        <f t="shared" si="73"/>
        <v>0</v>
      </c>
      <c r="BE61" s="5" t="b">
        <f t="shared" si="71"/>
        <v>0</v>
      </c>
      <c r="BF61" s="5" t="b">
        <f t="shared" si="69"/>
        <v>0</v>
      </c>
      <c r="BG61" s="5" t="b">
        <f t="shared" si="67"/>
        <v>0</v>
      </c>
      <c r="BH61" s="5" t="b">
        <f t="shared" si="65"/>
        <v>0</v>
      </c>
      <c r="BI61" s="5" t="b">
        <f t="shared" si="63"/>
        <v>0</v>
      </c>
      <c r="BJ61" s="5" t="b">
        <f t="shared" si="61"/>
        <v>0</v>
      </c>
      <c r="BK61" s="5" t="b">
        <f t="shared" si="59"/>
        <v>0</v>
      </c>
      <c r="BL61" s="5" t="b">
        <f t="shared" si="56"/>
        <v>0</v>
      </c>
      <c r="BM61" s="5" t="b">
        <f t="shared" si="54"/>
        <v>0</v>
      </c>
      <c r="BN61" s="5" t="b">
        <f t="shared" si="52"/>
        <v>0</v>
      </c>
      <c r="BO61" s="5" t="b">
        <f t="shared" si="50"/>
        <v>0</v>
      </c>
      <c r="BP61" s="5" t="b">
        <f t="shared" si="48"/>
        <v>0</v>
      </c>
      <c r="BQ61" s="5" t="b">
        <f t="shared" si="46"/>
        <v>0</v>
      </c>
      <c r="BR61" s="5" t="b">
        <f t="shared" si="43"/>
        <v>0</v>
      </c>
      <c r="BS61" s="5" t="b">
        <f t="shared" si="42"/>
        <v>0</v>
      </c>
      <c r="BT61" s="5" t="b">
        <f t="shared" si="41"/>
        <v>0</v>
      </c>
      <c r="BU61" s="5" t="b">
        <f t="shared" si="40"/>
        <v>0</v>
      </c>
      <c r="BV61" s="5" t="b">
        <f t="shared" si="39"/>
        <v>0</v>
      </c>
      <c r="BW61" s="5" t="b">
        <f t="shared" si="38"/>
        <v>0</v>
      </c>
      <c r="BX61" s="5" t="b">
        <f t="shared" si="37"/>
        <v>0</v>
      </c>
      <c r="BY61" s="5" t="b">
        <f t="shared" si="36"/>
        <v>0</v>
      </c>
      <c r="BZ61" s="5" t="b">
        <f t="shared" si="35"/>
        <v>0</v>
      </c>
      <c r="CA61" s="5" t="b">
        <f t="shared" si="34"/>
        <v>0</v>
      </c>
      <c r="CB61" s="5" t="b">
        <f t="shared" si="33"/>
        <v>0</v>
      </c>
      <c r="CC61" s="5" t="b">
        <f t="shared" si="32"/>
        <v>0</v>
      </c>
      <c r="CD61" s="5" t="b">
        <f t="shared" si="86"/>
        <v>0</v>
      </c>
      <c r="CE61" s="5" t="b">
        <f t="shared" si="84"/>
        <v>0</v>
      </c>
      <c r="CF61" s="5" t="b">
        <f t="shared" si="82"/>
        <v>0</v>
      </c>
      <c r="CG61" s="5" t="b">
        <f t="shared" si="80"/>
        <v>0</v>
      </c>
      <c r="CH61" s="5" t="b">
        <f t="shared" si="78"/>
        <v>0</v>
      </c>
      <c r="CI61" s="5" t="b">
        <f t="shared" si="76"/>
        <v>0</v>
      </c>
      <c r="CJ61" s="5" t="b">
        <f t="shared" si="74"/>
        <v>0</v>
      </c>
      <c r="CK61" s="5" t="b">
        <f t="shared" si="72"/>
        <v>0</v>
      </c>
      <c r="CL61" s="5" t="b">
        <f t="shared" si="70"/>
        <v>0</v>
      </c>
      <c r="CM61" s="5" t="b">
        <f t="shared" si="68"/>
        <v>0</v>
      </c>
      <c r="CN61" s="5" t="b">
        <f t="shared" si="66"/>
        <v>0</v>
      </c>
      <c r="CO61" s="5" t="b">
        <f t="shared" si="64"/>
        <v>0</v>
      </c>
      <c r="CP61" s="5" t="b">
        <f t="shared" si="62"/>
        <v>0</v>
      </c>
      <c r="CQ61" s="5" t="b">
        <f t="shared" si="60"/>
        <v>0</v>
      </c>
      <c r="CR61" s="5" t="b">
        <f t="shared" si="57"/>
        <v>0</v>
      </c>
      <c r="CS61" s="5" t="b">
        <f t="shared" si="55"/>
        <v>0</v>
      </c>
      <c r="CT61" s="5" t="b">
        <f t="shared" si="53"/>
        <v>0</v>
      </c>
      <c r="CU61" s="5" t="b">
        <f t="shared" si="51"/>
        <v>0</v>
      </c>
      <c r="CV61" s="5" t="b">
        <f t="shared" si="49"/>
        <v>0</v>
      </c>
      <c r="CW61" s="6" t="b">
        <f t="shared" si="47"/>
        <v>0</v>
      </c>
      <c r="CY61" s="77" t="str">
        <f>IF(ROUND(A61,0)&gt;=ROUND($H$4,0),SUM($C$3:$C61),"")</f>
        <v/>
      </c>
    </row>
    <row r="62" spans="1:103" ht="13" x14ac:dyDescent="0.3">
      <c r="A62" s="28" t="b">
        <f t="shared" si="31"/>
        <v>0</v>
      </c>
      <c r="B62" s="10" t="b">
        <f t="shared" si="44"/>
        <v>0</v>
      </c>
      <c r="C62" s="30" t="b">
        <f>IF(A62&lt;=MAX($AI$41:$AI$70),IF(ROW()&lt;=COUNTA(Data!$2:$2)+2,(B62+B61)*(A62-A61)/2,FALSE),FALSE)</f>
        <v>0</v>
      </c>
      <c r="D62" s="10" t="b">
        <f t="shared" si="7"/>
        <v>0</v>
      </c>
      <c r="E62" s="29" t="b">
        <f>IF(A62&lt;=MAX($AI$41:$AI$70),IF(ROW()&lt;=COUNTA(Data!$2:$2)+2,(B62*A62+B61*A61)*(A62-A61)/2,FALSE),FALSE)</f>
        <v>0</v>
      </c>
      <c r="W62" s="10">
        <v>60</v>
      </c>
      <c r="X62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2" s="10" t="b">
        <f>IF(ROW()&lt;=COUNTA(Data!$2:$2),INDEX(Data!$C:$AZ,Analysis!$C$1+1,ROW()-2),FALSE)</f>
        <v>0</v>
      </c>
      <c r="Z62" s="30">
        <f t="shared" si="10"/>
        <v>1</v>
      </c>
      <c r="AA62" s="29" t="b">
        <f t="shared" si="11"/>
        <v>0</v>
      </c>
      <c r="AC62" s="10" t="b">
        <f t="shared" si="0"/>
        <v>0</v>
      </c>
      <c r="AE62" s="10" t="b">
        <f t="shared" si="3"/>
        <v>0</v>
      </c>
      <c r="AF62" s="10">
        <f t="shared" si="12"/>
        <v>0.33300000000000002</v>
      </c>
      <c r="AG62" s="12" t="str">
        <f t="shared" si="8"/>
        <v/>
      </c>
      <c r="AH62" s="10">
        <f t="shared" si="45"/>
        <v>9</v>
      </c>
      <c r="AI62" s="4">
        <f t="shared" si="58"/>
        <v>3.5</v>
      </c>
      <c r="AJ62" s="5"/>
      <c r="AK62" s="5"/>
      <c r="AL62" s="5"/>
      <c r="AM62" s="5"/>
      <c r="AN62" s="5"/>
      <c r="AO62" s="5"/>
      <c r="AP62" s="5" t="b">
        <f t="shared" ref="AP62:AP70" si="94">IF(OR(ISERR(LN(INDEX($Y$3:$Y$70,INDEX($AD$3:$AD$70,71-ROW(),1),1))),$AI62&lt;=MIN($D:$D),$AI62=FALSE),FALSE,LN(INDEX($Y$3:$Y$70,INDEX($AD$3:$AD$70,71-ROW(),1),1)))</f>
        <v>0</v>
      </c>
      <c r="AQ62" s="5" t="b">
        <f t="shared" si="93"/>
        <v>0</v>
      </c>
      <c r="AR62" s="5" t="b">
        <f t="shared" si="92"/>
        <v>0</v>
      </c>
      <c r="AS62" s="5" t="b">
        <f t="shared" si="91"/>
        <v>0</v>
      </c>
      <c r="AT62" s="5" t="b">
        <f t="shared" si="90"/>
        <v>0</v>
      </c>
      <c r="AU62" s="5" t="b">
        <f t="shared" si="89"/>
        <v>0</v>
      </c>
      <c r="AV62" s="5" t="b">
        <f t="shared" si="88"/>
        <v>0</v>
      </c>
      <c r="AW62" s="5" t="b">
        <f t="shared" si="87"/>
        <v>0</v>
      </c>
      <c r="AX62" s="5" t="b">
        <f t="shared" si="85"/>
        <v>0</v>
      </c>
      <c r="AY62" s="5" t="b">
        <f t="shared" si="83"/>
        <v>0</v>
      </c>
      <c r="AZ62" s="5" t="b">
        <f t="shared" si="81"/>
        <v>0</v>
      </c>
      <c r="BA62" s="5" t="b">
        <f t="shared" si="79"/>
        <v>0</v>
      </c>
      <c r="BB62" s="5" t="b">
        <f t="shared" si="77"/>
        <v>0</v>
      </c>
      <c r="BC62" s="5" t="b">
        <f t="shared" si="75"/>
        <v>0</v>
      </c>
      <c r="BD62" s="5" t="b">
        <f t="shared" si="73"/>
        <v>0</v>
      </c>
      <c r="BE62" s="5" t="b">
        <f t="shared" si="71"/>
        <v>0</v>
      </c>
      <c r="BF62" s="5" t="b">
        <f t="shared" si="69"/>
        <v>0</v>
      </c>
      <c r="BG62" s="5" t="b">
        <f t="shared" si="67"/>
        <v>0</v>
      </c>
      <c r="BH62" s="5" t="b">
        <f t="shared" si="65"/>
        <v>0</v>
      </c>
      <c r="BI62" s="5" t="b">
        <f t="shared" si="63"/>
        <v>0</v>
      </c>
      <c r="BJ62" s="5" t="b">
        <f t="shared" si="61"/>
        <v>0</v>
      </c>
      <c r="BK62" s="5" t="b">
        <f t="shared" si="59"/>
        <v>0</v>
      </c>
      <c r="BL62" s="5" t="b">
        <f t="shared" si="56"/>
        <v>0</v>
      </c>
      <c r="BM62" s="5" t="b">
        <f t="shared" si="54"/>
        <v>0</v>
      </c>
      <c r="BN62" s="5" t="b">
        <f t="shared" si="52"/>
        <v>0</v>
      </c>
      <c r="BO62" s="5" t="b">
        <f t="shared" si="50"/>
        <v>0</v>
      </c>
      <c r="BP62" s="5" t="b">
        <f t="shared" si="48"/>
        <v>0</v>
      </c>
      <c r="BQ62" s="5" t="b">
        <f t="shared" si="46"/>
        <v>0</v>
      </c>
      <c r="BR62" s="5" t="b">
        <f t="shared" si="43"/>
        <v>0</v>
      </c>
      <c r="BS62" s="5" t="b">
        <f t="shared" si="42"/>
        <v>0</v>
      </c>
      <c r="BT62" s="5" t="b">
        <f t="shared" si="41"/>
        <v>0</v>
      </c>
      <c r="BU62" s="5" t="b">
        <f t="shared" si="40"/>
        <v>0</v>
      </c>
      <c r="BV62" s="5" t="b">
        <f t="shared" si="39"/>
        <v>0</v>
      </c>
      <c r="BW62" s="5" t="b">
        <f t="shared" si="38"/>
        <v>0</v>
      </c>
      <c r="BX62" s="5" t="b">
        <f t="shared" si="37"/>
        <v>0</v>
      </c>
      <c r="BY62" s="5" t="b">
        <f t="shared" si="36"/>
        <v>0</v>
      </c>
      <c r="BZ62" s="5" t="b">
        <f t="shared" si="35"/>
        <v>0</v>
      </c>
      <c r="CA62" s="5" t="b">
        <f t="shared" si="34"/>
        <v>0</v>
      </c>
      <c r="CB62" s="5" t="b">
        <f t="shared" si="33"/>
        <v>0</v>
      </c>
      <c r="CC62" s="5" t="b">
        <f t="shared" si="32"/>
        <v>0</v>
      </c>
      <c r="CD62" s="5" t="b">
        <f t="shared" si="86"/>
        <v>0</v>
      </c>
      <c r="CE62" s="5" t="b">
        <f t="shared" si="84"/>
        <v>0</v>
      </c>
      <c r="CF62" s="5" t="b">
        <f t="shared" si="82"/>
        <v>0</v>
      </c>
      <c r="CG62" s="5" t="b">
        <f t="shared" si="80"/>
        <v>0</v>
      </c>
      <c r="CH62" s="5" t="b">
        <f t="shared" si="78"/>
        <v>0</v>
      </c>
      <c r="CI62" s="5" t="b">
        <f t="shared" si="76"/>
        <v>0</v>
      </c>
      <c r="CJ62" s="5" t="b">
        <f t="shared" si="74"/>
        <v>0</v>
      </c>
      <c r="CK62" s="5" t="b">
        <f t="shared" si="72"/>
        <v>0</v>
      </c>
      <c r="CL62" s="5" t="b">
        <f t="shared" si="70"/>
        <v>0</v>
      </c>
      <c r="CM62" s="5" t="b">
        <f t="shared" si="68"/>
        <v>0</v>
      </c>
      <c r="CN62" s="5" t="b">
        <f t="shared" si="66"/>
        <v>0</v>
      </c>
      <c r="CO62" s="5" t="b">
        <f t="shared" si="64"/>
        <v>0</v>
      </c>
      <c r="CP62" s="5" t="b">
        <f t="shared" si="62"/>
        <v>0</v>
      </c>
      <c r="CQ62" s="5" t="b">
        <f t="shared" si="60"/>
        <v>0</v>
      </c>
      <c r="CR62" s="5" t="b">
        <f t="shared" si="57"/>
        <v>0</v>
      </c>
      <c r="CS62" s="5" t="b">
        <f t="shared" si="55"/>
        <v>0</v>
      </c>
      <c r="CT62" s="5" t="b">
        <f t="shared" si="53"/>
        <v>0</v>
      </c>
      <c r="CU62" s="5" t="b">
        <f t="shared" si="51"/>
        <v>0</v>
      </c>
      <c r="CV62" s="5" t="b">
        <f t="shared" si="49"/>
        <v>0</v>
      </c>
      <c r="CW62" s="6" t="b">
        <f t="shared" si="47"/>
        <v>0</v>
      </c>
      <c r="CY62" s="77" t="str">
        <f>IF(ROUND(A62,0)&gt;=ROUND($H$4,0),SUM($C$3:$C62),"")</f>
        <v/>
      </c>
    </row>
    <row r="63" spans="1:103" ht="13" x14ac:dyDescent="0.3">
      <c r="A63" s="28" t="b">
        <f t="shared" si="31"/>
        <v>0</v>
      </c>
      <c r="B63" s="10" t="b">
        <f t="shared" si="44"/>
        <v>0</v>
      </c>
      <c r="C63" s="30" t="b">
        <f>IF(A63&lt;=MAX($AI$41:$AI$70),IF(ROW()&lt;=COUNTA(Data!$2:$2)+2,(B63+B62)*(A63-A62)/2,FALSE),FALSE)</f>
        <v>0</v>
      </c>
      <c r="D63" s="10" t="b">
        <f t="shared" si="7"/>
        <v>0</v>
      </c>
      <c r="E63" s="29" t="b">
        <f>IF(A63&lt;=MAX($AI$41:$AI$70),IF(ROW()&lt;=COUNTA(Data!$2:$2)+2,(B63*A63+B62*A62)*(A63-A62)/2,FALSE),FALSE)</f>
        <v>0</v>
      </c>
      <c r="W63" s="10">
        <v>61</v>
      </c>
      <c r="X63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3" s="10" t="b">
        <f>IF(ROW()&lt;=COUNTA(Data!$2:$2),INDEX(Data!$C:$AZ,Analysis!$C$1+1,ROW()-2),FALSE)</f>
        <v>0</v>
      </c>
      <c r="Z63" s="30">
        <f t="shared" si="10"/>
        <v>1</v>
      </c>
      <c r="AA63" s="29" t="b">
        <f t="shared" si="11"/>
        <v>0</v>
      </c>
      <c r="AC63" s="10" t="b">
        <f t="shared" si="0"/>
        <v>0</v>
      </c>
      <c r="AE63" s="10" t="b">
        <f t="shared" si="3"/>
        <v>0</v>
      </c>
      <c r="AF63" s="10">
        <f t="shared" si="12"/>
        <v>0.33300000000000002</v>
      </c>
      <c r="AG63" s="12" t="str">
        <f t="shared" si="8"/>
        <v/>
      </c>
      <c r="AH63" s="10">
        <f t="shared" si="45"/>
        <v>10</v>
      </c>
      <c r="AI63" s="4">
        <f t="shared" si="58"/>
        <v>4</v>
      </c>
      <c r="AJ63" s="5"/>
      <c r="AK63" s="5"/>
      <c r="AL63" s="5"/>
      <c r="AM63" s="5"/>
      <c r="AN63" s="5"/>
      <c r="AO63" s="5" t="b">
        <f t="shared" ref="AO63:AO70" si="95">IF(OR(ISERR(LN(INDEX($Y$3:$Y$70,INDEX($AD$3:$AD$70,71-ROW(),1),1))),$AI63&lt;=MIN($D:$D),$AI63=FALSE),FALSE,LN(INDEX($Y$3:$Y$70,INDEX($AD$3:$AD$70,71-ROW(),1),1)))</f>
        <v>0</v>
      </c>
      <c r="AP63" s="5" t="b">
        <f t="shared" si="94"/>
        <v>0</v>
      </c>
      <c r="AQ63" s="5" t="b">
        <f t="shared" si="93"/>
        <v>0</v>
      </c>
      <c r="AR63" s="5" t="b">
        <f t="shared" si="92"/>
        <v>0</v>
      </c>
      <c r="AS63" s="5" t="b">
        <f t="shared" si="91"/>
        <v>0</v>
      </c>
      <c r="AT63" s="5" t="b">
        <f t="shared" si="90"/>
        <v>0</v>
      </c>
      <c r="AU63" s="5" t="b">
        <f t="shared" si="89"/>
        <v>0</v>
      </c>
      <c r="AV63" s="5" t="b">
        <f t="shared" si="88"/>
        <v>0</v>
      </c>
      <c r="AW63" s="5" t="b">
        <f t="shared" si="87"/>
        <v>0</v>
      </c>
      <c r="AX63" s="5" t="b">
        <f t="shared" si="85"/>
        <v>0</v>
      </c>
      <c r="AY63" s="5" t="b">
        <f t="shared" si="83"/>
        <v>0</v>
      </c>
      <c r="AZ63" s="5" t="b">
        <f t="shared" si="81"/>
        <v>0</v>
      </c>
      <c r="BA63" s="5" t="b">
        <f t="shared" si="79"/>
        <v>0</v>
      </c>
      <c r="BB63" s="5" t="b">
        <f t="shared" si="77"/>
        <v>0</v>
      </c>
      <c r="BC63" s="5" t="b">
        <f t="shared" si="75"/>
        <v>0</v>
      </c>
      <c r="BD63" s="5" t="b">
        <f t="shared" si="73"/>
        <v>0</v>
      </c>
      <c r="BE63" s="5" t="b">
        <f t="shared" si="71"/>
        <v>0</v>
      </c>
      <c r="BF63" s="5" t="b">
        <f t="shared" si="69"/>
        <v>0</v>
      </c>
      <c r="BG63" s="5" t="b">
        <f t="shared" si="67"/>
        <v>0</v>
      </c>
      <c r="BH63" s="5" t="b">
        <f t="shared" si="65"/>
        <v>0</v>
      </c>
      <c r="BI63" s="5" t="b">
        <f t="shared" si="63"/>
        <v>0</v>
      </c>
      <c r="BJ63" s="5" t="b">
        <f t="shared" si="61"/>
        <v>0</v>
      </c>
      <c r="BK63" s="5" t="b">
        <f t="shared" si="59"/>
        <v>0</v>
      </c>
      <c r="BL63" s="5" t="b">
        <f t="shared" si="56"/>
        <v>0</v>
      </c>
      <c r="BM63" s="5" t="b">
        <f t="shared" si="54"/>
        <v>0</v>
      </c>
      <c r="BN63" s="5" t="b">
        <f t="shared" si="52"/>
        <v>0</v>
      </c>
      <c r="BO63" s="5" t="b">
        <f t="shared" si="50"/>
        <v>0</v>
      </c>
      <c r="BP63" s="5" t="b">
        <f t="shared" si="48"/>
        <v>0</v>
      </c>
      <c r="BQ63" s="5" t="b">
        <f t="shared" si="46"/>
        <v>0</v>
      </c>
      <c r="BR63" s="5" t="b">
        <f t="shared" si="43"/>
        <v>0</v>
      </c>
      <c r="BS63" s="5" t="b">
        <f t="shared" si="42"/>
        <v>0</v>
      </c>
      <c r="BT63" s="5" t="b">
        <f t="shared" si="41"/>
        <v>0</v>
      </c>
      <c r="BU63" s="5" t="b">
        <f t="shared" si="40"/>
        <v>0</v>
      </c>
      <c r="BV63" s="5" t="b">
        <f t="shared" si="39"/>
        <v>0</v>
      </c>
      <c r="BW63" s="5" t="b">
        <f t="shared" si="38"/>
        <v>0</v>
      </c>
      <c r="BX63" s="5" t="b">
        <f t="shared" si="37"/>
        <v>0</v>
      </c>
      <c r="BY63" s="5" t="b">
        <f t="shared" si="36"/>
        <v>0</v>
      </c>
      <c r="BZ63" s="5" t="b">
        <f t="shared" si="35"/>
        <v>0</v>
      </c>
      <c r="CA63" s="5" t="b">
        <f t="shared" si="34"/>
        <v>0</v>
      </c>
      <c r="CB63" s="5" t="b">
        <f t="shared" si="33"/>
        <v>0</v>
      </c>
      <c r="CC63" s="5" t="b">
        <f t="shared" si="32"/>
        <v>0</v>
      </c>
      <c r="CD63" s="5" t="b">
        <f t="shared" si="86"/>
        <v>0</v>
      </c>
      <c r="CE63" s="5" t="b">
        <f t="shared" si="84"/>
        <v>0</v>
      </c>
      <c r="CF63" s="5" t="b">
        <f t="shared" si="82"/>
        <v>0</v>
      </c>
      <c r="CG63" s="5" t="b">
        <f t="shared" si="80"/>
        <v>0</v>
      </c>
      <c r="CH63" s="5" t="b">
        <f t="shared" si="78"/>
        <v>0</v>
      </c>
      <c r="CI63" s="5" t="b">
        <f t="shared" si="76"/>
        <v>0</v>
      </c>
      <c r="CJ63" s="5" t="b">
        <f t="shared" si="74"/>
        <v>0</v>
      </c>
      <c r="CK63" s="5" t="b">
        <f t="shared" si="72"/>
        <v>0</v>
      </c>
      <c r="CL63" s="5" t="b">
        <f t="shared" si="70"/>
        <v>0</v>
      </c>
      <c r="CM63" s="5" t="b">
        <f t="shared" si="68"/>
        <v>0</v>
      </c>
      <c r="CN63" s="5" t="b">
        <f t="shared" si="66"/>
        <v>0</v>
      </c>
      <c r="CO63" s="5" t="b">
        <f t="shared" si="64"/>
        <v>0</v>
      </c>
      <c r="CP63" s="5" t="b">
        <f t="shared" si="62"/>
        <v>0</v>
      </c>
      <c r="CQ63" s="5" t="b">
        <f t="shared" si="60"/>
        <v>0</v>
      </c>
      <c r="CR63" s="5" t="b">
        <f t="shared" si="57"/>
        <v>0</v>
      </c>
      <c r="CS63" s="5" t="b">
        <f t="shared" si="55"/>
        <v>0</v>
      </c>
      <c r="CT63" s="5" t="b">
        <f t="shared" si="53"/>
        <v>0</v>
      </c>
      <c r="CU63" s="5" t="b">
        <f t="shared" si="51"/>
        <v>0</v>
      </c>
      <c r="CV63" s="5" t="b">
        <f t="shared" si="49"/>
        <v>0</v>
      </c>
      <c r="CW63" s="6" t="b">
        <f t="shared" si="47"/>
        <v>0</v>
      </c>
      <c r="CY63" s="77" t="str">
        <f>IF(ROUND(A63,0)&gt;=ROUND($H$4,0),SUM($C$3:$C63),"")</f>
        <v/>
      </c>
    </row>
    <row r="64" spans="1:103" ht="13" x14ac:dyDescent="0.3">
      <c r="A64" s="28" t="b">
        <f t="shared" si="31"/>
        <v>0</v>
      </c>
      <c r="B64" s="10" t="b">
        <f t="shared" si="44"/>
        <v>0</v>
      </c>
      <c r="C64" s="30" t="b">
        <f>IF(A64&lt;=MAX($AI$41:$AI$70),IF(ROW()&lt;=COUNTA(Data!$2:$2)+2,(B64+B63)*(A64-A63)/2,FALSE),FALSE)</f>
        <v>0</v>
      </c>
      <c r="D64" s="10" t="b">
        <f t="shared" si="7"/>
        <v>0</v>
      </c>
      <c r="E64" s="29" t="b">
        <f>IF(A64&lt;=MAX($AI$41:$AI$70),IF(ROW()&lt;=COUNTA(Data!$2:$2)+2,(B64*A64+B63*A63)*(A64-A63)/2,FALSE),FALSE)</f>
        <v>0</v>
      </c>
      <c r="W64" s="10">
        <v>62</v>
      </c>
      <c r="X64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4" s="10" t="b">
        <f>IF(ROW()&lt;=COUNTA(Data!$2:$2),INDEX(Data!$C:$AZ,Analysis!$C$1+1,ROW()-2),FALSE)</f>
        <v>0</v>
      </c>
      <c r="Z64" s="30">
        <f t="shared" si="10"/>
        <v>1</v>
      </c>
      <c r="AA64" s="29" t="b">
        <f t="shared" si="11"/>
        <v>0</v>
      </c>
      <c r="AC64" s="10" t="b">
        <f t="shared" si="0"/>
        <v>0</v>
      </c>
      <c r="AE64" s="10" t="b">
        <f t="shared" si="3"/>
        <v>0</v>
      </c>
      <c r="AF64" s="10">
        <f t="shared" si="12"/>
        <v>0.33300000000000002</v>
      </c>
      <c r="AG64" s="12" t="str">
        <f t="shared" si="8"/>
        <v/>
      </c>
      <c r="AH64" s="10">
        <f t="shared" si="45"/>
        <v>11</v>
      </c>
      <c r="AI64" s="4">
        <f t="shared" si="58"/>
        <v>6</v>
      </c>
      <c r="AJ64" s="5"/>
      <c r="AK64" s="5"/>
      <c r="AL64" s="5"/>
      <c r="AM64" s="5"/>
      <c r="AN64" s="5" t="b">
        <f t="shared" ref="AN64:AN70" si="96">IF(OR(ISERR(LN(INDEX($Y$3:$Y$70,INDEX($AD$3:$AD$70,71-ROW(),1),1))),$AI64&lt;=MIN($D:$D),$AI64=FALSE),FALSE,LN(INDEX($Y$3:$Y$70,INDEX($AD$3:$AD$70,71-ROW(),1),1)))</f>
        <v>0</v>
      </c>
      <c r="AO64" s="5" t="b">
        <f t="shared" si="95"/>
        <v>0</v>
      </c>
      <c r="AP64" s="5" t="b">
        <f t="shared" si="94"/>
        <v>0</v>
      </c>
      <c r="AQ64" s="5" t="b">
        <f t="shared" si="93"/>
        <v>0</v>
      </c>
      <c r="AR64" s="5" t="b">
        <f t="shared" si="92"/>
        <v>0</v>
      </c>
      <c r="AS64" s="5" t="b">
        <f t="shared" si="91"/>
        <v>0</v>
      </c>
      <c r="AT64" s="5" t="b">
        <f t="shared" si="90"/>
        <v>0</v>
      </c>
      <c r="AU64" s="5" t="b">
        <f t="shared" si="89"/>
        <v>0</v>
      </c>
      <c r="AV64" s="5" t="b">
        <f t="shared" si="88"/>
        <v>0</v>
      </c>
      <c r="AW64" s="5" t="b">
        <f t="shared" si="87"/>
        <v>0</v>
      </c>
      <c r="AX64" s="5" t="b">
        <f t="shared" si="85"/>
        <v>0</v>
      </c>
      <c r="AY64" s="5" t="b">
        <f t="shared" si="83"/>
        <v>0</v>
      </c>
      <c r="AZ64" s="5" t="b">
        <f t="shared" si="81"/>
        <v>0</v>
      </c>
      <c r="BA64" s="5" t="b">
        <f t="shared" si="79"/>
        <v>0</v>
      </c>
      <c r="BB64" s="5" t="b">
        <f t="shared" si="77"/>
        <v>0</v>
      </c>
      <c r="BC64" s="5" t="b">
        <f t="shared" si="75"/>
        <v>0</v>
      </c>
      <c r="BD64" s="5" t="b">
        <f t="shared" si="73"/>
        <v>0</v>
      </c>
      <c r="BE64" s="5" t="b">
        <f t="shared" si="71"/>
        <v>0</v>
      </c>
      <c r="BF64" s="5" t="b">
        <f t="shared" si="69"/>
        <v>0</v>
      </c>
      <c r="BG64" s="5" t="b">
        <f t="shared" si="67"/>
        <v>0</v>
      </c>
      <c r="BH64" s="5" t="b">
        <f t="shared" si="65"/>
        <v>0</v>
      </c>
      <c r="BI64" s="5" t="b">
        <f t="shared" si="63"/>
        <v>0</v>
      </c>
      <c r="BJ64" s="5" t="b">
        <f t="shared" si="61"/>
        <v>0</v>
      </c>
      <c r="BK64" s="5" t="b">
        <f t="shared" si="59"/>
        <v>0</v>
      </c>
      <c r="BL64" s="5" t="b">
        <f t="shared" si="56"/>
        <v>0</v>
      </c>
      <c r="BM64" s="5" t="b">
        <f t="shared" si="54"/>
        <v>0</v>
      </c>
      <c r="BN64" s="5" t="b">
        <f t="shared" si="52"/>
        <v>0</v>
      </c>
      <c r="BO64" s="5" t="b">
        <f t="shared" si="50"/>
        <v>0</v>
      </c>
      <c r="BP64" s="5" t="b">
        <f t="shared" si="48"/>
        <v>0</v>
      </c>
      <c r="BQ64" s="5" t="b">
        <f t="shared" si="46"/>
        <v>0</v>
      </c>
      <c r="BR64" s="5" t="b">
        <f t="shared" si="43"/>
        <v>0</v>
      </c>
      <c r="BS64" s="5" t="b">
        <f t="shared" si="42"/>
        <v>0</v>
      </c>
      <c r="BT64" s="5" t="b">
        <f t="shared" si="41"/>
        <v>0</v>
      </c>
      <c r="BU64" s="5" t="b">
        <f t="shared" si="40"/>
        <v>0</v>
      </c>
      <c r="BV64" s="5" t="b">
        <f t="shared" si="39"/>
        <v>0</v>
      </c>
      <c r="BW64" s="5" t="b">
        <f t="shared" si="38"/>
        <v>0</v>
      </c>
      <c r="BX64" s="5" t="b">
        <f t="shared" si="37"/>
        <v>0</v>
      </c>
      <c r="BY64" s="5" t="b">
        <f t="shared" si="36"/>
        <v>0</v>
      </c>
      <c r="BZ64" s="5" t="b">
        <f t="shared" si="35"/>
        <v>0</v>
      </c>
      <c r="CA64" s="5" t="b">
        <f t="shared" si="34"/>
        <v>0</v>
      </c>
      <c r="CB64" s="5" t="b">
        <f t="shared" si="33"/>
        <v>0</v>
      </c>
      <c r="CC64" s="5" t="b">
        <f t="shared" si="32"/>
        <v>0</v>
      </c>
      <c r="CD64" s="5" t="b">
        <f t="shared" si="86"/>
        <v>0</v>
      </c>
      <c r="CE64" s="5" t="b">
        <f t="shared" si="84"/>
        <v>0</v>
      </c>
      <c r="CF64" s="5" t="b">
        <f t="shared" si="82"/>
        <v>0</v>
      </c>
      <c r="CG64" s="5" t="b">
        <f t="shared" si="80"/>
        <v>0</v>
      </c>
      <c r="CH64" s="5" t="b">
        <f t="shared" si="78"/>
        <v>0</v>
      </c>
      <c r="CI64" s="5" t="b">
        <f t="shared" si="76"/>
        <v>0</v>
      </c>
      <c r="CJ64" s="5" t="b">
        <f t="shared" si="74"/>
        <v>0</v>
      </c>
      <c r="CK64" s="5" t="b">
        <f t="shared" si="72"/>
        <v>0</v>
      </c>
      <c r="CL64" s="5" t="b">
        <f t="shared" si="70"/>
        <v>0</v>
      </c>
      <c r="CM64" s="5" t="b">
        <f t="shared" si="68"/>
        <v>0</v>
      </c>
      <c r="CN64" s="5" t="b">
        <f t="shared" si="66"/>
        <v>0</v>
      </c>
      <c r="CO64" s="5" t="b">
        <f t="shared" si="64"/>
        <v>0</v>
      </c>
      <c r="CP64" s="5" t="b">
        <f t="shared" si="62"/>
        <v>0</v>
      </c>
      <c r="CQ64" s="5" t="b">
        <f t="shared" si="60"/>
        <v>0</v>
      </c>
      <c r="CR64" s="5" t="b">
        <f t="shared" si="57"/>
        <v>0</v>
      </c>
      <c r="CS64" s="5" t="b">
        <f t="shared" si="55"/>
        <v>0</v>
      </c>
      <c r="CT64" s="5" t="b">
        <f t="shared" si="53"/>
        <v>0</v>
      </c>
      <c r="CU64" s="5" t="b">
        <f t="shared" si="51"/>
        <v>0</v>
      </c>
      <c r="CV64" s="5" t="b">
        <f t="shared" si="49"/>
        <v>0</v>
      </c>
      <c r="CW64" s="6" t="b">
        <f t="shared" si="47"/>
        <v>0</v>
      </c>
      <c r="CY64" s="77" t="str">
        <f>IF(ROUND(A64,0)&gt;=ROUND($H$4,0),SUM($C$3:$C64),"")</f>
        <v/>
      </c>
    </row>
    <row r="65" spans="1:103" ht="13" x14ac:dyDescent="0.3">
      <c r="A65" s="28" t="b">
        <f t="shared" si="31"/>
        <v>0</v>
      </c>
      <c r="B65" s="10" t="b">
        <f t="shared" si="44"/>
        <v>0</v>
      </c>
      <c r="C65" s="30" t="b">
        <f>IF(A65&lt;=MAX($AI$41:$AI$70),IF(ROW()&lt;=COUNTA(Data!$2:$2)+2,(B65+B64)*(A65-A64)/2,FALSE),FALSE)</f>
        <v>0</v>
      </c>
      <c r="D65" s="10" t="b">
        <f t="shared" si="7"/>
        <v>0</v>
      </c>
      <c r="E65" s="29" t="b">
        <f>IF(A65&lt;=MAX($AI$41:$AI$70),IF(ROW()&lt;=COUNTA(Data!$2:$2)+2,(B65*A65+B64*A64)*(A65-A64)/2,FALSE),FALSE)</f>
        <v>0</v>
      </c>
      <c r="W65" s="10">
        <v>63</v>
      </c>
      <c r="X65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5" s="10" t="b">
        <f>IF(ROW()&lt;=COUNTA(Data!$2:$2),INDEX(Data!$C:$AZ,Analysis!$C$1+1,ROW()-2),FALSE)</f>
        <v>0</v>
      </c>
      <c r="Z65" s="30">
        <f t="shared" si="10"/>
        <v>1</v>
      </c>
      <c r="AA65" s="29" t="b">
        <f t="shared" si="11"/>
        <v>0</v>
      </c>
      <c r="AC65" s="10" t="b">
        <f t="shared" si="0"/>
        <v>0</v>
      </c>
      <c r="AE65" s="10" t="b">
        <f t="shared" si="3"/>
        <v>0</v>
      </c>
      <c r="AF65" s="10">
        <f t="shared" si="12"/>
        <v>0.33300000000000002</v>
      </c>
      <c r="AG65" s="12" t="str">
        <f t="shared" si="8"/>
        <v/>
      </c>
      <c r="AH65" s="10">
        <f t="shared" si="45"/>
        <v>12</v>
      </c>
      <c r="AI65" s="4">
        <f t="shared" si="58"/>
        <v>8</v>
      </c>
      <c r="AJ65" s="5"/>
      <c r="AK65" s="5"/>
      <c r="AL65" s="5"/>
      <c r="AM65" s="5" t="b">
        <f t="shared" ref="AM65:AM70" si="97">IF(OR(ISERR(LN(INDEX($Y$3:$Y$70,INDEX($AD$3:$AD$70,71-ROW(),1),1))),$AI65&lt;=MIN($D:$D),$AI65=FALSE),FALSE,LN(INDEX($Y$3:$Y$70,INDEX($AD$3:$AD$70,71-ROW(),1),1)))</f>
        <v>0</v>
      </c>
      <c r="AN65" s="5" t="b">
        <f t="shared" si="96"/>
        <v>0</v>
      </c>
      <c r="AO65" s="5" t="b">
        <f t="shared" si="95"/>
        <v>0</v>
      </c>
      <c r="AP65" s="5" t="b">
        <f t="shared" si="94"/>
        <v>0</v>
      </c>
      <c r="AQ65" s="5" t="b">
        <f t="shared" si="93"/>
        <v>0</v>
      </c>
      <c r="AR65" s="5" t="b">
        <f t="shared" si="92"/>
        <v>0</v>
      </c>
      <c r="AS65" s="5" t="b">
        <f t="shared" si="91"/>
        <v>0</v>
      </c>
      <c r="AT65" s="5" t="b">
        <f t="shared" si="90"/>
        <v>0</v>
      </c>
      <c r="AU65" s="5" t="b">
        <f t="shared" si="89"/>
        <v>0</v>
      </c>
      <c r="AV65" s="5" t="b">
        <f t="shared" si="88"/>
        <v>0</v>
      </c>
      <c r="AW65" s="5" t="b">
        <f t="shared" si="87"/>
        <v>0</v>
      </c>
      <c r="AX65" s="5" t="b">
        <f t="shared" si="85"/>
        <v>0</v>
      </c>
      <c r="AY65" s="5" t="b">
        <f t="shared" si="83"/>
        <v>0</v>
      </c>
      <c r="AZ65" s="5" t="b">
        <f t="shared" si="81"/>
        <v>0</v>
      </c>
      <c r="BA65" s="5" t="b">
        <f t="shared" si="79"/>
        <v>0</v>
      </c>
      <c r="BB65" s="5" t="b">
        <f t="shared" si="77"/>
        <v>0</v>
      </c>
      <c r="BC65" s="5" t="b">
        <f t="shared" si="75"/>
        <v>0</v>
      </c>
      <c r="BD65" s="5" t="b">
        <f t="shared" si="73"/>
        <v>0</v>
      </c>
      <c r="BE65" s="5" t="b">
        <f t="shared" si="71"/>
        <v>0</v>
      </c>
      <c r="BF65" s="5" t="b">
        <f t="shared" si="69"/>
        <v>0</v>
      </c>
      <c r="BG65" s="5" t="b">
        <f t="shared" si="67"/>
        <v>0</v>
      </c>
      <c r="BH65" s="5" t="b">
        <f t="shared" si="65"/>
        <v>0</v>
      </c>
      <c r="BI65" s="5" t="b">
        <f t="shared" si="63"/>
        <v>0</v>
      </c>
      <c r="BJ65" s="5" t="b">
        <f t="shared" si="61"/>
        <v>0</v>
      </c>
      <c r="BK65" s="5" t="b">
        <f t="shared" si="59"/>
        <v>0</v>
      </c>
      <c r="BL65" s="5" t="b">
        <f t="shared" si="56"/>
        <v>0</v>
      </c>
      <c r="BM65" s="5" t="b">
        <f t="shared" si="54"/>
        <v>0</v>
      </c>
      <c r="BN65" s="5" t="b">
        <f t="shared" si="52"/>
        <v>0</v>
      </c>
      <c r="BO65" s="5" t="b">
        <f t="shared" si="50"/>
        <v>0</v>
      </c>
      <c r="BP65" s="5" t="b">
        <f t="shared" si="48"/>
        <v>0</v>
      </c>
      <c r="BQ65" s="5" t="b">
        <f t="shared" si="46"/>
        <v>0</v>
      </c>
      <c r="BR65" s="5" t="b">
        <f t="shared" si="43"/>
        <v>0</v>
      </c>
      <c r="BS65" s="5" t="b">
        <f t="shared" si="42"/>
        <v>0</v>
      </c>
      <c r="BT65" s="5" t="b">
        <f t="shared" si="41"/>
        <v>0</v>
      </c>
      <c r="BU65" s="5" t="b">
        <f t="shared" si="40"/>
        <v>0</v>
      </c>
      <c r="BV65" s="5" t="b">
        <f t="shared" si="39"/>
        <v>0</v>
      </c>
      <c r="BW65" s="5" t="b">
        <f t="shared" si="38"/>
        <v>0</v>
      </c>
      <c r="BX65" s="5" t="b">
        <f t="shared" si="37"/>
        <v>0</v>
      </c>
      <c r="BY65" s="5" t="b">
        <f t="shared" si="36"/>
        <v>0</v>
      </c>
      <c r="BZ65" s="5" t="b">
        <f t="shared" si="35"/>
        <v>0</v>
      </c>
      <c r="CA65" s="5" t="b">
        <f t="shared" si="34"/>
        <v>0</v>
      </c>
      <c r="CB65" s="5" t="b">
        <f t="shared" si="33"/>
        <v>0</v>
      </c>
      <c r="CC65" s="5" t="b">
        <f t="shared" si="32"/>
        <v>0</v>
      </c>
      <c r="CD65" s="5" t="b">
        <f t="shared" si="86"/>
        <v>0</v>
      </c>
      <c r="CE65" s="5" t="b">
        <f t="shared" si="84"/>
        <v>0</v>
      </c>
      <c r="CF65" s="5" t="b">
        <f t="shared" si="82"/>
        <v>0</v>
      </c>
      <c r="CG65" s="5" t="b">
        <f t="shared" si="80"/>
        <v>0</v>
      </c>
      <c r="CH65" s="5" t="b">
        <f t="shared" si="78"/>
        <v>0</v>
      </c>
      <c r="CI65" s="5" t="b">
        <f t="shared" si="76"/>
        <v>0</v>
      </c>
      <c r="CJ65" s="5" t="b">
        <f t="shared" si="74"/>
        <v>0</v>
      </c>
      <c r="CK65" s="5" t="b">
        <f t="shared" si="72"/>
        <v>0</v>
      </c>
      <c r="CL65" s="5" t="b">
        <f t="shared" si="70"/>
        <v>0</v>
      </c>
      <c r="CM65" s="5" t="b">
        <f t="shared" si="68"/>
        <v>0</v>
      </c>
      <c r="CN65" s="5" t="b">
        <f t="shared" si="66"/>
        <v>0</v>
      </c>
      <c r="CO65" s="5" t="b">
        <f t="shared" si="64"/>
        <v>0</v>
      </c>
      <c r="CP65" s="5" t="b">
        <f t="shared" si="62"/>
        <v>0</v>
      </c>
      <c r="CQ65" s="5" t="b">
        <f t="shared" si="60"/>
        <v>0</v>
      </c>
      <c r="CR65" s="5" t="b">
        <f t="shared" si="57"/>
        <v>0</v>
      </c>
      <c r="CS65" s="5" t="b">
        <f t="shared" si="55"/>
        <v>0</v>
      </c>
      <c r="CT65" s="5" t="b">
        <f t="shared" si="53"/>
        <v>0</v>
      </c>
      <c r="CU65" s="5" t="b">
        <f t="shared" si="51"/>
        <v>0</v>
      </c>
      <c r="CV65" s="5" t="b">
        <f t="shared" si="49"/>
        <v>0</v>
      </c>
      <c r="CW65" s="6" t="b">
        <f t="shared" si="47"/>
        <v>0</v>
      </c>
      <c r="CY65" s="77" t="str">
        <f>IF(ROUND(A65,0)&gt;=ROUND($H$4,0),SUM($C$3:$C65),"")</f>
        <v/>
      </c>
    </row>
    <row r="66" spans="1:103" ht="13" x14ac:dyDescent="0.3">
      <c r="A66" s="28" t="b">
        <f t="shared" si="31"/>
        <v>0</v>
      </c>
      <c r="B66" s="10" t="b">
        <f t="shared" si="44"/>
        <v>0</v>
      </c>
      <c r="C66" s="30" t="b">
        <f>IF(A66&lt;=MAX($AI$41:$AI$70),IF(ROW()&lt;=COUNTA(Data!$2:$2)+2,(B66+B65)*(A66-A65)/2,FALSE),FALSE)</f>
        <v>0</v>
      </c>
      <c r="D66" s="10" t="b">
        <f t="shared" si="7"/>
        <v>0</v>
      </c>
      <c r="E66" s="29" t="b">
        <f>IF(A66&lt;=MAX($AI$41:$AI$70),IF(ROW()&lt;=COUNTA(Data!$2:$2)+2,(B66*A66+B65*A65)*(A66-A65)/2,FALSE),FALSE)</f>
        <v>0</v>
      </c>
      <c r="W66" s="10">
        <v>64</v>
      </c>
      <c r="X66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6" s="10" t="b">
        <f>IF(ROW()&lt;=COUNTA(Data!$2:$2),INDEX(Data!$C:$AZ,Analysis!$C$1+1,ROW()-2),FALSE)</f>
        <v>0</v>
      </c>
      <c r="Z66" s="30">
        <f t="shared" si="10"/>
        <v>1</v>
      </c>
      <c r="AA66" s="29" t="b">
        <f t="shared" si="11"/>
        <v>0</v>
      </c>
      <c r="AC66" s="10" t="b">
        <f t="shared" si="0"/>
        <v>0</v>
      </c>
      <c r="AE66" s="10" t="b">
        <f>IF(INDEX($Y$3:$Y$70,W66,1)&lt;0,0,INDEX($X$3:$X$70,W66,1))</f>
        <v>0</v>
      </c>
      <c r="AF66" s="10">
        <f t="shared" si="12"/>
        <v>0.33300000000000002</v>
      </c>
      <c r="AG66" s="12" t="str">
        <f t="shared" si="8"/>
        <v/>
      </c>
      <c r="AH66" s="10">
        <f t="shared" si="45"/>
        <v>13</v>
      </c>
      <c r="AI66" s="4">
        <f t="shared" si="58"/>
        <v>12</v>
      </c>
      <c r="AJ66" s="5"/>
      <c r="AK66" s="5"/>
      <c r="AL66" s="5" t="b">
        <f>IF(OR(ISERR(LN(INDEX($Y$3:$Y$70,INDEX($AD$3:$AD$70,71-ROW(),1),1))),$AI66&lt;=MIN($D:$D),$AI66=FALSE),FALSE,LN(INDEX($Y$3:$Y$70,INDEX($AD$3:$AD$70,71-ROW(),1),1)))</f>
        <v>0</v>
      </c>
      <c r="AM66" s="5" t="b">
        <f t="shared" si="97"/>
        <v>0</v>
      </c>
      <c r="AN66" s="5" t="b">
        <f t="shared" si="96"/>
        <v>0</v>
      </c>
      <c r="AO66" s="5" t="b">
        <f t="shared" si="95"/>
        <v>0</v>
      </c>
      <c r="AP66" s="5" t="b">
        <f t="shared" si="94"/>
        <v>0</v>
      </c>
      <c r="AQ66" s="5" t="b">
        <f t="shared" si="93"/>
        <v>0</v>
      </c>
      <c r="AR66" s="5" t="b">
        <f t="shared" si="92"/>
        <v>0</v>
      </c>
      <c r="AS66" s="5" t="b">
        <f t="shared" si="91"/>
        <v>0</v>
      </c>
      <c r="AT66" s="5" t="b">
        <f t="shared" si="90"/>
        <v>0</v>
      </c>
      <c r="AU66" s="5" t="b">
        <f t="shared" si="89"/>
        <v>0</v>
      </c>
      <c r="AV66" s="5" t="b">
        <f t="shared" si="88"/>
        <v>0</v>
      </c>
      <c r="AW66" s="5" t="b">
        <f t="shared" si="87"/>
        <v>0</v>
      </c>
      <c r="AX66" s="5" t="b">
        <f t="shared" si="85"/>
        <v>0</v>
      </c>
      <c r="AY66" s="5" t="b">
        <f t="shared" si="83"/>
        <v>0</v>
      </c>
      <c r="AZ66" s="5" t="b">
        <f t="shared" si="81"/>
        <v>0</v>
      </c>
      <c r="BA66" s="5" t="b">
        <f t="shared" si="79"/>
        <v>0</v>
      </c>
      <c r="BB66" s="5" t="b">
        <f t="shared" si="77"/>
        <v>0</v>
      </c>
      <c r="BC66" s="5" t="b">
        <f t="shared" si="75"/>
        <v>0</v>
      </c>
      <c r="BD66" s="5" t="b">
        <f t="shared" si="73"/>
        <v>0</v>
      </c>
      <c r="BE66" s="5" t="b">
        <f t="shared" si="71"/>
        <v>0</v>
      </c>
      <c r="BF66" s="5" t="b">
        <f t="shared" si="69"/>
        <v>0</v>
      </c>
      <c r="BG66" s="5" t="b">
        <f t="shared" si="67"/>
        <v>0</v>
      </c>
      <c r="BH66" s="5" t="b">
        <f t="shared" si="65"/>
        <v>0</v>
      </c>
      <c r="BI66" s="5" t="b">
        <f t="shared" si="63"/>
        <v>0</v>
      </c>
      <c r="BJ66" s="5" t="b">
        <f t="shared" si="61"/>
        <v>0</v>
      </c>
      <c r="BK66" s="5" t="b">
        <f t="shared" si="59"/>
        <v>0</v>
      </c>
      <c r="BL66" s="5" t="b">
        <f t="shared" si="56"/>
        <v>0</v>
      </c>
      <c r="BM66" s="5" t="b">
        <f t="shared" si="54"/>
        <v>0</v>
      </c>
      <c r="BN66" s="5" t="b">
        <f t="shared" si="52"/>
        <v>0</v>
      </c>
      <c r="BO66" s="5" t="b">
        <f t="shared" si="50"/>
        <v>0</v>
      </c>
      <c r="BP66" s="5" t="b">
        <f t="shared" si="48"/>
        <v>0</v>
      </c>
      <c r="BQ66" s="5" t="b">
        <f t="shared" si="46"/>
        <v>0</v>
      </c>
      <c r="BR66" s="5" t="b">
        <f t="shared" si="43"/>
        <v>0</v>
      </c>
      <c r="BS66" s="5" t="b">
        <f t="shared" si="42"/>
        <v>0</v>
      </c>
      <c r="BT66" s="5" t="b">
        <f t="shared" si="41"/>
        <v>0</v>
      </c>
      <c r="BU66" s="5" t="b">
        <f t="shared" si="40"/>
        <v>0</v>
      </c>
      <c r="BV66" s="5" t="b">
        <f t="shared" si="39"/>
        <v>0</v>
      </c>
      <c r="BW66" s="5" t="b">
        <f t="shared" si="38"/>
        <v>0</v>
      </c>
      <c r="BX66" s="5" t="b">
        <f t="shared" si="37"/>
        <v>0</v>
      </c>
      <c r="BY66" s="5" t="b">
        <f t="shared" si="36"/>
        <v>0</v>
      </c>
      <c r="BZ66" s="5" t="b">
        <f t="shared" si="35"/>
        <v>0</v>
      </c>
      <c r="CA66" s="5" t="b">
        <f t="shared" si="34"/>
        <v>0</v>
      </c>
      <c r="CB66" s="5" t="b">
        <f t="shared" si="33"/>
        <v>0</v>
      </c>
      <c r="CC66" s="5" t="b">
        <f t="shared" si="32"/>
        <v>0</v>
      </c>
      <c r="CD66" s="5" t="b">
        <f t="shared" si="86"/>
        <v>0</v>
      </c>
      <c r="CE66" s="5" t="b">
        <f t="shared" si="84"/>
        <v>0</v>
      </c>
      <c r="CF66" s="5" t="b">
        <f t="shared" si="82"/>
        <v>0</v>
      </c>
      <c r="CG66" s="5" t="b">
        <f t="shared" si="80"/>
        <v>0</v>
      </c>
      <c r="CH66" s="5" t="b">
        <f t="shared" si="78"/>
        <v>0</v>
      </c>
      <c r="CI66" s="5" t="b">
        <f t="shared" si="76"/>
        <v>0</v>
      </c>
      <c r="CJ66" s="5" t="b">
        <f t="shared" si="74"/>
        <v>0</v>
      </c>
      <c r="CK66" s="5" t="b">
        <f t="shared" si="72"/>
        <v>0</v>
      </c>
      <c r="CL66" s="5" t="b">
        <f t="shared" si="70"/>
        <v>0</v>
      </c>
      <c r="CM66" s="5" t="b">
        <f t="shared" si="68"/>
        <v>0</v>
      </c>
      <c r="CN66" s="5" t="b">
        <f t="shared" si="66"/>
        <v>0</v>
      </c>
      <c r="CO66" s="5" t="b">
        <f t="shared" si="64"/>
        <v>0</v>
      </c>
      <c r="CP66" s="5" t="b">
        <f t="shared" si="62"/>
        <v>0</v>
      </c>
      <c r="CQ66" s="5" t="b">
        <f t="shared" si="60"/>
        <v>0</v>
      </c>
      <c r="CR66" s="5" t="b">
        <f t="shared" si="57"/>
        <v>0</v>
      </c>
      <c r="CS66" s="5" t="b">
        <f t="shared" si="55"/>
        <v>0</v>
      </c>
      <c r="CT66" s="5" t="b">
        <f t="shared" si="53"/>
        <v>0</v>
      </c>
      <c r="CU66" s="5" t="b">
        <f t="shared" si="51"/>
        <v>0</v>
      </c>
      <c r="CV66" s="5" t="b">
        <f t="shared" si="49"/>
        <v>0</v>
      </c>
      <c r="CW66" s="6" t="b">
        <f t="shared" si="47"/>
        <v>0</v>
      </c>
      <c r="CY66" s="77" t="str">
        <f>IF(ROUND(A66,0)&gt;=ROUND($H$4,0),SUM($C$3:$C66),"")</f>
        <v/>
      </c>
    </row>
    <row r="67" spans="1:103" ht="13" x14ac:dyDescent="0.3">
      <c r="A67" s="28" t="b">
        <f t="shared" si="31"/>
        <v>0</v>
      </c>
      <c r="B67" s="10" t="b">
        <f t="shared" si="44"/>
        <v>0</v>
      </c>
      <c r="C67" s="30" t="b">
        <f>IF(A67&lt;=MAX($AI$41:$AI$70),IF(ROW()&lt;=COUNTA(Data!$2:$2)+2,(B67+B66)*(A67-A66)/2,FALSE),FALSE)</f>
        <v>0</v>
      </c>
      <c r="D67" s="10" t="b">
        <f t="shared" si="7"/>
        <v>0</v>
      </c>
      <c r="E67" s="29" t="b">
        <f>IF(A67&lt;=MAX($AI$41:$AI$70),IF(ROW()&lt;=COUNTA(Data!$2:$2)+2,(B67*A67+B66*A66)*(A67-A66)/2,FALSE),FALSE)</f>
        <v>0</v>
      </c>
      <c r="W67" s="10">
        <v>65</v>
      </c>
      <c r="X67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7" s="10" t="b">
        <f>IF(ROW()&lt;=COUNTA(Data!$2:$2),INDEX(Data!$C:$AZ,Analysis!$C$1+1,ROW()-2),FALSE)</f>
        <v>0</v>
      </c>
      <c r="Z67" s="30">
        <f t="shared" si="10"/>
        <v>1</v>
      </c>
      <c r="AA67" s="29" t="b">
        <f t="shared" si="11"/>
        <v>0</v>
      </c>
      <c r="AC67" s="10" t="b">
        <f>IF(AB67&lt;&gt;"",AB67,FALSE)</f>
        <v>0</v>
      </c>
      <c r="AE67" s="10" t="b">
        <f>IF(INDEX($Y$3:$Y$70,W67,1)&lt;0,0,INDEX($X$3:$X$70,W67,1))</f>
        <v>0</v>
      </c>
      <c r="AF67" s="10">
        <f t="shared" si="12"/>
        <v>0.33300000000000002</v>
      </c>
      <c r="AG67" s="12" t="str">
        <f t="shared" si="8"/>
        <v/>
      </c>
      <c r="AH67" s="10">
        <f t="shared" si="45"/>
        <v>14</v>
      </c>
      <c r="AI67" s="4">
        <f t="shared" si="58"/>
        <v>24</v>
      </c>
      <c r="AJ67" s="5"/>
      <c r="AK67" s="5" t="b">
        <f>IF(OR(ISERR(LN(INDEX($Y$3:$Y$70,INDEX($AD$3:$AD$70,71-ROW(),1),1))),$AI67&lt;=MIN($D:$D),$AI67=FALSE),FALSE,LN(INDEX($Y$3:$Y$70,INDEX($AD$3:$AD$70,71-ROW(),1),1)))</f>
        <v>0</v>
      </c>
      <c r="AL67" s="5" t="b">
        <f>IF(OR(ISERR(LN(INDEX($Y$3:$Y$70,INDEX($AD$3:$AD$70,71-ROW(),1),1))),$AI67&lt;=MIN($D:$D),$AI67=FALSE),FALSE,LN(INDEX($Y$3:$Y$70,INDEX($AD$3:$AD$70,71-ROW(),1),1)))</f>
        <v>0</v>
      </c>
      <c r="AM67" s="5" t="b">
        <f t="shared" si="97"/>
        <v>0</v>
      </c>
      <c r="AN67" s="5" t="b">
        <f t="shared" si="96"/>
        <v>0</v>
      </c>
      <c r="AO67" s="5" t="b">
        <f t="shared" si="95"/>
        <v>0</v>
      </c>
      <c r="AP67" s="5" t="b">
        <f t="shared" si="94"/>
        <v>0</v>
      </c>
      <c r="AQ67" s="5" t="b">
        <f t="shared" si="93"/>
        <v>0</v>
      </c>
      <c r="AR67" s="5" t="b">
        <f t="shared" si="92"/>
        <v>0</v>
      </c>
      <c r="AS67" s="5" t="b">
        <f t="shared" si="91"/>
        <v>0</v>
      </c>
      <c r="AT67" s="5" t="b">
        <f t="shared" si="90"/>
        <v>0</v>
      </c>
      <c r="AU67" s="5" t="b">
        <f t="shared" si="89"/>
        <v>0</v>
      </c>
      <c r="AV67" s="5" t="b">
        <f t="shared" si="88"/>
        <v>0</v>
      </c>
      <c r="AW67" s="5" t="b">
        <f t="shared" si="87"/>
        <v>0</v>
      </c>
      <c r="AX67" s="5" t="b">
        <f t="shared" si="85"/>
        <v>0</v>
      </c>
      <c r="AY67" s="5" t="b">
        <f t="shared" si="83"/>
        <v>0</v>
      </c>
      <c r="AZ67" s="5" t="b">
        <f t="shared" si="81"/>
        <v>0</v>
      </c>
      <c r="BA67" s="5" t="b">
        <f t="shared" si="79"/>
        <v>0</v>
      </c>
      <c r="BB67" s="5" t="b">
        <f t="shared" si="77"/>
        <v>0</v>
      </c>
      <c r="BC67" s="5" t="b">
        <f t="shared" si="75"/>
        <v>0</v>
      </c>
      <c r="BD67" s="5" t="b">
        <f t="shared" si="73"/>
        <v>0</v>
      </c>
      <c r="BE67" s="5" t="b">
        <f t="shared" si="71"/>
        <v>0</v>
      </c>
      <c r="BF67" s="5" t="b">
        <f t="shared" si="69"/>
        <v>0</v>
      </c>
      <c r="BG67" s="5" t="b">
        <f t="shared" si="67"/>
        <v>0</v>
      </c>
      <c r="BH67" s="5" t="b">
        <f t="shared" si="65"/>
        <v>0</v>
      </c>
      <c r="BI67" s="5" t="b">
        <f t="shared" si="63"/>
        <v>0</v>
      </c>
      <c r="BJ67" s="5" t="b">
        <f t="shared" si="61"/>
        <v>0</v>
      </c>
      <c r="BK67" s="5" t="b">
        <f t="shared" si="59"/>
        <v>0</v>
      </c>
      <c r="BL67" s="5" t="b">
        <f t="shared" si="56"/>
        <v>0</v>
      </c>
      <c r="BM67" s="5" t="b">
        <f t="shared" si="54"/>
        <v>0</v>
      </c>
      <c r="BN67" s="5" t="b">
        <f t="shared" si="52"/>
        <v>0</v>
      </c>
      <c r="BO67" s="5" t="b">
        <f t="shared" si="50"/>
        <v>0</v>
      </c>
      <c r="BP67" s="5" t="b">
        <f t="shared" si="48"/>
        <v>0</v>
      </c>
      <c r="BQ67" s="5" t="b">
        <f t="shared" si="46"/>
        <v>0</v>
      </c>
      <c r="BR67" s="5" t="b">
        <f t="shared" si="43"/>
        <v>0</v>
      </c>
      <c r="BS67" s="5" t="b">
        <f t="shared" si="42"/>
        <v>0</v>
      </c>
      <c r="BT67" s="5" t="b">
        <f t="shared" si="41"/>
        <v>0</v>
      </c>
      <c r="BU67" s="5" t="b">
        <f t="shared" si="40"/>
        <v>0</v>
      </c>
      <c r="BV67" s="5" t="b">
        <f t="shared" si="39"/>
        <v>0</v>
      </c>
      <c r="BW67" s="5" t="b">
        <f t="shared" si="38"/>
        <v>0</v>
      </c>
      <c r="BX67" s="5" t="b">
        <f t="shared" si="37"/>
        <v>0</v>
      </c>
      <c r="BY67" s="5" t="b">
        <f t="shared" si="36"/>
        <v>0</v>
      </c>
      <c r="BZ67" s="5" t="b">
        <f t="shared" si="35"/>
        <v>0</v>
      </c>
      <c r="CA67" s="5" t="b">
        <f t="shared" si="34"/>
        <v>0</v>
      </c>
      <c r="CB67" s="5" t="b">
        <f t="shared" si="33"/>
        <v>0</v>
      </c>
      <c r="CC67" s="5" t="b">
        <f t="shared" si="32"/>
        <v>0</v>
      </c>
      <c r="CD67" s="5" t="b">
        <f t="shared" si="86"/>
        <v>0</v>
      </c>
      <c r="CE67" s="5" t="b">
        <f t="shared" si="84"/>
        <v>0</v>
      </c>
      <c r="CF67" s="5" t="b">
        <f t="shared" si="82"/>
        <v>0</v>
      </c>
      <c r="CG67" s="5" t="b">
        <f t="shared" si="80"/>
        <v>0</v>
      </c>
      <c r="CH67" s="5" t="b">
        <f t="shared" si="78"/>
        <v>0</v>
      </c>
      <c r="CI67" s="5" t="b">
        <f t="shared" si="76"/>
        <v>0</v>
      </c>
      <c r="CJ67" s="5" t="b">
        <f t="shared" si="74"/>
        <v>0</v>
      </c>
      <c r="CK67" s="5" t="b">
        <f t="shared" si="72"/>
        <v>0</v>
      </c>
      <c r="CL67" s="5" t="b">
        <f t="shared" si="70"/>
        <v>0</v>
      </c>
      <c r="CM67" s="5" t="b">
        <f t="shared" si="68"/>
        <v>0</v>
      </c>
      <c r="CN67" s="5" t="b">
        <f t="shared" si="66"/>
        <v>0</v>
      </c>
      <c r="CO67" s="5" t="b">
        <f t="shared" si="64"/>
        <v>0</v>
      </c>
      <c r="CP67" s="5" t="b">
        <f t="shared" si="62"/>
        <v>0</v>
      </c>
      <c r="CQ67" s="5" t="b">
        <f t="shared" si="60"/>
        <v>0</v>
      </c>
      <c r="CR67" s="5" t="b">
        <f t="shared" si="57"/>
        <v>0</v>
      </c>
      <c r="CS67" s="5" t="b">
        <f t="shared" si="55"/>
        <v>0</v>
      </c>
      <c r="CT67" s="5" t="b">
        <f t="shared" si="53"/>
        <v>0</v>
      </c>
      <c r="CU67" s="5" t="b">
        <f t="shared" si="51"/>
        <v>0</v>
      </c>
      <c r="CV67" s="5" t="b">
        <f t="shared" si="49"/>
        <v>0</v>
      </c>
      <c r="CW67" s="6" t="b">
        <f t="shared" si="47"/>
        <v>0</v>
      </c>
      <c r="CY67" s="77" t="str">
        <f>IF(ROUND(A67,0)&gt;=ROUND($H$4,0),SUM($C$3:$C67),"")</f>
        <v/>
      </c>
    </row>
    <row r="68" spans="1:103" ht="13" x14ac:dyDescent="0.3">
      <c r="A68" s="28" t="b">
        <f>IF(AC68=FALSE,FALSE,INDEX($X$3:$X$70,AC68,1))</f>
        <v>0</v>
      </c>
      <c r="B68" s="10" t="b">
        <f t="shared" si="44"/>
        <v>0</v>
      </c>
      <c r="C68" s="30" t="b">
        <f>IF(A68&lt;=MAX($AI$41:$AI$70),IF(ROW()&lt;=COUNTA(Data!$2:$2)+2,(B68+B67)*(A68-A67)/2,FALSE),FALSE)</f>
        <v>0</v>
      </c>
      <c r="D68" s="10" t="b">
        <f>IF(B68=MAX($Y$3:$Y$70),A68,FALSE)</f>
        <v>0</v>
      </c>
      <c r="E68" s="29" t="b">
        <f>IF(A68&lt;=MAX($AI$41:$AI$70),IF(ROW()&lt;=COUNTA(Data!$2:$2)+2,(B68*A68+B67*A67)*(A68-A67)/2,FALSE),FALSE)</f>
        <v>0</v>
      </c>
      <c r="W68" s="10">
        <v>66</v>
      </c>
      <c r="X68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8" s="10" t="b">
        <f>IF(ROW()&lt;=COUNTA(Data!$2:$2),INDEX(Data!$C:$AZ,Analysis!$C$1+1,ROW()-2),FALSE)</f>
        <v>0</v>
      </c>
      <c r="Z68" s="30">
        <f t="shared" si="10"/>
        <v>1</v>
      </c>
      <c r="AA68" s="29" t="b">
        <f t="shared" si="11"/>
        <v>0</v>
      </c>
      <c r="AC68" s="10" t="b">
        <f>IF(AB68&lt;&gt;"",AB68,FALSE)</f>
        <v>0</v>
      </c>
      <c r="AE68" s="10" t="b">
        <f>IF(INDEX($Y$3:$Y$70,W68,1)&lt;0,0,INDEX($X$3:$X$70,W68,1))</f>
        <v>0</v>
      </c>
      <c r="AF68" s="10">
        <f t="shared" si="12"/>
        <v>0.33300000000000002</v>
      </c>
      <c r="AG68" s="12" t="str">
        <f>IF(Y68=MAX($Y$3:$Y$70),ROW()-2,"")</f>
        <v/>
      </c>
      <c r="AH68" s="10">
        <f t="shared" si="45"/>
        <v>15</v>
      </c>
      <c r="AI68" s="4">
        <f t="shared" si="58"/>
        <v>36</v>
      </c>
      <c r="AJ68" s="5">
        <f>IF(OR(ISERR(LN(INDEX($Y$3:$Y$70,INDEX($AD$3:$AD$70,71-ROW(),1),1))),$AI68&lt;=MIN($D:$D),$AI68=FALSE),FALSE,LN(INDEX($Y$3:$Y$70,INDEX($AD$3:$AD$70,71-ROW(),1),1)))</f>
        <v>2.7794401971888831</v>
      </c>
      <c r="AK68" s="5">
        <f>IF(OR(ISERR(LN(INDEX($Y$3:$Y$70,INDEX($AD$3:$AD$70,71-ROW(),1),1))),$AI68&lt;=MIN($D:$D),$AI68=FALSE),FALSE,LN(INDEX($Y$3:$Y$70,INDEX($AD$3:$AD$70,71-ROW(),1),1)))</f>
        <v>2.7794401971888831</v>
      </c>
      <c r="AL68" s="5">
        <f>IF(OR(ISERR(LN(INDEX($Y$3:$Y$70,INDEX($AD$3:$AD$70,71-ROW(),1),1))),$AI68&lt;=MIN($D:$D),$AI68=FALSE),FALSE,LN(INDEX($Y$3:$Y$70,INDEX($AD$3:$AD$70,71-ROW(),1),1)))</f>
        <v>2.7794401971888831</v>
      </c>
      <c r="AM68" s="5">
        <f t="shared" si="97"/>
        <v>2.7794401971888831</v>
      </c>
      <c r="AN68" s="5">
        <f t="shared" si="96"/>
        <v>2.7794401971888831</v>
      </c>
      <c r="AO68" s="5">
        <f t="shared" si="95"/>
        <v>2.7794401971888831</v>
      </c>
      <c r="AP68" s="5">
        <f t="shared" si="94"/>
        <v>2.7794401971888831</v>
      </c>
      <c r="AQ68" s="5">
        <f t="shared" si="93"/>
        <v>2.7794401971888831</v>
      </c>
      <c r="AR68" s="5">
        <f t="shared" si="92"/>
        <v>2.7794401971888831</v>
      </c>
      <c r="AS68" s="5">
        <f t="shared" si="91"/>
        <v>2.7794401971888831</v>
      </c>
      <c r="AT68" s="5">
        <f t="shared" si="90"/>
        <v>2.7794401971888831</v>
      </c>
      <c r="AU68" s="5">
        <f t="shared" si="89"/>
        <v>2.7794401971888831</v>
      </c>
      <c r="AV68" s="5">
        <f t="shared" si="88"/>
        <v>2.7794401971888831</v>
      </c>
      <c r="AW68" s="5">
        <f t="shared" si="87"/>
        <v>2.7794401971888831</v>
      </c>
      <c r="AX68" s="5">
        <f t="shared" si="85"/>
        <v>2.7794401971888831</v>
      </c>
      <c r="AY68" s="5">
        <f t="shared" si="83"/>
        <v>2.7794401971888831</v>
      </c>
      <c r="AZ68" s="5">
        <f t="shared" si="81"/>
        <v>2.7794401971888831</v>
      </c>
      <c r="BA68" s="5">
        <f t="shared" si="79"/>
        <v>2.7794401971888831</v>
      </c>
      <c r="BB68" s="5">
        <f t="shared" si="77"/>
        <v>2.7794401971888831</v>
      </c>
      <c r="BC68" s="5">
        <f t="shared" si="75"/>
        <v>2.7794401971888831</v>
      </c>
      <c r="BD68" s="5">
        <f t="shared" si="73"/>
        <v>2.7794401971888831</v>
      </c>
      <c r="BE68" s="5">
        <f t="shared" si="71"/>
        <v>2.7794401971888831</v>
      </c>
      <c r="BF68" s="5">
        <f t="shared" si="69"/>
        <v>2.7794401971888831</v>
      </c>
      <c r="BG68" s="5">
        <f t="shared" si="67"/>
        <v>2.7794401971888831</v>
      </c>
      <c r="BH68" s="5">
        <f t="shared" si="65"/>
        <v>2.7794401971888831</v>
      </c>
      <c r="BI68" s="5">
        <f t="shared" si="63"/>
        <v>2.7794401971888831</v>
      </c>
      <c r="BJ68" s="5">
        <f t="shared" si="61"/>
        <v>2.7794401971888831</v>
      </c>
      <c r="BK68" s="5">
        <f t="shared" si="59"/>
        <v>2.7794401971888831</v>
      </c>
      <c r="BL68" s="5">
        <f t="shared" si="56"/>
        <v>2.7794401971888831</v>
      </c>
      <c r="BM68" s="5">
        <f t="shared" si="54"/>
        <v>2.7794401971888831</v>
      </c>
      <c r="BN68" s="5">
        <f t="shared" si="52"/>
        <v>2.7794401971888831</v>
      </c>
      <c r="BO68" s="5">
        <f t="shared" si="50"/>
        <v>2.7794401971888831</v>
      </c>
      <c r="BP68" s="5">
        <f t="shared" si="48"/>
        <v>2.7794401971888831</v>
      </c>
      <c r="BQ68" s="5">
        <f t="shared" si="46"/>
        <v>2.7794401971888831</v>
      </c>
      <c r="BR68" s="5">
        <f t="shared" si="43"/>
        <v>2.7794401971888831</v>
      </c>
      <c r="BS68" s="5">
        <f t="shared" si="42"/>
        <v>2.7794401971888831</v>
      </c>
      <c r="BT68" s="5">
        <f t="shared" si="41"/>
        <v>2.7794401971888831</v>
      </c>
      <c r="BU68" s="5">
        <f t="shared" si="40"/>
        <v>2.7794401971888831</v>
      </c>
      <c r="BV68" s="5">
        <f t="shared" si="39"/>
        <v>2.7794401971888831</v>
      </c>
      <c r="BW68" s="5">
        <f t="shared" si="38"/>
        <v>2.7794401971888831</v>
      </c>
      <c r="BX68" s="5">
        <f t="shared" si="37"/>
        <v>2.7794401971888831</v>
      </c>
      <c r="BY68" s="5">
        <f t="shared" si="36"/>
        <v>2.7794401971888831</v>
      </c>
      <c r="BZ68" s="5">
        <f t="shared" si="35"/>
        <v>2.7794401971888831</v>
      </c>
      <c r="CA68" s="5">
        <f t="shared" si="34"/>
        <v>2.7794401971888831</v>
      </c>
      <c r="CB68" s="5">
        <f t="shared" si="33"/>
        <v>2.7794401971888831</v>
      </c>
      <c r="CC68" s="5">
        <f t="shared" si="32"/>
        <v>2.7794401971888831</v>
      </c>
      <c r="CD68" s="5">
        <f t="shared" si="86"/>
        <v>2.7794401971888831</v>
      </c>
      <c r="CE68" s="5">
        <f t="shared" si="84"/>
        <v>2.7794401971888831</v>
      </c>
      <c r="CF68" s="5">
        <f t="shared" si="82"/>
        <v>2.7794401971888831</v>
      </c>
      <c r="CG68" s="5">
        <f t="shared" si="80"/>
        <v>2.7794401971888831</v>
      </c>
      <c r="CH68" s="5">
        <f t="shared" si="78"/>
        <v>2.7794401971888831</v>
      </c>
      <c r="CI68" s="5">
        <f t="shared" si="76"/>
        <v>2.7794401971888831</v>
      </c>
      <c r="CJ68" s="5">
        <f t="shared" si="74"/>
        <v>2.7794401971888831</v>
      </c>
      <c r="CK68" s="5">
        <f t="shared" si="72"/>
        <v>2.7794401971888831</v>
      </c>
      <c r="CL68" s="5">
        <f t="shared" si="70"/>
        <v>2.7794401971888831</v>
      </c>
      <c r="CM68" s="5">
        <f t="shared" si="68"/>
        <v>2.7794401971888831</v>
      </c>
      <c r="CN68" s="5">
        <f t="shared" si="66"/>
        <v>2.7794401971888831</v>
      </c>
      <c r="CO68" s="5">
        <f t="shared" si="64"/>
        <v>2.7794401971888831</v>
      </c>
      <c r="CP68" s="5">
        <f t="shared" si="62"/>
        <v>2.7794401971888831</v>
      </c>
      <c r="CQ68" s="5">
        <f t="shared" si="60"/>
        <v>2.7794401971888831</v>
      </c>
      <c r="CR68" s="5">
        <f t="shared" si="57"/>
        <v>2.7794401971888831</v>
      </c>
      <c r="CS68" s="5">
        <f t="shared" si="55"/>
        <v>2.7794401971888831</v>
      </c>
      <c r="CT68" s="5">
        <f t="shared" si="53"/>
        <v>2.7794401971888831</v>
      </c>
      <c r="CU68" s="5">
        <f t="shared" si="51"/>
        <v>2.7794401971888831</v>
      </c>
      <c r="CV68" s="5">
        <f t="shared" si="49"/>
        <v>2.7794401971888831</v>
      </c>
      <c r="CW68" s="6">
        <f t="shared" si="47"/>
        <v>2.7794401971888831</v>
      </c>
      <c r="CY68" s="77" t="str">
        <f>IF(ROUND(A68,0)&gt;=ROUND($H$4,0),SUM($C$3:$C68),"")</f>
        <v/>
      </c>
    </row>
    <row r="69" spans="1:103" ht="13" x14ac:dyDescent="0.3">
      <c r="A69" s="28" t="b">
        <f>IF(AC69=FALSE,FALSE,INDEX($X$3:$X$70,AC69,1))</f>
        <v>0</v>
      </c>
      <c r="B69" s="10" t="b">
        <f t="shared" si="44"/>
        <v>0</v>
      </c>
      <c r="C69" s="30" t="b">
        <f>IF(A69&lt;=MAX($AI$41:$AI$70),IF(ROW()&lt;=COUNTA(Data!$2:$2)+2,(B69+B68)*(A69-A68)/2,FALSE),FALSE)</f>
        <v>0</v>
      </c>
      <c r="D69" s="10" t="b">
        <f>IF(B69=MAX($Y$3:$Y$70),A69,FALSE)</f>
        <v>0</v>
      </c>
      <c r="E69" s="29" t="b">
        <f>IF(A69&lt;=MAX($AI$41:$AI$70),IF(ROW()&lt;=COUNTA(Data!$2:$2)+2,(B69*A69+B68*A68)*(A69-A68)/2,FALSE),FALSE)</f>
        <v>0</v>
      </c>
      <c r="W69" s="10">
        <v>67</v>
      </c>
      <c r="X69" s="61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69" s="10" t="b">
        <f>IF(ROW()&lt;=COUNTA(Data!$2:$2),INDEX(Data!$C:$AZ,Analysis!$C$1+1,ROW()-2),FALSE)</f>
        <v>0</v>
      </c>
      <c r="Z69" s="30">
        <f>IF(OR(AND(Y69&lt;0,Y69&lt;&gt;-999),NOT(X69),AND(Y69=-999,X69&gt;MAX($AF$3:$AF$70),$G$7),X69&gt;MAX($AE$3:$AE$70)),1,0)</f>
        <v>1</v>
      </c>
      <c r="AA69" s="29" t="b">
        <f>IF(OR(X69=FALSE,Z69=1),FALSE,W69)</f>
        <v>0</v>
      </c>
      <c r="AC69" s="10" t="b">
        <f>IF(AB69&lt;&gt;"",AB69,FALSE)</f>
        <v>0</v>
      </c>
      <c r="AE69" s="10" t="b">
        <f>IF(INDEX($Y$3:$Y$70,W69,1)&lt;0,0,INDEX($X$3:$X$70,W69,1))</f>
        <v>0</v>
      </c>
      <c r="AF69" s="10">
        <f>IF(NOT(AF68),IF(Y69&gt;=0,X69,FALSE),AF68)</f>
        <v>0.33300000000000002</v>
      </c>
      <c r="AG69" s="12" t="str">
        <f>IF(Y69=MAX($Y$3:$Y$70),ROW()-2,"")</f>
        <v/>
      </c>
      <c r="AH69" s="10">
        <f t="shared" si="45"/>
        <v>16</v>
      </c>
      <c r="AI69" s="4">
        <f t="shared" si="58"/>
        <v>48</v>
      </c>
      <c r="AJ69" s="5">
        <f>IF(OR(ISERR(LN(INDEX($Y$3:$Y$70,INDEX($AD$3:$AD$70,71-ROW(),1),1))),$AI69&lt;=MIN($D:$D),$AI69=FALSE),FALSE,LN(INDEX($Y$3:$Y$70,INDEX($AD$3:$AD$70,71-ROW(),1),1)))</f>
        <v>2.7732135270086236</v>
      </c>
      <c r="AK69" s="5">
        <f>IF(OR(ISERR(LN(INDEX($Y$3:$Y$70,INDEX($AD$3:$AD$70,71-ROW(),1),1))),$AI69&lt;=MIN($D:$D),$AI69=FALSE),FALSE,LN(INDEX($Y$3:$Y$70,INDEX($AD$3:$AD$70,71-ROW(),1),1)))</f>
        <v>2.7732135270086236</v>
      </c>
      <c r="AL69" s="5">
        <f>IF(OR(ISERR(LN(INDEX($Y$3:$Y$70,INDEX($AD$3:$AD$70,71-ROW(),1),1))),$AI69&lt;=MIN($D:$D),$AI69=FALSE),FALSE,LN(INDEX($Y$3:$Y$70,INDEX($AD$3:$AD$70,71-ROW(),1),1)))</f>
        <v>2.7732135270086236</v>
      </c>
      <c r="AM69" s="5">
        <f t="shared" si="97"/>
        <v>2.7732135270086236</v>
      </c>
      <c r="AN69" s="5">
        <f t="shared" si="96"/>
        <v>2.7732135270086236</v>
      </c>
      <c r="AO69" s="5">
        <f t="shared" si="95"/>
        <v>2.7732135270086236</v>
      </c>
      <c r="AP69" s="5">
        <f t="shared" si="94"/>
        <v>2.7732135270086236</v>
      </c>
      <c r="AQ69" s="5">
        <f t="shared" si="93"/>
        <v>2.7732135270086236</v>
      </c>
      <c r="AR69" s="5">
        <f t="shared" si="92"/>
        <v>2.7732135270086236</v>
      </c>
      <c r="AS69" s="5">
        <f t="shared" si="91"/>
        <v>2.7732135270086236</v>
      </c>
      <c r="AT69" s="5">
        <f t="shared" si="90"/>
        <v>2.7732135270086236</v>
      </c>
      <c r="AU69" s="5">
        <f t="shared" si="89"/>
        <v>2.7732135270086236</v>
      </c>
      <c r="AV69" s="5">
        <f t="shared" si="88"/>
        <v>2.7732135270086236</v>
      </c>
      <c r="AW69" s="5">
        <f t="shared" si="87"/>
        <v>2.7732135270086236</v>
      </c>
      <c r="AX69" s="5">
        <f t="shared" si="85"/>
        <v>2.7732135270086236</v>
      </c>
      <c r="AY69" s="5">
        <f t="shared" si="83"/>
        <v>2.7732135270086236</v>
      </c>
      <c r="AZ69" s="5">
        <f t="shared" si="81"/>
        <v>2.7732135270086236</v>
      </c>
      <c r="BA69" s="5">
        <f t="shared" si="79"/>
        <v>2.7732135270086236</v>
      </c>
      <c r="BB69" s="5">
        <f t="shared" si="77"/>
        <v>2.7732135270086236</v>
      </c>
      <c r="BC69" s="5">
        <f t="shared" si="75"/>
        <v>2.7732135270086236</v>
      </c>
      <c r="BD69" s="5">
        <f t="shared" si="73"/>
        <v>2.7732135270086236</v>
      </c>
      <c r="BE69" s="5">
        <f t="shared" si="71"/>
        <v>2.7732135270086236</v>
      </c>
      <c r="BF69" s="5">
        <f t="shared" si="69"/>
        <v>2.7732135270086236</v>
      </c>
      <c r="BG69" s="5">
        <f t="shared" si="67"/>
        <v>2.7732135270086236</v>
      </c>
      <c r="BH69" s="5">
        <f t="shared" si="65"/>
        <v>2.7732135270086236</v>
      </c>
      <c r="BI69" s="5">
        <f t="shared" si="63"/>
        <v>2.7732135270086236</v>
      </c>
      <c r="BJ69" s="5">
        <f t="shared" si="61"/>
        <v>2.7732135270086236</v>
      </c>
      <c r="BK69" s="5">
        <f t="shared" si="59"/>
        <v>2.7732135270086236</v>
      </c>
      <c r="BL69" s="5">
        <f t="shared" si="56"/>
        <v>2.7732135270086236</v>
      </c>
      <c r="BM69" s="5">
        <f t="shared" si="54"/>
        <v>2.7732135270086236</v>
      </c>
      <c r="BN69" s="5">
        <f t="shared" si="52"/>
        <v>2.7732135270086236</v>
      </c>
      <c r="BO69" s="5">
        <f t="shared" si="50"/>
        <v>2.7732135270086236</v>
      </c>
      <c r="BP69" s="5">
        <f t="shared" si="48"/>
        <v>2.7732135270086236</v>
      </c>
      <c r="BQ69" s="5">
        <f t="shared" si="46"/>
        <v>2.7732135270086236</v>
      </c>
      <c r="BR69" s="5">
        <f t="shared" si="43"/>
        <v>2.7732135270086236</v>
      </c>
      <c r="BS69" s="5">
        <f t="shared" si="42"/>
        <v>2.7732135270086236</v>
      </c>
      <c r="BT69" s="5">
        <f t="shared" si="41"/>
        <v>2.7732135270086236</v>
      </c>
      <c r="BU69" s="5">
        <f t="shared" si="40"/>
        <v>2.7732135270086236</v>
      </c>
      <c r="BV69" s="5">
        <f t="shared" si="39"/>
        <v>2.7732135270086236</v>
      </c>
      <c r="BW69" s="5">
        <f t="shared" si="38"/>
        <v>2.7732135270086236</v>
      </c>
      <c r="BX69" s="5">
        <f t="shared" si="37"/>
        <v>2.7732135270086236</v>
      </c>
      <c r="BY69" s="5">
        <f t="shared" si="36"/>
        <v>2.7732135270086236</v>
      </c>
      <c r="BZ69" s="5">
        <f t="shared" si="35"/>
        <v>2.7732135270086236</v>
      </c>
      <c r="CA69" s="5">
        <f t="shared" si="34"/>
        <v>2.7732135270086236</v>
      </c>
      <c r="CB69" s="5">
        <f t="shared" si="33"/>
        <v>2.7732135270086236</v>
      </c>
      <c r="CC69" s="5">
        <f t="shared" si="32"/>
        <v>2.7732135270086236</v>
      </c>
      <c r="CD69" s="5">
        <f t="shared" si="86"/>
        <v>2.7732135270086236</v>
      </c>
      <c r="CE69" s="5">
        <f t="shared" si="84"/>
        <v>2.7732135270086236</v>
      </c>
      <c r="CF69" s="5">
        <f t="shared" si="82"/>
        <v>2.7732135270086236</v>
      </c>
      <c r="CG69" s="5">
        <f t="shared" si="80"/>
        <v>2.7732135270086236</v>
      </c>
      <c r="CH69" s="5">
        <f t="shared" si="78"/>
        <v>2.7732135270086236</v>
      </c>
      <c r="CI69" s="5">
        <f t="shared" si="76"/>
        <v>2.7732135270086236</v>
      </c>
      <c r="CJ69" s="5">
        <f t="shared" si="74"/>
        <v>2.7732135270086236</v>
      </c>
      <c r="CK69" s="5">
        <f t="shared" si="72"/>
        <v>2.7732135270086236</v>
      </c>
      <c r="CL69" s="5">
        <f t="shared" si="70"/>
        <v>2.7732135270086236</v>
      </c>
      <c r="CM69" s="5">
        <f t="shared" si="68"/>
        <v>2.7732135270086236</v>
      </c>
      <c r="CN69" s="5">
        <f t="shared" si="66"/>
        <v>2.7732135270086236</v>
      </c>
      <c r="CO69" s="5">
        <f t="shared" si="64"/>
        <v>2.7732135270086236</v>
      </c>
      <c r="CP69" s="5">
        <f t="shared" si="62"/>
        <v>2.7732135270086236</v>
      </c>
      <c r="CQ69" s="5">
        <f t="shared" si="60"/>
        <v>2.7732135270086236</v>
      </c>
      <c r="CR69" s="5">
        <f t="shared" si="57"/>
        <v>2.7732135270086236</v>
      </c>
      <c r="CS69" s="5">
        <f t="shared" si="55"/>
        <v>2.7732135270086236</v>
      </c>
      <c r="CT69" s="5">
        <f t="shared" si="53"/>
        <v>2.7732135270086236</v>
      </c>
      <c r="CU69" s="5">
        <f t="shared" si="51"/>
        <v>2.7732135270086236</v>
      </c>
      <c r="CV69" s="5">
        <f t="shared" si="49"/>
        <v>2.7732135270086236</v>
      </c>
      <c r="CW69" s="6">
        <f t="shared" si="47"/>
        <v>2.7732135270086236</v>
      </c>
      <c r="CY69" s="77" t="str">
        <f>IF(ROUND(A69,0)&gt;=ROUND($H$4,0),SUM($C$3:$C69),"")</f>
        <v/>
      </c>
    </row>
    <row r="70" spans="1:103" ht="13.5" thickBot="1" x14ac:dyDescent="0.35">
      <c r="A70" s="35" t="b">
        <f>IF(AC70=FALSE,FALSE,INDEX($X$3:$X$70,AC70,1))</f>
        <v>0</v>
      </c>
      <c r="B70" s="36" t="b">
        <f t="shared" si="44"/>
        <v>0</v>
      </c>
      <c r="C70" s="39" t="b">
        <f>IF(A70&lt;=MAX($AI$41:$AI$70),IF(ROW()&lt;=COUNTA(Data!$2:$2)+2,(B70+B69)*(A70-A69)/2,FALSE),FALSE)</f>
        <v>0</v>
      </c>
      <c r="D70" s="36" t="b">
        <f>IF(B70=MAX($Y$3:$Y$70),A70,FALSE)</f>
        <v>0</v>
      </c>
      <c r="E70" s="37" t="b">
        <f>IF(A70&lt;=MAX($AI$41:$AI$70),IF(ROW()&lt;=COUNTA(Data!$2:$2)+2,(B70*A70+B69*A69)*(A70-A69)/2,FALSE),FALSE)</f>
        <v>0</v>
      </c>
      <c r="W70" s="10">
        <v>68</v>
      </c>
      <c r="X70" s="62" t="b">
        <f>IF(ROW()&lt;=COUNTA(Data!$2:$2),INDEX(Data!$1:$1,1,ROW())+IF(ISERROR(VLOOKUP($H$18&amp;"_"&amp;$H$20&amp;"_"&amp;INDEX(Data!$1:$1,1,ROW()),Deviations!$A:$E,5,FALSE)),0,IF($G$11,0,VLOOKUP($H$18&amp;"_"&amp;$H$20&amp;"_"&amp;INDEX(Data!$1:$1,1,ROW()),Deviations!$A:$E,5,FALSE)/60)),FALSE)</f>
        <v>0</v>
      </c>
      <c r="Y70" s="36" t="b">
        <f>IF(ROW()&lt;=COUNTA(Data!$2:$2),INDEX(Data!$C:$AZ,Analysis!$C$1+1,ROW()-2),FALSE)</f>
        <v>0</v>
      </c>
      <c r="Z70" s="39">
        <f>IF(OR(AND(Y70&lt;0,Y70&lt;&gt;-999),NOT(X70),AND(Y70=-999,X70&gt;MAX($AF$3:$AF$70),$G$7),X70&gt;MAX($AE$3:$AE$70)),1,0)</f>
        <v>1</v>
      </c>
      <c r="AA70" s="37" t="b">
        <f>IF(OR(X70=FALSE,Z70=1),FALSE,W70)</f>
        <v>0</v>
      </c>
      <c r="AC70" s="10" t="b">
        <f>IF(AB70&lt;&gt;"",AB70,FALSE)</f>
        <v>0</v>
      </c>
      <c r="AE70" s="10" t="b">
        <f>IF(INDEX($Y$3:$Y$70,W70,1)&lt;0,0,INDEX($X$3:$X$70,W70,1))</f>
        <v>0</v>
      </c>
      <c r="AF70" s="10">
        <f>IF(NOT(AF69),IF(Y70&gt;=0,X70,FALSE),AF69)</f>
        <v>0.33300000000000002</v>
      </c>
      <c r="AG70" s="13" t="str">
        <f>IF(Y70=MAX($Y$3:$Y$70),ROW()-2,"")</f>
        <v/>
      </c>
      <c r="AH70" s="10">
        <f t="shared" si="45"/>
        <v>17</v>
      </c>
      <c r="AI70" s="7">
        <f t="shared" si="58"/>
        <v>72</v>
      </c>
      <c r="AJ70" s="8">
        <f>IF(OR(ISERR(LN(INDEX($Y$3:$Y$70,INDEX($AD$3:$AD$70,71-ROW(),1),1))),$AI70&lt;=MIN($D:$D),$AI70=FALSE),FALSE,LN(INDEX($Y$3:$Y$70,INDEX($AD$3:$AD$70,71-ROW(),1),1)))</f>
        <v>2.7133693625798099</v>
      </c>
      <c r="AK70" s="8">
        <f>IF(OR(ISERR(LN(INDEX($Y$3:$Y$70,INDEX($AD$3:$AD$70,71-ROW(),1),1))),$AI70&lt;=MIN($D:$D),$AI70=FALSE),FALSE,LN(INDEX($Y$3:$Y$70,INDEX($AD$3:$AD$70,71-ROW(),1),1)))</f>
        <v>2.7133693625798099</v>
      </c>
      <c r="AL70" s="8">
        <f>IF(OR(ISERR(LN(INDEX($Y$3:$Y$70,INDEX($AD$3:$AD$70,71-ROW(),1),1))),$AI70&lt;=MIN($D:$D),$AI70=FALSE),FALSE,LN(INDEX($Y$3:$Y$70,INDEX($AD$3:$AD$70,71-ROW(),1),1)))</f>
        <v>2.7133693625798099</v>
      </c>
      <c r="AM70" s="8">
        <f t="shared" si="97"/>
        <v>2.7133693625798099</v>
      </c>
      <c r="AN70" s="8">
        <f t="shared" si="96"/>
        <v>2.7133693625798099</v>
      </c>
      <c r="AO70" s="8">
        <f t="shared" si="95"/>
        <v>2.7133693625798099</v>
      </c>
      <c r="AP70" s="8">
        <f t="shared" si="94"/>
        <v>2.7133693625798099</v>
      </c>
      <c r="AQ70" s="8">
        <f t="shared" si="93"/>
        <v>2.7133693625798099</v>
      </c>
      <c r="AR70" s="8">
        <f t="shared" si="92"/>
        <v>2.7133693625798099</v>
      </c>
      <c r="AS70" s="8">
        <f t="shared" si="91"/>
        <v>2.7133693625798099</v>
      </c>
      <c r="AT70" s="8">
        <f t="shared" si="90"/>
        <v>2.7133693625798099</v>
      </c>
      <c r="AU70" s="8">
        <f t="shared" si="89"/>
        <v>2.7133693625798099</v>
      </c>
      <c r="AV70" s="8">
        <f t="shared" si="88"/>
        <v>2.7133693625798099</v>
      </c>
      <c r="AW70" s="8">
        <f t="shared" si="87"/>
        <v>2.7133693625798099</v>
      </c>
      <c r="AX70" s="8">
        <f t="shared" si="85"/>
        <v>2.7133693625798099</v>
      </c>
      <c r="AY70" s="8">
        <f t="shared" si="83"/>
        <v>2.7133693625798099</v>
      </c>
      <c r="AZ70" s="8">
        <f t="shared" si="81"/>
        <v>2.7133693625798099</v>
      </c>
      <c r="BA70" s="8">
        <f t="shared" si="79"/>
        <v>2.7133693625798099</v>
      </c>
      <c r="BB70" s="8">
        <f t="shared" si="77"/>
        <v>2.7133693625798099</v>
      </c>
      <c r="BC70" s="8">
        <f t="shared" si="75"/>
        <v>2.7133693625798099</v>
      </c>
      <c r="BD70" s="8">
        <f t="shared" si="73"/>
        <v>2.7133693625798099</v>
      </c>
      <c r="BE70" s="8">
        <f t="shared" si="71"/>
        <v>2.7133693625798099</v>
      </c>
      <c r="BF70" s="8">
        <f t="shared" si="69"/>
        <v>2.7133693625798099</v>
      </c>
      <c r="BG70" s="8">
        <f t="shared" si="67"/>
        <v>2.7133693625798099</v>
      </c>
      <c r="BH70" s="8">
        <f t="shared" si="65"/>
        <v>2.7133693625798099</v>
      </c>
      <c r="BI70" s="8">
        <f t="shared" si="63"/>
        <v>2.7133693625798099</v>
      </c>
      <c r="BJ70" s="8">
        <f t="shared" si="61"/>
        <v>2.7133693625798099</v>
      </c>
      <c r="BK70" s="8">
        <f t="shared" si="59"/>
        <v>2.7133693625798099</v>
      </c>
      <c r="BL70" s="8">
        <f t="shared" si="56"/>
        <v>2.7133693625798099</v>
      </c>
      <c r="BM70" s="8">
        <f t="shared" si="54"/>
        <v>2.7133693625798099</v>
      </c>
      <c r="BN70" s="8">
        <f t="shared" si="52"/>
        <v>2.7133693625798099</v>
      </c>
      <c r="BO70" s="8">
        <f t="shared" si="50"/>
        <v>2.7133693625798099</v>
      </c>
      <c r="BP70" s="8">
        <f t="shared" si="48"/>
        <v>2.7133693625798099</v>
      </c>
      <c r="BQ70" s="8">
        <f t="shared" si="46"/>
        <v>2.7133693625798099</v>
      </c>
      <c r="BR70" s="8">
        <f t="shared" si="43"/>
        <v>2.7133693625798099</v>
      </c>
      <c r="BS70" s="8">
        <f t="shared" si="42"/>
        <v>2.7133693625798099</v>
      </c>
      <c r="BT70" s="8">
        <f t="shared" si="41"/>
        <v>2.7133693625798099</v>
      </c>
      <c r="BU70" s="8">
        <f t="shared" si="40"/>
        <v>2.7133693625798099</v>
      </c>
      <c r="BV70" s="8">
        <f t="shared" si="39"/>
        <v>2.7133693625798099</v>
      </c>
      <c r="BW70" s="8">
        <f t="shared" si="38"/>
        <v>2.7133693625798099</v>
      </c>
      <c r="BX70" s="8">
        <f t="shared" si="37"/>
        <v>2.7133693625798099</v>
      </c>
      <c r="BY70" s="8">
        <f t="shared" si="36"/>
        <v>2.7133693625798099</v>
      </c>
      <c r="BZ70" s="8">
        <f t="shared" si="35"/>
        <v>2.7133693625798099</v>
      </c>
      <c r="CA70" s="8">
        <f t="shared" si="34"/>
        <v>2.7133693625798099</v>
      </c>
      <c r="CB70" s="8">
        <f t="shared" si="33"/>
        <v>2.7133693625798099</v>
      </c>
      <c r="CC70" s="8">
        <f t="shared" si="32"/>
        <v>2.7133693625798099</v>
      </c>
      <c r="CD70" s="8">
        <f t="shared" si="86"/>
        <v>2.7133693625798099</v>
      </c>
      <c r="CE70" s="8">
        <f t="shared" si="84"/>
        <v>2.7133693625798099</v>
      </c>
      <c r="CF70" s="8">
        <f t="shared" si="82"/>
        <v>2.7133693625798099</v>
      </c>
      <c r="CG70" s="8">
        <f t="shared" si="80"/>
        <v>2.7133693625798099</v>
      </c>
      <c r="CH70" s="8">
        <f t="shared" si="78"/>
        <v>2.7133693625798099</v>
      </c>
      <c r="CI70" s="8">
        <f t="shared" si="76"/>
        <v>2.7133693625798099</v>
      </c>
      <c r="CJ70" s="8">
        <f t="shared" si="74"/>
        <v>2.7133693625798099</v>
      </c>
      <c r="CK70" s="8">
        <f t="shared" si="72"/>
        <v>2.7133693625798099</v>
      </c>
      <c r="CL70" s="8">
        <f t="shared" si="70"/>
        <v>2.7133693625798099</v>
      </c>
      <c r="CM70" s="8">
        <f t="shared" si="68"/>
        <v>2.7133693625798099</v>
      </c>
      <c r="CN70" s="8">
        <f t="shared" si="66"/>
        <v>2.7133693625798099</v>
      </c>
      <c r="CO70" s="8">
        <f t="shared" si="64"/>
        <v>2.7133693625798099</v>
      </c>
      <c r="CP70" s="8">
        <f t="shared" si="62"/>
        <v>2.7133693625798099</v>
      </c>
      <c r="CQ70" s="8">
        <f t="shared" si="60"/>
        <v>2.7133693625798099</v>
      </c>
      <c r="CR70" s="8">
        <f t="shared" si="57"/>
        <v>2.7133693625798099</v>
      </c>
      <c r="CS70" s="8">
        <f t="shared" si="55"/>
        <v>2.7133693625798099</v>
      </c>
      <c r="CT70" s="8">
        <f t="shared" si="53"/>
        <v>2.7133693625798099</v>
      </c>
      <c r="CU70" s="8">
        <f t="shared" si="51"/>
        <v>2.7133693625798099</v>
      </c>
      <c r="CV70" s="8">
        <f t="shared" si="49"/>
        <v>2.7133693625798099</v>
      </c>
      <c r="CW70" s="9">
        <f t="shared" si="47"/>
        <v>2.7133693625798099</v>
      </c>
      <c r="CY70" s="78" t="str">
        <f>IF(ROUND(A70,0)&gt;=ROUND($H$4,0),SUM($C$3:$C70),"")</f>
        <v/>
      </c>
    </row>
    <row r="71" spans="1:103" x14ac:dyDescent="0.25">
      <c r="AE71" s="10" t="b">
        <f>IF(SUM($AE$4:AE70)=0,IF(INDEX($Y$3:$Y$70,AD71,1)&lt;0,0,INDEX($X$3:$X$70,AD71,1)),FALSE)</f>
        <v>0</v>
      </c>
      <c r="AI71" s="10" t="s">
        <v>19</v>
      </c>
      <c r="AJ71" s="10">
        <f>COUNTA(AJ$3:AJ$70)-COUNTIF(AJ$3:AJ$70,FALSE)</f>
        <v>3</v>
      </c>
      <c r="AK71" s="10">
        <f t="shared" ref="AK71:CV71" si="98">COUNTA(AK$3:AK$70)-COUNTIF(AK$3:AK$70,FALSE)</f>
        <v>3</v>
      </c>
      <c r="AL71" s="10">
        <f t="shared" si="98"/>
        <v>3</v>
      </c>
      <c r="AM71" s="10">
        <f t="shared" si="98"/>
        <v>3</v>
      </c>
      <c r="AN71" s="10">
        <f t="shared" si="98"/>
        <v>3</v>
      </c>
      <c r="AO71" s="10">
        <f t="shared" si="98"/>
        <v>3</v>
      </c>
      <c r="AP71" s="10">
        <f t="shared" si="98"/>
        <v>3</v>
      </c>
      <c r="AQ71" s="10">
        <f t="shared" si="98"/>
        <v>3</v>
      </c>
      <c r="AR71" s="10">
        <f t="shared" si="98"/>
        <v>3</v>
      </c>
      <c r="AS71" s="10">
        <f t="shared" si="98"/>
        <v>3</v>
      </c>
      <c r="AT71" s="10">
        <f t="shared" si="98"/>
        <v>3</v>
      </c>
      <c r="AU71" s="10">
        <f t="shared" si="98"/>
        <v>3</v>
      </c>
      <c r="AV71" s="10">
        <f t="shared" si="98"/>
        <v>3</v>
      </c>
      <c r="AW71" s="10">
        <f t="shared" si="98"/>
        <v>3</v>
      </c>
      <c r="AX71" s="10">
        <f t="shared" si="98"/>
        <v>3</v>
      </c>
      <c r="AY71" s="10">
        <f t="shared" si="98"/>
        <v>3</v>
      </c>
      <c r="AZ71" s="10">
        <f t="shared" si="98"/>
        <v>3</v>
      </c>
      <c r="BA71" s="10">
        <f t="shared" si="98"/>
        <v>3</v>
      </c>
      <c r="BB71" s="10">
        <f t="shared" si="98"/>
        <v>3</v>
      </c>
      <c r="BC71" s="10">
        <f t="shared" si="98"/>
        <v>3</v>
      </c>
      <c r="BD71" s="10">
        <f t="shared" si="98"/>
        <v>3</v>
      </c>
      <c r="BE71" s="10">
        <f t="shared" si="98"/>
        <v>3</v>
      </c>
      <c r="BF71" s="10">
        <f t="shared" si="98"/>
        <v>3</v>
      </c>
      <c r="BG71" s="10">
        <f t="shared" si="98"/>
        <v>3</v>
      </c>
      <c r="BH71" s="10">
        <f t="shared" si="98"/>
        <v>3</v>
      </c>
      <c r="BI71" s="10">
        <f t="shared" si="98"/>
        <v>3</v>
      </c>
      <c r="BJ71" s="10">
        <f t="shared" si="98"/>
        <v>3</v>
      </c>
      <c r="BK71" s="10">
        <f t="shared" si="98"/>
        <v>3</v>
      </c>
      <c r="BL71" s="10">
        <f t="shared" si="98"/>
        <v>3</v>
      </c>
      <c r="BM71" s="10">
        <f t="shared" si="98"/>
        <v>3</v>
      </c>
      <c r="BN71" s="10">
        <f t="shared" si="98"/>
        <v>3</v>
      </c>
      <c r="BO71" s="10">
        <f t="shared" si="98"/>
        <v>3</v>
      </c>
      <c r="BP71" s="10">
        <f t="shared" si="98"/>
        <v>3</v>
      </c>
      <c r="BQ71" s="10">
        <f t="shared" si="98"/>
        <v>3</v>
      </c>
      <c r="BR71" s="10">
        <f t="shared" si="98"/>
        <v>3</v>
      </c>
      <c r="BS71" s="10">
        <f t="shared" si="98"/>
        <v>3</v>
      </c>
      <c r="BT71" s="10">
        <f t="shared" si="98"/>
        <v>3</v>
      </c>
      <c r="BU71" s="10">
        <f t="shared" si="98"/>
        <v>3</v>
      </c>
      <c r="BV71" s="10">
        <f t="shared" si="98"/>
        <v>3</v>
      </c>
      <c r="BW71" s="10">
        <f t="shared" si="98"/>
        <v>3</v>
      </c>
      <c r="BX71" s="10">
        <f t="shared" si="98"/>
        <v>3</v>
      </c>
      <c r="BY71" s="10">
        <f t="shared" si="98"/>
        <v>3</v>
      </c>
      <c r="BZ71" s="10">
        <f t="shared" si="98"/>
        <v>3</v>
      </c>
      <c r="CA71" s="10">
        <f t="shared" si="98"/>
        <v>3</v>
      </c>
      <c r="CB71" s="10">
        <f t="shared" si="98"/>
        <v>3</v>
      </c>
      <c r="CC71" s="10">
        <f t="shared" si="98"/>
        <v>3</v>
      </c>
      <c r="CD71" s="10">
        <f t="shared" si="98"/>
        <v>3</v>
      </c>
      <c r="CE71" s="10">
        <f t="shared" si="98"/>
        <v>3</v>
      </c>
      <c r="CF71" s="10">
        <f t="shared" si="98"/>
        <v>3</v>
      </c>
      <c r="CG71" s="10">
        <f t="shared" si="98"/>
        <v>3</v>
      </c>
      <c r="CH71" s="10">
        <f t="shared" si="98"/>
        <v>3</v>
      </c>
      <c r="CI71" s="10">
        <f t="shared" si="98"/>
        <v>3</v>
      </c>
      <c r="CJ71" s="10">
        <f t="shared" si="98"/>
        <v>3</v>
      </c>
      <c r="CK71" s="10">
        <f t="shared" si="98"/>
        <v>3</v>
      </c>
      <c r="CL71" s="10">
        <f t="shared" si="98"/>
        <v>3</v>
      </c>
      <c r="CM71" s="10">
        <f t="shared" si="98"/>
        <v>3</v>
      </c>
      <c r="CN71" s="10">
        <f t="shared" si="98"/>
        <v>3</v>
      </c>
      <c r="CO71" s="10">
        <f t="shared" si="98"/>
        <v>3</v>
      </c>
      <c r="CP71" s="10">
        <f t="shared" si="98"/>
        <v>3</v>
      </c>
      <c r="CQ71" s="10">
        <f t="shared" si="98"/>
        <v>3</v>
      </c>
      <c r="CR71" s="10">
        <f t="shared" si="98"/>
        <v>3</v>
      </c>
      <c r="CS71" s="10">
        <f t="shared" si="98"/>
        <v>3</v>
      </c>
      <c r="CT71" s="10">
        <f t="shared" si="98"/>
        <v>3</v>
      </c>
      <c r="CU71" s="10">
        <f t="shared" si="98"/>
        <v>3</v>
      </c>
      <c r="CV71" s="10">
        <f t="shared" si="98"/>
        <v>3</v>
      </c>
      <c r="CW71" s="10">
        <f>COUNTA(CW$3:CW$70)-COUNTIF(CW$3:CW$70,FALSE)</f>
        <v>3</v>
      </c>
    </row>
    <row r="72" spans="1:103" x14ac:dyDescent="0.25">
      <c r="AI72" s="34" t="s">
        <v>14</v>
      </c>
      <c r="AJ72" s="34">
        <f>-SLOPE(AJ3:AJ70,$AI3:$AI70)</f>
        <v>1.9293303741970639E-3</v>
      </c>
      <c r="AK72" s="34">
        <f t="shared" ref="AK72:CV72" si="99">-SLOPE(AK3:AK70,$AI3:$AI70)</f>
        <v>1.9293303741970639E-3</v>
      </c>
      <c r="AL72" s="34">
        <f t="shared" si="99"/>
        <v>1.9293303741970639E-3</v>
      </c>
      <c r="AM72" s="34">
        <f t="shared" si="99"/>
        <v>1.9293303741970639E-3</v>
      </c>
      <c r="AN72" s="34">
        <f t="shared" si="99"/>
        <v>1.9293303741970639E-3</v>
      </c>
      <c r="AO72" s="34">
        <f t="shared" si="99"/>
        <v>1.9293303741970639E-3</v>
      </c>
      <c r="AP72" s="34">
        <f t="shared" si="99"/>
        <v>1.9293303741970639E-3</v>
      </c>
      <c r="AQ72" s="34">
        <f t="shared" si="99"/>
        <v>1.9293303741970639E-3</v>
      </c>
      <c r="AR72" s="34">
        <f t="shared" si="99"/>
        <v>1.9293303741970639E-3</v>
      </c>
      <c r="AS72" s="34">
        <f t="shared" si="99"/>
        <v>1.9293303741970639E-3</v>
      </c>
      <c r="AT72" s="34">
        <f t="shared" si="99"/>
        <v>1.9293303741970639E-3</v>
      </c>
      <c r="AU72" s="34">
        <f t="shared" si="99"/>
        <v>1.9293303741970639E-3</v>
      </c>
      <c r="AV72" s="34">
        <f t="shared" si="99"/>
        <v>1.9293303741970639E-3</v>
      </c>
      <c r="AW72" s="34">
        <f t="shared" si="99"/>
        <v>1.9293303741970639E-3</v>
      </c>
      <c r="AX72" s="34">
        <f t="shared" si="99"/>
        <v>1.9293303741970639E-3</v>
      </c>
      <c r="AY72" s="34">
        <f t="shared" si="99"/>
        <v>1.9293303741970639E-3</v>
      </c>
      <c r="AZ72" s="34">
        <f t="shared" si="99"/>
        <v>1.9293303741970639E-3</v>
      </c>
      <c r="BA72" s="34">
        <f t="shared" si="99"/>
        <v>1.9293303741970639E-3</v>
      </c>
      <c r="BB72" s="34">
        <f t="shared" si="99"/>
        <v>1.9293303741970639E-3</v>
      </c>
      <c r="BC72" s="34">
        <f t="shared" si="99"/>
        <v>1.9293303741970639E-3</v>
      </c>
      <c r="BD72" s="34">
        <f t="shared" si="99"/>
        <v>1.9293303741970639E-3</v>
      </c>
      <c r="BE72" s="34">
        <f t="shared" si="99"/>
        <v>1.9293303741970639E-3</v>
      </c>
      <c r="BF72" s="34">
        <f t="shared" si="99"/>
        <v>1.9293303741970639E-3</v>
      </c>
      <c r="BG72" s="34">
        <f t="shared" si="99"/>
        <v>1.9293303741970639E-3</v>
      </c>
      <c r="BH72" s="34">
        <f t="shared" si="99"/>
        <v>1.9293303741970639E-3</v>
      </c>
      <c r="BI72" s="34">
        <f t="shared" si="99"/>
        <v>1.9293303741970639E-3</v>
      </c>
      <c r="BJ72" s="34">
        <f t="shared" si="99"/>
        <v>1.9293303741970639E-3</v>
      </c>
      <c r="BK72" s="34">
        <f t="shared" si="99"/>
        <v>1.9293303741970639E-3</v>
      </c>
      <c r="BL72" s="34">
        <f t="shared" si="99"/>
        <v>1.9293303741970639E-3</v>
      </c>
      <c r="BM72" s="34">
        <f t="shared" si="99"/>
        <v>1.9293303741970639E-3</v>
      </c>
      <c r="BN72" s="34">
        <f t="shared" si="99"/>
        <v>1.9293303741970639E-3</v>
      </c>
      <c r="BO72" s="34">
        <f t="shared" si="99"/>
        <v>1.9293303741970639E-3</v>
      </c>
      <c r="BP72" s="34">
        <f t="shared" si="99"/>
        <v>1.9293303741970639E-3</v>
      </c>
      <c r="BQ72" s="34">
        <f t="shared" si="99"/>
        <v>1.9293303741970639E-3</v>
      </c>
      <c r="BR72" s="34">
        <f t="shared" si="99"/>
        <v>1.9293303741970639E-3</v>
      </c>
      <c r="BS72" s="34">
        <f t="shared" si="99"/>
        <v>1.9293303741970639E-3</v>
      </c>
      <c r="BT72" s="34">
        <f t="shared" si="99"/>
        <v>1.9293303741970639E-3</v>
      </c>
      <c r="BU72" s="34">
        <f t="shared" si="99"/>
        <v>1.9293303741970639E-3</v>
      </c>
      <c r="BV72" s="34">
        <f t="shared" si="99"/>
        <v>1.9293303741970639E-3</v>
      </c>
      <c r="BW72" s="34">
        <f t="shared" si="99"/>
        <v>1.9293303741970639E-3</v>
      </c>
      <c r="BX72" s="34">
        <f t="shared" si="99"/>
        <v>1.9293303741970639E-3</v>
      </c>
      <c r="BY72" s="34">
        <f t="shared" si="99"/>
        <v>1.9293303741970639E-3</v>
      </c>
      <c r="BZ72" s="34">
        <f t="shared" si="99"/>
        <v>1.9293303741970639E-3</v>
      </c>
      <c r="CA72" s="34">
        <f t="shared" si="99"/>
        <v>1.9293303741970639E-3</v>
      </c>
      <c r="CB72" s="34">
        <f t="shared" si="99"/>
        <v>1.9293303741970639E-3</v>
      </c>
      <c r="CC72" s="34">
        <f t="shared" si="99"/>
        <v>1.9293303741970639E-3</v>
      </c>
      <c r="CD72" s="34">
        <f t="shared" si="99"/>
        <v>1.9293303741970639E-3</v>
      </c>
      <c r="CE72" s="34">
        <f t="shared" si="99"/>
        <v>1.9293303741970639E-3</v>
      </c>
      <c r="CF72" s="34">
        <f t="shared" si="99"/>
        <v>1.9293303741970639E-3</v>
      </c>
      <c r="CG72" s="34">
        <f t="shared" si="99"/>
        <v>1.9293303741970639E-3</v>
      </c>
      <c r="CH72" s="34">
        <f t="shared" si="99"/>
        <v>1.9293303741970639E-3</v>
      </c>
      <c r="CI72" s="34">
        <f t="shared" si="99"/>
        <v>1.9293303741970639E-3</v>
      </c>
      <c r="CJ72" s="34">
        <f t="shared" si="99"/>
        <v>1.9293303741970639E-3</v>
      </c>
      <c r="CK72" s="34">
        <f t="shared" si="99"/>
        <v>1.9293303741970639E-3</v>
      </c>
      <c r="CL72" s="34">
        <f t="shared" si="99"/>
        <v>1.9293303741970639E-3</v>
      </c>
      <c r="CM72" s="34">
        <f t="shared" si="99"/>
        <v>1.9293303741970639E-3</v>
      </c>
      <c r="CN72" s="34">
        <f t="shared" si="99"/>
        <v>1.9293303741970639E-3</v>
      </c>
      <c r="CO72" s="34">
        <f t="shared" si="99"/>
        <v>1.9293303741970639E-3</v>
      </c>
      <c r="CP72" s="34">
        <f t="shared" si="99"/>
        <v>1.9293303741970639E-3</v>
      </c>
      <c r="CQ72" s="34">
        <f t="shared" si="99"/>
        <v>1.9293303741970639E-3</v>
      </c>
      <c r="CR72" s="34">
        <f t="shared" si="99"/>
        <v>1.9293303741970639E-3</v>
      </c>
      <c r="CS72" s="34">
        <f t="shared" si="99"/>
        <v>1.9293303741970639E-3</v>
      </c>
      <c r="CT72" s="34">
        <f t="shared" si="99"/>
        <v>1.9293303741970639E-3</v>
      </c>
      <c r="CU72" s="34">
        <f t="shared" si="99"/>
        <v>1.9293303741970639E-3</v>
      </c>
      <c r="CV72" s="34">
        <f t="shared" si="99"/>
        <v>1.9293303741970639E-3</v>
      </c>
      <c r="CW72" s="34">
        <f>-SLOPE(CW3:CW70,$AI3:$AI70)</f>
        <v>1.9293303741970639E-3</v>
      </c>
    </row>
    <row r="73" spans="1:103" x14ac:dyDescent="0.25">
      <c r="AI73" s="34" t="s">
        <v>46</v>
      </c>
      <c r="AJ73" s="34">
        <f>IF(ISERROR(AJ72),FALSE,IF(AJ72&lt;&gt;0,LN(2)/AJ72,FALSE))</f>
        <v>359.26826728595654</v>
      </c>
      <c r="AK73" s="34">
        <f t="shared" ref="AK73:CV73" si="100">IF(ISERROR(AK72),FALSE,IF(AK72&lt;&gt;0,LN(2)/AK72,FALSE))</f>
        <v>359.26826728595654</v>
      </c>
      <c r="AL73" s="34">
        <f t="shared" si="100"/>
        <v>359.26826728595654</v>
      </c>
      <c r="AM73" s="34">
        <f t="shared" si="100"/>
        <v>359.26826728595654</v>
      </c>
      <c r="AN73" s="34">
        <f t="shared" si="100"/>
        <v>359.26826728595654</v>
      </c>
      <c r="AO73" s="34">
        <f t="shared" si="100"/>
        <v>359.26826728595654</v>
      </c>
      <c r="AP73" s="34">
        <f t="shared" si="100"/>
        <v>359.26826728595654</v>
      </c>
      <c r="AQ73" s="34">
        <f t="shared" si="100"/>
        <v>359.26826728595654</v>
      </c>
      <c r="AR73" s="34">
        <f t="shared" si="100"/>
        <v>359.26826728595654</v>
      </c>
      <c r="AS73" s="34">
        <f t="shared" si="100"/>
        <v>359.26826728595654</v>
      </c>
      <c r="AT73" s="34">
        <f t="shared" si="100"/>
        <v>359.26826728595654</v>
      </c>
      <c r="AU73" s="34">
        <f t="shared" si="100"/>
        <v>359.26826728595654</v>
      </c>
      <c r="AV73" s="34">
        <f t="shared" si="100"/>
        <v>359.26826728595654</v>
      </c>
      <c r="AW73" s="34">
        <f t="shared" si="100"/>
        <v>359.26826728595654</v>
      </c>
      <c r="AX73" s="34">
        <f t="shared" si="100"/>
        <v>359.26826728595654</v>
      </c>
      <c r="AY73" s="34">
        <f t="shared" si="100"/>
        <v>359.26826728595654</v>
      </c>
      <c r="AZ73" s="34">
        <f t="shared" si="100"/>
        <v>359.26826728595654</v>
      </c>
      <c r="BA73" s="34">
        <f t="shared" si="100"/>
        <v>359.26826728595654</v>
      </c>
      <c r="BB73" s="34">
        <f t="shared" si="100"/>
        <v>359.26826728595654</v>
      </c>
      <c r="BC73" s="34">
        <f t="shared" si="100"/>
        <v>359.26826728595654</v>
      </c>
      <c r="BD73" s="34">
        <f t="shared" si="100"/>
        <v>359.26826728595654</v>
      </c>
      <c r="BE73" s="34">
        <f t="shared" si="100"/>
        <v>359.26826728595654</v>
      </c>
      <c r="BF73" s="34">
        <f t="shared" si="100"/>
        <v>359.26826728595654</v>
      </c>
      <c r="BG73" s="34">
        <f t="shared" si="100"/>
        <v>359.26826728595654</v>
      </c>
      <c r="BH73" s="34">
        <f t="shared" si="100"/>
        <v>359.26826728595654</v>
      </c>
      <c r="BI73" s="34">
        <f t="shared" si="100"/>
        <v>359.26826728595654</v>
      </c>
      <c r="BJ73" s="34">
        <f t="shared" si="100"/>
        <v>359.26826728595654</v>
      </c>
      <c r="BK73" s="34">
        <f t="shared" si="100"/>
        <v>359.26826728595654</v>
      </c>
      <c r="BL73" s="34">
        <f t="shared" si="100"/>
        <v>359.26826728595654</v>
      </c>
      <c r="BM73" s="34">
        <f t="shared" si="100"/>
        <v>359.26826728595654</v>
      </c>
      <c r="BN73" s="34">
        <f t="shared" si="100"/>
        <v>359.26826728595654</v>
      </c>
      <c r="BO73" s="34">
        <f t="shared" si="100"/>
        <v>359.26826728595654</v>
      </c>
      <c r="BP73" s="34">
        <f t="shared" si="100"/>
        <v>359.26826728595654</v>
      </c>
      <c r="BQ73" s="34">
        <f t="shared" si="100"/>
        <v>359.26826728595654</v>
      </c>
      <c r="BR73" s="34">
        <f t="shared" si="100"/>
        <v>359.26826728595654</v>
      </c>
      <c r="BS73" s="34">
        <f t="shared" si="100"/>
        <v>359.26826728595654</v>
      </c>
      <c r="BT73" s="34">
        <f t="shared" si="100"/>
        <v>359.26826728595654</v>
      </c>
      <c r="BU73" s="34">
        <f t="shared" si="100"/>
        <v>359.26826728595654</v>
      </c>
      <c r="BV73" s="34">
        <f t="shared" si="100"/>
        <v>359.26826728595654</v>
      </c>
      <c r="BW73" s="34">
        <f t="shared" si="100"/>
        <v>359.26826728595654</v>
      </c>
      <c r="BX73" s="34">
        <f t="shared" si="100"/>
        <v>359.26826728595654</v>
      </c>
      <c r="BY73" s="34">
        <f t="shared" si="100"/>
        <v>359.26826728595654</v>
      </c>
      <c r="BZ73" s="34">
        <f t="shared" si="100"/>
        <v>359.26826728595654</v>
      </c>
      <c r="CA73" s="34">
        <f t="shared" si="100"/>
        <v>359.26826728595654</v>
      </c>
      <c r="CB73" s="34">
        <f t="shared" si="100"/>
        <v>359.26826728595654</v>
      </c>
      <c r="CC73" s="34">
        <f t="shared" si="100"/>
        <v>359.26826728595654</v>
      </c>
      <c r="CD73" s="34">
        <f t="shared" si="100"/>
        <v>359.26826728595654</v>
      </c>
      <c r="CE73" s="34">
        <f t="shared" si="100"/>
        <v>359.26826728595654</v>
      </c>
      <c r="CF73" s="34">
        <f t="shared" si="100"/>
        <v>359.26826728595654</v>
      </c>
      <c r="CG73" s="34">
        <f t="shared" si="100"/>
        <v>359.26826728595654</v>
      </c>
      <c r="CH73" s="34">
        <f t="shared" si="100"/>
        <v>359.26826728595654</v>
      </c>
      <c r="CI73" s="34">
        <f t="shared" si="100"/>
        <v>359.26826728595654</v>
      </c>
      <c r="CJ73" s="34">
        <f t="shared" si="100"/>
        <v>359.26826728595654</v>
      </c>
      <c r="CK73" s="34">
        <f t="shared" si="100"/>
        <v>359.26826728595654</v>
      </c>
      <c r="CL73" s="34">
        <f t="shared" si="100"/>
        <v>359.26826728595654</v>
      </c>
      <c r="CM73" s="34">
        <f t="shared" si="100"/>
        <v>359.26826728595654</v>
      </c>
      <c r="CN73" s="34">
        <f t="shared" si="100"/>
        <v>359.26826728595654</v>
      </c>
      <c r="CO73" s="34">
        <f t="shared" si="100"/>
        <v>359.26826728595654</v>
      </c>
      <c r="CP73" s="34">
        <f t="shared" si="100"/>
        <v>359.26826728595654</v>
      </c>
      <c r="CQ73" s="34">
        <f t="shared" si="100"/>
        <v>359.26826728595654</v>
      </c>
      <c r="CR73" s="34">
        <f t="shared" si="100"/>
        <v>359.26826728595654</v>
      </c>
      <c r="CS73" s="34">
        <f t="shared" si="100"/>
        <v>359.26826728595654</v>
      </c>
      <c r="CT73" s="34">
        <f t="shared" si="100"/>
        <v>359.26826728595654</v>
      </c>
      <c r="CU73" s="34">
        <f t="shared" si="100"/>
        <v>359.26826728595654</v>
      </c>
      <c r="CV73" s="34">
        <f t="shared" si="100"/>
        <v>359.26826728595654</v>
      </c>
      <c r="CW73" s="34">
        <f>IF(ISERROR(CW72),FALSE,IF(CW72&lt;&gt;0,LN(2)/CW72,FALSE))</f>
        <v>359.26826728595654</v>
      </c>
    </row>
    <row r="74" spans="1:103" x14ac:dyDescent="0.25">
      <c r="AI74" s="34" t="s">
        <v>47</v>
      </c>
      <c r="AJ74" s="34">
        <f t="shared" ref="AJ74:CV74" si="101">INDEX($AI$3:$AI$70,68,1)-INDEX($AI$3:$AI$70,68-AJ71+1,1)</f>
        <v>36</v>
      </c>
      <c r="AK74" s="34">
        <f t="shared" si="101"/>
        <v>36</v>
      </c>
      <c r="AL74" s="34">
        <f t="shared" si="101"/>
        <v>36</v>
      </c>
      <c r="AM74" s="34">
        <f t="shared" si="101"/>
        <v>36</v>
      </c>
      <c r="AN74" s="34">
        <f t="shared" si="101"/>
        <v>36</v>
      </c>
      <c r="AO74" s="34">
        <f t="shared" si="101"/>
        <v>36</v>
      </c>
      <c r="AP74" s="34">
        <f t="shared" si="101"/>
        <v>36</v>
      </c>
      <c r="AQ74" s="34">
        <f t="shared" si="101"/>
        <v>36</v>
      </c>
      <c r="AR74" s="34">
        <f t="shared" si="101"/>
        <v>36</v>
      </c>
      <c r="AS74" s="34">
        <f t="shared" si="101"/>
        <v>36</v>
      </c>
      <c r="AT74" s="34">
        <f t="shared" si="101"/>
        <v>36</v>
      </c>
      <c r="AU74" s="34">
        <f t="shared" si="101"/>
        <v>36</v>
      </c>
      <c r="AV74" s="34">
        <f t="shared" si="101"/>
        <v>36</v>
      </c>
      <c r="AW74" s="34">
        <f t="shared" si="101"/>
        <v>36</v>
      </c>
      <c r="AX74" s="34">
        <f t="shared" si="101"/>
        <v>36</v>
      </c>
      <c r="AY74" s="34">
        <f t="shared" si="101"/>
        <v>36</v>
      </c>
      <c r="AZ74" s="34">
        <f t="shared" si="101"/>
        <v>36</v>
      </c>
      <c r="BA74" s="34">
        <f t="shared" si="101"/>
        <v>36</v>
      </c>
      <c r="BB74" s="34">
        <f t="shared" si="101"/>
        <v>36</v>
      </c>
      <c r="BC74" s="34">
        <f t="shared" si="101"/>
        <v>36</v>
      </c>
      <c r="BD74" s="34">
        <f t="shared" si="101"/>
        <v>36</v>
      </c>
      <c r="BE74" s="34">
        <f t="shared" si="101"/>
        <v>36</v>
      </c>
      <c r="BF74" s="34">
        <f t="shared" si="101"/>
        <v>36</v>
      </c>
      <c r="BG74" s="34">
        <f t="shared" si="101"/>
        <v>36</v>
      </c>
      <c r="BH74" s="34">
        <f t="shared" si="101"/>
        <v>36</v>
      </c>
      <c r="BI74" s="34">
        <f t="shared" si="101"/>
        <v>36</v>
      </c>
      <c r="BJ74" s="34">
        <f t="shared" si="101"/>
        <v>36</v>
      </c>
      <c r="BK74" s="34">
        <f t="shared" si="101"/>
        <v>36</v>
      </c>
      <c r="BL74" s="34">
        <f t="shared" si="101"/>
        <v>36</v>
      </c>
      <c r="BM74" s="34">
        <f t="shared" si="101"/>
        <v>36</v>
      </c>
      <c r="BN74" s="34">
        <f t="shared" si="101"/>
        <v>36</v>
      </c>
      <c r="BO74" s="34">
        <f t="shared" si="101"/>
        <v>36</v>
      </c>
      <c r="BP74" s="34">
        <f t="shared" si="101"/>
        <v>36</v>
      </c>
      <c r="BQ74" s="34">
        <f t="shared" si="101"/>
        <v>36</v>
      </c>
      <c r="BR74" s="34">
        <f t="shared" si="101"/>
        <v>36</v>
      </c>
      <c r="BS74" s="34">
        <f t="shared" si="101"/>
        <v>36</v>
      </c>
      <c r="BT74" s="34">
        <f t="shared" si="101"/>
        <v>36</v>
      </c>
      <c r="BU74" s="34">
        <f t="shared" si="101"/>
        <v>36</v>
      </c>
      <c r="BV74" s="34">
        <f t="shared" si="101"/>
        <v>36</v>
      </c>
      <c r="BW74" s="34">
        <f t="shared" si="101"/>
        <v>36</v>
      </c>
      <c r="BX74" s="34">
        <f t="shared" si="101"/>
        <v>36</v>
      </c>
      <c r="BY74" s="34">
        <f t="shared" si="101"/>
        <v>36</v>
      </c>
      <c r="BZ74" s="34">
        <f t="shared" si="101"/>
        <v>36</v>
      </c>
      <c r="CA74" s="34">
        <f t="shared" si="101"/>
        <v>36</v>
      </c>
      <c r="CB74" s="34">
        <f t="shared" si="101"/>
        <v>36</v>
      </c>
      <c r="CC74" s="34">
        <f t="shared" si="101"/>
        <v>36</v>
      </c>
      <c r="CD74" s="34">
        <f t="shared" si="101"/>
        <v>36</v>
      </c>
      <c r="CE74" s="34">
        <f t="shared" si="101"/>
        <v>36</v>
      </c>
      <c r="CF74" s="34">
        <f t="shared" si="101"/>
        <v>36</v>
      </c>
      <c r="CG74" s="34">
        <f t="shared" si="101"/>
        <v>36</v>
      </c>
      <c r="CH74" s="34">
        <f t="shared" si="101"/>
        <v>36</v>
      </c>
      <c r="CI74" s="34">
        <f t="shared" si="101"/>
        <v>36</v>
      </c>
      <c r="CJ74" s="34">
        <f t="shared" si="101"/>
        <v>36</v>
      </c>
      <c r="CK74" s="34">
        <f t="shared" si="101"/>
        <v>36</v>
      </c>
      <c r="CL74" s="34">
        <f t="shared" si="101"/>
        <v>36</v>
      </c>
      <c r="CM74" s="34">
        <f t="shared" si="101"/>
        <v>36</v>
      </c>
      <c r="CN74" s="34">
        <f t="shared" si="101"/>
        <v>36</v>
      </c>
      <c r="CO74" s="34">
        <f t="shared" si="101"/>
        <v>36</v>
      </c>
      <c r="CP74" s="34">
        <f t="shared" si="101"/>
        <v>36</v>
      </c>
      <c r="CQ74" s="34">
        <f t="shared" si="101"/>
        <v>36</v>
      </c>
      <c r="CR74" s="34">
        <f t="shared" si="101"/>
        <v>36</v>
      </c>
      <c r="CS74" s="34">
        <f t="shared" si="101"/>
        <v>36</v>
      </c>
      <c r="CT74" s="34">
        <f t="shared" si="101"/>
        <v>36</v>
      </c>
      <c r="CU74" s="34">
        <f t="shared" si="101"/>
        <v>36</v>
      </c>
      <c r="CV74" s="34">
        <f t="shared" si="101"/>
        <v>36</v>
      </c>
      <c r="CW74" s="34">
        <f>INDEX($AI$3:$AI$70,68,1)-INDEX($AI$3:$AI$70,68-CW71+1,1)</f>
        <v>36</v>
      </c>
    </row>
    <row r="75" spans="1:103" x14ac:dyDescent="0.25">
      <c r="AI75" s="34" t="s">
        <v>49</v>
      </c>
      <c r="AJ75" s="34" t="b">
        <f>IF(AJ73&lt;=AJ74,FALSE,TRUE)</f>
        <v>1</v>
      </c>
      <c r="AK75" s="34" t="b">
        <f t="shared" ref="AK75:CW75" si="102">IF(AK73&lt;=AK74,FALSE,TRUE)</f>
        <v>1</v>
      </c>
      <c r="AL75" s="34" t="b">
        <f t="shared" si="102"/>
        <v>1</v>
      </c>
      <c r="AM75" s="34" t="b">
        <f t="shared" si="102"/>
        <v>1</v>
      </c>
      <c r="AN75" s="34" t="b">
        <f t="shared" si="102"/>
        <v>1</v>
      </c>
      <c r="AO75" s="34" t="b">
        <f t="shared" si="102"/>
        <v>1</v>
      </c>
      <c r="AP75" s="34" t="b">
        <f t="shared" si="102"/>
        <v>1</v>
      </c>
      <c r="AQ75" s="34" t="b">
        <f t="shared" si="102"/>
        <v>1</v>
      </c>
      <c r="AR75" s="34" t="b">
        <f t="shared" si="102"/>
        <v>1</v>
      </c>
      <c r="AS75" s="34" t="b">
        <f t="shared" si="102"/>
        <v>1</v>
      </c>
      <c r="AT75" s="34" t="b">
        <f t="shared" si="102"/>
        <v>1</v>
      </c>
      <c r="AU75" s="34" t="b">
        <f t="shared" si="102"/>
        <v>1</v>
      </c>
      <c r="AV75" s="34" t="b">
        <f t="shared" si="102"/>
        <v>1</v>
      </c>
      <c r="AW75" s="34" t="b">
        <f t="shared" si="102"/>
        <v>1</v>
      </c>
      <c r="AX75" s="34" t="b">
        <f t="shared" si="102"/>
        <v>1</v>
      </c>
      <c r="AY75" s="34" t="b">
        <f t="shared" si="102"/>
        <v>1</v>
      </c>
      <c r="AZ75" s="34" t="b">
        <f t="shared" si="102"/>
        <v>1</v>
      </c>
      <c r="BA75" s="34" t="b">
        <f t="shared" si="102"/>
        <v>1</v>
      </c>
      <c r="BB75" s="34" t="b">
        <f t="shared" si="102"/>
        <v>1</v>
      </c>
      <c r="BC75" s="34" t="b">
        <f t="shared" si="102"/>
        <v>1</v>
      </c>
      <c r="BD75" s="34" t="b">
        <f t="shared" si="102"/>
        <v>1</v>
      </c>
      <c r="BE75" s="34" t="b">
        <f t="shared" si="102"/>
        <v>1</v>
      </c>
      <c r="BF75" s="34" t="b">
        <f t="shared" si="102"/>
        <v>1</v>
      </c>
      <c r="BG75" s="34" t="b">
        <f t="shared" si="102"/>
        <v>1</v>
      </c>
      <c r="BH75" s="34" t="b">
        <f t="shared" si="102"/>
        <v>1</v>
      </c>
      <c r="BI75" s="34" t="b">
        <f t="shared" si="102"/>
        <v>1</v>
      </c>
      <c r="BJ75" s="34" t="b">
        <f t="shared" si="102"/>
        <v>1</v>
      </c>
      <c r="BK75" s="34" t="b">
        <f t="shared" si="102"/>
        <v>1</v>
      </c>
      <c r="BL75" s="34" t="b">
        <f t="shared" si="102"/>
        <v>1</v>
      </c>
      <c r="BM75" s="34" t="b">
        <f t="shared" si="102"/>
        <v>1</v>
      </c>
      <c r="BN75" s="34" t="b">
        <f t="shared" si="102"/>
        <v>1</v>
      </c>
      <c r="BO75" s="34" t="b">
        <f t="shared" si="102"/>
        <v>1</v>
      </c>
      <c r="BP75" s="34" t="b">
        <f t="shared" si="102"/>
        <v>1</v>
      </c>
      <c r="BQ75" s="34" t="b">
        <f t="shared" si="102"/>
        <v>1</v>
      </c>
      <c r="BR75" s="34" t="b">
        <f t="shared" si="102"/>
        <v>1</v>
      </c>
      <c r="BS75" s="34" t="b">
        <f t="shared" si="102"/>
        <v>1</v>
      </c>
      <c r="BT75" s="34" t="b">
        <f t="shared" si="102"/>
        <v>1</v>
      </c>
      <c r="BU75" s="34" t="b">
        <f t="shared" si="102"/>
        <v>1</v>
      </c>
      <c r="BV75" s="34" t="b">
        <f t="shared" si="102"/>
        <v>1</v>
      </c>
      <c r="BW75" s="34" t="b">
        <f t="shared" si="102"/>
        <v>1</v>
      </c>
      <c r="BX75" s="34" t="b">
        <f t="shared" si="102"/>
        <v>1</v>
      </c>
      <c r="BY75" s="34" t="b">
        <f t="shared" si="102"/>
        <v>1</v>
      </c>
      <c r="BZ75" s="34" t="b">
        <f t="shared" si="102"/>
        <v>1</v>
      </c>
      <c r="CA75" s="34" t="b">
        <f t="shared" si="102"/>
        <v>1</v>
      </c>
      <c r="CB75" s="34" t="b">
        <f t="shared" si="102"/>
        <v>1</v>
      </c>
      <c r="CC75" s="34" t="b">
        <f t="shared" si="102"/>
        <v>1</v>
      </c>
      <c r="CD75" s="34" t="b">
        <f t="shared" si="102"/>
        <v>1</v>
      </c>
      <c r="CE75" s="34" t="b">
        <f t="shared" si="102"/>
        <v>1</v>
      </c>
      <c r="CF75" s="34" t="b">
        <f t="shared" si="102"/>
        <v>1</v>
      </c>
      <c r="CG75" s="34" t="b">
        <f t="shared" si="102"/>
        <v>1</v>
      </c>
      <c r="CH75" s="34" t="b">
        <f t="shared" si="102"/>
        <v>1</v>
      </c>
      <c r="CI75" s="34" t="b">
        <f t="shared" si="102"/>
        <v>1</v>
      </c>
      <c r="CJ75" s="34" t="b">
        <f t="shared" si="102"/>
        <v>1</v>
      </c>
      <c r="CK75" s="34" t="b">
        <f t="shared" si="102"/>
        <v>1</v>
      </c>
      <c r="CL75" s="34" t="b">
        <f t="shared" si="102"/>
        <v>1</v>
      </c>
      <c r="CM75" s="34" t="b">
        <f t="shared" si="102"/>
        <v>1</v>
      </c>
      <c r="CN75" s="34" t="b">
        <f t="shared" si="102"/>
        <v>1</v>
      </c>
      <c r="CO75" s="34" t="b">
        <f t="shared" si="102"/>
        <v>1</v>
      </c>
      <c r="CP75" s="34" t="b">
        <f t="shared" si="102"/>
        <v>1</v>
      </c>
      <c r="CQ75" s="34" t="b">
        <f t="shared" si="102"/>
        <v>1</v>
      </c>
      <c r="CR75" s="34" t="b">
        <f t="shared" si="102"/>
        <v>1</v>
      </c>
      <c r="CS75" s="34" t="b">
        <f t="shared" si="102"/>
        <v>1</v>
      </c>
      <c r="CT75" s="34" t="b">
        <f t="shared" si="102"/>
        <v>1</v>
      </c>
      <c r="CU75" s="34" t="b">
        <f t="shared" si="102"/>
        <v>1</v>
      </c>
      <c r="CV75" s="34" t="b">
        <f t="shared" si="102"/>
        <v>1</v>
      </c>
      <c r="CW75" s="34" t="b">
        <f t="shared" si="102"/>
        <v>1</v>
      </c>
    </row>
    <row r="76" spans="1:103" x14ac:dyDescent="0.25">
      <c r="AI76" s="34" t="s">
        <v>55</v>
      </c>
      <c r="AJ76" s="34">
        <f>1-(((AJ71-1)/(AJ71-1-1))*(1-RSQ(AJ$3:AJ$70,$AI$3:$AI$70)))</f>
        <v>0.87946524005874194</v>
      </c>
      <c r="AK76" s="34">
        <f t="shared" ref="AK76:CV76" si="103">1-(((AK71-1)/(AK71-1-1))*(1-RSQ(AK$3:AK$70,$AI$3:$AI$70)))</f>
        <v>0.87946524005874194</v>
      </c>
      <c r="AL76" s="34">
        <f t="shared" si="103"/>
        <v>0.87946524005874194</v>
      </c>
      <c r="AM76" s="34">
        <f t="shared" si="103"/>
        <v>0.87946524005874194</v>
      </c>
      <c r="AN76" s="34">
        <f t="shared" si="103"/>
        <v>0.87946524005874194</v>
      </c>
      <c r="AO76" s="34">
        <f t="shared" si="103"/>
        <v>0.87946524005874194</v>
      </c>
      <c r="AP76" s="34">
        <f t="shared" si="103"/>
        <v>0.87946524005874194</v>
      </c>
      <c r="AQ76" s="34">
        <f t="shared" si="103"/>
        <v>0.87946524005874194</v>
      </c>
      <c r="AR76" s="34">
        <f t="shared" si="103"/>
        <v>0.87946524005874194</v>
      </c>
      <c r="AS76" s="34">
        <f t="shared" si="103"/>
        <v>0.87946524005874194</v>
      </c>
      <c r="AT76" s="34">
        <f t="shared" si="103"/>
        <v>0.87946524005874194</v>
      </c>
      <c r="AU76" s="34">
        <f t="shared" si="103"/>
        <v>0.87946524005874194</v>
      </c>
      <c r="AV76" s="34">
        <f t="shared" si="103"/>
        <v>0.87946524005874194</v>
      </c>
      <c r="AW76" s="34">
        <f t="shared" si="103"/>
        <v>0.87946524005874194</v>
      </c>
      <c r="AX76" s="34">
        <f t="shared" si="103"/>
        <v>0.87946524005874194</v>
      </c>
      <c r="AY76" s="34">
        <f t="shared" si="103"/>
        <v>0.87946524005874194</v>
      </c>
      <c r="AZ76" s="34">
        <f t="shared" si="103"/>
        <v>0.87946524005874194</v>
      </c>
      <c r="BA76" s="34">
        <f t="shared" si="103"/>
        <v>0.87946524005874194</v>
      </c>
      <c r="BB76" s="34">
        <f t="shared" si="103"/>
        <v>0.87946524005874194</v>
      </c>
      <c r="BC76" s="34">
        <f t="shared" si="103"/>
        <v>0.87946524005874194</v>
      </c>
      <c r="BD76" s="34">
        <f t="shared" si="103"/>
        <v>0.87946524005874194</v>
      </c>
      <c r="BE76" s="34">
        <f t="shared" si="103"/>
        <v>0.87946524005874194</v>
      </c>
      <c r="BF76" s="34">
        <f t="shared" si="103"/>
        <v>0.87946524005874194</v>
      </c>
      <c r="BG76" s="34">
        <f t="shared" si="103"/>
        <v>0.87946524005874194</v>
      </c>
      <c r="BH76" s="34">
        <f t="shared" si="103"/>
        <v>0.87946524005874194</v>
      </c>
      <c r="BI76" s="34">
        <f t="shared" si="103"/>
        <v>0.87946524005874194</v>
      </c>
      <c r="BJ76" s="34">
        <f t="shared" si="103"/>
        <v>0.87946524005874194</v>
      </c>
      <c r="BK76" s="34">
        <f t="shared" si="103"/>
        <v>0.87946524005874194</v>
      </c>
      <c r="BL76" s="34">
        <f t="shared" si="103"/>
        <v>0.87946524005874194</v>
      </c>
      <c r="BM76" s="34">
        <f t="shared" si="103"/>
        <v>0.87946524005874194</v>
      </c>
      <c r="BN76" s="34">
        <f t="shared" si="103"/>
        <v>0.87946524005874194</v>
      </c>
      <c r="BO76" s="34">
        <f t="shared" si="103"/>
        <v>0.87946524005874194</v>
      </c>
      <c r="BP76" s="34">
        <f t="shared" si="103"/>
        <v>0.87946524005874194</v>
      </c>
      <c r="BQ76" s="34">
        <f t="shared" si="103"/>
        <v>0.87946524005874194</v>
      </c>
      <c r="BR76" s="34">
        <f t="shared" si="103"/>
        <v>0.87946524005874194</v>
      </c>
      <c r="BS76" s="34">
        <f t="shared" si="103"/>
        <v>0.87946524005874194</v>
      </c>
      <c r="BT76" s="34">
        <f t="shared" si="103"/>
        <v>0.87946524005874194</v>
      </c>
      <c r="BU76" s="34">
        <f t="shared" si="103"/>
        <v>0.87946524005874194</v>
      </c>
      <c r="BV76" s="34">
        <f t="shared" si="103"/>
        <v>0.87946524005874194</v>
      </c>
      <c r="BW76" s="34">
        <f t="shared" si="103"/>
        <v>0.87946524005874194</v>
      </c>
      <c r="BX76" s="34">
        <f t="shared" si="103"/>
        <v>0.87946524005874194</v>
      </c>
      <c r="BY76" s="34">
        <f t="shared" si="103"/>
        <v>0.87946524005874194</v>
      </c>
      <c r="BZ76" s="34">
        <f t="shared" si="103"/>
        <v>0.87946524005874194</v>
      </c>
      <c r="CA76" s="34">
        <f t="shared" si="103"/>
        <v>0.87946524005874194</v>
      </c>
      <c r="CB76" s="34">
        <f t="shared" si="103"/>
        <v>0.87946524005874194</v>
      </c>
      <c r="CC76" s="34">
        <f t="shared" si="103"/>
        <v>0.87946524005874194</v>
      </c>
      <c r="CD76" s="34">
        <f t="shared" si="103"/>
        <v>0.87946524005874194</v>
      </c>
      <c r="CE76" s="34">
        <f t="shared" si="103"/>
        <v>0.87946524005874194</v>
      </c>
      <c r="CF76" s="34">
        <f t="shared" si="103"/>
        <v>0.87946524005874194</v>
      </c>
      <c r="CG76" s="34">
        <f t="shared" si="103"/>
        <v>0.87946524005874194</v>
      </c>
      <c r="CH76" s="34">
        <f t="shared" si="103"/>
        <v>0.87946524005874194</v>
      </c>
      <c r="CI76" s="34">
        <f t="shared" si="103"/>
        <v>0.87946524005874194</v>
      </c>
      <c r="CJ76" s="34">
        <f t="shared" si="103"/>
        <v>0.87946524005874194</v>
      </c>
      <c r="CK76" s="34">
        <f t="shared" si="103"/>
        <v>0.87946524005874194</v>
      </c>
      <c r="CL76" s="34">
        <f t="shared" si="103"/>
        <v>0.87946524005874194</v>
      </c>
      <c r="CM76" s="34">
        <f t="shared" si="103"/>
        <v>0.87946524005874194</v>
      </c>
      <c r="CN76" s="34">
        <f t="shared" si="103"/>
        <v>0.87946524005874194</v>
      </c>
      <c r="CO76" s="34">
        <f t="shared" si="103"/>
        <v>0.87946524005874194</v>
      </c>
      <c r="CP76" s="34">
        <f t="shared" si="103"/>
        <v>0.87946524005874194</v>
      </c>
      <c r="CQ76" s="34">
        <f t="shared" si="103"/>
        <v>0.87946524005874194</v>
      </c>
      <c r="CR76" s="34">
        <f t="shared" si="103"/>
        <v>0.87946524005874194</v>
      </c>
      <c r="CS76" s="34">
        <f t="shared" si="103"/>
        <v>0.87946524005874194</v>
      </c>
      <c r="CT76" s="34">
        <f t="shared" si="103"/>
        <v>0.87946524005874194</v>
      </c>
      <c r="CU76" s="34">
        <f t="shared" si="103"/>
        <v>0.87946524005874194</v>
      </c>
      <c r="CV76" s="34">
        <f t="shared" si="103"/>
        <v>0.87946524005874194</v>
      </c>
      <c r="CW76" s="34">
        <f>1-(((CW71-1)/(CW71-1-1))*(1-RSQ(CW$3:CW$70,$AI$3:$AI$70)))</f>
        <v>0.87946524005874194</v>
      </c>
    </row>
    <row r="77" spans="1:103" x14ac:dyDescent="0.25">
      <c r="AI77" s="34" t="s">
        <v>56</v>
      </c>
      <c r="AJ77" s="34" t="str">
        <f t="shared" ref="AJ77:BO77" si="104">IF(AJ73&lt;=0,"",IF($G$13,IF(AJ73&lt;=AJ74,IF(AJ$71&gt;=$G$8,1-(((AJ71-1)/(AJ71-1-1))*(1-RSQ(AJ$3:AJ$70,$AI$3:$AI$70)))),""),IF(AJ$71&gt;=$G$8,1-(((AJ71-1)/(AJ71-1-1))*(1-RSQ(AJ$3:AJ$70,$AI$3:$AI$70))))))</f>
        <v/>
      </c>
      <c r="AK77" s="34" t="str">
        <f t="shared" si="104"/>
        <v/>
      </c>
      <c r="AL77" s="34" t="str">
        <f t="shared" si="104"/>
        <v/>
      </c>
      <c r="AM77" s="34" t="str">
        <f t="shared" si="104"/>
        <v/>
      </c>
      <c r="AN77" s="34" t="str">
        <f t="shared" si="104"/>
        <v/>
      </c>
      <c r="AO77" s="34" t="str">
        <f t="shared" si="104"/>
        <v/>
      </c>
      <c r="AP77" s="34" t="str">
        <f t="shared" si="104"/>
        <v/>
      </c>
      <c r="AQ77" s="34" t="str">
        <f t="shared" si="104"/>
        <v/>
      </c>
      <c r="AR77" s="34" t="str">
        <f t="shared" si="104"/>
        <v/>
      </c>
      <c r="AS77" s="34" t="str">
        <f t="shared" si="104"/>
        <v/>
      </c>
      <c r="AT77" s="34" t="str">
        <f t="shared" si="104"/>
        <v/>
      </c>
      <c r="AU77" s="34" t="str">
        <f t="shared" si="104"/>
        <v/>
      </c>
      <c r="AV77" s="34" t="str">
        <f t="shared" si="104"/>
        <v/>
      </c>
      <c r="AW77" s="34" t="str">
        <f t="shared" si="104"/>
        <v/>
      </c>
      <c r="AX77" s="34" t="str">
        <f t="shared" si="104"/>
        <v/>
      </c>
      <c r="AY77" s="34" t="str">
        <f t="shared" si="104"/>
        <v/>
      </c>
      <c r="AZ77" s="34" t="str">
        <f t="shared" si="104"/>
        <v/>
      </c>
      <c r="BA77" s="34" t="str">
        <f t="shared" si="104"/>
        <v/>
      </c>
      <c r="BB77" s="34" t="str">
        <f t="shared" si="104"/>
        <v/>
      </c>
      <c r="BC77" s="34" t="str">
        <f t="shared" si="104"/>
        <v/>
      </c>
      <c r="BD77" s="34" t="str">
        <f t="shared" si="104"/>
        <v/>
      </c>
      <c r="BE77" s="34" t="str">
        <f t="shared" si="104"/>
        <v/>
      </c>
      <c r="BF77" s="34" t="str">
        <f t="shared" si="104"/>
        <v/>
      </c>
      <c r="BG77" s="34" t="str">
        <f t="shared" si="104"/>
        <v/>
      </c>
      <c r="BH77" s="34" t="str">
        <f t="shared" si="104"/>
        <v/>
      </c>
      <c r="BI77" s="34" t="str">
        <f t="shared" si="104"/>
        <v/>
      </c>
      <c r="BJ77" s="34" t="str">
        <f t="shared" si="104"/>
        <v/>
      </c>
      <c r="BK77" s="34" t="str">
        <f t="shared" si="104"/>
        <v/>
      </c>
      <c r="BL77" s="34" t="str">
        <f t="shared" si="104"/>
        <v/>
      </c>
      <c r="BM77" s="34" t="str">
        <f t="shared" si="104"/>
        <v/>
      </c>
      <c r="BN77" s="34" t="str">
        <f t="shared" si="104"/>
        <v/>
      </c>
      <c r="BO77" s="34" t="str">
        <f t="shared" si="104"/>
        <v/>
      </c>
      <c r="BP77" s="34" t="str">
        <f t="shared" ref="BP77:CW77" si="105">IF(BP73&lt;=0,"",IF($G$13,IF(BP73&lt;=BP74,IF(BP$71&gt;=$G$8,1-(((BP71-1)/(BP71-1-1))*(1-RSQ(BP$3:BP$70,$AI$3:$AI$70)))),""),IF(BP$71&gt;=$G$8,1-(((BP71-1)/(BP71-1-1))*(1-RSQ(BP$3:BP$70,$AI$3:$AI$70))))))</f>
        <v/>
      </c>
      <c r="BQ77" s="34" t="str">
        <f t="shared" si="105"/>
        <v/>
      </c>
      <c r="BR77" s="34" t="str">
        <f t="shared" si="105"/>
        <v/>
      </c>
      <c r="BS77" s="34" t="str">
        <f t="shared" si="105"/>
        <v/>
      </c>
      <c r="BT77" s="34" t="str">
        <f t="shared" si="105"/>
        <v/>
      </c>
      <c r="BU77" s="34" t="str">
        <f t="shared" si="105"/>
        <v/>
      </c>
      <c r="BV77" s="34" t="str">
        <f t="shared" si="105"/>
        <v/>
      </c>
      <c r="BW77" s="34" t="str">
        <f t="shared" si="105"/>
        <v/>
      </c>
      <c r="BX77" s="34" t="str">
        <f t="shared" si="105"/>
        <v/>
      </c>
      <c r="BY77" s="34" t="str">
        <f t="shared" si="105"/>
        <v/>
      </c>
      <c r="BZ77" s="34" t="str">
        <f t="shared" si="105"/>
        <v/>
      </c>
      <c r="CA77" s="34" t="str">
        <f t="shared" si="105"/>
        <v/>
      </c>
      <c r="CB77" s="34" t="str">
        <f t="shared" si="105"/>
        <v/>
      </c>
      <c r="CC77" s="34" t="str">
        <f t="shared" si="105"/>
        <v/>
      </c>
      <c r="CD77" s="34" t="str">
        <f t="shared" si="105"/>
        <v/>
      </c>
      <c r="CE77" s="34" t="str">
        <f t="shared" si="105"/>
        <v/>
      </c>
      <c r="CF77" s="34" t="str">
        <f t="shared" si="105"/>
        <v/>
      </c>
      <c r="CG77" s="34" t="str">
        <f t="shared" si="105"/>
        <v/>
      </c>
      <c r="CH77" s="34" t="str">
        <f t="shared" si="105"/>
        <v/>
      </c>
      <c r="CI77" s="34" t="str">
        <f t="shared" si="105"/>
        <v/>
      </c>
      <c r="CJ77" s="34" t="str">
        <f t="shared" si="105"/>
        <v/>
      </c>
      <c r="CK77" s="34" t="str">
        <f t="shared" si="105"/>
        <v/>
      </c>
      <c r="CL77" s="34" t="str">
        <f t="shared" si="105"/>
        <v/>
      </c>
      <c r="CM77" s="34" t="str">
        <f t="shared" si="105"/>
        <v/>
      </c>
      <c r="CN77" s="34" t="str">
        <f t="shared" si="105"/>
        <v/>
      </c>
      <c r="CO77" s="34" t="str">
        <f t="shared" si="105"/>
        <v/>
      </c>
      <c r="CP77" s="34" t="str">
        <f t="shared" si="105"/>
        <v/>
      </c>
      <c r="CQ77" s="34" t="str">
        <f t="shared" si="105"/>
        <v/>
      </c>
      <c r="CR77" s="34" t="str">
        <f t="shared" si="105"/>
        <v/>
      </c>
      <c r="CS77" s="34" t="str">
        <f t="shared" si="105"/>
        <v/>
      </c>
      <c r="CT77" s="34" t="str">
        <f t="shared" si="105"/>
        <v/>
      </c>
      <c r="CU77" s="34" t="str">
        <f t="shared" si="105"/>
        <v/>
      </c>
      <c r="CV77" s="34" t="str">
        <f t="shared" si="105"/>
        <v/>
      </c>
      <c r="CW77" s="34" t="str">
        <f t="shared" si="105"/>
        <v/>
      </c>
    </row>
    <row r="78" spans="1:103" x14ac:dyDescent="0.25">
      <c r="AI78" s="34" t="s">
        <v>16</v>
      </c>
      <c r="AJ78" s="34" t="b">
        <f t="shared" ref="AJ78:BO78" si="106">IF(AJ77=$AJ$80,AJ72,FALSE)</f>
        <v>0</v>
      </c>
      <c r="AK78" s="34" t="b">
        <f t="shared" si="106"/>
        <v>0</v>
      </c>
      <c r="AL78" s="34" t="b">
        <f t="shared" si="106"/>
        <v>0</v>
      </c>
      <c r="AM78" s="34" t="b">
        <f t="shared" si="106"/>
        <v>0</v>
      </c>
      <c r="AN78" s="34" t="b">
        <f t="shared" si="106"/>
        <v>0</v>
      </c>
      <c r="AO78" s="34" t="b">
        <f t="shared" si="106"/>
        <v>0</v>
      </c>
      <c r="AP78" s="34" t="b">
        <f t="shared" si="106"/>
        <v>0</v>
      </c>
      <c r="AQ78" s="34" t="b">
        <f t="shared" si="106"/>
        <v>0</v>
      </c>
      <c r="AR78" s="34" t="b">
        <f t="shared" si="106"/>
        <v>0</v>
      </c>
      <c r="AS78" s="34" t="b">
        <f t="shared" si="106"/>
        <v>0</v>
      </c>
      <c r="AT78" s="34" t="b">
        <f t="shared" si="106"/>
        <v>0</v>
      </c>
      <c r="AU78" s="34" t="b">
        <f t="shared" si="106"/>
        <v>0</v>
      </c>
      <c r="AV78" s="34" t="b">
        <f t="shared" si="106"/>
        <v>0</v>
      </c>
      <c r="AW78" s="34" t="b">
        <f t="shared" si="106"/>
        <v>0</v>
      </c>
      <c r="AX78" s="34" t="b">
        <f t="shared" si="106"/>
        <v>0</v>
      </c>
      <c r="AY78" s="34" t="b">
        <f t="shared" si="106"/>
        <v>0</v>
      </c>
      <c r="AZ78" s="34" t="b">
        <f t="shared" si="106"/>
        <v>0</v>
      </c>
      <c r="BA78" s="34" t="b">
        <f t="shared" si="106"/>
        <v>0</v>
      </c>
      <c r="BB78" s="34" t="b">
        <f t="shared" si="106"/>
        <v>0</v>
      </c>
      <c r="BC78" s="34" t="b">
        <f t="shared" si="106"/>
        <v>0</v>
      </c>
      <c r="BD78" s="34" t="b">
        <f t="shared" si="106"/>
        <v>0</v>
      </c>
      <c r="BE78" s="34" t="b">
        <f t="shared" si="106"/>
        <v>0</v>
      </c>
      <c r="BF78" s="34" t="b">
        <f t="shared" si="106"/>
        <v>0</v>
      </c>
      <c r="BG78" s="34" t="b">
        <f t="shared" si="106"/>
        <v>0</v>
      </c>
      <c r="BH78" s="34" t="b">
        <f t="shared" si="106"/>
        <v>0</v>
      </c>
      <c r="BI78" s="34" t="b">
        <f t="shared" si="106"/>
        <v>0</v>
      </c>
      <c r="BJ78" s="34" t="b">
        <f t="shared" si="106"/>
        <v>0</v>
      </c>
      <c r="BK78" s="34" t="b">
        <f t="shared" si="106"/>
        <v>0</v>
      </c>
      <c r="BL78" s="34" t="b">
        <f t="shared" si="106"/>
        <v>0</v>
      </c>
      <c r="BM78" s="34" t="b">
        <f t="shared" si="106"/>
        <v>0</v>
      </c>
      <c r="BN78" s="34" t="b">
        <f t="shared" si="106"/>
        <v>0</v>
      </c>
      <c r="BO78" s="34" t="b">
        <f t="shared" si="106"/>
        <v>0</v>
      </c>
      <c r="BP78" s="34" t="b">
        <f t="shared" ref="BP78:CU78" si="107">IF(BP77=$AJ$80,BP72,FALSE)</f>
        <v>0</v>
      </c>
      <c r="BQ78" s="34" t="b">
        <f t="shared" si="107"/>
        <v>0</v>
      </c>
      <c r="BR78" s="34" t="b">
        <f t="shared" si="107"/>
        <v>0</v>
      </c>
      <c r="BS78" s="34" t="b">
        <f t="shared" si="107"/>
        <v>0</v>
      </c>
      <c r="BT78" s="34" t="b">
        <f t="shared" si="107"/>
        <v>0</v>
      </c>
      <c r="BU78" s="34" t="b">
        <f t="shared" si="107"/>
        <v>0</v>
      </c>
      <c r="BV78" s="34" t="b">
        <f t="shared" si="107"/>
        <v>0</v>
      </c>
      <c r="BW78" s="34" t="b">
        <f t="shared" si="107"/>
        <v>0</v>
      </c>
      <c r="BX78" s="34" t="b">
        <f t="shared" si="107"/>
        <v>0</v>
      </c>
      <c r="BY78" s="34" t="b">
        <f t="shared" si="107"/>
        <v>0</v>
      </c>
      <c r="BZ78" s="34" t="b">
        <f t="shared" si="107"/>
        <v>0</v>
      </c>
      <c r="CA78" s="34" t="b">
        <f t="shared" si="107"/>
        <v>0</v>
      </c>
      <c r="CB78" s="34" t="b">
        <f t="shared" si="107"/>
        <v>0</v>
      </c>
      <c r="CC78" s="34" t="b">
        <f t="shared" si="107"/>
        <v>0</v>
      </c>
      <c r="CD78" s="34" t="b">
        <f t="shared" si="107"/>
        <v>0</v>
      </c>
      <c r="CE78" s="34" t="b">
        <f t="shared" si="107"/>
        <v>0</v>
      </c>
      <c r="CF78" s="34" t="b">
        <f t="shared" si="107"/>
        <v>0</v>
      </c>
      <c r="CG78" s="34" t="b">
        <f t="shared" si="107"/>
        <v>0</v>
      </c>
      <c r="CH78" s="34" t="b">
        <f t="shared" si="107"/>
        <v>0</v>
      </c>
      <c r="CI78" s="34" t="b">
        <f t="shared" si="107"/>
        <v>0</v>
      </c>
      <c r="CJ78" s="34" t="b">
        <f t="shared" si="107"/>
        <v>0</v>
      </c>
      <c r="CK78" s="34" t="b">
        <f t="shared" si="107"/>
        <v>0</v>
      </c>
      <c r="CL78" s="34" t="b">
        <f t="shared" si="107"/>
        <v>0</v>
      </c>
      <c r="CM78" s="34" t="b">
        <f t="shared" si="107"/>
        <v>0</v>
      </c>
      <c r="CN78" s="34" t="b">
        <f t="shared" si="107"/>
        <v>0</v>
      </c>
      <c r="CO78" s="34" t="b">
        <f t="shared" si="107"/>
        <v>0</v>
      </c>
      <c r="CP78" s="34" t="b">
        <f t="shared" si="107"/>
        <v>0</v>
      </c>
      <c r="CQ78" s="34" t="b">
        <f t="shared" si="107"/>
        <v>0</v>
      </c>
      <c r="CR78" s="34" t="b">
        <f t="shared" si="107"/>
        <v>0</v>
      </c>
      <c r="CS78" s="34" t="b">
        <f t="shared" si="107"/>
        <v>0</v>
      </c>
      <c r="CT78" s="34" t="b">
        <f t="shared" si="107"/>
        <v>0</v>
      </c>
      <c r="CU78" s="34" t="b">
        <f t="shared" si="107"/>
        <v>0</v>
      </c>
      <c r="CV78" s="34" t="b">
        <f>IF(CV77=$AJ$80,CV72,FALSE)</f>
        <v>0</v>
      </c>
      <c r="CW78" s="34" t="b">
        <f>IF(CW77=$AJ$80,CW72,FALSE)</f>
        <v>0</v>
      </c>
    </row>
    <row r="79" spans="1:103" x14ac:dyDescent="0.25">
      <c r="AI79" s="34" t="s">
        <v>61</v>
      </c>
      <c r="AJ79" s="34" t="b">
        <f t="shared" ref="AJ79:BO79" si="108">IF($H$26=$H$15,FALSE,IF(AJ78=$AJ$81,INDEX($AI$3:$AI$70,68-AJ71+1,1),FALSE))</f>
        <v>0</v>
      </c>
      <c r="AK79" s="34" t="b">
        <f t="shared" si="108"/>
        <v>0</v>
      </c>
      <c r="AL79" s="34" t="b">
        <f t="shared" si="108"/>
        <v>0</v>
      </c>
      <c r="AM79" s="34" t="b">
        <f t="shared" si="108"/>
        <v>0</v>
      </c>
      <c r="AN79" s="34" t="b">
        <f t="shared" si="108"/>
        <v>0</v>
      </c>
      <c r="AO79" s="34" t="b">
        <f t="shared" si="108"/>
        <v>0</v>
      </c>
      <c r="AP79" s="34" t="b">
        <f t="shared" si="108"/>
        <v>0</v>
      </c>
      <c r="AQ79" s="34" t="b">
        <f t="shared" si="108"/>
        <v>0</v>
      </c>
      <c r="AR79" s="34" t="b">
        <f t="shared" si="108"/>
        <v>0</v>
      </c>
      <c r="AS79" s="34" t="b">
        <f t="shared" si="108"/>
        <v>0</v>
      </c>
      <c r="AT79" s="34" t="b">
        <f t="shared" si="108"/>
        <v>0</v>
      </c>
      <c r="AU79" s="34" t="b">
        <f t="shared" si="108"/>
        <v>0</v>
      </c>
      <c r="AV79" s="34" t="b">
        <f t="shared" si="108"/>
        <v>0</v>
      </c>
      <c r="AW79" s="34" t="b">
        <f t="shared" si="108"/>
        <v>0</v>
      </c>
      <c r="AX79" s="34" t="b">
        <f t="shared" si="108"/>
        <v>0</v>
      </c>
      <c r="AY79" s="34" t="b">
        <f t="shared" si="108"/>
        <v>0</v>
      </c>
      <c r="AZ79" s="34" t="b">
        <f t="shared" si="108"/>
        <v>0</v>
      </c>
      <c r="BA79" s="34" t="b">
        <f t="shared" si="108"/>
        <v>0</v>
      </c>
      <c r="BB79" s="34" t="b">
        <f t="shared" si="108"/>
        <v>0</v>
      </c>
      <c r="BC79" s="34" t="b">
        <f t="shared" si="108"/>
        <v>0</v>
      </c>
      <c r="BD79" s="34" t="b">
        <f t="shared" si="108"/>
        <v>0</v>
      </c>
      <c r="BE79" s="34" t="b">
        <f t="shared" si="108"/>
        <v>0</v>
      </c>
      <c r="BF79" s="34" t="b">
        <f t="shared" si="108"/>
        <v>0</v>
      </c>
      <c r="BG79" s="34" t="b">
        <f t="shared" si="108"/>
        <v>0</v>
      </c>
      <c r="BH79" s="34" t="b">
        <f t="shared" si="108"/>
        <v>0</v>
      </c>
      <c r="BI79" s="34" t="b">
        <f t="shared" si="108"/>
        <v>0</v>
      </c>
      <c r="BJ79" s="34" t="b">
        <f t="shared" si="108"/>
        <v>0</v>
      </c>
      <c r="BK79" s="34" t="b">
        <f t="shared" si="108"/>
        <v>0</v>
      </c>
      <c r="BL79" s="34" t="b">
        <f t="shared" si="108"/>
        <v>0</v>
      </c>
      <c r="BM79" s="34" t="b">
        <f t="shared" si="108"/>
        <v>0</v>
      </c>
      <c r="BN79" s="34" t="b">
        <f t="shared" si="108"/>
        <v>0</v>
      </c>
      <c r="BO79" s="34" t="b">
        <f t="shared" si="108"/>
        <v>0</v>
      </c>
      <c r="BP79" s="34" t="b">
        <f t="shared" ref="BP79:CU79" si="109">IF($H$26=$H$15,FALSE,IF(BP78=$AJ$81,INDEX($AI$3:$AI$70,68-BP71+1,1),FALSE))</f>
        <v>0</v>
      </c>
      <c r="BQ79" s="34" t="b">
        <f t="shared" si="109"/>
        <v>0</v>
      </c>
      <c r="BR79" s="34" t="b">
        <f t="shared" si="109"/>
        <v>0</v>
      </c>
      <c r="BS79" s="34" t="b">
        <f t="shared" si="109"/>
        <v>0</v>
      </c>
      <c r="BT79" s="34" t="b">
        <f t="shared" si="109"/>
        <v>0</v>
      </c>
      <c r="BU79" s="34" t="b">
        <f t="shared" si="109"/>
        <v>0</v>
      </c>
      <c r="BV79" s="34" t="b">
        <f t="shared" si="109"/>
        <v>0</v>
      </c>
      <c r="BW79" s="34" t="b">
        <f t="shared" si="109"/>
        <v>0</v>
      </c>
      <c r="BX79" s="34" t="b">
        <f t="shared" si="109"/>
        <v>0</v>
      </c>
      <c r="BY79" s="34" t="b">
        <f t="shared" si="109"/>
        <v>0</v>
      </c>
      <c r="BZ79" s="34" t="b">
        <f t="shared" si="109"/>
        <v>0</v>
      </c>
      <c r="CA79" s="34" t="b">
        <f t="shared" si="109"/>
        <v>0</v>
      </c>
      <c r="CB79" s="34" t="b">
        <f t="shared" si="109"/>
        <v>0</v>
      </c>
      <c r="CC79" s="34" t="b">
        <f t="shared" si="109"/>
        <v>0</v>
      </c>
      <c r="CD79" s="34" t="b">
        <f t="shared" si="109"/>
        <v>0</v>
      </c>
      <c r="CE79" s="34" t="b">
        <f t="shared" si="109"/>
        <v>0</v>
      </c>
      <c r="CF79" s="34" t="b">
        <f t="shared" si="109"/>
        <v>0</v>
      </c>
      <c r="CG79" s="34" t="b">
        <f t="shared" si="109"/>
        <v>0</v>
      </c>
      <c r="CH79" s="34" t="b">
        <f t="shared" si="109"/>
        <v>0</v>
      </c>
      <c r="CI79" s="34" t="b">
        <f t="shared" si="109"/>
        <v>0</v>
      </c>
      <c r="CJ79" s="34" t="b">
        <f t="shared" si="109"/>
        <v>0</v>
      </c>
      <c r="CK79" s="34" t="b">
        <f t="shared" si="109"/>
        <v>0</v>
      </c>
      <c r="CL79" s="34" t="b">
        <f t="shared" si="109"/>
        <v>0</v>
      </c>
      <c r="CM79" s="34" t="b">
        <f t="shared" si="109"/>
        <v>0</v>
      </c>
      <c r="CN79" s="34" t="b">
        <f t="shared" si="109"/>
        <v>0</v>
      </c>
      <c r="CO79" s="34" t="b">
        <f t="shared" si="109"/>
        <v>0</v>
      </c>
      <c r="CP79" s="34" t="b">
        <f t="shared" si="109"/>
        <v>0</v>
      </c>
      <c r="CQ79" s="34" t="b">
        <f t="shared" si="109"/>
        <v>0</v>
      </c>
      <c r="CR79" s="34" t="b">
        <f t="shared" si="109"/>
        <v>0</v>
      </c>
      <c r="CS79" s="34" t="b">
        <f t="shared" si="109"/>
        <v>0</v>
      </c>
      <c r="CT79" s="34" t="b">
        <f t="shared" si="109"/>
        <v>0</v>
      </c>
      <c r="CU79" s="34" t="b">
        <f t="shared" si="109"/>
        <v>0</v>
      </c>
      <c r="CV79" s="34" t="b">
        <f>IF($H$26=$H$15,FALSE,IF(CV78=$AJ$81,INDEX($AI$3:$AI$70,68-CV71+1,1),FALSE))</f>
        <v>0</v>
      </c>
      <c r="CW79" s="34" t="b">
        <f>IF($H$26=$H$15,FALSE,IF(CW78=$AJ$81,INDEX($AI$3:$AI$70,68-CW71+1,1),FALSE))</f>
        <v>0</v>
      </c>
    </row>
    <row r="80" spans="1:103" x14ac:dyDescent="0.25">
      <c r="AI80" s="34" t="s">
        <v>15</v>
      </c>
      <c r="AJ80" s="34" t="str">
        <f>IF(MAX(AJ77:CW77)=0,$H$15,MAX(AJ77:CW77))</f>
        <v>NA</v>
      </c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</row>
    <row r="81" spans="35:36" x14ac:dyDescent="0.25">
      <c r="AI81" s="34" t="s">
        <v>16</v>
      </c>
      <c r="AJ81" s="34" t="str">
        <f>IF(MAX(AJ78:CW78)=0,$H$15,MAX(AJ78:CW78))</f>
        <v>NA</v>
      </c>
    </row>
    <row r="138" spans="101:101" x14ac:dyDescent="0.25">
      <c r="CW138" s="34"/>
    </row>
  </sheetData>
  <phoneticPr fontId="4" type="noConversion"/>
  <conditionalFormatting sqref="AJ3:CW70">
    <cfRule type="expression" dxfId="4" priority="4" stopIfTrue="1">
      <formula>AJ$72=$AJ$81</formula>
    </cfRule>
  </conditionalFormatting>
  <conditionalFormatting sqref="L32 N19:N29 J17:M29 O16:P28 Q20:U21 AS85:CW85 J10:K15 DP1:IV1048576 DO1:DO5 DO7:DO65536 F71:F65536 BL1:CW2 AB1:AB40 Q10 AH3:AH76 T1:V7 J7:R7 L1:S4 O40:U40 I9:I13 AE2:AG71 A1:E1048576 AC1:AD70 AE1:BK1 AI86:AI65536 G6:G11 V10:V40 G1:H1 AI76 R10:U17 Q13:Q17 H10:H18 AJ81 W1:W70 AA1:AA70 G17:G18 G20:I20 L13:L15 L10:L11 M10:P15 BH140:CW65536 AJ86:AJ96 AK86:AK97 AL86:AL98 AM86:AM99 AN86:AN100 AO86:AO101 AP86:AP102 AQ86:AQ103 AR86:AR104 AT86:AT106 AU86:AU107 AV86:AV108 AW86:AW109 AX86:AX110 AY86:AY111 AZ86:AZ112 BA86:BA113 BB86:BB114 BC86:BD115 BE86:BE117 BF86:BF118 BG86:BG119 AJ140:BF65536 BH86:BH120 BI86:BI121 BG141:BG65536 BJ86:BJ122 BK86:BK123 BM86:BM125 BN86:BN126 BO86:BO127 BP86:BP128 BQ86:BQ129 BR86:BR130 BS86:BS131 BT86:BT132 BU86:BU133 BV86:BV134 BW86:BW135 BX86:BX136 BY86:BY137 BZ86:BZ118 CA86:CA119 CB86:CB120 CC86:CC121 CD86:CD122 CE86:CE123 CF86:CF124 CG86:CG125 CH86:CH126 CI86:CI127 CJ86:CJ128 CK86:CK129 CL86:CL130 CM86:CM131 CN86:CO132 CP86:CP134 CQ86:CQ135 CR86:CR136 CS86:CS137 CT86:CT134 CU86:CU135 CV86:CV136 CW86:CW137 BL86:BL124 AS86:AS105 G85:AH65536 AS81:CW83 G13:G15 AI3:AI74 AI77:CW78 AI80:AI81 AJ79:CW80 AJ71:CW73 G1:G4 F1:F2 J3:K4 H2:I3 I15:I17 CX1:DN1048576 H4 G36:H37 G38 G30:H30 G21:H28 X2:Z70">
    <cfRule type="cellIs" dxfId="3" priority="5" stopIfTrue="1" operator="equal">
      <formula>FALSE</formula>
    </cfRule>
  </conditionalFormatting>
  <conditionalFormatting sqref="H5">
    <cfRule type="cellIs" dxfId="2" priority="1" stopIfTrue="1" operator="equal">
      <formula>FALSE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45" r:id="rId4">
          <objectPr defaultSize="0" autoPict="0" r:id="rId5">
            <anchor moveWithCells="1" sizeWithCells="1">
              <from>
                <xdr:col>9</xdr:col>
                <xdr:colOff>19050</xdr:colOff>
                <xdr:row>19</xdr:row>
                <xdr:rowOff>171450</xdr:rowOff>
              </from>
              <to>
                <xdr:col>11</xdr:col>
                <xdr:colOff>514350</xdr:colOff>
                <xdr:row>23</xdr:row>
                <xdr:rowOff>0</xdr:rowOff>
              </to>
            </anchor>
          </objectPr>
        </oleObject>
      </mc:Choice>
      <mc:Fallback>
        <oleObject progId="Equation.3" shapeId="104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Drop Down 1">
              <controlPr defaultSize="0" autoLine="0" autoPict="0">
                <anchor moveWithCells="1">
                  <from>
                    <xdr:col>0</xdr:col>
                    <xdr:colOff>685800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K_only">
                <anchor moveWithCells="1" sizeWithCells="1">
                  <from>
                    <xdr:col>8</xdr:col>
                    <xdr:colOff>495300</xdr:colOff>
                    <xdr:row>0</xdr:row>
                    <xdr:rowOff>171450</xdr:rowOff>
                  </from>
                  <to>
                    <xdr:col>10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ckpoints">
                <anchor moveWithCells="1" sizeWithCells="1">
                  <from>
                    <xdr:col>8</xdr:col>
                    <xdr:colOff>514350</xdr:colOff>
                    <xdr:row>3</xdr:row>
                    <xdr:rowOff>57150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5</xdr:col>
                    <xdr:colOff>590550</xdr:colOff>
                    <xdr:row>6</xdr:row>
                    <xdr:rowOff>19050</xdr:rowOff>
                  </from>
                  <to>
                    <xdr:col>13</xdr:col>
                    <xdr:colOff>400050</xdr:colOff>
                    <xdr:row>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Check Box 23">
              <controlPr defaultSize="0" autoFill="0" autoLine="0" autoPict="0">
                <anchor moveWithCells="1">
                  <from>
                    <xdr:col>5</xdr:col>
                    <xdr:colOff>590550</xdr:colOff>
                    <xdr:row>7</xdr:row>
                    <xdr:rowOff>0</xdr:rowOff>
                  </from>
                  <to>
                    <xdr:col>13</xdr:col>
                    <xdr:colOff>361950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Check Box 24">
              <controlPr defaultSize="0" autoFill="0" autoLine="0" autoPict="0">
                <anchor moveWithCells="1">
                  <from>
                    <xdr:col>5</xdr:col>
                    <xdr:colOff>590550</xdr:colOff>
                    <xdr:row>8</xdr:row>
                    <xdr:rowOff>19050</xdr:rowOff>
                  </from>
                  <to>
                    <xdr:col>11</xdr:col>
                    <xdr:colOff>19050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Check Box 25">
              <controlPr defaultSize="0" autoFill="0" autoLine="0" autoPict="0">
                <anchor moveWithCells="1">
                  <from>
                    <xdr:col>5</xdr:col>
                    <xdr:colOff>590550</xdr:colOff>
                    <xdr:row>10</xdr:row>
                    <xdr:rowOff>19050</xdr:rowOff>
                  </from>
                  <to>
                    <xdr:col>11</xdr:col>
                    <xdr:colOff>19050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Check Box 26">
              <controlPr defaultSize="0" autoFill="0" autoLine="0" autoPict="0">
                <anchor moveWithCells="1">
                  <from>
                    <xdr:col>5</xdr:col>
                    <xdr:colOff>590550</xdr:colOff>
                    <xdr:row>9</xdr:row>
                    <xdr:rowOff>19050</xdr:rowOff>
                  </from>
                  <to>
                    <xdr:col>11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Check Box 27">
              <controlPr defaultSize="0" autoFill="0" autoLine="0" autoPict="0">
                <anchor moveWithCells="1">
                  <from>
                    <xdr:col>5</xdr:col>
                    <xdr:colOff>590550</xdr:colOff>
                    <xdr:row>11</xdr:row>
                    <xdr:rowOff>19050</xdr:rowOff>
                  </from>
                  <to>
                    <xdr:col>11</xdr:col>
                    <xdr:colOff>19050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5" name="Check Box 34">
              <controlPr defaultSize="0" autoFill="0" autoLine="0" autoPict="0">
                <anchor moveWithCells="1">
                  <from>
                    <xdr:col>5</xdr:col>
                    <xdr:colOff>590550</xdr:colOff>
                    <xdr:row>12</xdr:row>
                    <xdr:rowOff>38100</xdr:rowOff>
                  </from>
                  <to>
                    <xdr:col>8</xdr:col>
                    <xdr:colOff>704850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55"/>
  <sheetViews>
    <sheetView zoomScale="85" zoomScaleNormal="85" zoomScalePageLayoutView="62" workbookViewId="0">
      <pane ySplit="1" topLeftCell="A2" activePane="bottomLeft" state="frozen"/>
      <selection pane="bottomLeft" activeCell="A2" sqref="A2"/>
    </sheetView>
  </sheetViews>
  <sheetFormatPr defaultColWidth="8.7265625" defaultRowHeight="12.5" x14ac:dyDescent="0.25"/>
  <cols>
    <col min="1" max="3" width="9.1796875" style="11" customWidth="1"/>
    <col min="4" max="4" width="11.453125" style="11" customWidth="1"/>
    <col min="5" max="7" width="12.1796875" customWidth="1"/>
    <col min="8" max="14" width="9.1796875" customWidth="1"/>
  </cols>
  <sheetData>
    <row r="1" spans="1:28" s="59" customFormat="1" ht="13" x14ac:dyDescent="0.3">
      <c r="A1" s="58" t="str">
        <f>Analysis!G18</f>
        <v>Subject</v>
      </c>
      <c r="B1" s="58" t="str">
        <f>Analysis!G19</f>
        <v>Sequence</v>
      </c>
      <c r="C1" s="58" t="str">
        <f>Analysis!G20</f>
        <v>Period</v>
      </c>
      <c r="D1" s="58" t="str">
        <f>Analysis!G21</f>
        <v>Treatment</v>
      </c>
      <c r="E1" s="58" t="str">
        <f>Analysis!G22</f>
        <v>AUCt</v>
      </c>
      <c r="F1" s="58" t="str">
        <f>Analysis!G23</f>
        <v>AUCinf</v>
      </c>
      <c r="G1" s="58" t="str">
        <f>Analysis!G24</f>
        <v>Cmax</v>
      </c>
      <c r="H1" s="58" t="str">
        <f>Analysis!G25</f>
        <v>Tmax</v>
      </c>
      <c r="I1" s="58" t="str">
        <f>Analysis!G26</f>
        <v>Lambda</v>
      </c>
      <c r="J1" s="58" t="str">
        <f>Analysis!G27</f>
        <v>T1/2</v>
      </c>
      <c r="K1" s="58" t="str">
        <f>Analysis!G28</f>
        <v>AUCRatio</v>
      </c>
      <c r="L1" s="58" t="str">
        <f>Analysis!G29</f>
        <v>r2_adj</v>
      </c>
      <c r="M1" s="58" t="str">
        <f>Analysis!G30</f>
        <v>Clast</v>
      </c>
      <c r="N1" s="58" t="str">
        <f>Analysis!G31</f>
        <v>TLIN</v>
      </c>
      <c r="O1" s="58" t="str">
        <f>Analysis!G32</f>
        <v>LQCT</v>
      </c>
      <c r="P1" s="58" t="str">
        <f>Analysis!G33</f>
        <v>Pre-dose/Cmax</v>
      </c>
      <c r="Q1" s="58" t="str">
        <f>Analysis!G34</f>
        <v>AUCX/AUCinf</v>
      </c>
      <c r="R1" s="58" t="str">
        <f>Analysis!G35</f>
        <v>Tlag</v>
      </c>
      <c r="S1" s="58" t="str">
        <f>Analysis!G36</f>
        <v>MRT</v>
      </c>
      <c r="T1" s="58" t="str">
        <f>Analysis!G37</f>
        <v>Vd/F (L)</v>
      </c>
      <c r="U1" s="58" t="str">
        <f>Analysis!G38</f>
        <v>Cl/F (L/h)</v>
      </c>
      <c r="V1" s="58" t="str">
        <f>Analysis!G39</f>
        <v>ERR_r2</v>
      </c>
      <c r="W1" s="58" t="str">
        <f>Analysis!G40</f>
        <v>ERR_slope</v>
      </c>
      <c r="X1" s="58" t="str">
        <f>Analysis!G41</f>
        <v>ERR_Cmax</v>
      </c>
      <c r="Y1" s="58" t="str">
        <f>Analysis!G42</f>
        <v>ERR_Clast</v>
      </c>
      <c r="Z1" s="58" t="str">
        <f>Analysis!G43</f>
        <v>ERR_Tspan</v>
      </c>
      <c r="AA1" s="58" t="str">
        <f>Analysis!G44</f>
        <v>ERR_80%AUC</v>
      </c>
      <c r="AB1" s="58"/>
    </row>
    <row r="55" spans="7:10" x14ac:dyDescent="0.25">
      <c r="G55" s="46"/>
      <c r="H55" s="46"/>
      <c r="I55" s="46"/>
      <c r="J55" s="46"/>
    </row>
  </sheetData>
  <sortState xmlns:xlrd2="http://schemas.microsoft.com/office/spreadsheetml/2017/richdata2" ref="A2:AA58">
    <sortCondition ref="D2:D500"/>
    <sortCondition ref="A2:A500"/>
  </sortState>
  <phoneticPr fontId="4" type="noConversion"/>
  <conditionalFormatting sqref="O1 O7:O65536 A1:N1048576 P1:IV1048576">
    <cfRule type="cellIs" dxfId="1" priority="1" stopIfTrue="1" operator="equal">
      <formula>FALSE</formula>
    </cfRule>
  </conditionalFormatting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N78"/>
  <sheetViews>
    <sheetView zoomScale="72" zoomScaleNormal="72" zoomScalePageLayoutView="72" workbookViewId="0"/>
  </sheetViews>
  <sheetFormatPr defaultColWidth="9.1796875" defaultRowHeight="12.5" x14ac:dyDescent="0.25"/>
  <cols>
    <col min="1" max="1" width="13" style="10" customWidth="1"/>
    <col min="2" max="2" width="13.7265625" style="10" customWidth="1"/>
    <col min="3" max="3" width="13" style="10" customWidth="1"/>
    <col min="4" max="4" width="13.7265625" style="10" customWidth="1"/>
    <col min="5" max="5" width="9.1796875" style="10"/>
    <col min="6" max="6" width="12" style="10" customWidth="1"/>
    <col min="7" max="16384" width="9.1796875" style="10"/>
  </cols>
  <sheetData>
    <row r="1" spans="1:14" ht="18.75" customHeight="1" x14ac:dyDescent="0.25">
      <c r="A1" s="43" t="s">
        <v>0</v>
      </c>
      <c r="C1" s="15">
        <f>Analysis!C1</f>
        <v>2</v>
      </c>
    </row>
    <row r="2" spans="1:14" ht="18.75" customHeight="1" x14ac:dyDescent="0.25">
      <c r="B2" s="38">
        <f>IF(B6=1,MATCH(B3,Data!$A:$A,0)-1,D2+1)</f>
        <v>1</v>
      </c>
      <c r="D2" s="38">
        <f>IF(D6=1,MATCH(B3,Data!$A:$A,0)-1,B2+1)</f>
        <v>2</v>
      </c>
    </row>
    <row r="3" spans="1:14" ht="13" x14ac:dyDescent="0.3">
      <c r="A3" s="16" t="s">
        <v>0</v>
      </c>
      <c r="B3" s="67">
        <f>INDEX(Data!$A$2:$A$501,'Subject Graphs'!C1,1)</f>
        <v>1</v>
      </c>
      <c r="C3" s="15"/>
      <c r="E3" s="14"/>
      <c r="F3" s="14"/>
      <c r="G3" s="14"/>
      <c r="H3" s="14"/>
      <c r="I3" s="14"/>
      <c r="J3" s="14"/>
    </row>
    <row r="4" spans="1:14" ht="13" x14ac:dyDescent="0.3">
      <c r="A4" s="16" t="s">
        <v>63</v>
      </c>
      <c r="B4" s="68" t="str">
        <f>VLOOKUP($B$3,Randomization!$A:$E,2,FALSE)&amp;VLOOKUP($B$3,Randomization!$A:$E,3,FALSE)&amp;VLOOKUP($B$3,Randomization!$A:$E,4,FALSE)&amp;VLOOKUP($B$3,Randomization!$A:$E,5,FALSE)</f>
        <v>AB</v>
      </c>
      <c r="C4" s="17"/>
    </row>
    <row r="5" spans="1:14" ht="13" x14ac:dyDescent="0.3">
      <c r="A5" s="16" t="s">
        <v>5</v>
      </c>
      <c r="B5" s="67" t="s">
        <v>13</v>
      </c>
      <c r="D5" s="67" t="s">
        <v>12</v>
      </c>
    </row>
    <row r="6" spans="1:14" ht="13" x14ac:dyDescent="0.3">
      <c r="A6" s="16" t="s">
        <v>4</v>
      </c>
      <c r="B6" s="68">
        <f>FIND(B5,$B$4,1)</f>
        <v>1</v>
      </c>
      <c r="D6" s="68">
        <f>FIND(D5,$B$4,1)</f>
        <v>2</v>
      </c>
    </row>
    <row r="7" spans="1:14" ht="13" x14ac:dyDescent="0.3">
      <c r="A7" s="83" t="s">
        <v>1</v>
      </c>
      <c r="B7" s="83" t="s">
        <v>2</v>
      </c>
      <c r="C7" s="103" t="s">
        <v>1</v>
      </c>
      <c r="D7" s="83" t="s">
        <v>2</v>
      </c>
    </row>
    <row r="8" spans="1:14" x14ac:dyDescent="0.25">
      <c r="A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</v>
      </c>
      <c r="B8" s="40" t="str">
        <f>IF(ROW()&lt;=COUNTA(Data!$2:$2)+5,IF(INDEX(Data!$C:$AZ,$B$2+1,ROW()-7)=-999,0,IF(INDEX(Data!$C:$AZ,$B$2+1,ROW()-7)&lt;0,NA(),INDEX(Data!$C:$AZ,$B$2+1,ROW()-7))),NA())</f>
        <v>BLQ</v>
      </c>
      <c r="C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</v>
      </c>
      <c r="D8" s="19" t="str">
        <f>IF(ROW()&lt;=COUNTA(Data!$2:$2)+5,IF(INDEX(Data!$C:$AZ,$D$2+1,ROW()-7)=-999,0,IF(INDEX(Data!$C:$AZ,$D$2+1,ROW()-7)&lt;0,NA(),INDEX(Data!$C:$AZ,$D$2+1,ROW()-7))),NA())</f>
        <v>BLQ</v>
      </c>
      <c r="N8" s="69"/>
    </row>
    <row r="9" spans="1:14" x14ac:dyDescent="0.25">
      <c r="A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0.33300000000000002</v>
      </c>
      <c r="B9" s="40" t="str">
        <f>IF(ROW()&lt;=COUNTA(Data!$2:$2)+5,IF(INDEX(Data!$C:$AZ,$B$2+1,ROW()-7)=-999,0,IF(INDEX(Data!$C:$AZ,$B$2+1,ROW()-7)&lt;0,NA(),INDEX(Data!$C:$AZ,$B$2+1,ROW()-7))),NA())</f>
        <v>BLQ</v>
      </c>
      <c r="C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0.33300000000000002</v>
      </c>
      <c r="D9" s="19" t="str">
        <f>IF(ROW()&lt;=COUNTA(Data!$2:$2)+5,IF(INDEX(Data!$C:$AZ,$D$2+1,ROW()-7)=-999,0,IF(INDEX(Data!$C:$AZ,$D$2+1,ROW()-7)&lt;0,NA(),INDEX(Data!$C:$AZ,$D$2+1,ROW()-7))),NA())</f>
        <v>BLQ</v>
      </c>
      <c r="N9" s="69"/>
    </row>
    <row r="10" spans="1:14" x14ac:dyDescent="0.25">
      <c r="A1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0.66700000000000004</v>
      </c>
      <c r="B10" s="40">
        <f>IF(ROW()&lt;=COUNTA(Data!$2:$2)+5,IF(INDEX(Data!$C:$AZ,$B$2+1,ROW()-7)=-999,0,IF(INDEX(Data!$C:$AZ,$B$2+1,ROW()-7)&lt;0,NA(),INDEX(Data!$C:$AZ,$B$2+1,ROW()-7))),NA())</f>
        <v>2.4</v>
      </c>
      <c r="C1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0.66700000000000004</v>
      </c>
      <c r="D10" s="19" t="str">
        <f>IF(ROW()&lt;=COUNTA(Data!$2:$2)+5,IF(INDEX(Data!$C:$AZ,$D$2+1,ROW()-7)=-999,0,IF(INDEX(Data!$C:$AZ,$D$2+1,ROW()-7)&lt;0,NA(),INDEX(Data!$C:$AZ,$D$2+1,ROW()-7))),NA())</f>
        <v>BLQ</v>
      </c>
      <c r="N10" s="69"/>
    </row>
    <row r="11" spans="1:14" x14ac:dyDescent="0.25">
      <c r="A1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</v>
      </c>
      <c r="B11" s="40">
        <f>IF(ROW()&lt;=COUNTA(Data!$2:$2)+5,IF(INDEX(Data!$C:$AZ,$B$2+1,ROW()-7)=-999,0,IF(INDEX(Data!$C:$AZ,$B$2+1,ROW()-7)&lt;0,NA(),INDEX(Data!$C:$AZ,$B$2+1,ROW()-7))),NA())</f>
        <v>4.5</v>
      </c>
      <c r="C1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1.1000000000000001</v>
      </c>
      <c r="D11" s="19" t="str">
        <f>IF(ROW()&lt;=COUNTA(Data!$2:$2)+5,IF(INDEX(Data!$C:$AZ,$D$2+1,ROW()-7)=-999,0,IF(INDEX(Data!$C:$AZ,$D$2+1,ROW()-7)&lt;0,NA(),INDEX(Data!$C:$AZ,$D$2+1,ROW()-7))),NA())</f>
        <v>BLQ</v>
      </c>
      <c r="N11" s="69"/>
    </row>
    <row r="12" spans="1:14" x14ac:dyDescent="0.25">
      <c r="A1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1.5</v>
      </c>
      <c r="B12" s="40">
        <f>IF(ROW()&lt;=COUNTA(Data!$2:$2)+5,IF(INDEX(Data!$C:$AZ,$B$2+1,ROW()-7)=-999,0,IF(INDEX(Data!$C:$AZ,$B$2+1,ROW()-7)&lt;0,NA(),INDEX(Data!$C:$AZ,$B$2+1,ROW()-7))),NA())</f>
        <v>15.4</v>
      </c>
      <c r="C1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1.5</v>
      </c>
      <c r="D12" s="19" t="str">
        <f>IF(ROW()&lt;=COUNTA(Data!$2:$2)+5,IF(INDEX(Data!$C:$AZ,$D$2+1,ROW()-7)=-999,0,IF(INDEX(Data!$C:$AZ,$D$2+1,ROW()-7)&lt;0,NA(),INDEX(Data!$C:$AZ,$D$2+1,ROW()-7))),NA())</f>
        <v>BLQ</v>
      </c>
      <c r="N12" s="69"/>
    </row>
    <row r="13" spans="1:14" x14ac:dyDescent="0.25">
      <c r="A1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</v>
      </c>
      <c r="B13" s="40">
        <f>IF(ROW()&lt;=COUNTA(Data!$2:$2)+5,IF(INDEX(Data!$C:$AZ,$B$2+1,ROW()-7)=-999,0,IF(INDEX(Data!$C:$AZ,$B$2+1,ROW()-7)&lt;0,NA(),INDEX(Data!$C:$AZ,$B$2+1,ROW()-7))),NA())</f>
        <v>13</v>
      </c>
      <c r="C1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</v>
      </c>
      <c r="D13" s="19" t="str">
        <f>IF(ROW()&lt;=COUNTA(Data!$2:$2)+5,IF(INDEX(Data!$C:$AZ,$D$2+1,ROW()-7)=-999,0,IF(INDEX(Data!$C:$AZ,$D$2+1,ROW()-7)&lt;0,NA(),INDEX(Data!$C:$AZ,$D$2+1,ROW()-7))),NA())</f>
        <v>BLQ</v>
      </c>
      <c r="N13" s="69"/>
    </row>
    <row r="14" spans="1:14" x14ac:dyDescent="0.25">
      <c r="A1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2.5</v>
      </c>
      <c r="B14" s="40">
        <f>IF(ROW()&lt;=COUNTA(Data!$2:$2)+5,IF(INDEX(Data!$C:$AZ,$B$2+1,ROW()-7)=-999,0,IF(INDEX(Data!$C:$AZ,$B$2+1,ROW()-7)&lt;0,NA(),INDEX(Data!$C:$AZ,$B$2+1,ROW()-7))),NA())</f>
        <v>10.32</v>
      </c>
      <c r="C1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2.5</v>
      </c>
      <c r="D14" s="19">
        <f>IF(ROW()&lt;=COUNTA(Data!$2:$2)+5,IF(INDEX(Data!$C:$AZ,$D$2+1,ROW()-7)=-999,0,IF(INDEX(Data!$C:$AZ,$D$2+1,ROW()-7)&lt;0,NA(),INDEX(Data!$C:$AZ,$D$2+1,ROW()-7))),NA())</f>
        <v>0.8</v>
      </c>
      <c r="N14" s="69"/>
    </row>
    <row r="15" spans="1:14" x14ac:dyDescent="0.25">
      <c r="A15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</v>
      </c>
      <c r="B15" s="40">
        <f>IF(ROW()&lt;=COUNTA(Data!$2:$2)+5,IF(INDEX(Data!$C:$AZ,$B$2+1,ROW()-7)=-999,0,IF(INDEX(Data!$C:$AZ,$B$2+1,ROW()-7)&lt;0,NA(),INDEX(Data!$C:$AZ,$B$2+1,ROW()-7))),NA())</f>
        <v>8.4</v>
      </c>
      <c r="C15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</v>
      </c>
      <c r="D15" s="19">
        <f>IF(ROW()&lt;=COUNTA(Data!$2:$2)+5,IF(INDEX(Data!$C:$AZ,$D$2+1,ROW()-7)=-999,0,IF(INDEX(Data!$C:$AZ,$D$2+1,ROW()-7)&lt;0,NA(),INDEX(Data!$C:$AZ,$D$2+1,ROW()-7))),NA())</f>
        <v>2.5099999999999998</v>
      </c>
      <c r="N15" s="69"/>
    </row>
    <row r="16" spans="1:14" x14ac:dyDescent="0.25">
      <c r="A16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3.5</v>
      </c>
      <c r="B16" s="40">
        <f>IF(ROW()&lt;=COUNTA(Data!$2:$2)+5,IF(INDEX(Data!$C:$AZ,$B$2+1,ROW()-7)=-999,0,IF(INDEX(Data!$C:$AZ,$B$2+1,ROW()-7)&lt;0,NA(),INDEX(Data!$C:$AZ,$B$2+1,ROW()-7))),NA())</f>
        <v>7.53</v>
      </c>
      <c r="C16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3.5</v>
      </c>
      <c r="D16" s="19">
        <f>IF(ROW()&lt;=COUNTA(Data!$2:$2)+5,IF(INDEX(Data!$C:$AZ,$D$2+1,ROW()-7)=-999,0,IF(INDEX(Data!$C:$AZ,$D$2+1,ROW()-7)&lt;0,NA(),INDEX(Data!$C:$AZ,$D$2+1,ROW()-7))),NA())</f>
        <v>4.32</v>
      </c>
      <c r="N16" s="69"/>
    </row>
    <row r="17" spans="1:14" x14ac:dyDescent="0.25">
      <c r="A17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</v>
      </c>
      <c r="B17" s="40" t="str">
        <f>IF(ROW()&lt;=COUNTA(Data!$2:$2)+5,IF(INDEX(Data!$C:$AZ,$B$2+1,ROW()-7)=-999,0,IF(INDEX(Data!$C:$AZ,$B$2+1,ROW()-7)&lt;0,NA(),INDEX(Data!$C:$AZ,$B$2+1,ROW()-7))),NA())</f>
        <v>NS</v>
      </c>
      <c r="C17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</v>
      </c>
      <c r="D17" s="19">
        <f>IF(ROW()&lt;=COUNTA(Data!$2:$2)+5,IF(INDEX(Data!$C:$AZ,$D$2+1,ROW()-7)=-999,0,IF(INDEX(Data!$C:$AZ,$D$2+1,ROW()-7)&lt;0,NA(),INDEX(Data!$C:$AZ,$D$2+1,ROW()-7))),NA())</f>
        <v>5.21</v>
      </c>
      <c r="N17" s="69"/>
    </row>
    <row r="18" spans="1:14" x14ac:dyDescent="0.25">
      <c r="A18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6</v>
      </c>
      <c r="B18" s="40">
        <f>IF(ROW()&lt;=COUNTA(Data!$2:$2)+5,IF(INDEX(Data!$C:$AZ,$B$2+1,ROW()-7)=-999,0,IF(INDEX(Data!$C:$AZ,$B$2+1,ROW()-7)&lt;0,NA(),INDEX(Data!$C:$AZ,$B$2+1,ROW()-7))),NA())</f>
        <v>3.88</v>
      </c>
      <c r="C18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6</v>
      </c>
      <c r="D18" s="19">
        <f>IF(ROW()&lt;=COUNTA(Data!$2:$2)+5,IF(INDEX(Data!$C:$AZ,$D$2+1,ROW()-7)=-999,0,IF(INDEX(Data!$C:$AZ,$D$2+1,ROW()-7)&lt;0,NA(),INDEX(Data!$C:$AZ,$D$2+1,ROW()-7))),NA())</f>
        <v>3.61</v>
      </c>
      <c r="N18" s="69"/>
    </row>
    <row r="19" spans="1:14" x14ac:dyDescent="0.25">
      <c r="A19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8</v>
      </c>
      <c r="B19" s="40">
        <f>IF(ROW()&lt;=COUNTA(Data!$2:$2)+5,IF(INDEX(Data!$C:$AZ,$B$2+1,ROW()-7)=-999,0,IF(INDEX(Data!$C:$AZ,$B$2+1,ROW()-7)&lt;0,NA(),INDEX(Data!$C:$AZ,$B$2+1,ROW()-7))),NA())</f>
        <v>2</v>
      </c>
      <c r="C19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8</v>
      </c>
      <c r="D19" s="19">
        <f>IF(ROW()&lt;=COUNTA(Data!$2:$2)+5,IF(INDEX(Data!$C:$AZ,$D$2+1,ROW()-7)=-999,0,IF(INDEX(Data!$C:$AZ,$D$2+1,ROW()-7)&lt;0,NA(),INDEX(Data!$C:$AZ,$D$2+1,ROW()-7))),NA())</f>
        <v>9.07</v>
      </c>
      <c r="N19" s="69"/>
    </row>
    <row r="20" spans="1:14" x14ac:dyDescent="0.25">
      <c r="A20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12</v>
      </c>
      <c r="B20" s="40">
        <f>IF(ROW()&lt;=COUNTA(Data!$2:$2)+5,IF(INDEX(Data!$C:$AZ,$B$2+1,ROW()-7)=-999,0,IF(INDEX(Data!$C:$AZ,$B$2+1,ROW()-7)&lt;0,NA(),INDEX(Data!$C:$AZ,$B$2+1,ROW()-7))),NA())</f>
        <v>1.35</v>
      </c>
      <c r="C20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12</v>
      </c>
      <c r="D20" s="19">
        <f>IF(ROW()&lt;=COUNTA(Data!$2:$2)+5,IF(INDEX(Data!$C:$AZ,$D$2+1,ROW()-7)=-999,0,IF(INDEX(Data!$C:$AZ,$D$2+1,ROW()-7)&lt;0,NA(),INDEX(Data!$C:$AZ,$D$2+1,ROW()-7))),NA())</f>
        <v>16.59</v>
      </c>
    </row>
    <row r="21" spans="1:14" x14ac:dyDescent="0.25">
      <c r="A21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24</v>
      </c>
      <c r="B21" s="40">
        <f>IF(ROW()&lt;=COUNTA(Data!$2:$2)+5,IF(INDEX(Data!$C:$AZ,$B$2+1,ROW()-7)=-999,0,IF(INDEX(Data!$C:$AZ,$B$2+1,ROW()-7)&lt;0,NA(),INDEX(Data!$C:$AZ,$B$2+1,ROW()-7))),NA())</f>
        <v>1.23</v>
      </c>
      <c r="C21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24</v>
      </c>
      <c r="D21" s="19">
        <f>IF(ROW()&lt;=COUNTA(Data!$2:$2)+5,IF(INDEX(Data!$C:$AZ,$D$2+1,ROW()-7)=-999,0,IF(INDEX(Data!$C:$AZ,$D$2+1,ROW()-7)&lt;0,NA(),INDEX(Data!$C:$AZ,$D$2+1,ROW()-7))),NA())</f>
        <v>23.32</v>
      </c>
    </row>
    <row r="22" spans="1:14" x14ac:dyDescent="0.25">
      <c r="A22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36</v>
      </c>
      <c r="B22" s="40">
        <f>IF(ROW()&lt;=COUNTA(Data!$2:$2)+5,IF(INDEX(Data!$C:$AZ,$B$2+1,ROW()-7)=-999,0,IF(INDEX(Data!$C:$AZ,$B$2+1,ROW()-7)&lt;0,NA(),INDEX(Data!$C:$AZ,$B$2+1,ROW()-7))),NA())</f>
        <v>0.94</v>
      </c>
      <c r="C22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36</v>
      </c>
      <c r="D22" s="19">
        <f>IF(ROW()&lt;=COUNTA(Data!$2:$2)+5,IF(INDEX(Data!$C:$AZ,$D$2+1,ROW()-7)=-999,0,IF(INDEX(Data!$C:$AZ,$D$2+1,ROW()-7)&lt;0,NA(),INDEX(Data!$C:$AZ,$D$2+1,ROW()-7))),NA())</f>
        <v>16.11</v>
      </c>
    </row>
    <row r="23" spans="1:14" x14ac:dyDescent="0.25">
      <c r="A23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48</v>
      </c>
      <c r="B23" s="40">
        <f>IF(ROW()&lt;=COUNTA(Data!$2:$2)+5,IF(INDEX(Data!$C:$AZ,$B$2+1,ROW()-7)=-999,0,IF(INDEX(Data!$C:$AZ,$B$2+1,ROW()-7)&lt;0,NA(),INDEX(Data!$C:$AZ,$B$2+1,ROW()-7))),NA())</f>
        <v>0.21</v>
      </c>
      <c r="C23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48</v>
      </c>
      <c r="D23" s="19">
        <f>IF(ROW()&lt;=COUNTA(Data!$2:$2)+5,IF(INDEX(Data!$C:$AZ,$D$2+1,ROW()-7)=-999,0,IF(INDEX(Data!$C:$AZ,$D$2+1,ROW()-7)&lt;0,NA(),INDEX(Data!$C:$AZ,$D$2+1,ROW()-7))),NA())</f>
        <v>16.010000000000002</v>
      </c>
    </row>
    <row r="24" spans="1:14" x14ac:dyDescent="0.25">
      <c r="A24" s="18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72</v>
      </c>
      <c r="B24" s="40">
        <f>IF(ROW()&lt;=COUNTA(Data!$2:$2)+5,IF(INDEX(Data!$C:$AZ,$B$2+1,ROW()-7)=-999,0,IF(INDEX(Data!$C:$AZ,$B$2+1,ROW()-7)&lt;0,NA(),INDEX(Data!$C:$AZ,$B$2+1,ROW()-7))),NA())</f>
        <v>0.14000000000000001</v>
      </c>
      <c r="C24" s="18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72</v>
      </c>
      <c r="D24" s="19">
        <f>IF(ROW()&lt;=COUNTA(Data!$2:$2)+5,IF(INDEX(Data!$C:$AZ,$D$2+1,ROW()-7)=-999,0,IF(INDEX(Data!$C:$AZ,$D$2+1,ROW()-7)&lt;0,NA(),INDEX(Data!$C:$AZ,$D$2+1,ROW()-7))),NA())</f>
        <v>15.08</v>
      </c>
    </row>
    <row r="25" spans="1:14" x14ac:dyDescent="0.25">
      <c r="A2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5" s="40" t="e">
        <f>IF(ROW()&lt;=COUNTA(Data!$2:$2)+5,IF(INDEX(Data!$C:$AZ,$B$2+1,ROW()-7)=-999,0,IF(INDEX(Data!$C:$AZ,$B$2+1,ROW()-7)&lt;0,NA(),INDEX(Data!$C:$AZ,$B$2+1,ROW()-7))),NA())</f>
        <v>#N/A</v>
      </c>
      <c r="C2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5" s="19" t="e">
        <f>IF(ROW()&lt;=COUNTA(Data!$2:$2)+5,IF(INDEX(Data!$C:$AZ,$D$2+1,ROW()-7)=-999,0,IF(INDEX(Data!$C:$AZ,$D$2+1,ROW()-7)&lt;0,NA(),INDEX(Data!$C:$AZ,$D$2+1,ROW()-7))),NA())</f>
        <v>#N/A</v>
      </c>
    </row>
    <row r="26" spans="1:14" x14ac:dyDescent="0.25">
      <c r="A2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6" s="40" t="e">
        <f>IF(ROW()&lt;=COUNTA(Data!$2:$2)+5,IF(INDEX(Data!$C:$AZ,$B$2+1,ROW()-7)=-999,0,IF(INDEX(Data!$C:$AZ,$B$2+1,ROW()-7)&lt;0,NA(),INDEX(Data!$C:$AZ,$B$2+1,ROW()-7))),NA())</f>
        <v>#N/A</v>
      </c>
      <c r="C2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6" s="19" t="e">
        <f>IF(ROW()&lt;=COUNTA(Data!$2:$2)+5,IF(INDEX(Data!$C:$AZ,$D$2+1,ROW()-7)=-999,0,IF(INDEX(Data!$C:$AZ,$D$2+1,ROW()-7)&lt;0,NA(),INDEX(Data!$C:$AZ,$D$2+1,ROW()-7))),NA())</f>
        <v>#N/A</v>
      </c>
    </row>
    <row r="27" spans="1:14" x14ac:dyDescent="0.25">
      <c r="A2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7" s="40" t="e">
        <f>IF(ROW()&lt;=COUNTA(Data!$2:$2)+5,IF(INDEX(Data!$C:$AZ,$B$2+1,ROW()-7)=-999,0,IF(INDEX(Data!$C:$AZ,$B$2+1,ROW()-7)&lt;0,NA(),INDEX(Data!$C:$AZ,$B$2+1,ROW()-7))),NA())</f>
        <v>#N/A</v>
      </c>
      <c r="C2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7" s="19" t="e">
        <f>IF(ROW()&lt;=COUNTA(Data!$2:$2)+5,IF(INDEX(Data!$C:$AZ,$D$2+1,ROW()-7)=-999,0,IF(INDEX(Data!$C:$AZ,$D$2+1,ROW()-7)&lt;0,NA(),INDEX(Data!$C:$AZ,$D$2+1,ROW()-7))),NA())</f>
        <v>#N/A</v>
      </c>
    </row>
    <row r="28" spans="1:14" x14ac:dyDescent="0.25">
      <c r="A2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8" s="40" t="e">
        <f>IF(ROW()&lt;=COUNTA(Data!$2:$2)+5,IF(INDEX(Data!$C:$AZ,$B$2+1,ROW()-7)=-999,0,IF(INDEX(Data!$C:$AZ,$B$2+1,ROW()-7)&lt;0,NA(),INDEX(Data!$C:$AZ,$B$2+1,ROW()-7))),NA())</f>
        <v>#N/A</v>
      </c>
      <c r="C2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8" s="19" t="e">
        <f>IF(ROW()&lt;=COUNTA(Data!$2:$2)+5,IF(INDEX(Data!$C:$AZ,$D$2+1,ROW()-7)=-999,0,IF(INDEX(Data!$C:$AZ,$D$2+1,ROW()-7)&lt;0,NA(),INDEX(Data!$C:$AZ,$D$2+1,ROW()-7))),NA())</f>
        <v>#N/A</v>
      </c>
    </row>
    <row r="29" spans="1:14" x14ac:dyDescent="0.25">
      <c r="A2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29" s="40" t="e">
        <f>IF(ROW()&lt;=COUNTA(Data!$2:$2)+5,IF(INDEX(Data!$C:$AZ,$B$2+1,ROW()-7)=-999,0,IF(INDEX(Data!$C:$AZ,$B$2+1,ROW()-7)&lt;0,NA(),INDEX(Data!$C:$AZ,$B$2+1,ROW()-7))),NA())</f>
        <v>#N/A</v>
      </c>
      <c r="C2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29" s="19" t="e">
        <f>IF(ROW()&lt;=COUNTA(Data!$2:$2)+5,IF(INDEX(Data!$C:$AZ,$D$2+1,ROW()-7)=-999,0,IF(INDEX(Data!$C:$AZ,$D$2+1,ROW()-7)&lt;0,NA(),INDEX(Data!$C:$AZ,$D$2+1,ROW()-7))),NA())</f>
        <v>#N/A</v>
      </c>
    </row>
    <row r="30" spans="1:14" x14ac:dyDescent="0.25">
      <c r="A3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0" s="40" t="e">
        <f>IF(ROW()&lt;=COUNTA(Data!$2:$2)+5,IF(INDEX(Data!$C:$AZ,$B$2+1,ROW()-7)=-999,0,IF(INDEX(Data!$C:$AZ,$B$2+1,ROW()-7)&lt;0,NA(),INDEX(Data!$C:$AZ,$B$2+1,ROW()-7))),NA())</f>
        <v>#N/A</v>
      </c>
      <c r="C3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0" s="19" t="e">
        <f>IF(ROW()&lt;=COUNTA(Data!$2:$2)+5,IF(INDEX(Data!$C:$AZ,$D$2+1,ROW()-7)=-999,0,IF(INDEX(Data!$C:$AZ,$D$2+1,ROW()-7)&lt;0,NA(),INDEX(Data!$C:$AZ,$D$2+1,ROW()-7))),NA())</f>
        <v>#N/A</v>
      </c>
    </row>
    <row r="31" spans="1:14" x14ac:dyDescent="0.25">
      <c r="A3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1" s="40" t="e">
        <f>IF(ROW()&lt;=COUNTA(Data!$2:$2)+5,IF(INDEX(Data!$C:$AZ,$B$2+1,ROW()-7)=-999,0,IF(INDEX(Data!$C:$AZ,$B$2+1,ROW()-7)&lt;0,NA(),INDEX(Data!$C:$AZ,$B$2+1,ROW()-7))),NA())</f>
        <v>#N/A</v>
      </c>
      <c r="C3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1" s="19" t="e">
        <f>IF(ROW()&lt;=COUNTA(Data!$2:$2)+5,IF(INDEX(Data!$C:$AZ,$D$2+1,ROW()-7)=-999,0,IF(INDEX(Data!$C:$AZ,$D$2+1,ROW()-7)&lt;0,NA(),INDEX(Data!$C:$AZ,$D$2+1,ROW()-7))),NA())</f>
        <v>#N/A</v>
      </c>
    </row>
    <row r="32" spans="1:14" x14ac:dyDescent="0.25">
      <c r="A3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2" s="40" t="e">
        <f>IF(ROW()&lt;=COUNTA(Data!$2:$2)+5,IF(INDEX(Data!$C:$AZ,$B$2+1,ROW()-7)=-999,0,IF(INDEX(Data!$C:$AZ,$B$2+1,ROW()-7)&lt;0,NA(),INDEX(Data!$C:$AZ,$B$2+1,ROW()-7))),NA())</f>
        <v>#N/A</v>
      </c>
      <c r="C3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2" s="19" t="e">
        <f>IF(ROW()&lt;=COUNTA(Data!$2:$2)+5,IF(INDEX(Data!$C:$AZ,$D$2+1,ROW()-7)=-999,0,IF(INDEX(Data!$C:$AZ,$D$2+1,ROW()-7)&lt;0,NA(),INDEX(Data!$C:$AZ,$D$2+1,ROW()-7))),NA())</f>
        <v>#N/A</v>
      </c>
    </row>
    <row r="33" spans="1:4" x14ac:dyDescent="0.25">
      <c r="A3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3" s="40" t="e">
        <f>IF(ROW()&lt;=COUNTA(Data!$2:$2)+5,IF(INDEX(Data!$C:$AZ,$B$2+1,ROW()-7)=-999,0,IF(INDEX(Data!$C:$AZ,$B$2+1,ROW()-7)&lt;0,NA(),INDEX(Data!$C:$AZ,$B$2+1,ROW()-7))),NA())</f>
        <v>#N/A</v>
      </c>
      <c r="C3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3" s="19" t="e">
        <f>IF(ROW()&lt;=COUNTA(Data!$2:$2)+5,IF(INDEX(Data!$C:$AZ,$D$2+1,ROW()-7)=-999,0,IF(INDEX(Data!$C:$AZ,$D$2+1,ROW()-7)&lt;0,NA(),INDEX(Data!$C:$AZ,$D$2+1,ROW()-7))),NA())</f>
        <v>#N/A</v>
      </c>
    </row>
    <row r="34" spans="1:4" x14ac:dyDescent="0.25">
      <c r="A3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4" s="40" t="e">
        <f>IF(ROW()&lt;=COUNTA(Data!$2:$2)+5,IF(INDEX(Data!$C:$AZ,$B$2+1,ROW()-7)=-999,0,IF(INDEX(Data!$C:$AZ,$B$2+1,ROW()-7)&lt;0,NA(),INDEX(Data!$C:$AZ,$B$2+1,ROW()-7))),NA())</f>
        <v>#N/A</v>
      </c>
      <c r="C3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4" s="19" t="e">
        <f>IF(ROW()&lt;=COUNTA(Data!$2:$2)+5,IF(INDEX(Data!$C:$AZ,$D$2+1,ROW()-7)=-999,0,IF(INDEX(Data!$C:$AZ,$D$2+1,ROW()-7)&lt;0,NA(),INDEX(Data!$C:$AZ,$D$2+1,ROW()-7))),NA())</f>
        <v>#N/A</v>
      </c>
    </row>
    <row r="35" spans="1:4" x14ac:dyDescent="0.25">
      <c r="A3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5" s="40" t="e">
        <f>IF(ROW()&lt;=COUNTA(Data!$2:$2)+5,IF(INDEX(Data!$C:$AZ,$B$2+1,ROW()-7)=-999,0,IF(INDEX(Data!$C:$AZ,$B$2+1,ROW()-7)&lt;0,NA(),INDEX(Data!$C:$AZ,$B$2+1,ROW()-7))),NA())</f>
        <v>#N/A</v>
      </c>
      <c r="C3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5" s="19" t="e">
        <f>IF(ROW()&lt;=COUNTA(Data!$2:$2)+5,IF(INDEX(Data!$C:$AZ,$D$2+1,ROW()-7)=-999,0,IF(INDEX(Data!$C:$AZ,$D$2+1,ROW()-7)&lt;0,NA(),INDEX(Data!$C:$AZ,$D$2+1,ROW()-7))),NA())</f>
        <v>#N/A</v>
      </c>
    </row>
    <row r="36" spans="1:4" x14ac:dyDescent="0.25">
      <c r="A3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6" s="40" t="e">
        <f>IF(ROW()&lt;=COUNTA(Data!$2:$2)+5,IF(INDEX(Data!$C:$AZ,$B$2+1,ROW()-7)=-999,0,IF(INDEX(Data!$C:$AZ,$B$2+1,ROW()-7)&lt;0,NA(),INDEX(Data!$C:$AZ,$B$2+1,ROW()-7))),NA())</f>
        <v>#N/A</v>
      </c>
      <c r="C3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6" s="19" t="e">
        <f>IF(ROW()&lt;=COUNTA(Data!$2:$2)+5,IF(INDEX(Data!$C:$AZ,$D$2+1,ROW()-7)=-999,0,IF(INDEX(Data!$C:$AZ,$D$2+1,ROW()-7)&lt;0,NA(),INDEX(Data!$C:$AZ,$D$2+1,ROW()-7))),NA())</f>
        <v>#N/A</v>
      </c>
    </row>
    <row r="37" spans="1:4" x14ac:dyDescent="0.25">
      <c r="A3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7" s="40" t="e">
        <f>IF(ROW()&lt;=COUNTA(Data!$2:$2)+5,IF(INDEX(Data!$C:$AZ,$B$2+1,ROW()-7)=-999,0,IF(INDEX(Data!$C:$AZ,$B$2+1,ROW()-7)&lt;0,NA(),INDEX(Data!$C:$AZ,$B$2+1,ROW()-7))),NA())</f>
        <v>#N/A</v>
      </c>
      <c r="C3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7" s="19" t="e">
        <f>IF(ROW()&lt;=COUNTA(Data!$2:$2)+5,IF(INDEX(Data!$C:$AZ,$D$2+1,ROW()-7)=-999,0,IF(INDEX(Data!$C:$AZ,$D$2+1,ROW()-7)&lt;0,NA(),INDEX(Data!$C:$AZ,$D$2+1,ROW()-7))),NA())</f>
        <v>#N/A</v>
      </c>
    </row>
    <row r="38" spans="1:4" x14ac:dyDescent="0.25">
      <c r="A3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8" s="40" t="e">
        <f>IF(ROW()&lt;=COUNTA(Data!$2:$2)+5,IF(INDEX(Data!$C:$AZ,$B$2+1,ROW()-7)=-999,0,IF(INDEX(Data!$C:$AZ,$B$2+1,ROW()-7)&lt;0,NA(),INDEX(Data!$C:$AZ,$B$2+1,ROW()-7))),NA())</f>
        <v>#N/A</v>
      </c>
      <c r="C3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8" s="19" t="e">
        <f>IF(ROW()&lt;=COUNTA(Data!$2:$2)+5,IF(INDEX(Data!$C:$AZ,$D$2+1,ROW()-7)=-999,0,IF(INDEX(Data!$C:$AZ,$D$2+1,ROW()-7)&lt;0,NA(),INDEX(Data!$C:$AZ,$D$2+1,ROW()-7))),NA())</f>
        <v>#N/A</v>
      </c>
    </row>
    <row r="39" spans="1:4" x14ac:dyDescent="0.25">
      <c r="A3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39" s="40" t="e">
        <f>IF(ROW()&lt;=COUNTA(Data!$2:$2)+5,IF(INDEX(Data!$C:$AZ,$B$2+1,ROW()-7)=-999,0,IF(INDEX(Data!$C:$AZ,$B$2+1,ROW()-7)&lt;0,NA(),INDEX(Data!$C:$AZ,$B$2+1,ROW()-7))),NA())</f>
        <v>#N/A</v>
      </c>
      <c r="C3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39" s="19" t="e">
        <f>IF(ROW()&lt;=COUNTA(Data!$2:$2)+5,IF(INDEX(Data!$C:$AZ,$D$2+1,ROW()-7)=-999,0,IF(INDEX(Data!$C:$AZ,$D$2+1,ROW()-7)&lt;0,NA(),INDEX(Data!$C:$AZ,$D$2+1,ROW()-7))),NA())</f>
        <v>#N/A</v>
      </c>
    </row>
    <row r="40" spans="1:4" x14ac:dyDescent="0.25">
      <c r="A4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0" s="40" t="e">
        <f>IF(ROW()&lt;=COUNTA(Data!$2:$2)+5,IF(INDEX(Data!$C:$AZ,$B$2+1,ROW()-7)=-999,0,IF(INDEX(Data!$C:$AZ,$B$2+1,ROW()-7)&lt;0,NA(),INDEX(Data!$C:$AZ,$B$2+1,ROW()-7))),NA())</f>
        <v>#N/A</v>
      </c>
      <c r="C4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0" s="19" t="e">
        <f>IF(ROW()&lt;=COUNTA(Data!$2:$2)+5,IF(INDEX(Data!$C:$AZ,$D$2+1,ROW()-7)=-999,0,IF(INDEX(Data!$C:$AZ,$D$2+1,ROW()-7)&lt;0,NA(),INDEX(Data!$C:$AZ,$D$2+1,ROW()-7))),NA())</f>
        <v>#N/A</v>
      </c>
    </row>
    <row r="41" spans="1:4" x14ac:dyDescent="0.25">
      <c r="A4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1" s="40" t="e">
        <f>IF(ROW()&lt;=COUNTA(Data!$2:$2)+5,IF(INDEX(Data!$C:$AZ,$B$2+1,ROW()-7)=-999,0,IF(INDEX(Data!$C:$AZ,$B$2+1,ROW()-7)&lt;0,NA(),INDEX(Data!$C:$AZ,$B$2+1,ROW()-7))),NA())</f>
        <v>#N/A</v>
      </c>
      <c r="C4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1" s="19" t="e">
        <f>IF(ROW()&lt;=COUNTA(Data!$2:$2)+5,IF(INDEX(Data!$C:$AZ,$D$2+1,ROW()-7)=-999,0,IF(INDEX(Data!$C:$AZ,$D$2+1,ROW()-7)&lt;0,NA(),INDEX(Data!$C:$AZ,$D$2+1,ROW()-7))),NA())</f>
        <v>#N/A</v>
      </c>
    </row>
    <row r="42" spans="1:4" x14ac:dyDescent="0.25">
      <c r="A4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2" s="40" t="e">
        <f>IF(ROW()&lt;=COUNTA(Data!$2:$2)+5,IF(INDEX(Data!$C:$AZ,$B$2+1,ROW()-7)=-999,0,IF(INDEX(Data!$C:$AZ,$B$2+1,ROW()-7)&lt;0,NA(),INDEX(Data!$C:$AZ,$B$2+1,ROW()-7))),NA())</f>
        <v>#N/A</v>
      </c>
      <c r="C4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2" s="19" t="e">
        <f>IF(ROW()&lt;=COUNTA(Data!$2:$2)+5,IF(INDEX(Data!$C:$AZ,$D$2+1,ROW()-7)=-999,0,IF(INDEX(Data!$C:$AZ,$D$2+1,ROW()-7)&lt;0,NA(),INDEX(Data!$C:$AZ,$D$2+1,ROW()-7))),NA())</f>
        <v>#N/A</v>
      </c>
    </row>
    <row r="43" spans="1:4" x14ac:dyDescent="0.25">
      <c r="A4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3" s="40" t="e">
        <f>IF(ROW()&lt;=COUNTA(Data!$2:$2)+5,IF(INDEX(Data!$C:$AZ,$B$2+1,ROW()-7)=-999,0,IF(INDEX(Data!$C:$AZ,$B$2+1,ROW()-7)&lt;0,NA(),INDEX(Data!$C:$AZ,$B$2+1,ROW()-7))),NA())</f>
        <v>#N/A</v>
      </c>
      <c r="C4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3" s="19" t="e">
        <f>IF(ROW()&lt;=COUNTA(Data!$2:$2)+5,IF(INDEX(Data!$C:$AZ,$D$2+1,ROW()-7)=-999,0,IF(INDEX(Data!$C:$AZ,$D$2+1,ROW()-7)&lt;0,NA(),INDEX(Data!$C:$AZ,$D$2+1,ROW()-7))),NA())</f>
        <v>#N/A</v>
      </c>
    </row>
    <row r="44" spans="1:4" x14ac:dyDescent="0.25">
      <c r="A4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4" s="40" t="e">
        <f>IF(ROW()&lt;=COUNTA(Data!$2:$2)+5,IF(INDEX(Data!$C:$AZ,$B$2+1,ROW()-7)=-999,0,IF(INDEX(Data!$C:$AZ,$B$2+1,ROW()-7)&lt;0,NA(),INDEX(Data!$C:$AZ,$B$2+1,ROW()-7))),NA())</f>
        <v>#N/A</v>
      </c>
      <c r="C4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4" s="19" t="e">
        <f>IF(ROW()&lt;=COUNTA(Data!$2:$2)+5,IF(INDEX(Data!$C:$AZ,$D$2+1,ROW()-7)=-999,0,IF(INDEX(Data!$C:$AZ,$D$2+1,ROW()-7)&lt;0,NA(),INDEX(Data!$C:$AZ,$D$2+1,ROW()-7))),NA())</f>
        <v>#N/A</v>
      </c>
    </row>
    <row r="45" spans="1:4" x14ac:dyDescent="0.25">
      <c r="A4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5" s="40" t="e">
        <f>IF(ROW()&lt;=COUNTA(Data!$2:$2)+5,IF(INDEX(Data!$C:$AZ,$B$2+1,ROW()-7)=-999,0,IF(INDEX(Data!$C:$AZ,$B$2+1,ROW()-7)&lt;0,NA(),INDEX(Data!$C:$AZ,$B$2+1,ROW()-7))),NA())</f>
        <v>#N/A</v>
      </c>
      <c r="C4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5" s="19" t="e">
        <f>IF(ROW()&lt;=COUNTA(Data!$2:$2)+5,IF(INDEX(Data!$C:$AZ,$D$2+1,ROW()-7)=-999,0,IF(INDEX(Data!$C:$AZ,$D$2+1,ROW()-7)&lt;0,NA(),INDEX(Data!$C:$AZ,$D$2+1,ROW()-7))),NA())</f>
        <v>#N/A</v>
      </c>
    </row>
    <row r="46" spans="1:4" x14ac:dyDescent="0.25">
      <c r="A4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6" s="40" t="e">
        <f>IF(ROW()&lt;=COUNTA(Data!$2:$2)+5,IF(INDEX(Data!$C:$AZ,$B$2+1,ROW()-7)=-999,0,IF(INDEX(Data!$C:$AZ,$B$2+1,ROW()-7)&lt;0,NA(),INDEX(Data!$C:$AZ,$B$2+1,ROW()-7))),NA())</f>
        <v>#N/A</v>
      </c>
      <c r="C4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6" s="19" t="e">
        <f>IF(ROW()&lt;=COUNTA(Data!$2:$2)+5,IF(INDEX(Data!$C:$AZ,$D$2+1,ROW()-7)=-999,0,IF(INDEX(Data!$C:$AZ,$D$2+1,ROW()-7)&lt;0,NA(),INDEX(Data!$C:$AZ,$D$2+1,ROW()-7))),NA())</f>
        <v>#N/A</v>
      </c>
    </row>
    <row r="47" spans="1:4" x14ac:dyDescent="0.25">
      <c r="A4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7" s="40" t="e">
        <f>IF(ROW()&lt;=COUNTA(Data!$2:$2)+5,IF(INDEX(Data!$C:$AZ,$B$2+1,ROW()-7)=-999,0,IF(INDEX(Data!$C:$AZ,$B$2+1,ROW()-7)&lt;0,NA(),INDEX(Data!$C:$AZ,$B$2+1,ROW()-7))),NA())</f>
        <v>#N/A</v>
      </c>
      <c r="C4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7" s="19" t="e">
        <f>IF(ROW()&lt;=COUNTA(Data!$2:$2)+5,IF(INDEX(Data!$C:$AZ,$D$2+1,ROW()-7)=-999,0,IF(INDEX(Data!$C:$AZ,$D$2+1,ROW()-7)&lt;0,NA(),INDEX(Data!$C:$AZ,$D$2+1,ROW()-7))),NA())</f>
        <v>#N/A</v>
      </c>
    </row>
    <row r="48" spans="1:4" x14ac:dyDescent="0.25">
      <c r="A4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8" s="40" t="e">
        <f>IF(ROW()&lt;=COUNTA(Data!$2:$2)+5,IF(INDEX(Data!$C:$AZ,$B$2+1,ROW()-7)=-999,0,IF(INDEX(Data!$C:$AZ,$B$2+1,ROW()-7)&lt;0,NA(),INDEX(Data!$C:$AZ,$B$2+1,ROW()-7))),NA())</f>
        <v>#N/A</v>
      </c>
      <c r="C4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8" s="19" t="e">
        <f>IF(ROW()&lt;=COUNTA(Data!$2:$2)+5,IF(INDEX(Data!$C:$AZ,$D$2+1,ROW()-7)=-999,0,IF(INDEX(Data!$C:$AZ,$D$2+1,ROW()-7)&lt;0,NA(),INDEX(Data!$C:$AZ,$D$2+1,ROW()-7))),NA())</f>
        <v>#N/A</v>
      </c>
    </row>
    <row r="49" spans="1:4" x14ac:dyDescent="0.25">
      <c r="A4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49" s="40" t="e">
        <f>IF(ROW()&lt;=COUNTA(Data!$2:$2)+5,IF(INDEX(Data!$C:$AZ,$B$2+1,ROW()-7)=-999,0,IF(INDEX(Data!$C:$AZ,$B$2+1,ROW()-7)&lt;0,NA(),INDEX(Data!$C:$AZ,$B$2+1,ROW()-7))),NA())</f>
        <v>#N/A</v>
      </c>
      <c r="C4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49" s="19" t="e">
        <f>IF(ROW()&lt;=COUNTA(Data!$2:$2)+5,IF(INDEX(Data!$C:$AZ,$D$2+1,ROW()-7)=-999,0,IF(INDEX(Data!$C:$AZ,$D$2+1,ROW()-7)&lt;0,NA(),INDEX(Data!$C:$AZ,$D$2+1,ROW()-7))),NA())</f>
        <v>#N/A</v>
      </c>
    </row>
    <row r="50" spans="1:4" x14ac:dyDescent="0.25">
      <c r="A5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0" s="40" t="e">
        <f>IF(ROW()&lt;=COUNTA(Data!$2:$2)+5,IF(INDEX(Data!$C:$AZ,$B$2+1,ROW()-7)=-999,0,IF(INDEX(Data!$C:$AZ,$B$2+1,ROW()-7)&lt;0,NA(),INDEX(Data!$C:$AZ,$B$2+1,ROW()-7))),NA())</f>
        <v>#N/A</v>
      </c>
      <c r="C5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0" s="19" t="e">
        <f>IF(ROW()&lt;=COUNTA(Data!$2:$2)+5,IF(INDEX(Data!$C:$AZ,$D$2+1,ROW()-7)=-999,0,IF(INDEX(Data!$C:$AZ,$D$2+1,ROW()-7)&lt;0,NA(),INDEX(Data!$C:$AZ,$D$2+1,ROW()-7))),NA())</f>
        <v>#N/A</v>
      </c>
    </row>
    <row r="51" spans="1:4" x14ac:dyDescent="0.25">
      <c r="A5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1" s="40" t="e">
        <f>IF(ROW()&lt;=COUNTA(Data!$2:$2)+5,IF(INDEX(Data!$C:$AZ,$B$2+1,ROW()-7)=-999,0,IF(INDEX(Data!$C:$AZ,$B$2+1,ROW()-7)&lt;0,NA(),INDEX(Data!$C:$AZ,$B$2+1,ROW()-7))),NA())</f>
        <v>#N/A</v>
      </c>
      <c r="C5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1" s="19" t="e">
        <f>IF(ROW()&lt;=COUNTA(Data!$2:$2)+5,IF(INDEX(Data!$C:$AZ,$D$2+1,ROW()-7)=-999,0,IF(INDEX(Data!$C:$AZ,$D$2+1,ROW()-7)&lt;0,NA(),INDEX(Data!$C:$AZ,$D$2+1,ROW()-7))),NA())</f>
        <v>#N/A</v>
      </c>
    </row>
    <row r="52" spans="1:4" x14ac:dyDescent="0.25">
      <c r="A5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2" s="40" t="e">
        <f>IF(ROW()&lt;=COUNTA(Data!$2:$2)+5,IF(INDEX(Data!$C:$AZ,$B$2+1,ROW()-7)=-999,0,IF(INDEX(Data!$C:$AZ,$B$2+1,ROW()-7)&lt;0,NA(),INDEX(Data!$C:$AZ,$B$2+1,ROW()-7))),NA())</f>
        <v>#N/A</v>
      </c>
      <c r="C5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2" s="19" t="e">
        <f>IF(ROW()&lt;=COUNTA(Data!$2:$2)+5,IF(INDEX(Data!$C:$AZ,$D$2+1,ROW()-7)=-999,0,IF(INDEX(Data!$C:$AZ,$D$2+1,ROW()-7)&lt;0,NA(),INDEX(Data!$C:$AZ,$D$2+1,ROW()-7))),NA())</f>
        <v>#N/A</v>
      </c>
    </row>
    <row r="53" spans="1:4" x14ac:dyDescent="0.25">
      <c r="A5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3" s="40" t="e">
        <f>IF(ROW()&lt;=COUNTA(Data!$2:$2)+5,IF(INDEX(Data!$C:$AZ,$B$2+1,ROW()-7)=-999,0,IF(INDEX(Data!$C:$AZ,$B$2+1,ROW()-7)&lt;0,NA(),INDEX(Data!$C:$AZ,$B$2+1,ROW()-7))),NA())</f>
        <v>#N/A</v>
      </c>
      <c r="C5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3" s="19" t="e">
        <f>IF(ROW()&lt;=COUNTA(Data!$2:$2)+5,IF(INDEX(Data!$C:$AZ,$D$2+1,ROW()-7)=-999,0,IF(INDEX(Data!$C:$AZ,$D$2+1,ROW()-7)&lt;0,NA(),INDEX(Data!$C:$AZ,$D$2+1,ROW()-7))),NA())</f>
        <v>#N/A</v>
      </c>
    </row>
    <row r="54" spans="1:4" x14ac:dyDescent="0.25">
      <c r="A5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4" s="40" t="e">
        <f>IF(ROW()&lt;=COUNTA(Data!$2:$2)+5,IF(INDEX(Data!$C:$AZ,$B$2+1,ROW()-7)=-999,0,IF(INDEX(Data!$C:$AZ,$B$2+1,ROW()-7)&lt;0,NA(),INDEX(Data!$C:$AZ,$B$2+1,ROW()-7))),NA())</f>
        <v>#N/A</v>
      </c>
      <c r="C5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4" s="19" t="e">
        <f>IF(ROW()&lt;=COUNTA(Data!$2:$2)+5,IF(INDEX(Data!$C:$AZ,$D$2+1,ROW()-7)=-999,0,IF(INDEX(Data!$C:$AZ,$D$2+1,ROW()-7)&lt;0,NA(),INDEX(Data!$C:$AZ,$D$2+1,ROW()-7))),NA())</f>
        <v>#N/A</v>
      </c>
    </row>
    <row r="55" spans="1:4" x14ac:dyDescent="0.25">
      <c r="A5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5" s="40" t="e">
        <f>IF(ROW()&lt;=COUNTA(Data!$2:$2)+5,IF(INDEX(Data!$C:$AZ,$B$2+1,ROW()-7)=-999,0,IF(INDEX(Data!$C:$AZ,$B$2+1,ROW()-7)&lt;0,NA(),INDEX(Data!$C:$AZ,$B$2+1,ROW()-7))),NA())</f>
        <v>#N/A</v>
      </c>
      <c r="C5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5" s="19" t="e">
        <f>IF(ROW()&lt;=COUNTA(Data!$2:$2)+5,IF(INDEX(Data!$C:$AZ,$D$2+1,ROW()-7)=-999,0,IF(INDEX(Data!$C:$AZ,$D$2+1,ROW()-7)&lt;0,NA(),INDEX(Data!$C:$AZ,$D$2+1,ROW()-7))),NA())</f>
        <v>#N/A</v>
      </c>
    </row>
    <row r="56" spans="1:4" x14ac:dyDescent="0.25">
      <c r="A5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6" s="40" t="e">
        <f>IF(ROW()&lt;=COUNTA(Data!$2:$2)+5,IF(INDEX(Data!$C:$AZ,$B$2+1,ROW()-7)=-999,0,IF(INDEX(Data!$C:$AZ,$B$2+1,ROW()-7)&lt;0,NA(),INDEX(Data!$C:$AZ,$B$2+1,ROW()-7))),NA())</f>
        <v>#N/A</v>
      </c>
      <c r="C5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6" s="19" t="e">
        <f>IF(ROW()&lt;=COUNTA(Data!$2:$2)+5,IF(INDEX(Data!$C:$AZ,$D$2+1,ROW()-7)=-999,0,IF(INDEX(Data!$C:$AZ,$D$2+1,ROW()-7)&lt;0,NA(),INDEX(Data!$C:$AZ,$D$2+1,ROW()-7))),NA())</f>
        <v>#N/A</v>
      </c>
    </row>
    <row r="57" spans="1:4" x14ac:dyDescent="0.25">
      <c r="A5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7" s="40" t="e">
        <f>IF(ROW()&lt;=COUNTA(Data!$2:$2)+5,IF(INDEX(Data!$C:$AZ,$B$2+1,ROW()-7)=-999,0,IF(INDEX(Data!$C:$AZ,$B$2+1,ROW()-7)&lt;0,NA(),INDEX(Data!$C:$AZ,$B$2+1,ROW()-7))),NA())</f>
        <v>#N/A</v>
      </c>
      <c r="C5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7" s="19" t="e">
        <f>IF(ROW()&lt;=COUNTA(Data!$2:$2)+5,IF(INDEX(Data!$C:$AZ,$D$2+1,ROW()-7)=-999,0,IF(INDEX(Data!$C:$AZ,$D$2+1,ROW()-7)&lt;0,NA(),INDEX(Data!$C:$AZ,$D$2+1,ROW()-7))),NA())</f>
        <v>#N/A</v>
      </c>
    </row>
    <row r="58" spans="1:4" x14ac:dyDescent="0.25">
      <c r="A5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8" s="40" t="e">
        <f>IF(ROW()&lt;=COUNTA(Data!$2:$2)+5,IF(INDEX(Data!$C:$AZ,$B$2+1,ROW()-7)=-999,0,IF(INDEX(Data!$C:$AZ,$B$2+1,ROW()-7)&lt;0,NA(),INDEX(Data!$C:$AZ,$B$2+1,ROW()-7))),NA())</f>
        <v>#N/A</v>
      </c>
      <c r="C5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8" s="19" t="e">
        <f>IF(ROW()&lt;=COUNTA(Data!$2:$2)+5,IF(INDEX(Data!$C:$AZ,$D$2+1,ROW()-7)=-999,0,IF(INDEX(Data!$C:$AZ,$D$2+1,ROW()-7)&lt;0,NA(),INDEX(Data!$C:$AZ,$D$2+1,ROW()-7))),NA())</f>
        <v>#N/A</v>
      </c>
    </row>
    <row r="59" spans="1:4" x14ac:dyDescent="0.25">
      <c r="A5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59" s="40" t="e">
        <f>IF(ROW()&lt;=COUNTA(Data!$2:$2)+5,IF(INDEX(Data!$C:$AZ,$B$2+1,ROW()-7)=-999,0,IF(INDEX(Data!$C:$AZ,$B$2+1,ROW()-7)&lt;0,NA(),INDEX(Data!$C:$AZ,$B$2+1,ROW()-7))),NA())</f>
        <v>#N/A</v>
      </c>
      <c r="C5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59" s="19" t="e">
        <f>IF(ROW()&lt;=COUNTA(Data!$2:$2)+5,IF(INDEX(Data!$C:$AZ,$D$2+1,ROW()-7)=-999,0,IF(INDEX(Data!$C:$AZ,$D$2+1,ROW()-7)&lt;0,NA(),INDEX(Data!$C:$AZ,$D$2+1,ROW()-7))),NA())</f>
        <v>#N/A</v>
      </c>
    </row>
    <row r="60" spans="1:4" x14ac:dyDescent="0.25">
      <c r="A6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0" s="40" t="e">
        <f>IF(ROW()&lt;=COUNTA(Data!$2:$2)+5,IF(INDEX(Data!$C:$AZ,$B$2+1,ROW()-7)=-999,0,IF(INDEX(Data!$C:$AZ,$B$2+1,ROW()-7)&lt;0,NA(),INDEX(Data!$C:$AZ,$B$2+1,ROW()-7))),NA())</f>
        <v>#N/A</v>
      </c>
      <c r="C6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0" s="19" t="e">
        <f>IF(ROW()&lt;=COUNTA(Data!$2:$2)+5,IF(INDEX(Data!$C:$AZ,$D$2+1,ROW()-7)=-999,0,IF(INDEX(Data!$C:$AZ,$D$2+1,ROW()-7)&lt;0,NA(),INDEX(Data!$C:$AZ,$D$2+1,ROW()-7))),NA())</f>
        <v>#N/A</v>
      </c>
    </row>
    <row r="61" spans="1:4" x14ac:dyDescent="0.25">
      <c r="A6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1" s="40" t="e">
        <f>IF(ROW()&lt;=COUNTA(Data!$2:$2)+5,IF(INDEX(Data!$C:$AZ,$B$2+1,ROW()-7)=-999,0,IF(INDEX(Data!$C:$AZ,$B$2+1,ROW()-7)&lt;0,NA(),INDEX(Data!$C:$AZ,$B$2+1,ROW()-7))),NA())</f>
        <v>#N/A</v>
      </c>
      <c r="C6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1" s="19" t="e">
        <f>IF(ROW()&lt;=COUNTA(Data!$2:$2)+5,IF(INDEX(Data!$C:$AZ,$D$2+1,ROW()-7)=-999,0,IF(INDEX(Data!$C:$AZ,$D$2+1,ROW()-7)&lt;0,NA(),INDEX(Data!$C:$AZ,$D$2+1,ROW()-7))),NA())</f>
        <v>#N/A</v>
      </c>
    </row>
    <row r="62" spans="1:4" x14ac:dyDescent="0.25">
      <c r="A6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2" s="40" t="e">
        <f>IF(ROW()&lt;=COUNTA(Data!$2:$2)+5,IF(INDEX(Data!$C:$AZ,$B$2+1,ROW()-7)=-999,0,IF(INDEX(Data!$C:$AZ,$B$2+1,ROW()-7)&lt;0,NA(),INDEX(Data!$C:$AZ,$B$2+1,ROW()-7))),NA())</f>
        <v>#N/A</v>
      </c>
      <c r="C6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2" s="19" t="e">
        <f>IF(ROW()&lt;=COUNTA(Data!$2:$2)+5,IF(INDEX(Data!$C:$AZ,$D$2+1,ROW()-7)=-999,0,IF(INDEX(Data!$C:$AZ,$D$2+1,ROW()-7)&lt;0,NA(),INDEX(Data!$C:$AZ,$D$2+1,ROW()-7))),NA())</f>
        <v>#N/A</v>
      </c>
    </row>
    <row r="63" spans="1:4" x14ac:dyDescent="0.25">
      <c r="A6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3" s="40" t="e">
        <f>IF(ROW()&lt;=COUNTA(Data!$2:$2)+5,IF(INDEX(Data!$C:$AZ,$B$2+1,ROW()-7)=-999,0,IF(INDEX(Data!$C:$AZ,$B$2+1,ROW()-7)&lt;0,NA(),INDEX(Data!$C:$AZ,$B$2+1,ROW()-7))),NA())</f>
        <v>#N/A</v>
      </c>
      <c r="C6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3" s="19" t="e">
        <f>IF(ROW()&lt;=COUNTA(Data!$2:$2)+5,IF(INDEX(Data!$C:$AZ,$D$2+1,ROW()-7)=-999,0,IF(INDEX(Data!$C:$AZ,$D$2+1,ROW()-7)&lt;0,NA(),INDEX(Data!$C:$AZ,$D$2+1,ROW()-7))),NA())</f>
        <v>#N/A</v>
      </c>
    </row>
    <row r="64" spans="1:4" x14ac:dyDescent="0.25">
      <c r="A6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4" s="40" t="e">
        <f>IF(ROW()&lt;=COUNTA(Data!$2:$2)+5,IF(INDEX(Data!$C:$AZ,$B$2+1,ROW()-7)=-999,0,IF(INDEX(Data!$C:$AZ,$B$2+1,ROW()-7)&lt;0,NA(),INDEX(Data!$C:$AZ,$B$2+1,ROW()-7))),NA())</f>
        <v>#N/A</v>
      </c>
      <c r="C6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4" s="19" t="e">
        <f>IF(ROW()&lt;=COUNTA(Data!$2:$2)+5,IF(INDEX(Data!$C:$AZ,$D$2+1,ROW()-7)=-999,0,IF(INDEX(Data!$C:$AZ,$D$2+1,ROW()-7)&lt;0,NA(),INDEX(Data!$C:$AZ,$D$2+1,ROW()-7))),NA())</f>
        <v>#N/A</v>
      </c>
    </row>
    <row r="65" spans="1:4" x14ac:dyDescent="0.25">
      <c r="A65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5" s="40" t="e">
        <f>IF(ROW()&lt;=COUNTA(Data!$2:$2)+5,IF(INDEX(Data!$C:$AZ,$B$2+1,ROW()-7)=-999,0,IF(INDEX(Data!$C:$AZ,$B$2+1,ROW()-7)&lt;0,NA(),INDEX(Data!$C:$AZ,$B$2+1,ROW()-7))),NA())</f>
        <v>#N/A</v>
      </c>
      <c r="C65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5" s="19" t="e">
        <f>IF(ROW()&lt;=COUNTA(Data!$2:$2)+5,IF(INDEX(Data!$C:$AZ,$D$2+1,ROW()-7)=-999,0,IF(INDEX(Data!$C:$AZ,$D$2+1,ROW()-7)&lt;0,NA(),INDEX(Data!$C:$AZ,$D$2+1,ROW()-7))),NA())</f>
        <v>#N/A</v>
      </c>
    </row>
    <row r="66" spans="1:4" x14ac:dyDescent="0.25">
      <c r="A66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6" s="40" t="e">
        <f>IF(ROW()&lt;=COUNTA(Data!$2:$2)+5,IF(INDEX(Data!$C:$AZ,$B$2+1,ROW()-7)=-999,0,IF(INDEX(Data!$C:$AZ,$B$2+1,ROW()-7)&lt;0,NA(),INDEX(Data!$C:$AZ,$B$2+1,ROW()-7))),NA())</f>
        <v>#N/A</v>
      </c>
      <c r="C66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6" s="19" t="e">
        <f>IF(ROW()&lt;=COUNTA(Data!$2:$2)+5,IF(INDEX(Data!$C:$AZ,$D$2+1,ROW()-7)=-999,0,IF(INDEX(Data!$C:$AZ,$D$2+1,ROW()-7)&lt;0,NA(),INDEX(Data!$C:$AZ,$D$2+1,ROW()-7))),NA())</f>
        <v>#N/A</v>
      </c>
    </row>
    <row r="67" spans="1:4" x14ac:dyDescent="0.25">
      <c r="A67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7" s="40" t="e">
        <f>IF(ROW()&lt;=COUNTA(Data!$2:$2)+5,IF(INDEX(Data!$C:$AZ,$B$2+1,ROW()-7)=-999,0,IF(INDEX(Data!$C:$AZ,$B$2+1,ROW()-7)&lt;0,NA(),INDEX(Data!$C:$AZ,$B$2+1,ROW()-7))),NA())</f>
        <v>#N/A</v>
      </c>
      <c r="C67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7" s="19" t="e">
        <f>IF(ROW()&lt;=COUNTA(Data!$2:$2)+5,IF(INDEX(Data!$C:$AZ,$D$2+1,ROW()-7)=-999,0,IF(INDEX(Data!$C:$AZ,$D$2+1,ROW()-7)&lt;0,NA(),INDEX(Data!$C:$AZ,$D$2+1,ROW()-7))),NA())</f>
        <v>#N/A</v>
      </c>
    </row>
    <row r="68" spans="1:4" x14ac:dyDescent="0.25">
      <c r="A68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8" s="40" t="e">
        <f>IF(ROW()&lt;=COUNTA(Data!$2:$2)+5,IF(INDEX(Data!$C:$AZ,$B$2+1,ROW()-7)=-999,0,IF(INDEX(Data!$C:$AZ,$B$2+1,ROW()-7)&lt;0,NA(),INDEX(Data!$C:$AZ,$B$2+1,ROW()-7))),NA())</f>
        <v>#N/A</v>
      </c>
      <c r="C68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8" s="19" t="e">
        <f>IF(ROW()&lt;=COUNTA(Data!$2:$2)+5,IF(INDEX(Data!$C:$AZ,$D$2+1,ROW()-7)=-999,0,IF(INDEX(Data!$C:$AZ,$D$2+1,ROW()-7)&lt;0,NA(),INDEX(Data!$C:$AZ,$D$2+1,ROW()-7))),NA())</f>
        <v>#N/A</v>
      </c>
    </row>
    <row r="69" spans="1:4" x14ac:dyDescent="0.25">
      <c r="A69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69" s="40" t="e">
        <f>IF(ROW()&lt;=COUNTA(Data!$2:$2)+5,IF(INDEX(Data!$C:$AZ,$B$2+1,ROW()-7)=-999,0,IF(INDEX(Data!$C:$AZ,$B$2+1,ROW()-7)&lt;0,NA(),INDEX(Data!$C:$AZ,$B$2+1,ROW()-7))),NA())</f>
        <v>#N/A</v>
      </c>
      <c r="C69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69" s="19" t="e">
        <f>IF(ROW()&lt;=COUNTA(Data!$2:$2)+5,IF(INDEX(Data!$C:$AZ,$D$2+1,ROW()-7)=-999,0,IF(INDEX(Data!$C:$AZ,$D$2+1,ROW()-7)&lt;0,NA(),INDEX(Data!$C:$AZ,$D$2+1,ROW()-7))),NA())</f>
        <v>#N/A</v>
      </c>
    </row>
    <row r="70" spans="1:4" x14ac:dyDescent="0.25">
      <c r="A70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0" s="40" t="e">
        <f>IF(ROW()&lt;=COUNTA(Data!$2:$2)+5,IF(INDEX(Data!$C:$AZ,$B$2+1,ROW()-7)=-999,0,IF(INDEX(Data!$C:$AZ,$B$2+1,ROW()-7)&lt;0,NA(),INDEX(Data!$C:$AZ,$B$2+1,ROW()-7))),NA())</f>
        <v>#N/A</v>
      </c>
      <c r="C70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0" s="19" t="e">
        <f>IF(ROW()&lt;=COUNTA(Data!$2:$2)+5,IF(INDEX(Data!$C:$AZ,$D$2+1,ROW()-7)=-999,0,IF(INDEX(Data!$C:$AZ,$D$2+1,ROW()-7)&lt;0,NA(),INDEX(Data!$C:$AZ,$D$2+1,ROW()-7))),NA())</f>
        <v>#N/A</v>
      </c>
    </row>
    <row r="71" spans="1:4" x14ac:dyDescent="0.25">
      <c r="A71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1" s="40" t="e">
        <f>IF(ROW()&lt;=COUNTA(Data!$2:$2)+5,IF(INDEX(Data!$C:$AZ,$B$2+1,ROW()-7)=-999,0,IF(INDEX(Data!$C:$AZ,$B$2+1,ROW()-7)&lt;0,NA(),INDEX(Data!$C:$AZ,$B$2+1,ROW()-7))),NA())</f>
        <v>#N/A</v>
      </c>
      <c r="C71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1" s="19" t="e">
        <f>IF(ROW()&lt;=COUNTA(Data!$2:$2)+5,IF(INDEX(Data!$C:$AZ,$D$2+1,ROW()-7)=-999,0,IF(INDEX(Data!$C:$AZ,$D$2+1,ROW()-7)&lt;0,NA(),INDEX(Data!$C:$AZ,$D$2+1,ROW()-7))),NA())</f>
        <v>#N/A</v>
      </c>
    </row>
    <row r="72" spans="1:4" x14ac:dyDescent="0.25">
      <c r="A72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2" s="40" t="e">
        <f>IF(ROW()&lt;=COUNTA(Data!$2:$2)+5,IF(INDEX(Data!$C:$AZ,$B$2+1,ROW()-7)=-999,0,IF(INDEX(Data!$C:$AZ,$B$2+1,ROW()-7)&lt;0,NA(),INDEX(Data!$C:$AZ,$B$2+1,ROW()-7))),NA())</f>
        <v>#N/A</v>
      </c>
      <c r="C72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2" s="19" t="e">
        <f>IF(ROW()&lt;=COUNTA(Data!$2:$2)+5,IF(INDEX(Data!$C:$AZ,$D$2+1,ROW()-7)=-999,0,IF(INDEX(Data!$C:$AZ,$D$2+1,ROW()-7)&lt;0,NA(),INDEX(Data!$C:$AZ,$D$2+1,ROW()-7))),NA())</f>
        <v>#N/A</v>
      </c>
    </row>
    <row r="73" spans="1:4" x14ac:dyDescent="0.25">
      <c r="A73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3" s="40" t="e">
        <f>IF(ROW()&lt;=COUNTA(Data!$2:$2)+5,IF(INDEX(Data!$C:$AZ,$B$2+1,ROW()-7)=-999,0,IF(INDEX(Data!$C:$AZ,$B$2+1,ROW()-7)&lt;0,NA(),INDEX(Data!$C:$AZ,$B$2+1,ROW()-7))),NA())</f>
        <v>#N/A</v>
      </c>
      <c r="C73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3" s="19" t="e">
        <f>IF(ROW()&lt;=COUNTA(Data!$2:$2)+5,IF(INDEX(Data!$C:$AZ,$D$2+1,ROW()-7)=-999,0,IF(INDEX(Data!$C:$AZ,$D$2+1,ROW()-7)&lt;0,NA(),INDEX(Data!$C:$AZ,$D$2+1,ROW()-7))),NA())</f>
        <v>#N/A</v>
      </c>
    </row>
    <row r="74" spans="1:4" x14ac:dyDescent="0.25">
      <c r="A74" s="18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4" s="40" t="e">
        <f>IF(ROW()&lt;=COUNTA(Data!$2:$2)+5,IF(INDEX(Data!$C:$AZ,$B$2+1,ROW()-7)=-999,0,IF(INDEX(Data!$C:$AZ,$B$2+1,ROW()-7)&lt;0,NA(),INDEX(Data!$C:$AZ,$B$2+1,ROW()-7))),NA())</f>
        <v>#N/A</v>
      </c>
      <c r="C74" s="18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4" s="19" t="e">
        <f>IF(ROW()&lt;=COUNTA(Data!$2:$2)+5,IF(INDEX(Data!$C:$AZ,$D$2+1,ROW()-7)=-999,0,IF(INDEX(Data!$C:$AZ,$D$2+1,ROW()-7)&lt;0,NA(),INDEX(Data!$C:$AZ,$D$2+1,ROW()-7))),NA())</f>
        <v>#N/A</v>
      </c>
    </row>
    <row r="75" spans="1:4" x14ac:dyDescent="0.25">
      <c r="A75" s="104" t="e">
        <f>IF(ROW()&lt;=COUNTA(Data!$2:$2)+5,INDEX(Data!$1:$1,1,ROW()-5)+IF(ISERROR(VLOOKUP($B$3&amp;"_"&amp;$B$6&amp;"_"&amp;INDEX(Data!$1:$1,1,ROW()-5),Deviations!$A:$E,5,FALSE)),0,IF(Analysis!$G$11,0,VLOOKUP($B$3&amp;"_"&amp;$B$6&amp;"_"&amp;INDEX(Data!$1:$1,1,ROW()-5),Deviations!$A:$E,5,FALSE)/60)),NA())</f>
        <v>#N/A</v>
      </c>
      <c r="B75" s="41" t="e">
        <f>IF(ROW()&lt;=COUNTA(Data!$2:$2)+5,IF(INDEX(Data!$C:$AZ,$B$2+1,ROW()-7)=-999,0,IF(INDEX(Data!$C:$AZ,$B$2+1,ROW()-7)&lt;0,NA(),INDEX(Data!$C:$AZ,$B$2+1,ROW()-7))),NA())</f>
        <v>#N/A</v>
      </c>
      <c r="C75" s="104" t="e">
        <f>IF(ROW()&lt;=COUNTA(Data!$2:$2)+5,INDEX(Data!$1:$1,1,ROW()-5)+IF(ISERROR(VLOOKUP($B$3&amp;"_"&amp;$D$6&amp;"_"&amp;INDEX(Data!$1:$1,1,ROW()-5),Deviations!$A:$E,5,FALSE)),0,IF(Analysis!$G$11,0,VLOOKUP($B$3&amp;"_"&amp;$D$6&amp;"_"&amp;INDEX(Data!$1:$1,1,ROW()-5),Deviations!$A:$E,5,FALSE)/60)),NA())</f>
        <v>#N/A</v>
      </c>
      <c r="D75" s="20" t="e">
        <f>IF(ROW()&lt;=COUNTA(Data!$2:$2)+5,IF(INDEX(Data!$C:$AZ,$D$2+1,ROW()-7)=-999,0,IF(INDEX(Data!$C:$AZ,$D$2+1,ROW()-7)&lt;0,NA(),INDEX(Data!$C:$AZ,$D$2+1,ROW()-7))),NA())</f>
        <v>#N/A</v>
      </c>
    </row>
    <row r="76" spans="1:4" x14ac:dyDescent="0.25">
      <c r="A76" s="21"/>
      <c r="B76" s="15"/>
      <c r="C76" s="15"/>
    </row>
    <row r="77" spans="1:4" x14ac:dyDescent="0.25">
      <c r="A77" s="21"/>
      <c r="B77" s="15"/>
      <c r="C77" s="15"/>
    </row>
    <row r="78" spans="1:4" x14ac:dyDescent="0.25">
      <c r="A78" s="21"/>
      <c r="B78" s="15"/>
      <c r="C78" s="15"/>
    </row>
  </sheetData>
  <phoneticPr fontId="4" type="noConversion"/>
  <conditionalFormatting sqref="A7">
    <cfRule type="cellIs" dxfId="0" priority="1" stopIfTrue="1" operator="equal">
      <formula>FALSE</formula>
    </cfRule>
  </conditionalFormatting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Drop Down 3">
              <controlPr defaultSize="0" autoLine="0" autoPict="0">
                <anchor moveWithCells="1">
                  <from>
                    <xdr:col>1</xdr:col>
                    <xdr:colOff>552450</xdr:colOff>
                    <xdr:row>0</xdr:row>
                    <xdr:rowOff>38100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Randomization</vt:lpstr>
      <vt:lpstr>Time Check</vt:lpstr>
      <vt:lpstr>Data</vt:lpstr>
      <vt:lpstr>Deviations</vt:lpstr>
      <vt:lpstr>Analysis</vt:lpstr>
      <vt:lpstr>Results</vt:lpstr>
      <vt:lpstr>Subject Graphs</vt:lpstr>
    </vt:vector>
  </TitlesOfParts>
  <Company>University of Toronto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d.dubins@utoronto.ca</dc:creator>
  <cp:lastModifiedBy>David Dubins</cp:lastModifiedBy>
  <cp:lastPrinted>2007-09-20T21:01:15Z</cp:lastPrinted>
  <dcterms:created xsi:type="dcterms:W3CDTF">2005-06-03T18:09:34Z</dcterms:created>
  <dcterms:modified xsi:type="dcterms:W3CDTF">2023-03-04T00:24:08Z</dcterms:modified>
</cp:coreProperties>
</file>