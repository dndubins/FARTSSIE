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331 2022/Problem Set 4 - NCA PK/2022/Fresh Progs/"/>
    </mc:Choice>
  </mc:AlternateContent>
  <xr:revisionPtr revIDLastSave="59" documentId="8_{D92B8109-5B43-4055-8705-42D601A9C88E}" xr6:coauthVersionLast="47" xr6:coauthVersionMax="47" xr10:uidLastSave="{9C89887B-8D87-4D8E-82CE-F02C6533E222}"/>
  <bookViews>
    <workbookView xWindow="-120" yWindow="-120" windowWidth="29040" windowHeight="1572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8" i="2" l="1"/>
  <c r="H20" i="2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X17" i="2"/>
  <c r="AH68" i="2"/>
  <c r="X16" i="2"/>
  <c r="X15" i="2"/>
  <c r="X14" i="2"/>
  <c r="AI68" i="2"/>
  <c r="Y3" i="2"/>
  <c r="AC3" i="2"/>
  <c r="B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X3" i="2"/>
  <c r="A3" i="2"/>
  <c r="D3" i="2"/>
  <c r="AC4" i="2"/>
  <c r="B4" i="2"/>
  <c r="X4" i="2"/>
  <c r="A4" i="2"/>
  <c r="D4" i="2"/>
  <c r="AC5" i="2"/>
  <c r="B5" i="2"/>
  <c r="X5" i="2"/>
  <c r="A5" i="2"/>
  <c r="D5" i="2"/>
  <c r="AC6" i="2"/>
  <c r="B6" i="2"/>
  <c r="X6" i="2"/>
  <c r="A6" i="2"/>
  <c r="D6" i="2"/>
  <c r="AC7" i="2"/>
  <c r="B7" i="2"/>
  <c r="X7" i="2"/>
  <c r="A7" i="2"/>
  <c r="D7" i="2"/>
  <c r="AC8" i="2"/>
  <c r="B8" i="2"/>
  <c r="X9" i="2"/>
  <c r="X8" i="2"/>
  <c r="A8" i="2"/>
  <c r="D8" i="2"/>
  <c r="AC9" i="2"/>
  <c r="B9" i="2"/>
  <c r="X10" i="2"/>
  <c r="A9" i="2"/>
  <c r="D9" i="2"/>
  <c r="AC10" i="2"/>
  <c r="B10" i="2"/>
  <c r="X11" i="2"/>
  <c r="A10" i="2"/>
  <c r="D10" i="2"/>
  <c r="AC11" i="2"/>
  <c r="B11" i="2"/>
  <c r="X12" i="2"/>
  <c r="A11" i="2"/>
  <c r="D11" i="2"/>
  <c r="AC12" i="2"/>
  <c r="B12" i="2"/>
  <c r="X13" i="2"/>
  <c r="A12" i="2"/>
  <c r="D12" i="2"/>
  <c r="AC13" i="2"/>
  <c r="B13" i="2"/>
  <c r="A13" i="2"/>
  <c r="D13" i="2"/>
  <c r="AC14" i="2"/>
  <c r="B14" i="2"/>
  <c r="A14" i="2"/>
  <c r="D14" i="2"/>
  <c r="AC15" i="2"/>
  <c r="A15" i="2"/>
  <c r="B15" i="2"/>
  <c r="D15" i="2"/>
  <c r="AC16" i="2"/>
  <c r="B16" i="2"/>
  <c r="X18" i="2"/>
  <c r="A16" i="2"/>
  <c r="D16" i="2"/>
  <c r="AC17" i="2"/>
  <c r="B17" i="2"/>
  <c r="X19" i="2"/>
  <c r="A17" i="2"/>
  <c r="D17" i="2"/>
  <c r="AC18" i="2"/>
  <c r="B18" i="2"/>
  <c r="A18" i="2"/>
  <c r="D18" i="2"/>
  <c r="AC19" i="2"/>
  <c r="B19" i="2"/>
  <c r="A19" i="2"/>
  <c r="D19" i="2"/>
  <c r="AC20" i="2"/>
  <c r="B20" i="2"/>
  <c r="D20" i="2"/>
  <c r="AC21" i="2"/>
  <c r="B21" i="2"/>
  <c r="D21" i="2"/>
  <c r="AC22" i="2"/>
  <c r="B22" i="2"/>
  <c r="D22" i="2"/>
  <c r="AC23" i="2"/>
  <c r="B23" i="2"/>
  <c r="D23" i="2"/>
  <c r="AC24" i="2"/>
  <c r="B24" i="2"/>
  <c r="D24" i="2"/>
  <c r="AC25" i="2"/>
  <c r="B25" i="2"/>
  <c r="D25" i="2"/>
  <c r="AC26" i="2"/>
  <c r="B26" i="2"/>
  <c r="D26" i="2"/>
  <c r="AC27" i="2"/>
  <c r="B27" i="2"/>
  <c r="D27" i="2"/>
  <c r="AC28" i="2"/>
  <c r="B28" i="2"/>
  <c r="D28" i="2"/>
  <c r="AC29" i="2"/>
  <c r="B29" i="2"/>
  <c r="D29" i="2"/>
  <c r="AC30" i="2"/>
  <c r="B30" i="2"/>
  <c r="D30" i="2"/>
  <c r="AC31" i="2"/>
  <c r="B31" i="2"/>
  <c r="D31" i="2"/>
  <c r="AC32" i="2"/>
  <c r="B32" i="2"/>
  <c r="D32" i="2"/>
  <c r="AC33" i="2"/>
  <c r="B33" i="2"/>
  <c r="D33" i="2"/>
  <c r="AC34" i="2"/>
  <c r="B34" i="2"/>
  <c r="D34" i="2"/>
  <c r="AC35" i="2"/>
  <c r="B35" i="2"/>
  <c r="D35" i="2"/>
  <c r="AC36" i="2"/>
  <c r="B36" i="2"/>
  <c r="D36" i="2"/>
  <c r="AC37" i="2"/>
  <c r="B37" i="2"/>
  <c r="D37" i="2"/>
  <c r="AC38" i="2"/>
  <c r="B38" i="2"/>
  <c r="D38" i="2"/>
  <c r="AC39" i="2"/>
  <c r="B39" i="2"/>
  <c r="D39" i="2"/>
  <c r="AC40" i="2"/>
  <c r="B40" i="2"/>
  <c r="D40" i="2"/>
  <c r="AC41" i="2"/>
  <c r="B41" i="2"/>
  <c r="D41" i="2"/>
  <c r="AC42" i="2"/>
  <c r="B42" i="2"/>
  <c r="D42" i="2"/>
  <c r="AC43" i="2"/>
  <c r="B43" i="2"/>
  <c r="D43" i="2"/>
  <c r="AC44" i="2"/>
  <c r="B44" i="2"/>
  <c r="D44" i="2"/>
  <c r="AC45" i="2"/>
  <c r="B45" i="2"/>
  <c r="D45" i="2"/>
  <c r="AC46" i="2"/>
  <c r="B46" i="2"/>
  <c r="D46" i="2"/>
  <c r="AC47" i="2"/>
  <c r="B47" i="2"/>
  <c r="D47" i="2"/>
  <c r="AC48" i="2"/>
  <c r="B48" i="2"/>
  <c r="D48" i="2"/>
  <c r="AC49" i="2"/>
  <c r="B49" i="2"/>
  <c r="D49" i="2"/>
  <c r="AC50" i="2"/>
  <c r="B50" i="2"/>
  <c r="D50" i="2"/>
  <c r="AC51" i="2"/>
  <c r="B51" i="2"/>
  <c r="D51" i="2"/>
  <c r="AC52" i="2"/>
  <c r="B52" i="2"/>
  <c r="D52" i="2"/>
  <c r="AC53" i="2"/>
  <c r="B53" i="2"/>
  <c r="D53" i="2"/>
  <c r="AC54" i="2"/>
  <c r="B54" i="2"/>
  <c r="D54" i="2"/>
  <c r="AC55" i="2"/>
  <c r="B55" i="2"/>
  <c r="D55" i="2"/>
  <c r="AC56" i="2"/>
  <c r="B56" i="2"/>
  <c r="D56" i="2"/>
  <c r="AC57" i="2"/>
  <c r="B57" i="2"/>
  <c r="D57" i="2"/>
  <c r="AC58" i="2"/>
  <c r="B58" i="2"/>
  <c r="D58" i="2"/>
  <c r="AC59" i="2"/>
  <c r="B59" i="2"/>
  <c r="D59" i="2"/>
  <c r="AC60" i="2"/>
  <c r="B60" i="2"/>
  <c r="D60" i="2"/>
  <c r="AC61" i="2"/>
  <c r="B61" i="2"/>
  <c r="D61" i="2"/>
  <c r="AC62" i="2"/>
  <c r="B62" i="2"/>
  <c r="D62" i="2"/>
  <c r="AC63" i="2"/>
  <c r="B63" i="2"/>
  <c r="D63" i="2"/>
  <c r="AC64" i="2"/>
  <c r="B64" i="2"/>
  <c r="D64" i="2"/>
  <c r="AC65" i="2"/>
  <c r="B65" i="2"/>
  <c r="D65" i="2"/>
  <c r="AC66" i="2"/>
  <c r="B66" i="2"/>
  <c r="D66" i="2"/>
  <c r="AC67" i="2"/>
  <c r="B67" i="2"/>
  <c r="D67" i="2"/>
  <c r="AC68" i="2"/>
  <c r="B68" i="2"/>
  <c r="D68" i="2"/>
  <c r="AC69" i="2"/>
  <c r="B69" i="2"/>
  <c r="D69" i="2"/>
  <c r="AC70" i="2"/>
  <c r="B70" i="2"/>
  <c r="D70" i="2"/>
  <c r="AJ68" i="2"/>
  <c r="AH69" i="2"/>
  <c r="AI69" i="2"/>
  <c r="AJ69" i="2"/>
  <c r="AH70" i="2"/>
  <c r="AI70" i="2"/>
  <c r="AJ70" i="2"/>
  <c r="AJ71" i="2"/>
  <c r="AH67" i="2"/>
  <c r="AI67" i="2"/>
  <c r="AK67" i="2"/>
  <c r="AK68" i="2"/>
  <c r="AK69" i="2"/>
  <c r="AK70" i="2"/>
  <c r="AK71" i="2"/>
  <c r="AH66" i="2"/>
  <c r="AI66" i="2"/>
  <c r="AL66" i="2"/>
  <c r="AL67" i="2"/>
  <c r="AL68" i="2"/>
  <c r="AL69" i="2"/>
  <c r="AL70" i="2"/>
  <c r="AL71" i="2"/>
  <c r="AH65" i="2"/>
  <c r="AI65" i="2"/>
  <c r="AM65" i="2"/>
  <c r="AM66" i="2"/>
  <c r="AM67" i="2"/>
  <c r="AM68" i="2"/>
  <c r="AM69" i="2"/>
  <c r="AM70" i="2"/>
  <c r="AM71" i="2"/>
  <c r="AH64" i="2"/>
  <c r="AI64" i="2"/>
  <c r="AN64" i="2"/>
  <c r="AN65" i="2"/>
  <c r="AN66" i="2"/>
  <c r="AN67" i="2"/>
  <c r="AN68" i="2"/>
  <c r="AN69" i="2"/>
  <c r="AN70" i="2"/>
  <c r="AN71" i="2"/>
  <c r="AH63" i="2"/>
  <c r="AI63" i="2"/>
  <c r="AO63" i="2"/>
  <c r="AO64" i="2"/>
  <c r="AO65" i="2"/>
  <c r="AO66" i="2"/>
  <c r="AO67" i="2"/>
  <c r="AO68" i="2"/>
  <c r="AO69" i="2"/>
  <c r="AO70" i="2"/>
  <c r="AO71" i="2"/>
  <c r="AH62" i="2"/>
  <c r="AI62" i="2"/>
  <c r="AP62" i="2"/>
  <c r="AP63" i="2"/>
  <c r="AP64" i="2"/>
  <c r="AP65" i="2"/>
  <c r="AP66" i="2"/>
  <c r="AP67" i="2"/>
  <c r="AP68" i="2"/>
  <c r="AP69" i="2"/>
  <c r="AP70" i="2"/>
  <c r="AP71" i="2"/>
  <c r="AH61" i="2"/>
  <c r="AI61" i="2"/>
  <c r="AQ61" i="2"/>
  <c r="AQ62" i="2"/>
  <c r="AQ63" i="2"/>
  <c r="AQ64" i="2"/>
  <c r="AQ65" i="2"/>
  <c r="AQ66" i="2"/>
  <c r="AQ67" i="2"/>
  <c r="AQ68" i="2"/>
  <c r="AQ69" i="2"/>
  <c r="AQ70" i="2"/>
  <c r="AQ71" i="2"/>
  <c r="AH60" i="2"/>
  <c r="AI60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H59" i="2"/>
  <c r="AI59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H58" i="2"/>
  <c r="AI58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H57" i="2"/>
  <c r="AI57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H56" i="2"/>
  <c r="AI56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H55" i="2"/>
  <c r="AI55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H54" i="2"/>
  <c r="AI54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H53" i="2"/>
  <c r="AI53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H52" i="2"/>
  <c r="AI52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H51" i="2"/>
  <c r="AI51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65" i="2"/>
  <c r="BA66" i="2"/>
  <c r="BA67" i="2"/>
  <c r="BA68" i="2"/>
  <c r="BA69" i="2"/>
  <c r="BA70" i="2"/>
  <c r="BA71" i="2"/>
  <c r="AH50" i="2"/>
  <c r="AI50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AH49" i="2"/>
  <c r="AI49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AH48" i="2"/>
  <c r="AI48" i="2"/>
  <c r="BD48" i="2"/>
  <c r="BD49" i="2"/>
  <c r="BD50" i="2"/>
  <c r="BD51" i="2"/>
  <c r="BD52" i="2"/>
  <c r="BD53" i="2"/>
  <c r="BD54" i="2"/>
  <c r="BD55" i="2"/>
  <c r="BD56" i="2"/>
  <c r="BD57" i="2"/>
  <c r="BD58" i="2"/>
  <c r="BD59" i="2"/>
  <c r="BD60" i="2"/>
  <c r="BD61" i="2"/>
  <c r="BD62" i="2"/>
  <c r="BD63" i="2"/>
  <c r="BD64" i="2"/>
  <c r="BD65" i="2"/>
  <c r="BD66" i="2"/>
  <c r="BD67" i="2"/>
  <c r="BD68" i="2"/>
  <c r="BD69" i="2"/>
  <c r="BD70" i="2"/>
  <c r="BD71" i="2"/>
  <c r="AH47" i="2"/>
  <c r="AI47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AH46" i="2"/>
  <c r="AI46" i="2"/>
  <c r="BF46" i="2"/>
  <c r="BF47" i="2"/>
  <c r="BF48" i="2"/>
  <c r="BF49" i="2"/>
  <c r="BF50" i="2"/>
  <c r="BF51" i="2"/>
  <c r="BF52" i="2"/>
  <c r="BF53" i="2"/>
  <c r="BF54" i="2"/>
  <c r="BF55" i="2"/>
  <c r="BF56" i="2"/>
  <c r="BF57" i="2"/>
  <c r="BF58" i="2"/>
  <c r="BF59" i="2"/>
  <c r="BF60" i="2"/>
  <c r="BF61" i="2"/>
  <c r="BF62" i="2"/>
  <c r="BF63" i="2"/>
  <c r="BF64" i="2"/>
  <c r="BF65" i="2"/>
  <c r="BF66" i="2"/>
  <c r="BF67" i="2"/>
  <c r="BF68" i="2"/>
  <c r="BF69" i="2"/>
  <c r="BF70" i="2"/>
  <c r="BF71" i="2"/>
  <c r="AH45" i="2"/>
  <c r="AI45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AH44" i="2"/>
  <c r="AI44" i="2"/>
  <c r="BH44" i="2"/>
  <c r="BH45" i="2"/>
  <c r="BH46" i="2"/>
  <c r="BH47" i="2"/>
  <c r="BH48" i="2"/>
  <c r="BH49" i="2"/>
  <c r="BH50" i="2"/>
  <c r="BH51" i="2"/>
  <c r="BH52" i="2"/>
  <c r="BH53" i="2"/>
  <c r="BH54" i="2"/>
  <c r="BH55" i="2"/>
  <c r="BH56" i="2"/>
  <c r="BH57" i="2"/>
  <c r="BH58" i="2"/>
  <c r="BH59" i="2"/>
  <c r="BH60" i="2"/>
  <c r="BH61" i="2"/>
  <c r="BH62" i="2"/>
  <c r="BH63" i="2"/>
  <c r="BH64" i="2"/>
  <c r="BH65" i="2"/>
  <c r="BH66" i="2"/>
  <c r="BH67" i="2"/>
  <c r="BH68" i="2"/>
  <c r="BH69" i="2"/>
  <c r="BH70" i="2"/>
  <c r="BH71" i="2"/>
  <c r="AH43" i="2"/>
  <c r="AI43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I62" i="2"/>
  <c r="BI63" i="2"/>
  <c r="BI64" i="2"/>
  <c r="BI65" i="2"/>
  <c r="BI66" i="2"/>
  <c r="BI67" i="2"/>
  <c r="BI68" i="2"/>
  <c r="BI69" i="2"/>
  <c r="BI70" i="2"/>
  <c r="BI71" i="2"/>
  <c r="AH42" i="2"/>
  <c r="AI42" i="2"/>
  <c r="BJ42" i="2"/>
  <c r="BJ43" i="2"/>
  <c r="BJ44" i="2"/>
  <c r="BJ45" i="2"/>
  <c r="BJ46" i="2"/>
  <c r="BJ47" i="2"/>
  <c r="BJ48" i="2"/>
  <c r="BJ49" i="2"/>
  <c r="BJ50" i="2"/>
  <c r="BJ51" i="2"/>
  <c r="BJ52" i="2"/>
  <c r="BJ53" i="2"/>
  <c r="BJ54" i="2"/>
  <c r="BJ55" i="2"/>
  <c r="BJ56" i="2"/>
  <c r="BJ57" i="2"/>
  <c r="BJ58" i="2"/>
  <c r="BJ59" i="2"/>
  <c r="BJ60" i="2"/>
  <c r="BJ61" i="2"/>
  <c r="BJ62" i="2"/>
  <c r="BJ63" i="2"/>
  <c r="BJ64" i="2"/>
  <c r="BJ65" i="2"/>
  <c r="BJ66" i="2"/>
  <c r="BJ67" i="2"/>
  <c r="BJ68" i="2"/>
  <c r="BJ69" i="2"/>
  <c r="BJ70" i="2"/>
  <c r="BJ71" i="2"/>
  <c r="AH41" i="2"/>
  <c r="AI41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AH40" i="2"/>
  <c r="AI40" i="2"/>
  <c r="BL40" i="2"/>
  <c r="BL41" i="2"/>
  <c r="BL42" i="2"/>
  <c r="BL43" i="2"/>
  <c r="BL44" i="2"/>
  <c r="BL45" i="2"/>
  <c r="BL46" i="2"/>
  <c r="BL47" i="2"/>
  <c r="BL48" i="2"/>
  <c r="BL49" i="2"/>
  <c r="BL50" i="2"/>
  <c r="BL51" i="2"/>
  <c r="BL52" i="2"/>
  <c r="BL53" i="2"/>
  <c r="BL54" i="2"/>
  <c r="BL55" i="2"/>
  <c r="BL56" i="2"/>
  <c r="BL57" i="2"/>
  <c r="BL58" i="2"/>
  <c r="BL59" i="2"/>
  <c r="BL60" i="2"/>
  <c r="BL61" i="2"/>
  <c r="BL62" i="2"/>
  <c r="BL63" i="2"/>
  <c r="BL64" i="2"/>
  <c r="BL65" i="2"/>
  <c r="BL66" i="2"/>
  <c r="BL67" i="2"/>
  <c r="BL68" i="2"/>
  <c r="BL69" i="2"/>
  <c r="BL70" i="2"/>
  <c r="BL71" i="2"/>
  <c r="AH39" i="2"/>
  <c r="AI39" i="2"/>
  <c r="BM39" i="2"/>
  <c r="BM40" i="2"/>
  <c r="BM41" i="2"/>
  <c r="BM42" i="2"/>
  <c r="BM43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BM57" i="2"/>
  <c r="BM58" i="2"/>
  <c r="BM59" i="2"/>
  <c r="BM60" i="2"/>
  <c r="BM61" i="2"/>
  <c r="BM62" i="2"/>
  <c r="BM63" i="2"/>
  <c r="BM64" i="2"/>
  <c r="BM65" i="2"/>
  <c r="BM66" i="2"/>
  <c r="BM67" i="2"/>
  <c r="BM68" i="2"/>
  <c r="BM69" i="2"/>
  <c r="BM70" i="2"/>
  <c r="BM71" i="2"/>
  <c r="AH38" i="2"/>
  <c r="AI38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AH37" i="2"/>
  <c r="AI37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AH36" i="2"/>
  <c r="AI36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P62" i="2"/>
  <c r="BP63" i="2"/>
  <c r="BP64" i="2"/>
  <c r="BP65" i="2"/>
  <c r="BP66" i="2"/>
  <c r="BP67" i="2"/>
  <c r="BP68" i="2"/>
  <c r="BP69" i="2"/>
  <c r="BP70" i="2"/>
  <c r="BP71" i="2"/>
  <c r="AH35" i="2"/>
  <c r="AI35" i="2"/>
  <c r="BQ35" i="2"/>
  <c r="BQ36" i="2"/>
  <c r="BQ37" i="2"/>
  <c r="BQ38" i="2"/>
  <c r="BQ39" i="2"/>
  <c r="BQ40" i="2"/>
  <c r="BQ41" i="2"/>
  <c r="BQ42" i="2"/>
  <c r="BQ43" i="2"/>
  <c r="BQ44" i="2"/>
  <c r="BQ45" i="2"/>
  <c r="BQ46" i="2"/>
  <c r="BQ47" i="2"/>
  <c r="BQ48" i="2"/>
  <c r="BQ49" i="2"/>
  <c r="BQ50" i="2"/>
  <c r="BQ51" i="2"/>
  <c r="BQ52" i="2"/>
  <c r="BQ53" i="2"/>
  <c r="BQ54" i="2"/>
  <c r="BQ55" i="2"/>
  <c r="BQ56" i="2"/>
  <c r="BQ57" i="2"/>
  <c r="BQ58" i="2"/>
  <c r="BQ59" i="2"/>
  <c r="BQ60" i="2"/>
  <c r="BQ61" i="2"/>
  <c r="BQ62" i="2"/>
  <c r="BQ63" i="2"/>
  <c r="BQ64" i="2"/>
  <c r="BQ65" i="2"/>
  <c r="BQ66" i="2"/>
  <c r="BQ67" i="2"/>
  <c r="BQ68" i="2"/>
  <c r="BQ69" i="2"/>
  <c r="BQ70" i="2"/>
  <c r="BQ71" i="2"/>
  <c r="AH34" i="2"/>
  <c r="AI34" i="2"/>
  <c r="BR34" i="2"/>
  <c r="BR35" i="2"/>
  <c r="BR36" i="2"/>
  <c r="BR37" i="2"/>
  <c r="BR38" i="2"/>
  <c r="BR39" i="2"/>
  <c r="BR40" i="2"/>
  <c r="BR41" i="2"/>
  <c r="BR42" i="2"/>
  <c r="BR43" i="2"/>
  <c r="BR44" i="2"/>
  <c r="BR45" i="2"/>
  <c r="BR46" i="2"/>
  <c r="BR47" i="2"/>
  <c r="BR48" i="2"/>
  <c r="BR49" i="2"/>
  <c r="BR50" i="2"/>
  <c r="BR51" i="2"/>
  <c r="BR52" i="2"/>
  <c r="BR53" i="2"/>
  <c r="BR54" i="2"/>
  <c r="BR55" i="2"/>
  <c r="BR56" i="2"/>
  <c r="BR57" i="2"/>
  <c r="BR58" i="2"/>
  <c r="BR59" i="2"/>
  <c r="BR60" i="2"/>
  <c r="BR61" i="2"/>
  <c r="BR62" i="2"/>
  <c r="BR63" i="2"/>
  <c r="BR64" i="2"/>
  <c r="BR65" i="2"/>
  <c r="BR66" i="2"/>
  <c r="BR67" i="2"/>
  <c r="BR68" i="2"/>
  <c r="BR69" i="2"/>
  <c r="BR70" i="2"/>
  <c r="BR71" i="2"/>
  <c r="AH33" i="2"/>
  <c r="AI33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AH32" i="2"/>
  <c r="AI32" i="2"/>
  <c r="BT32" i="2"/>
  <c r="BT33" i="2"/>
  <c r="BT34" i="2"/>
  <c r="BT35" i="2"/>
  <c r="BT36" i="2"/>
  <c r="BT37" i="2"/>
  <c r="BT38" i="2"/>
  <c r="BT39" i="2"/>
  <c r="BT40" i="2"/>
  <c r="BT41" i="2"/>
  <c r="BT42" i="2"/>
  <c r="BT43" i="2"/>
  <c r="BT44" i="2"/>
  <c r="BT45" i="2"/>
  <c r="BT46" i="2"/>
  <c r="BT47" i="2"/>
  <c r="BT48" i="2"/>
  <c r="BT49" i="2"/>
  <c r="BT50" i="2"/>
  <c r="BT51" i="2"/>
  <c r="BT52" i="2"/>
  <c r="BT53" i="2"/>
  <c r="BT54" i="2"/>
  <c r="BT55" i="2"/>
  <c r="BT56" i="2"/>
  <c r="BT57" i="2"/>
  <c r="BT58" i="2"/>
  <c r="BT59" i="2"/>
  <c r="BT60" i="2"/>
  <c r="BT61" i="2"/>
  <c r="BT62" i="2"/>
  <c r="BT63" i="2"/>
  <c r="BT64" i="2"/>
  <c r="BT65" i="2"/>
  <c r="BT66" i="2"/>
  <c r="BT67" i="2"/>
  <c r="BT68" i="2"/>
  <c r="BT69" i="2"/>
  <c r="BT70" i="2"/>
  <c r="BT71" i="2"/>
  <c r="AH31" i="2"/>
  <c r="AI31" i="2"/>
  <c r="BU31" i="2"/>
  <c r="BU32" i="2"/>
  <c r="BU33" i="2"/>
  <c r="BU34" i="2"/>
  <c r="BU35" i="2"/>
  <c r="BU36" i="2"/>
  <c r="BU37" i="2"/>
  <c r="BU38" i="2"/>
  <c r="BU39" i="2"/>
  <c r="BU40" i="2"/>
  <c r="BU41" i="2"/>
  <c r="BU42" i="2"/>
  <c r="BU43" i="2"/>
  <c r="BU44" i="2"/>
  <c r="BU45" i="2"/>
  <c r="BU46" i="2"/>
  <c r="BU47" i="2"/>
  <c r="BU48" i="2"/>
  <c r="BU49" i="2"/>
  <c r="BU50" i="2"/>
  <c r="BU51" i="2"/>
  <c r="BU52" i="2"/>
  <c r="BU53" i="2"/>
  <c r="BU54" i="2"/>
  <c r="BU55" i="2"/>
  <c r="BU56" i="2"/>
  <c r="BU57" i="2"/>
  <c r="BU58" i="2"/>
  <c r="BU59" i="2"/>
  <c r="BU60" i="2"/>
  <c r="BU61" i="2"/>
  <c r="BU62" i="2"/>
  <c r="BU63" i="2"/>
  <c r="BU64" i="2"/>
  <c r="BU65" i="2"/>
  <c r="BU66" i="2"/>
  <c r="BU67" i="2"/>
  <c r="BU68" i="2"/>
  <c r="BU69" i="2"/>
  <c r="BU70" i="2"/>
  <c r="BU71" i="2"/>
  <c r="AH30" i="2"/>
  <c r="AI30" i="2"/>
  <c r="BV30" i="2"/>
  <c r="BV31" i="2"/>
  <c r="BV32" i="2"/>
  <c r="BV33" i="2"/>
  <c r="BV34" i="2"/>
  <c r="BV35" i="2"/>
  <c r="BV36" i="2"/>
  <c r="BV37" i="2"/>
  <c r="BV38" i="2"/>
  <c r="BV39" i="2"/>
  <c r="BV40" i="2"/>
  <c r="BV41" i="2"/>
  <c r="BV42" i="2"/>
  <c r="BV43" i="2"/>
  <c r="BV44" i="2"/>
  <c r="BV45" i="2"/>
  <c r="BV46" i="2"/>
  <c r="BV47" i="2"/>
  <c r="BV48" i="2"/>
  <c r="BV49" i="2"/>
  <c r="BV50" i="2"/>
  <c r="BV51" i="2"/>
  <c r="BV52" i="2"/>
  <c r="BV53" i="2"/>
  <c r="BV54" i="2"/>
  <c r="BV55" i="2"/>
  <c r="BV56" i="2"/>
  <c r="BV57" i="2"/>
  <c r="BV58" i="2"/>
  <c r="BV59" i="2"/>
  <c r="BV60" i="2"/>
  <c r="BV61" i="2"/>
  <c r="BV62" i="2"/>
  <c r="BV63" i="2"/>
  <c r="BV64" i="2"/>
  <c r="BV65" i="2"/>
  <c r="BV66" i="2"/>
  <c r="BV67" i="2"/>
  <c r="BV68" i="2"/>
  <c r="BV69" i="2"/>
  <c r="BV70" i="2"/>
  <c r="BV71" i="2"/>
  <c r="AH29" i="2"/>
  <c r="AI29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AH28" i="2"/>
  <c r="AI28" i="2"/>
  <c r="BX28" i="2"/>
  <c r="BX29" i="2"/>
  <c r="BX30" i="2"/>
  <c r="BX31" i="2"/>
  <c r="BX32" i="2"/>
  <c r="BX33" i="2"/>
  <c r="BX34" i="2"/>
  <c r="BX35" i="2"/>
  <c r="BX36" i="2"/>
  <c r="BX37" i="2"/>
  <c r="BX38" i="2"/>
  <c r="BX39" i="2"/>
  <c r="BX40" i="2"/>
  <c r="BX41" i="2"/>
  <c r="BX42" i="2"/>
  <c r="BX43" i="2"/>
  <c r="BX44" i="2"/>
  <c r="BX45" i="2"/>
  <c r="BX46" i="2"/>
  <c r="BX47" i="2"/>
  <c r="BX48" i="2"/>
  <c r="BX49" i="2"/>
  <c r="BX50" i="2"/>
  <c r="BX51" i="2"/>
  <c r="BX52" i="2"/>
  <c r="BX53" i="2"/>
  <c r="BX54" i="2"/>
  <c r="BX55" i="2"/>
  <c r="BX56" i="2"/>
  <c r="BX57" i="2"/>
  <c r="BX58" i="2"/>
  <c r="BX59" i="2"/>
  <c r="BX60" i="2"/>
  <c r="BX61" i="2"/>
  <c r="BX62" i="2"/>
  <c r="BX63" i="2"/>
  <c r="BX64" i="2"/>
  <c r="BX65" i="2"/>
  <c r="BX66" i="2"/>
  <c r="BX67" i="2"/>
  <c r="BX68" i="2"/>
  <c r="BX69" i="2"/>
  <c r="BX70" i="2"/>
  <c r="BX71" i="2"/>
  <c r="AH27" i="2"/>
  <c r="AI27" i="2"/>
  <c r="BY27" i="2"/>
  <c r="BY28" i="2"/>
  <c r="BY29" i="2"/>
  <c r="BY30" i="2"/>
  <c r="BY31" i="2"/>
  <c r="BY32" i="2"/>
  <c r="BY33" i="2"/>
  <c r="BY34" i="2"/>
  <c r="BY35" i="2"/>
  <c r="BY36" i="2"/>
  <c r="BY37" i="2"/>
  <c r="BY38" i="2"/>
  <c r="BY39" i="2"/>
  <c r="BY40" i="2"/>
  <c r="BY41" i="2"/>
  <c r="BY42" i="2"/>
  <c r="BY43" i="2"/>
  <c r="BY44" i="2"/>
  <c r="BY45" i="2"/>
  <c r="BY46" i="2"/>
  <c r="BY47" i="2"/>
  <c r="BY48" i="2"/>
  <c r="BY49" i="2"/>
  <c r="BY50" i="2"/>
  <c r="BY51" i="2"/>
  <c r="BY52" i="2"/>
  <c r="BY53" i="2"/>
  <c r="BY54" i="2"/>
  <c r="BY55" i="2"/>
  <c r="BY56" i="2"/>
  <c r="BY57" i="2"/>
  <c r="BY58" i="2"/>
  <c r="BY59" i="2"/>
  <c r="BY60" i="2"/>
  <c r="BY61" i="2"/>
  <c r="BY62" i="2"/>
  <c r="BY63" i="2"/>
  <c r="BY64" i="2"/>
  <c r="BY65" i="2"/>
  <c r="BY66" i="2"/>
  <c r="BY67" i="2"/>
  <c r="BY68" i="2"/>
  <c r="BY69" i="2"/>
  <c r="BY70" i="2"/>
  <c r="BY71" i="2"/>
  <c r="AH26" i="2"/>
  <c r="AI26" i="2"/>
  <c r="BZ26" i="2"/>
  <c r="BZ27" i="2"/>
  <c r="BZ28" i="2"/>
  <c r="BZ29" i="2"/>
  <c r="BZ30" i="2"/>
  <c r="BZ31" i="2"/>
  <c r="BZ32" i="2"/>
  <c r="BZ33" i="2"/>
  <c r="BZ34" i="2"/>
  <c r="BZ35" i="2"/>
  <c r="BZ36" i="2"/>
  <c r="BZ37" i="2"/>
  <c r="BZ38" i="2"/>
  <c r="BZ39" i="2"/>
  <c r="BZ40" i="2"/>
  <c r="BZ41" i="2"/>
  <c r="BZ42" i="2"/>
  <c r="BZ43" i="2"/>
  <c r="BZ44" i="2"/>
  <c r="BZ45" i="2"/>
  <c r="BZ46" i="2"/>
  <c r="BZ47" i="2"/>
  <c r="BZ48" i="2"/>
  <c r="BZ49" i="2"/>
  <c r="BZ50" i="2"/>
  <c r="BZ51" i="2"/>
  <c r="BZ52" i="2"/>
  <c r="BZ53" i="2"/>
  <c r="BZ54" i="2"/>
  <c r="BZ55" i="2"/>
  <c r="BZ56" i="2"/>
  <c r="BZ57" i="2"/>
  <c r="BZ58" i="2"/>
  <c r="BZ59" i="2"/>
  <c r="BZ60" i="2"/>
  <c r="BZ61" i="2"/>
  <c r="BZ62" i="2"/>
  <c r="BZ63" i="2"/>
  <c r="BZ64" i="2"/>
  <c r="BZ65" i="2"/>
  <c r="BZ66" i="2"/>
  <c r="BZ67" i="2"/>
  <c r="BZ68" i="2"/>
  <c r="BZ69" i="2"/>
  <c r="BZ70" i="2"/>
  <c r="BZ71" i="2"/>
  <c r="AH25" i="2"/>
  <c r="AI25" i="2"/>
  <c r="CA25" i="2"/>
  <c r="CA26" i="2"/>
  <c r="CA27" i="2"/>
  <c r="CA28" i="2"/>
  <c r="CA29" i="2"/>
  <c r="CA30" i="2"/>
  <c r="CA31" i="2"/>
  <c r="CA32" i="2"/>
  <c r="CA33" i="2"/>
  <c r="CA34" i="2"/>
  <c r="CA35" i="2"/>
  <c r="CA36" i="2"/>
  <c r="CA37" i="2"/>
  <c r="CA38" i="2"/>
  <c r="CA39" i="2"/>
  <c r="CA40" i="2"/>
  <c r="CA41" i="2"/>
  <c r="CA42" i="2"/>
  <c r="CA43" i="2"/>
  <c r="CA44" i="2"/>
  <c r="CA45" i="2"/>
  <c r="CA46" i="2"/>
  <c r="CA47" i="2"/>
  <c r="CA48" i="2"/>
  <c r="CA49" i="2"/>
  <c r="CA50" i="2"/>
  <c r="CA51" i="2"/>
  <c r="CA52" i="2"/>
  <c r="CA53" i="2"/>
  <c r="CA54" i="2"/>
  <c r="CA55" i="2"/>
  <c r="CA56" i="2"/>
  <c r="CA57" i="2"/>
  <c r="CA58" i="2"/>
  <c r="CA59" i="2"/>
  <c r="CA60" i="2"/>
  <c r="CA61" i="2"/>
  <c r="CA62" i="2"/>
  <c r="CA63" i="2"/>
  <c r="CA64" i="2"/>
  <c r="CA65" i="2"/>
  <c r="CA66" i="2"/>
  <c r="CA67" i="2"/>
  <c r="CA68" i="2"/>
  <c r="CA69" i="2"/>
  <c r="CA70" i="2"/>
  <c r="CA71" i="2"/>
  <c r="AH24" i="2"/>
  <c r="AI24" i="2"/>
  <c r="CB24" i="2"/>
  <c r="CB25" i="2"/>
  <c r="CB26" i="2"/>
  <c r="CB27" i="2"/>
  <c r="CB28" i="2"/>
  <c r="CB29" i="2"/>
  <c r="CB30" i="2"/>
  <c r="CB31" i="2"/>
  <c r="CB32" i="2"/>
  <c r="CB33" i="2"/>
  <c r="CB34" i="2"/>
  <c r="CB35" i="2"/>
  <c r="CB36" i="2"/>
  <c r="CB37" i="2"/>
  <c r="CB38" i="2"/>
  <c r="CB39" i="2"/>
  <c r="CB40" i="2"/>
  <c r="CB41" i="2"/>
  <c r="CB42" i="2"/>
  <c r="CB43" i="2"/>
  <c r="CB44" i="2"/>
  <c r="CB45" i="2"/>
  <c r="CB46" i="2"/>
  <c r="CB47" i="2"/>
  <c r="CB48" i="2"/>
  <c r="CB49" i="2"/>
  <c r="CB50" i="2"/>
  <c r="CB51" i="2"/>
  <c r="CB52" i="2"/>
  <c r="CB53" i="2"/>
  <c r="CB54" i="2"/>
  <c r="CB55" i="2"/>
  <c r="CB56" i="2"/>
  <c r="CB57" i="2"/>
  <c r="CB58" i="2"/>
  <c r="CB59" i="2"/>
  <c r="CB60" i="2"/>
  <c r="CB61" i="2"/>
  <c r="CB62" i="2"/>
  <c r="CB63" i="2"/>
  <c r="CB64" i="2"/>
  <c r="CB65" i="2"/>
  <c r="CB66" i="2"/>
  <c r="CB67" i="2"/>
  <c r="CB68" i="2"/>
  <c r="CB69" i="2"/>
  <c r="CB70" i="2"/>
  <c r="CB71" i="2"/>
  <c r="AH23" i="2"/>
  <c r="AI23" i="2"/>
  <c r="CC23" i="2"/>
  <c r="CC24" i="2"/>
  <c r="CC25" i="2"/>
  <c r="CC26" i="2"/>
  <c r="CC27" i="2"/>
  <c r="CC28" i="2"/>
  <c r="CC29" i="2"/>
  <c r="CC30" i="2"/>
  <c r="CC31" i="2"/>
  <c r="CC32" i="2"/>
  <c r="CC33" i="2"/>
  <c r="CC34" i="2"/>
  <c r="CC35" i="2"/>
  <c r="CC36" i="2"/>
  <c r="CC37" i="2"/>
  <c r="CC38" i="2"/>
  <c r="CC39" i="2"/>
  <c r="CC40" i="2"/>
  <c r="CC41" i="2"/>
  <c r="CC42" i="2"/>
  <c r="CC43" i="2"/>
  <c r="CC44" i="2"/>
  <c r="CC45" i="2"/>
  <c r="CC46" i="2"/>
  <c r="CC47" i="2"/>
  <c r="CC48" i="2"/>
  <c r="CC49" i="2"/>
  <c r="CC50" i="2"/>
  <c r="CC51" i="2"/>
  <c r="CC52" i="2"/>
  <c r="CC53" i="2"/>
  <c r="CC54" i="2"/>
  <c r="CC55" i="2"/>
  <c r="CC56" i="2"/>
  <c r="CC57" i="2"/>
  <c r="CC58" i="2"/>
  <c r="CC59" i="2"/>
  <c r="CC60" i="2"/>
  <c r="CC61" i="2"/>
  <c r="CC62" i="2"/>
  <c r="CC63" i="2"/>
  <c r="CC64" i="2"/>
  <c r="CC65" i="2"/>
  <c r="CC66" i="2"/>
  <c r="CC67" i="2"/>
  <c r="CC68" i="2"/>
  <c r="CC69" i="2"/>
  <c r="CC70" i="2"/>
  <c r="CC71" i="2"/>
  <c r="AH22" i="2"/>
  <c r="AI22" i="2"/>
  <c r="CD22" i="2"/>
  <c r="CD23" i="2"/>
  <c r="CD24" i="2"/>
  <c r="CD25" i="2"/>
  <c r="CD26" i="2"/>
  <c r="CD27" i="2"/>
  <c r="CD28" i="2"/>
  <c r="CD29" i="2"/>
  <c r="CD30" i="2"/>
  <c r="CD31" i="2"/>
  <c r="CD32" i="2"/>
  <c r="CD33" i="2"/>
  <c r="CD34" i="2"/>
  <c r="CD35" i="2"/>
  <c r="CD36" i="2"/>
  <c r="CD37" i="2"/>
  <c r="CD38" i="2"/>
  <c r="CD39" i="2"/>
  <c r="CD40" i="2"/>
  <c r="CD41" i="2"/>
  <c r="CD42" i="2"/>
  <c r="CD43" i="2"/>
  <c r="CD44" i="2"/>
  <c r="CD45" i="2"/>
  <c r="CD46" i="2"/>
  <c r="CD47" i="2"/>
  <c r="CD48" i="2"/>
  <c r="CD49" i="2"/>
  <c r="CD50" i="2"/>
  <c r="CD51" i="2"/>
  <c r="CD52" i="2"/>
  <c r="CD53" i="2"/>
  <c r="CD54" i="2"/>
  <c r="CD55" i="2"/>
  <c r="CD56" i="2"/>
  <c r="CD57" i="2"/>
  <c r="CD58" i="2"/>
  <c r="CD59" i="2"/>
  <c r="CD60" i="2"/>
  <c r="CD61" i="2"/>
  <c r="CD62" i="2"/>
  <c r="CD63" i="2"/>
  <c r="CD64" i="2"/>
  <c r="CD65" i="2"/>
  <c r="CD66" i="2"/>
  <c r="CD67" i="2"/>
  <c r="CD68" i="2"/>
  <c r="CD69" i="2"/>
  <c r="CD70" i="2"/>
  <c r="CD71" i="2"/>
  <c r="AH21" i="2"/>
  <c r="AI21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CE37" i="2"/>
  <c r="CE38" i="2"/>
  <c r="CE39" i="2"/>
  <c r="CE40" i="2"/>
  <c r="CE41" i="2"/>
  <c r="CE42" i="2"/>
  <c r="CE43" i="2"/>
  <c r="CE44" i="2"/>
  <c r="CE45" i="2"/>
  <c r="CE46" i="2"/>
  <c r="CE47" i="2"/>
  <c r="CE48" i="2"/>
  <c r="CE49" i="2"/>
  <c r="CE50" i="2"/>
  <c r="CE51" i="2"/>
  <c r="CE52" i="2"/>
  <c r="CE53" i="2"/>
  <c r="CE54" i="2"/>
  <c r="CE55" i="2"/>
  <c r="CE56" i="2"/>
  <c r="CE57" i="2"/>
  <c r="CE58" i="2"/>
  <c r="CE59" i="2"/>
  <c r="CE60" i="2"/>
  <c r="CE61" i="2"/>
  <c r="CE62" i="2"/>
  <c r="CE63" i="2"/>
  <c r="CE64" i="2"/>
  <c r="CE65" i="2"/>
  <c r="CE66" i="2"/>
  <c r="CE67" i="2"/>
  <c r="CE68" i="2"/>
  <c r="CE69" i="2"/>
  <c r="CE70" i="2"/>
  <c r="CE71" i="2"/>
  <c r="AH20" i="2"/>
  <c r="AI20" i="2"/>
  <c r="CF20" i="2"/>
  <c r="CF21" i="2"/>
  <c r="CF22" i="2"/>
  <c r="CF23" i="2"/>
  <c r="CF24" i="2"/>
  <c r="CF25" i="2"/>
  <c r="CF26" i="2"/>
  <c r="CF27" i="2"/>
  <c r="CF28" i="2"/>
  <c r="CF29" i="2"/>
  <c r="CF30" i="2"/>
  <c r="CF31" i="2"/>
  <c r="CF32" i="2"/>
  <c r="CF33" i="2"/>
  <c r="CF34" i="2"/>
  <c r="CF35" i="2"/>
  <c r="CF36" i="2"/>
  <c r="CF37" i="2"/>
  <c r="CF38" i="2"/>
  <c r="CF39" i="2"/>
  <c r="CF40" i="2"/>
  <c r="CF41" i="2"/>
  <c r="CF42" i="2"/>
  <c r="CF43" i="2"/>
  <c r="CF44" i="2"/>
  <c r="CF45" i="2"/>
  <c r="CF46" i="2"/>
  <c r="CF47" i="2"/>
  <c r="CF48" i="2"/>
  <c r="CF49" i="2"/>
  <c r="CF50" i="2"/>
  <c r="CF51" i="2"/>
  <c r="CF52" i="2"/>
  <c r="CF53" i="2"/>
  <c r="CF54" i="2"/>
  <c r="CF55" i="2"/>
  <c r="CF56" i="2"/>
  <c r="CF57" i="2"/>
  <c r="CF58" i="2"/>
  <c r="CF59" i="2"/>
  <c r="CF60" i="2"/>
  <c r="CF61" i="2"/>
  <c r="CF62" i="2"/>
  <c r="CF63" i="2"/>
  <c r="CF64" i="2"/>
  <c r="CF65" i="2"/>
  <c r="CF66" i="2"/>
  <c r="CF67" i="2"/>
  <c r="CF68" i="2"/>
  <c r="CF69" i="2"/>
  <c r="CF70" i="2"/>
  <c r="CF71" i="2"/>
  <c r="AH19" i="2"/>
  <c r="AI19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G37" i="2"/>
  <c r="CG38" i="2"/>
  <c r="CG39" i="2"/>
  <c r="CG40" i="2"/>
  <c r="CG41" i="2"/>
  <c r="CG42" i="2"/>
  <c r="CG43" i="2"/>
  <c r="CG44" i="2"/>
  <c r="CG45" i="2"/>
  <c r="CG46" i="2"/>
  <c r="CG47" i="2"/>
  <c r="CG48" i="2"/>
  <c r="CG49" i="2"/>
  <c r="CG50" i="2"/>
  <c r="CG51" i="2"/>
  <c r="CG52" i="2"/>
  <c r="CG53" i="2"/>
  <c r="CG54" i="2"/>
  <c r="CG55" i="2"/>
  <c r="CG56" i="2"/>
  <c r="CG57" i="2"/>
  <c r="CG58" i="2"/>
  <c r="CG59" i="2"/>
  <c r="CG60" i="2"/>
  <c r="CG61" i="2"/>
  <c r="CG62" i="2"/>
  <c r="CG63" i="2"/>
  <c r="CG64" i="2"/>
  <c r="CG65" i="2"/>
  <c r="CG66" i="2"/>
  <c r="CG67" i="2"/>
  <c r="CG68" i="2"/>
  <c r="CG69" i="2"/>
  <c r="CG70" i="2"/>
  <c r="CG71" i="2"/>
  <c r="AH18" i="2"/>
  <c r="AI18" i="2"/>
  <c r="CH18" i="2"/>
  <c r="CH19" i="2"/>
  <c r="CH20" i="2"/>
  <c r="CH21" i="2"/>
  <c r="CH22" i="2"/>
  <c r="CH23" i="2"/>
  <c r="CH24" i="2"/>
  <c r="CH25" i="2"/>
  <c r="CH26" i="2"/>
  <c r="CH27" i="2"/>
  <c r="CH28" i="2"/>
  <c r="CH29" i="2"/>
  <c r="CH30" i="2"/>
  <c r="CH31" i="2"/>
  <c r="CH32" i="2"/>
  <c r="CH33" i="2"/>
  <c r="CH34" i="2"/>
  <c r="CH35" i="2"/>
  <c r="CH36" i="2"/>
  <c r="CH37" i="2"/>
  <c r="CH38" i="2"/>
  <c r="CH39" i="2"/>
  <c r="CH40" i="2"/>
  <c r="CH41" i="2"/>
  <c r="CH42" i="2"/>
  <c r="CH43" i="2"/>
  <c r="CH44" i="2"/>
  <c r="CH45" i="2"/>
  <c r="CH46" i="2"/>
  <c r="CH47" i="2"/>
  <c r="CH48" i="2"/>
  <c r="CH49" i="2"/>
  <c r="CH50" i="2"/>
  <c r="CH51" i="2"/>
  <c r="CH52" i="2"/>
  <c r="CH53" i="2"/>
  <c r="CH54" i="2"/>
  <c r="CH55" i="2"/>
  <c r="CH56" i="2"/>
  <c r="CH57" i="2"/>
  <c r="CH58" i="2"/>
  <c r="CH59" i="2"/>
  <c r="CH60" i="2"/>
  <c r="CH61" i="2"/>
  <c r="CH62" i="2"/>
  <c r="CH63" i="2"/>
  <c r="CH64" i="2"/>
  <c r="CH65" i="2"/>
  <c r="CH66" i="2"/>
  <c r="CH67" i="2"/>
  <c r="CH68" i="2"/>
  <c r="CH69" i="2"/>
  <c r="CH70" i="2"/>
  <c r="CH71" i="2"/>
  <c r="AH17" i="2"/>
  <c r="AI17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I37" i="2"/>
  <c r="CI38" i="2"/>
  <c r="CI39" i="2"/>
  <c r="CI40" i="2"/>
  <c r="CI41" i="2"/>
  <c r="CI42" i="2"/>
  <c r="CI43" i="2"/>
  <c r="CI44" i="2"/>
  <c r="CI45" i="2"/>
  <c r="CI46" i="2"/>
  <c r="CI47" i="2"/>
  <c r="CI48" i="2"/>
  <c r="CI49" i="2"/>
  <c r="CI50" i="2"/>
  <c r="CI51" i="2"/>
  <c r="CI52" i="2"/>
  <c r="CI53" i="2"/>
  <c r="CI54" i="2"/>
  <c r="CI55" i="2"/>
  <c r="CI56" i="2"/>
  <c r="CI57" i="2"/>
  <c r="CI58" i="2"/>
  <c r="CI59" i="2"/>
  <c r="CI60" i="2"/>
  <c r="CI61" i="2"/>
  <c r="CI62" i="2"/>
  <c r="CI63" i="2"/>
  <c r="CI64" i="2"/>
  <c r="CI65" i="2"/>
  <c r="CI66" i="2"/>
  <c r="CI67" i="2"/>
  <c r="CI68" i="2"/>
  <c r="CI69" i="2"/>
  <c r="CI70" i="2"/>
  <c r="CI71" i="2"/>
  <c r="AH16" i="2"/>
  <c r="AI16" i="2"/>
  <c r="CJ16" i="2"/>
  <c r="CJ17" i="2"/>
  <c r="CJ18" i="2"/>
  <c r="CJ19" i="2"/>
  <c r="CJ20" i="2"/>
  <c r="CJ21" i="2"/>
  <c r="CJ22" i="2"/>
  <c r="CJ23" i="2"/>
  <c r="CJ24" i="2"/>
  <c r="CJ25" i="2"/>
  <c r="CJ26" i="2"/>
  <c r="CJ27" i="2"/>
  <c r="CJ28" i="2"/>
  <c r="CJ29" i="2"/>
  <c r="CJ30" i="2"/>
  <c r="CJ31" i="2"/>
  <c r="CJ32" i="2"/>
  <c r="CJ33" i="2"/>
  <c r="CJ34" i="2"/>
  <c r="CJ35" i="2"/>
  <c r="CJ36" i="2"/>
  <c r="CJ37" i="2"/>
  <c r="CJ38" i="2"/>
  <c r="CJ39" i="2"/>
  <c r="CJ40" i="2"/>
  <c r="CJ41" i="2"/>
  <c r="CJ42" i="2"/>
  <c r="CJ43" i="2"/>
  <c r="CJ44" i="2"/>
  <c r="CJ45" i="2"/>
  <c r="CJ46" i="2"/>
  <c r="CJ47" i="2"/>
  <c r="CJ48" i="2"/>
  <c r="CJ49" i="2"/>
  <c r="CJ50" i="2"/>
  <c r="CJ51" i="2"/>
  <c r="CJ52" i="2"/>
  <c r="CJ53" i="2"/>
  <c r="CJ54" i="2"/>
  <c r="CJ55" i="2"/>
  <c r="CJ56" i="2"/>
  <c r="CJ57" i="2"/>
  <c r="CJ58" i="2"/>
  <c r="CJ59" i="2"/>
  <c r="CJ60" i="2"/>
  <c r="CJ61" i="2"/>
  <c r="CJ62" i="2"/>
  <c r="CJ63" i="2"/>
  <c r="CJ64" i="2"/>
  <c r="CJ65" i="2"/>
  <c r="CJ66" i="2"/>
  <c r="CJ67" i="2"/>
  <c r="CJ68" i="2"/>
  <c r="CJ69" i="2"/>
  <c r="CJ70" i="2"/>
  <c r="CJ71" i="2"/>
  <c r="AH15" i="2"/>
  <c r="AI15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65" i="2"/>
  <c r="CK66" i="2"/>
  <c r="CK67" i="2"/>
  <c r="CK68" i="2"/>
  <c r="CK69" i="2"/>
  <c r="CK70" i="2"/>
  <c r="CK71" i="2"/>
  <c r="AH14" i="2"/>
  <c r="AI14" i="2"/>
  <c r="CL14" i="2"/>
  <c r="CL15" i="2"/>
  <c r="CL16" i="2"/>
  <c r="CL17" i="2"/>
  <c r="CL18" i="2"/>
  <c r="CL19" i="2"/>
  <c r="CL20" i="2"/>
  <c r="CL21" i="2"/>
  <c r="CL22" i="2"/>
  <c r="CL23" i="2"/>
  <c r="CL24" i="2"/>
  <c r="CL25" i="2"/>
  <c r="CL26" i="2"/>
  <c r="CL27" i="2"/>
  <c r="CL28" i="2"/>
  <c r="CL29" i="2"/>
  <c r="CL30" i="2"/>
  <c r="CL31" i="2"/>
  <c r="CL32" i="2"/>
  <c r="CL33" i="2"/>
  <c r="CL34" i="2"/>
  <c r="CL35" i="2"/>
  <c r="CL36" i="2"/>
  <c r="CL37" i="2"/>
  <c r="CL38" i="2"/>
  <c r="CL39" i="2"/>
  <c r="CL40" i="2"/>
  <c r="CL41" i="2"/>
  <c r="CL42" i="2"/>
  <c r="CL43" i="2"/>
  <c r="CL44" i="2"/>
  <c r="CL45" i="2"/>
  <c r="CL46" i="2"/>
  <c r="CL47" i="2"/>
  <c r="CL48" i="2"/>
  <c r="CL49" i="2"/>
  <c r="CL50" i="2"/>
  <c r="CL51" i="2"/>
  <c r="CL52" i="2"/>
  <c r="CL53" i="2"/>
  <c r="CL54" i="2"/>
  <c r="CL55" i="2"/>
  <c r="CL56" i="2"/>
  <c r="CL57" i="2"/>
  <c r="CL58" i="2"/>
  <c r="CL59" i="2"/>
  <c r="CL60" i="2"/>
  <c r="CL61" i="2"/>
  <c r="CL62" i="2"/>
  <c r="CL63" i="2"/>
  <c r="CL64" i="2"/>
  <c r="CL65" i="2"/>
  <c r="CL66" i="2"/>
  <c r="CL67" i="2"/>
  <c r="CL68" i="2"/>
  <c r="CL69" i="2"/>
  <c r="CL70" i="2"/>
  <c r="CL71" i="2"/>
  <c r="AH13" i="2"/>
  <c r="AI13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M37" i="2"/>
  <c r="CM38" i="2"/>
  <c r="CM39" i="2"/>
  <c r="CM40" i="2"/>
  <c r="CM41" i="2"/>
  <c r="CM42" i="2"/>
  <c r="CM43" i="2"/>
  <c r="CM44" i="2"/>
  <c r="CM45" i="2"/>
  <c r="CM46" i="2"/>
  <c r="CM47" i="2"/>
  <c r="CM48" i="2"/>
  <c r="CM49" i="2"/>
  <c r="CM50" i="2"/>
  <c r="CM51" i="2"/>
  <c r="CM52" i="2"/>
  <c r="CM53" i="2"/>
  <c r="CM54" i="2"/>
  <c r="CM55" i="2"/>
  <c r="CM56" i="2"/>
  <c r="CM57" i="2"/>
  <c r="CM58" i="2"/>
  <c r="CM59" i="2"/>
  <c r="CM60" i="2"/>
  <c r="CM61" i="2"/>
  <c r="CM62" i="2"/>
  <c r="CM63" i="2"/>
  <c r="CM64" i="2"/>
  <c r="CM65" i="2"/>
  <c r="CM66" i="2"/>
  <c r="CM67" i="2"/>
  <c r="CM68" i="2"/>
  <c r="CM69" i="2"/>
  <c r="CM70" i="2"/>
  <c r="CM71" i="2"/>
  <c r="AH12" i="2"/>
  <c r="AI12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65" i="2"/>
  <c r="CN66" i="2"/>
  <c r="CN67" i="2"/>
  <c r="CN68" i="2"/>
  <c r="CN69" i="2"/>
  <c r="CN70" i="2"/>
  <c r="CN71" i="2"/>
  <c r="AH11" i="2"/>
  <c r="AI11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65" i="2"/>
  <c r="CO66" i="2"/>
  <c r="CO67" i="2"/>
  <c r="CO68" i="2"/>
  <c r="CO69" i="2"/>
  <c r="CO70" i="2"/>
  <c r="CO71" i="2"/>
  <c r="AH10" i="2"/>
  <c r="AI10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65" i="2"/>
  <c r="CP66" i="2"/>
  <c r="CP67" i="2"/>
  <c r="CP68" i="2"/>
  <c r="CP69" i="2"/>
  <c r="CP70" i="2"/>
  <c r="CP71" i="2"/>
  <c r="AH9" i="2"/>
  <c r="AI9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Q37" i="2"/>
  <c r="CQ38" i="2"/>
  <c r="CQ39" i="2"/>
  <c r="CQ40" i="2"/>
  <c r="CQ41" i="2"/>
  <c r="CQ42" i="2"/>
  <c r="CQ43" i="2"/>
  <c r="CQ44" i="2"/>
  <c r="CQ45" i="2"/>
  <c r="CQ46" i="2"/>
  <c r="CQ47" i="2"/>
  <c r="CQ48" i="2"/>
  <c r="CQ49" i="2"/>
  <c r="CQ50" i="2"/>
  <c r="CQ51" i="2"/>
  <c r="CQ52" i="2"/>
  <c r="CQ53" i="2"/>
  <c r="CQ54" i="2"/>
  <c r="CQ55" i="2"/>
  <c r="CQ56" i="2"/>
  <c r="CQ57" i="2"/>
  <c r="CQ58" i="2"/>
  <c r="CQ59" i="2"/>
  <c r="CQ60" i="2"/>
  <c r="CQ61" i="2"/>
  <c r="CQ62" i="2"/>
  <c r="CQ63" i="2"/>
  <c r="CQ64" i="2"/>
  <c r="CQ65" i="2"/>
  <c r="CQ66" i="2"/>
  <c r="CQ67" i="2"/>
  <c r="CQ68" i="2"/>
  <c r="CQ69" i="2"/>
  <c r="CQ70" i="2"/>
  <c r="CQ71" i="2"/>
  <c r="AH8" i="2"/>
  <c r="AI8" i="2"/>
  <c r="CR8" i="2"/>
  <c r="CR9" i="2"/>
  <c r="CR10" i="2"/>
  <c r="CR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65" i="2"/>
  <c r="CR66" i="2"/>
  <c r="CR67" i="2"/>
  <c r="CR68" i="2"/>
  <c r="CR69" i="2"/>
  <c r="CR70" i="2"/>
  <c r="CR71" i="2"/>
  <c r="AH7" i="2"/>
  <c r="AI7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AH6" i="2"/>
  <c r="AI6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AH5" i="2"/>
  <c r="AI5" i="2"/>
  <c r="CU5" i="2"/>
  <c r="CU6" i="2"/>
  <c r="CU7" i="2"/>
  <c r="CU8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AH4" i="2"/>
  <c r="AI4" i="2"/>
  <c r="CV4" i="2"/>
  <c r="CV5" i="2"/>
  <c r="CV6" i="2"/>
  <c r="CV7" i="2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65" i="2"/>
  <c r="CV66" i="2"/>
  <c r="CV67" i="2"/>
  <c r="CV68" i="2"/>
  <c r="CV69" i="2"/>
  <c r="CV70" i="2"/>
  <c r="CV71" i="2"/>
  <c r="AH3" i="2"/>
  <c r="AI3" i="2"/>
  <c r="CW3" i="2"/>
  <c r="CW4" i="2"/>
  <c r="CW5" i="2"/>
  <c r="CW6" i="2"/>
  <c r="CW7" i="2"/>
  <c r="CW8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65" i="2"/>
  <c r="CW66" i="2"/>
  <c r="CW67" i="2"/>
  <c r="CW68" i="2"/>
  <c r="CW69" i="2"/>
  <c r="CW70" i="2"/>
  <c r="CW71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H24" i="2"/>
  <c r="H25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J72" i="2"/>
  <c r="AJ73" i="2"/>
  <c r="AJ74" i="2"/>
  <c r="AJ77" i="2"/>
  <c r="AK72" i="2"/>
  <c r="AK73" i="2"/>
  <c r="AK74" i="2"/>
  <c r="AK77" i="2"/>
  <c r="AL72" i="2"/>
  <c r="AL73" i="2"/>
  <c r="AL74" i="2"/>
  <c r="AL77" i="2"/>
  <c r="AM72" i="2"/>
  <c r="AM73" i="2"/>
  <c r="AM74" i="2"/>
  <c r="AM77" i="2"/>
  <c r="AN72" i="2"/>
  <c r="AN73" i="2"/>
  <c r="AN74" i="2"/>
  <c r="AN77" i="2"/>
  <c r="AO72" i="2"/>
  <c r="AO73" i="2"/>
  <c r="AO74" i="2"/>
  <c r="AO77" i="2"/>
  <c r="AP72" i="2"/>
  <c r="AP73" i="2"/>
  <c r="AP74" i="2"/>
  <c r="AP77" i="2"/>
  <c r="AQ72" i="2"/>
  <c r="AQ73" i="2"/>
  <c r="AQ74" i="2"/>
  <c r="AQ77" i="2"/>
  <c r="AR72" i="2"/>
  <c r="AR73" i="2"/>
  <c r="AR74" i="2"/>
  <c r="AR77" i="2"/>
  <c r="AS72" i="2"/>
  <c r="AS73" i="2"/>
  <c r="AS74" i="2"/>
  <c r="AS77" i="2"/>
  <c r="AT72" i="2"/>
  <c r="AT73" i="2"/>
  <c r="AT74" i="2"/>
  <c r="AT77" i="2"/>
  <c r="AU72" i="2"/>
  <c r="AU73" i="2"/>
  <c r="AU74" i="2"/>
  <c r="AU77" i="2"/>
  <c r="AV72" i="2"/>
  <c r="AV73" i="2"/>
  <c r="AV74" i="2"/>
  <c r="AV77" i="2"/>
  <c r="AW72" i="2"/>
  <c r="AW73" i="2"/>
  <c r="AW74" i="2"/>
  <c r="AW77" i="2"/>
  <c r="AX72" i="2"/>
  <c r="AX73" i="2"/>
  <c r="AX74" i="2"/>
  <c r="AX77" i="2"/>
  <c r="AY72" i="2"/>
  <c r="AY73" i="2"/>
  <c r="AY74" i="2"/>
  <c r="AY77" i="2"/>
  <c r="AZ72" i="2"/>
  <c r="AZ73" i="2"/>
  <c r="AZ74" i="2"/>
  <c r="AZ77" i="2"/>
  <c r="BA72" i="2"/>
  <c r="BA73" i="2"/>
  <c r="BA74" i="2"/>
  <c r="BA77" i="2"/>
  <c r="BB72" i="2"/>
  <c r="BB73" i="2"/>
  <c r="BB74" i="2"/>
  <c r="BB77" i="2"/>
  <c r="BC72" i="2"/>
  <c r="BC73" i="2"/>
  <c r="BC74" i="2"/>
  <c r="BC77" i="2"/>
  <c r="BD72" i="2"/>
  <c r="BD73" i="2"/>
  <c r="BD74" i="2"/>
  <c r="BD77" i="2"/>
  <c r="BE72" i="2"/>
  <c r="BE73" i="2"/>
  <c r="BE74" i="2"/>
  <c r="BE77" i="2"/>
  <c r="BF72" i="2"/>
  <c r="BF73" i="2"/>
  <c r="BF74" i="2"/>
  <c r="BF77" i="2"/>
  <c r="BG72" i="2"/>
  <c r="BG73" i="2"/>
  <c r="BG74" i="2"/>
  <c r="BG77" i="2"/>
  <c r="BH72" i="2"/>
  <c r="BH73" i="2"/>
  <c r="BH74" i="2"/>
  <c r="BH77" i="2"/>
  <c r="BI72" i="2"/>
  <c r="BI73" i="2"/>
  <c r="BI74" i="2"/>
  <c r="BI77" i="2"/>
  <c r="BJ72" i="2"/>
  <c r="BJ73" i="2"/>
  <c r="BJ74" i="2"/>
  <c r="BJ77" i="2"/>
  <c r="BK72" i="2"/>
  <c r="BK73" i="2"/>
  <c r="BK74" i="2"/>
  <c r="BK77" i="2"/>
  <c r="BL72" i="2"/>
  <c r="BL73" i="2"/>
  <c r="BL74" i="2"/>
  <c r="BL77" i="2"/>
  <c r="BM72" i="2"/>
  <c r="BM73" i="2"/>
  <c r="BM74" i="2"/>
  <c r="BM77" i="2"/>
  <c r="BN72" i="2"/>
  <c r="BN73" i="2"/>
  <c r="BN74" i="2"/>
  <c r="BN77" i="2"/>
  <c r="BO72" i="2"/>
  <c r="BO73" i="2"/>
  <c r="BO74" i="2"/>
  <c r="BO77" i="2"/>
  <c r="BP72" i="2"/>
  <c r="BP73" i="2"/>
  <c r="BP74" i="2"/>
  <c r="BP77" i="2"/>
  <c r="BQ72" i="2"/>
  <c r="BQ73" i="2"/>
  <c r="BQ74" i="2"/>
  <c r="BQ77" i="2"/>
  <c r="BR72" i="2"/>
  <c r="BR73" i="2"/>
  <c r="BR74" i="2"/>
  <c r="BR77" i="2"/>
  <c r="BS72" i="2"/>
  <c r="BS73" i="2"/>
  <c r="BS74" i="2"/>
  <c r="BS77" i="2"/>
  <c r="BT72" i="2"/>
  <c r="BT73" i="2"/>
  <c r="BT74" i="2"/>
  <c r="BT77" i="2"/>
  <c r="BU72" i="2"/>
  <c r="BU73" i="2"/>
  <c r="BU74" i="2"/>
  <c r="BU77" i="2"/>
  <c r="BV72" i="2"/>
  <c r="BV73" i="2"/>
  <c r="BV74" i="2"/>
  <c r="BV77" i="2"/>
  <c r="BW72" i="2"/>
  <c r="BW73" i="2"/>
  <c r="BW74" i="2"/>
  <c r="BW77" i="2"/>
  <c r="BX72" i="2"/>
  <c r="BX73" i="2"/>
  <c r="BX74" i="2"/>
  <c r="BX77" i="2"/>
  <c r="BY72" i="2"/>
  <c r="BY73" i="2"/>
  <c r="BY74" i="2"/>
  <c r="BY77" i="2"/>
  <c r="BZ72" i="2"/>
  <c r="BZ73" i="2"/>
  <c r="BZ74" i="2"/>
  <c r="BZ77" i="2"/>
  <c r="CA72" i="2"/>
  <c r="CA73" i="2"/>
  <c r="CA74" i="2"/>
  <c r="CA77" i="2"/>
  <c r="CB72" i="2"/>
  <c r="CB73" i="2"/>
  <c r="CB74" i="2"/>
  <c r="CB77" i="2"/>
  <c r="CC72" i="2"/>
  <c r="CC73" i="2"/>
  <c r="CC74" i="2"/>
  <c r="CC77" i="2"/>
  <c r="CD72" i="2"/>
  <c r="CD73" i="2"/>
  <c r="CD74" i="2"/>
  <c r="CD77" i="2"/>
  <c r="CE72" i="2"/>
  <c r="CE73" i="2"/>
  <c r="CE74" i="2"/>
  <c r="CE77" i="2"/>
  <c r="CF72" i="2"/>
  <c r="CF73" i="2"/>
  <c r="CF74" i="2"/>
  <c r="CF77" i="2"/>
  <c r="CG72" i="2"/>
  <c r="CG73" i="2"/>
  <c r="CG74" i="2"/>
  <c r="CG77" i="2"/>
  <c r="CH72" i="2"/>
  <c r="CH73" i="2"/>
  <c r="CH74" i="2"/>
  <c r="CH77" i="2"/>
  <c r="CI72" i="2"/>
  <c r="CI73" i="2"/>
  <c r="CI74" i="2"/>
  <c r="CI77" i="2"/>
  <c r="CJ72" i="2"/>
  <c r="CJ73" i="2"/>
  <c r="CJ74" i="2"/>
  <c r="CJ77" i="2"/>
  <c r="CK72" i="2"/>
  <c r="CK73" i="2"/>
  <c r="CK74" i="2"/>
  <c r="CK77" i="2"/>
  <c r="CL72" i="2"/>
  <c r="CL73" i="2"/>
  <c r="CL74" i="2"/>
  <c r="CL77" i="2"/>
  <c r="CM72" i="2"/>
  <c r="CM73" i="2"/>
  <c r="CM74" i="2"/>
  <c r="CM77" i="2"/>
  <c r="CN72" i="2"/>
  <c r="CN73" i="2"/>
  <c r="CN74" i="2"/>
  <c r="CN77" i="2"/>
  <c r="CO72" i="2"/>
  <c r="CO73" i="2"/>
  <c r="CO74" i="2"/>
  <c r="CO77" i="2"/>
  <c r="CP72" i="2"/>
  <c r="CP73" i="2"/>
  <c r="CP74" i="2"/>
  <c r="CP77" i="2"/>
  <c r="CQ72" i="2"/>
  <c r="CQ73" i="2"/>
  <c r="CQ74" i="2"/>
  <c r="CQ77" i="2"/>
  <c r="CR72" i="2"/>
  <c r="CR73" i="2"/>
  <c r="CR74" i="2"/>
  <c r="CR77" i="2"/>
  <c r="CS72" i="2"/>
  <c r="CS73" i="2"/>
  <c r="CS74" i="2"/>
  <c r="CS77" i="2"/>
  <c r="CT72" i="2"/>
  <c r="CT73" i="2"/>
  <c r="CT74" i="2"/>
  <c r="CT77" i="2"/>
  <c r="CU72" i="2"/>
  <c r="CU73" i="2"/>
  <c r="CU74" i="2"/>
  <c r="CU77" i="2"/>
  <c r="CV72" i="2"/>
  <c r="CV73" i="2"/>
  <c r="CV74" i="2"/>
  <c r="CV77" i="2"/>
  <c r="CW72" i="2"/>
  <c r="CW73" i="2"/>
  <c r="CW74" i="2"/>
  <c r="CW77" i="2"/>
  <c r="AJ80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AJ81" i="2"/>
  <c r="H26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H43" i="2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AE26" i="2"/>
  <c r="AE27" i="2"/>
  <c r="AE30" i="2"/>
  <c r="AE31" i="2"/>
  <c r="AE34" i="2"/>
  <c r="AE36" i="2"/>
  <c r="AE38" i="2"/>
  <c r="AE42" i="2"/>
  <c r="AE43" i="2"/>
  <c r="AE46" i="2"/>
  <c r="AE47" i="2"/>
  <c r="AE50" i="2"/>
  <c r="AE52" i="2"/>
  <c r="AE54" i="2"/>
  <c r="AE58" i="2"/>
  <c r="AE62" i="2"/>
  <c r="AE63" i="2"/>
  <c r="AE66" i="2"/>
  <c r="AE68" i="2"/>
  <c r="AE70" i="2"/>
  <c r="C1" i="20"/>
  <c r="B3" i="20"/>
  <c r="B4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Z3" i="2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AE23" i="2"/>
  <c r="X22" i="2"/>
  <c r="X21" i="2"/>
  <c r="X20" i="2"/>
  <c r="A28" i="20"/>
  <c r="A27" i="20"/>
  <c r="A26" i="20"/>
  <c r="A25" i="20"/>
  <c r="C28" i="20"/>
  <c r="C27" i="20"/>
  <c r="C26" i="20"/>
  <c r="C25" i="20"/>
  <c r="D25" i="20"/>
  <c r="D26" i="20"/>
  <c r="D27" i="20"/>
  <c r="D28" i="20"/>
  <c r="B25" i="20"/>
  <c r="B27" i="20"/>
  <c r="B28" i="20"/>
  <c r="B26" i="20"/>
  <c r="CY66" i="2"/>
  <c r="CY41" i="2"/>
  <c r="CY50" i="2"/>
  <c r="CY63" i="2"/>
  <c r="CY31" i="2"/>
  <c r="CY23" i="2"/>
  <c r="CY42" i="2"/>
  <c r="CY58" i="2"/>
  <c r="CY22" i="2"/>
  <c r="CY30" i="2"/>
  <c r="CY38" i="2"/>
  <c r="CY46" i="2"/>
  <c r="CY54" i="2"/>
  <c r="CY62" i="2"/>
  <c r="CY70" i="2"/>
  <c r="CY67" i="2"/>
  <c r="CY39" i="2"/>
  <c r="CY47" i="2"/>
  <c r="CY57" i="2"/>
  <c r="AE20" i="2"/>
  <c r="AE60" i="2"/>
  <c r="AE44" i="2"/>
  <c r="AE28" i="2"/>
  <c r="AE64" i="2"/>
  <c r="AE56" i="2"/>
  <c r="AE48" i="2"/>
  <c r="AE40" i="2"/>
  <c r="AE32" i="2"/>
  <c r="AE24" i="2"/>
  <c r="CY33" i="2"/>
  <c r="CY49" i="2"/>
  <c r="CY21" i="2"/>
  <c r="CY37" i="2"/>
  <c r="CY68" i="2"/>
  <c r="AE6" i="2"/>
  <c r="H42" i="2"/>
  <c r="AE18" i="2"/>
  <c r="AE14" i="2"/>
  <c r="AE22" i="2"/>
  <c r="CY29" i="2"/>
  <c r="CY60" i="2"/>
  <c r="CY64" i="2"/>
  <c r="CY20" i="2"/>
  <c r="AA3" i="2"/>
  <c r="AE9" i="2"/>
  <c r="AE13" i="2"/>
  <c r="AE17" i="2"/>
  <c r="AE21" i="2"/>
  <c r="H19" i="2"/>
  <c r="H21" i="2"/>
  <c r="AE11" i="2"/>
  <c r="AE19" i="2"/>
  <c r="CY43" i="2"/>
  <c r="CY52" i="2"/>
  <c r="CY53" i="2"/>
  <c r="CY25" i="2"/>
  <c r="CY59" i="2"/>
  <c r="CY40" i="2"/>
  <c r="CY48" i="2"/>
  <c r="CY36" i="2"/>
  <c r="CY24" i="2"/>
  <c r="CY32" i="2"/>
  <c r="CY56" i="2"/>
  <c r="CY45" i="2"/>
  <c r="CY44" i="2"/>
  <c r="CY28" i="2"/>
  <c r="CY51" i="2"/>
  <c r="CY35" i="2"/>
  <c r="CY27" i="2"/>
  <c r="CY26" i="2"/>
  <c r="AE67" i="2"/>
  <c r="AE59" i="2"/>
  <c r="AE55" i="2"/>
  <c r="AE51" i="2"/>
  <c r="AE39" i="2"/>
  <c r="AE35" i="2"/>
  <c r="AE69" i="2"/>
  <c r="AE65" i="2"/>
  <c r="AE61" i="2"/>
  <c r="AE57" i="2"/>
  <c r="AE53" i="2"/>
  <c r="AE49" i="2"/>
  <c r="AE45" i="2"/>
  <c r="AE41" i="2"/>
  <c r="AE37" i="2"/>
  <c r="AE33" i="2"/>
  <c r="AE29" i="2"/>
  <c r="AE25" i="2"/>
  <c r="CY6" i="2"/>
  <c r="AE4" i="2"/>
  <c r="D6" i="20"/>
  <c r="B6" i="20"/>
  <c r="CY69" i="2"/>
  <c r="AF3" i="2"/>
  <c r="AE3" i="2"/>
  <c r="CY65" i="2"/>
  <c r="AE10" i="2"/>
  <c r="CY34" i="2"/>
  <c r="CY55" i="2"/>
  <c r="CY10" i="2"/>
  <c r="AE5" i="2"/>
  <c r="AE8" i="2"/>
  <c r="CY12" i="2"/>
  <c r="CY4" i="2"/>
  <c r="CY9" i="2"/>
  <c r="CY3" i="2"/>
  <c r="AE12" i="2"/>
  <c r="AE15" i="2"/>
  <c r="AE7" i="2"/>
  <c r="CY7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Y16" i="2"/>
  <c r="CY14" i="2"/>
  <c r="AE16" i="2"/>
  <c r="H41" i="2"/>
  <c r="A13" i="20"/>
  <c r="A23" i="20"/>
  <c r="A17" i="20"/>
  <c r="A9" i="20"/>
  <c r="A15" i="20"/>
  <c r="A22" i="20"/>
  <c r="A14" i="20"/>
  <c r="A11" i="20"/>
  <c r="A19" i="20"/>
  <c r="A24" i="20"/>
  <c r="A12" i="20"/>
  <c r="A18" i="20"/>
  <c r="A10" i="20"/>
  <c r="A20" i="20"/>
  <c r="A21" i="20"/>
  <c r="A16" i="20"/>
  <c r="A8" i="20"/>
  <c r="C15" i="20"/>
  <c r="C23" i="20"/>
  <c r="C11" i="20"/>
  <c r="C8" i="20"/>
  <c r="C12" i="20"/>
  <c r="C10" i="20"/>
  <c r="C19" i="20"/>
  <c r="C13" i="20"/>
  <c r="C24" i="20"/>
  <c r="C17" i="20"/>
  <c r="C21" i="20"/>
  <c r="C16" i="20"/>
  <c r="C18" i="20"/>
  <c r="C14" i="20"/>
  <c r="C22" i="20"/>
  <c r="C9" i="20"/>
  <c r="C20" i="20"/>
  <c r="CY61" i="2"/>
  <c r="CY15" i="2"/>
  <c r="CY5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H33" i="2"/>
  <c r="CY8" i="2"/>
  <c r="Z35" i="2"/>
  <c r="AA35" i="2"/>
  <c r="CY11" i="2"/>
  <c r="AE71" i="2"/>
  <c r="E55" i="2"/>
  <c r="C33" i="2"/>
  <c r="E16" i="2"/>
  <c r="C23" i="2"/>
  <c r="C49" i="2"/>
  <c r="E26" i="2"/>
  <c r="C25" i="2"/>
  <c r="C57" i="2"/>
  <c r="E29" i="2"/>
  <c r="C50" i="2"/>
  <c r="E25" i="2"/>
  <c r="E51" i="2"/>
  <c r="C28" i="2"/>
  <c r="C60" i="2"/>
  <c r="E44" i="2"/>
  <c r="C29" i="2"/>
  <c r="E42" i="2"/>
  <c r="C62" i="2"/>
  <c r="E62" i="2"/>
  <c r="C58" i="2"/>
  <c r="E13" i="2"/>
  <c r="C70" i="2"/>
  <c r="E18" i="2"/>
  <c r="E48" i="2"/>
  <c r="C26" i="2"/>
  <c r="E7" i="2"/>
  <c r="C47" i="2"/>
  <c r="C20" i="2"/>
  <c r="C36" i="2"/>
  <c r="E39" i="2"/>
  <c r="E46" i="2"/>
  <c r="E70" i="2"/>
  <c r="E40" i="2"/>
  <c r="C69" i="2"/>
  <c r="E38" i="2"/>
  <c r="E66" i="2"/>
  <c r="C46" i="2"/>
  <c r="E5" i="2"/>
  <c r="E35" i="2"/>
  <c r="C45" i="2"/>
  <c r="C67" i="2"/>
  <c r="C24" i="2"/>
  <c r="C22" i="2"/>
  <c r="E19" i="2"/>
  <c r="E54" i="2"/>
  <c r="C64" i="2"/>
  <c r="E6" i="2"/>
  <c r="E23" i="2"/>
  <c r="E22" i="2"/>
  <c r="C48" i="2"/>
  <c r="E47" i="2"/>
  <c r="E52" i="2"/>
  <c r="E28" i="2"/>
  <c r="C32" i="2"/>
  <c r="C30" i="2"/>
  <c r="E37" i="2"/>
  <c r="E21" i="2"/>
  <c r="E63" i="2"/>
  <c r="C40" i="2"/>
  <c r="C61" i="2"/>
  <c r="E27" i="2"/>
  <c r="C65" i="2"/>
  <c r="E69" i="2"/>
  <c r="C55" i="2"/>
  <c r="C39" i="2"/>
  <c r="E30" i="2"/>
  <c r="C51" i="2"/>
  <c r="C68" i="2"/>
  <c r="E12" i="2"/>
  <c r="E10" i="2"/>
  <c r="C21" i="2"/>
  <c r="E8" i="2"/>
  <c r="E15" i="2"/>
  <c r="E43" i="2"/>
  <c r="E45" i="2"/>
  <c r="E17" i="2"/>
  <c r="C54" i="2"/>
  <c r="E49" i="2"/>
  <c r="C37" i="2"/>
  <c r="C59" i="2"/>
  <c r="E4" i="2"/>
  <c r="C17" i="2"/>
  <c r="E60" i="2"/>
  <c r="C35" i="2"/>
  <c r="C66" i="2"/>
  <c r="E20" i="2"/>
  <c r="C52" i="2"/>
  <c r="C27" i="2"/>
  <c r="E50" i="2"/>
  <c r="E31" i="2"/>
  <c r="C44" i="2"/>
  <c r="C41" i="2"/>
  <c r="C38" i="2"/>
  <c r="E53" i="2"/>
  <c r="C18" i="2"/>
  <c r="E11" i="2"/>
  <c r="C34" i="2"/>
  <c r="E68" i="2"/>
  <c r="C42" i="2"/>
  <c r="C31" i="2"/>
  <c r="E34" i="2"/>
  <c r="E33" i="2"/>
  <c r="E9" i="2"/>
  <c r="E24" i="2"/>
  <c r="E67" i="2"/>
  <c r="E64" i="2"/>
  <c r="E65" i="2"/>
  <c r="C63" i="2"/>
  <c r="E59" i="2"/>
  <c r="E56" i="2"/>
  <c r="E58" i="2"/>
  <c r="C53" i="2"/>
  <c r="E57" i="2"/>
  <c r="E41" i="2"/>
  <c r="E32" i="2"/>
  <c r="C43" i="2"/>
  <c r="C56" i="2"/>
  <c r="C19" i="2"/>
  <c r="E61" i="2"/>
  <c r="E36" i="2"/>
  <c r="CY13" i="2"/>
  <c r="E14" i="2"/>
  <c r="Z46" i="2"/>
  <c r="AA46" i="2"/>
  <c r="Z41" i="2"/>
  <c r="AA41" i="2"/>
  <c r="Z45" i="2"/>
  <c r="AA45" i="2"/>
  <c r="Z69" i="2"/>
  <c r="AA69" i="2"/>
  <c r="Z37" i="2"/>
  <c r="AA37" i="2"/>
  <c r="Z68" i="2"/>
  <c r="AA68" i="2"/>
  <c r="Z57" i="2"/>
  <c r="AA57" i="2"/>
  <c r="Z58" i="2"/>
  <c r="AA58" i="2"/>
  <c r="Z64" i="2"/>
  <c r="AA64" i="2"/>
  <c r="Z24" i="2"/>
  <c r="AA24" i="2"/>
  <c r="Z18" i="2"/>
  <c r="AA18" i="2"/>
  <c r="Z49" i="2"/>
  <c r="AA49" i="2"/>
  <c r="Z22" i="2"/>
  <c r="AA22" i="2"/>
  <c r="Z33" i="2"/>
  <c r="AA33" i="2"/>
  <c r="CY17" i="2"/>
  <c r="Z66" i="2"/>
  <c r="AA66" i="2"/>
  <c r="H35" i="2"/>
  <c r="Z17" i="2"/>
  <c r="AA17" i="2"/>
  <c r="Z19" i="2"/>
  <c r="AA19" i="2"/>
  <c r="Z16" i="2"/>
  <c r="AA16" i="2"/>
  <c r="Z40" i="2"/>
  <c r="AA40" i="2"/>
  <c r="Z67" i="2"/>
  <c r="AA67" i="2"/>
  <c r="Z10" i="2"/>
  <c r="AA10" i="2"/>
  <c r="Z21" i="2"/>
  <c r="AA21" i="2"/>
  <c r="Z65" i="2"/>
  <c r="AA65" i="2"/>
  <c r="Z48" i="2"/>
  <c r="AA48" i="2"/>
  <c r="Z42" i="2"/>
  <c r="AA42" i="2"/>
  <c r="Z34" i="2"/>
  <c r="AA34" i="2"/>
  <c r="Z4" i="2"/>
  <c r="AA4" i="2"/>
  <c r="Z9" i="2"/>
  <c r="AA9" i="2"/>
  <c r="Z13" i="2"/>
  <c r="AA13" i="2"/>
  <c r="Z8" i="2"/>
  <c r="AA8" i="2"/>
  <c r="Z12" i="2"/>
  <c r="AA12" i="2"/>
  <c r="Z70" i="2"/>
  <c r="AA70" i="2"/>
  <c r="Z60" i="2"/>
  <c r="AA60" i="2"/>
  <c r="Z23" i="2"/>
  <c r="AA23" i="2"/>
  <c r="Z59" i="2"/>
  <c r="AA59" i="2"/>
  <c r="Z38" i="2"/>
  <c r="AA38" i="2"/>
  <c r="Z25" i="2"/>
  <c r="AA25" i="2"/>
  <c r="Z6" i="2"/>
  <c r="AA6" i="2"/>
  <c r="Z29" i="2"/>
  <c r="AA29" i="2"/>
  <c r="Z53" i="2"/>
  <c r="AA53" i="2"/>
  <c r="Z14" i="2"/>
  <c r="AA14" i="2"/>
  <c r="Z30" i="2"/>
  <c r="AA30" i="2"/>
  <c r="Z20" i="2"/>
  <c r="AA20" i="2"/>
  <c r="Z56" i="2"/>
  <c r="AA56" i="2"/>
  <c r="Z54" i="2"/>
  <c r="AA54" i="2"/>
  <c r="Z32" i="2"/>
  <c r="AA32" i="2"/>
  <c r="Z7" i="2"/>
  <c r="AA7" i="2"/>
  <c r="Z43" i="2"/>
  <c r="AA43" i="2"/>
  <c r="Z50" i="2"/>
  <c r="AA50" i="2"/>
  <c r="Z44" i="2"/>
  <c r="AA44" i="2"/>
  <c r="Z28" i="2"/>
  <c r="AA28" i="2"/>
  <c r="Z36" i="2"/>
  <c r="AA36" i="2"/>
  <c r="Z47" i="2"/>
  <c r="AA47" i="2"/>
  <c r="Z55" i="2"/>
  <c r="AA55" i="2"/>
  <c r="Z11" i="2"/>
  <c r="AA11" i="2"/>
  <c r="Z26" i="2"/>
  <c r="AA26" i="2"/>
  <c r="Z51" i="2"/>
  <c r="AA51" i="2"/>
  <c r="Z5" i="2"/>
  <c r="AA5" i="2"/>
  <c r="Z52" i="2"/>
  <c r="AA52" i="2"/>
  <c r="Z31" i="2"/>
  <c r="AA31" i="2"/>
  <c r="Z62" i="2"/>
  <c r="AA62" i="2"/>
  <c r="Z61" i="2"/>
  <c r="AA61" i="2"/>
  <c r="Z15" i="2"/>
  <c r="AA15" i="2"/>
  <c r="Z63" i="2"/>
  <c r="AA63" i="2"/>
  <c r="Z39" i="2"/>
  <c r="AA39" i="2"/>
  <c r="Z27" i="2"/>
  <c r="AA27" i="2"/>
  <c r="CY19" i="2"/>
  <c r="CY18" i="2"/>
  <c r="H22" i="2"/>
  <c r="H30" i="2"/>
  <c r="BT76" i="2"/>
  <c r="BX76" i="2"/>
  <c r="CI76" i="2"/>
  <c r="BQ76" i="2"/>
  <c r="BM76" i="2"/>
  <c r="CP76" i="2"/>
  <c r="BU76" i="2"/>
  <c r="BL76" i="2"/>
  <c r="BP76" i="2"/>
  <c r="BE76" i="2"/>
  <c r="AQ76" i="2"/>
  <c r="CA76" i="2"/>
  <c r="CG76" i="2"/>
  <c r="CM76" i="2"/>
  <c r="BA76" i="2"/>
  <c r="AW76" i="2"/>
  <c r="AM76" i="2"/>
  <c r="CE76" i="2"/>
  <c r="CW76" i="2"/>
  <c r="AP76" i="2"/>
  <c r="BZ76" i="2"/>
  <c r="CV76" i="2"/>
  <c r="AT76" i="2"/>
  <c r="BO76" i="2"/>
  <c r="CB76" i="2"/>
  <c r="BR76" i="2"/>
  <c r="AN76" i="2"/>
  <c r="CH76" i="2"/>
  <c r="CJ76" i="2"/>
  <c r="BF76" i="2"/>
  <c r="CN76" i="2"/>
  <c r="CK76" i="2"/>
  <c r="BC76" i="2"/>
  <c r="BS76" i="2"/>
  <c r="AU76" i="2"/>
  <c r="BN76" i="2"/>
  <c r="CU76" i="2"/>
  <c r="AR76" i="2"/>
  <c r="BG76" i="2"/>
  <c r="CR76" i="2"/>
  <c r="AO76" i="2"/>
  <c r="BV76" i="2"/>
  <c r="AS76" i="2"/>
  <c r="AJ76" i="2"/>
  <c r="CT76" i="2"/>
  <c r="AK76" i="2"/>
  <c r="CD76" i="2"/>
  <c r="AX76" i="2"/>
  <c r="BW76" i="2"/>
  <c r="CS76" i="2"/>
  <c r="BY76" i="2"/>
  <c r="BD76" i="2"/>
  <c r="AZ76" i="2"/>
  <c r="CF76" i="2"/>
  <c r="CL76" i="2"/>
  <c r="BH76" i="2"/>
  <c r="BK76" i="2"/>
  <c r="BB76" i="2"/>
  <c r="AY76" i="2"/>
  <c r="CC76" i="2"/>
  <c r="BI76" i="2"/>
  <c r="BJ76" i="2"/>
  <c r="CQ76" i="2"/>
  <c r="CO76" i="2"/>
  <c r="AV76" i="2"/>
  <c r="AL76" i="2"/>
  <c r="H29" i="2"/>
  <c r="H39" i="2"/>
  <c r="H44" i="2"/>
  <c r="H40" i="2"/>
  <c r="BL79" i="2"/>
  <c r="BC79" i="2"/>
  <c r="H23" i="2"/>
  <c r="H36" i="2"/>
  <c r="CP79" i="2"/>
  <c r="BD79" i="2"/>
  <c r="CI79" i="2"/>
  <c r="BV79" i="2"/>
  <c r="AO79" i="2"/>
  <c r="BR79" i="2"/>
  <c r="AV79" i="2"/>
  <c r="BS79" i="2"/>
  <c r="BF79" i="2"/>
  <c r="AK79" i="2"/>
  <c r="AN79" i="2"/>
  <c r="CR79" i="2"/>
  <c r="H27" i="2"/>
  <c r="AM79" i="2"/>
  <c r="CS79" i="2"/>
  <c r="CJ79" i="2"/>
  <c r="BJ79" i="2"/>
  <c r="CU79" i="2"/>
  <c r="CT79" i="2"/>
  <c r="CC79" i="2"/>
  <c r="CB79" i="2"/>
  <c r="AL79" i="2"/>
  <c r="CM79" i="2"/>
  <c r="CD79" i="2"/>
  <c r="BM79" i="2"/>
  <c r="BP79" i="2"/>
  <c r="AT79" i="2"/>
  <c r="CE79" i="2"/>
  <c r="BN79" i="2"/>
  <c r="AW79" i="2"/>
  <c r="AZ79" i="2"/>
  <c r="CO79" i="2"/>
  <c r="BW79" i="2"/>
  <c r="AX79" i="2"/>
  <c r="CV79" i="2"/>
  <c r="AJ79" i="2"/>
  <c r="CW79" i="2"/>
  <c r="BO79" i="2"/>
  <c r="H37" i="2"/>
  <c r="CN79" i="2"/>
  <c r="CQ79" i="2"/>
  <c r="BY79" i="2"/>
  <c r="BG79" i="2"/>
  <c r="CK79" i="2"/>
  <c r="CF79" i="2"/>
  <c r="CA79" i="2"/>
  <c r="CG79" i="2"/>
  <c r="AY79" i="2"/>
  <c r="BU79" i="2"/>
  <c r="BX79" i="2"/>
  <c r="BK79" i="2"/>
  <c r="BI79" i="2"/>
  <c r="AQ79" i="2"/>
  <c r="BE79" i="2"/>
  <c r="BH79" i="2"/>
  <c r="AU79" i="2"/>
  <c r="BQ79" i="2"/>
  <c r="H38" i="2"/>
  <c r="BT79" i="2"/>
  <c r="AR79" i="2"/>
  <c r="AS79" i="2"/>
  <c r="CH79" i="2"/>
  <c r="H32" i="2"/>
  <c r="CL79" i="2"/>
  <c r="BA79" i="2"/>
  <c r="BZ79" i="2"/>
  <c r="AP79" i="2"/>
  <c r="BB79" i="2"/>
  <c r="H31" i="2"/>
  <c r="H28" i="2"/>
  <c r="H34" i="2"/>
  <c r="B2" i="20"/>
  <c r="D2" i="20"/>
  <c r="D20" i="20"/>
  <c r="D14" i="20"/>
  <c r="D22" i="20"/>
  <c r="D19" i="20"/>
  <c r="D10" i="20"/>
  <c r="D11" i="20"/>
  <c r="D15" i="20"/>
  <c r="D12" i="20"/>
  <c r="D18" i="20"/>
  <c r="D23" i="20"/>
  <c r="D9" i="20"/>
  <c r="D8" i="20"/>
  <c r="D21" i="20"/>
  <c r="D13" i="20"/>
  <c r="D16" i="20"/>
  <c r="D24" i="20"/>
  <c r="D17" i="20"/>
  <c r="B17" i="20"/>
  <c r="B21" i="20"/>
  <c r="B16" i="20"/>
  <c r="B22" i="20"/>
  <c r="B10" i="20"/>
  <c r="B20" i="20"/>
  <c r="B9" i="20"/>
  <c r="B24" i="20"/>
  <c r="B11" i="20"/>
  <c r="B15" i="20"/>
  <c r="B23" i="20"/>
  <c r="B13" i="20"/>
  <c r="B18" i="20"/>
  <c r="B19" i="20"/>
  <c r="B12" i="20"/>
  <c r="B8" i="20"/>
  <c r="B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<sst xmlns="http://schemas.openxmlformats.org/spreadsheetml/2006/main" count="107" uniqueCount="83">
  <si>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</si>
  <si>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</si>
  <si>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</si>
  <si>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</si>
  <si>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</si>
  <si>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</si>
  <si>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</si>
  <si>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</si>
  <si>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</si>
  <si>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</si>
  <si>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</si>
  <si>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</si>
  <si>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</si>
  <si>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</si>
  <si>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</si>
  <si>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</si>
  <si>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</si>
  <si>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</si>
  <si>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</si>
  <si>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</si>
  <si>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</si>
  <si>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</si>
  <si>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</si>
  <si>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</si>
  <si>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</si>
  <si>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</si>
  <si>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</si>
  <si>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</si>
  <si>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</si>
  <si>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</si>
  <si>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</si>
  <si>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</si>
  <si>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</si>
  <si>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</si>
  <si>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</si>
  <si>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</si>
  <si>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</si>
  <si>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</si>
  <si>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</si>
  <si>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</si>
  <si>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</si>
  <si>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</si>
  <si>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</si>
  <si>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</si>
  <si>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</si>
  <si>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</si>
  <si>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</si>
  <si>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</si>
  <si>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</si>
  <si>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</si>
  <si>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</si>
  <si>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</si>
  <si>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</si>
  <si>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</si>
  <si>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</si>
  <si>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</si>
  <si>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</si>
  <si>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</si>
  <si>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</si>
  <si>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</si>
  <si>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</si>
  <si>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</si>
  <si>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</si>
  <si>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</si>
  <si>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</si>
  <si>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</si>
  <si>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</si>
  <si>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</si>
  <si>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</si>
  <si>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</si>
  <si>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</si>
  <si>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</si>
  <si>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</si>
  <si>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</si>
  <si>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</si>
  <si>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</si>
  <si>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</si>
  <si>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</si>
  <si>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</si>
  <si>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</si>
  <si>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</si>
  <si>
    <t>BLQ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</si>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</sst>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2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3" borderId="0" xfId="0" applyFill="1" applyBorder="1"/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6" fillId="3" borderId="9" xfId="0" applyFont="1" applyFill="1" applyBorder="1"/>
    <xf numFmtId="2" fontId="6" fillId="3" borderId="12" xfId="0" applyNumberFormat="1" applyFont="1" applyFill="1" applyBorder="1" applyAlignment="1" applyProtection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Border="1" applyAlignment="1" applyProtection="1">
      <alignment horizontal="center"/>
    </xf>
    <xf numFmtId="0" fontId="6" fillId="3" borderId="0" xfId="0" applyFont="1" applyFill="1" applyBorder="1"/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 applyBorder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3" xfId="0" applyFon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49" fontId="0" fillId="3" borderId="0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5" fillId="3" borderId="0" xfId="0" applyFont="1" applyFill="1" applyBorder="1" applyAlignment="1">
      <alignment horizontal="lef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0" fillId="3" borderId="5" xfId="0" applyNumberFormat="1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Border="1" applyAlignment="1">
      <alignment horizontal="center" vertical="center"/>
    </xf>
    <xf numFmtId="0" fontId="14" fillId="0" borderId="0" xfId="0" applyNumberFormat="1" applyFont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5" fillId="3" borderId="0" xfId="0" applyFont="1" applyFill="1" applyBorder="1"/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0" fontId="6" fillId="0" borderId="0" xfId="0" applyFont="1" applyProtection="1"/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/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14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Fill="1" applyAlignment="1" applyProtection="1">
      <alignment horizontal="center" vertical="center" wrapText="1"/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Border="1" applyAlignment="1">
      <alignment horizontal="center"/>
    </xf>
    <xf numFmtId="0" fontId="3" fillId="0" borderId="4" xfId="101" applyBorder="1"/>
    <xf numFmtId="165" fontId="3" fillId="0" borderId="0" xfId="101" applyNumberFormat="1" applyBorder="1" applyAlignment="1">
      <alignment horizontal="right"/>
    </xf>
    <xf numFmtId="0" fontId="3" fillId="0" borderId="0" xfId="101" applyBorder="1"/>
    <xf numFmtId="0" fontId="3" fillId="0" borderId="0" xfId="0" applyFont="1" applyAlignment="1">
      <alignment horizontal="center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>
      <alignment horizontal="center" vertical="center"/>
    </xf>
    <xf numFmtId="0" fontId="3" fillId="0" borderId="0" xfId="101"/>
    <xf numFmtId="1" fontId="3" fillId="0" borderId="0" xfId="101" applyNumberFormat="1" applyAlignment="1">
      <alignment horizontal="center"/>
    </xf>
    <xf numFmtId="165" fontId="3" fillId="0" borderId="0" xfId="101" applyNumberFormat="1" applyAlignment="1">
      <alignment horizontal="right"/>
    </xf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18">
    <dxf>
      <font>
        <condense val="0"/>
        <extend val="0"/>
        <color auto="1"/>
      </font>
      <fill>
        <patternFill>
          <bgColor rgb="FFFF99FF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4.34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0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4.34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0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2225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320040</xdr:colOff>
      <xdr:row>6</xdr:row>
      <xdr:rowOff>83820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309860" y="632460"/>
          <a:ext cx="12573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6</xdr:row>
          <xdr:rowOff>0</xdr:rowOff>
        </xdr:from>
        <xdr:to>
          <xdr:col>11</xdr:col>
          <xdr:colOff>590550</xdr:colOff>
          <xdr:row>7</xdr:row>
          <xdr:rowOff>57150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8</xdr:col>
          <xdr:colOff>704850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39688</xdr:colOff>
      <xdr:row>0</xdr:row>
      <xdr:rowOff>105833</xdr:rowOff>
    </xdr:from>
    <xdr:to>
      <xdr:col>16</xdr:col>
      <xdr:colOff>79375</xdr:colOff>
      <xdr:row>7</xdr:row>
      <xdr:rowOff>145521</xdr:rowOff>
    </xdr:to>
    <xdr:sp macro="[0]!Sor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73646" y="105833"/>
          <a:ext cx="1865312" cy="13096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For this spreadsheet to display the proper subject</a:t>
          </a:r>
          <a:r>
            <a:rPr lang="en-CA" sz="1100" baseline="0"/>
            <a:t> profiles, on the "Data" worksheet, sort by Treatment and then by Subject. Or, click this button.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B3" sqref="B3"/>
    </sheetView>
  </sheetViews>
  <sheetFormatPr defaultColWidth="9.140625" defaultRowHeight="12.75" x14ac:dyDescent="0.2"/>
  <cols>
    <col min="1" max="16384" width="9.140625" style="81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7"/>
  <sheetViews>
    <sheetView workbookViewId="0"/>
  </sheetViews>
  <sheetFormatPr defaultColWidth="9.140625" defaultRowHeight="12.75" x14ac:dyDescent="0.2"/>
  <cols>
    <col min="1" max="3" width="9.140625" style="101"/>
    <col min="4" max="16384" width="9.140625" style="12"/>
  </cols>
  <sheetData>
    <row r="1" spans="1:10" x14ac:dyDescent="0.2">
      <c r="A1" s="12" t="s">
        <v>20</v>
      </c>
      <c r="B1" s="12" t="s">
        <v>74</v>
      </c>
      <c r="C1" s="12" t="s">
        <v>75</v>
      </c>
    </row>
    <row r="2" spans="1:10" x14ac:dyDescent="0.2">
      <c r="A2" s="12">
        <v>1</v>
      </c>
      <c r="B2" s="12" t="s">
        <v>13</v>
      </c>
      <c r="C2" s="12" t="s">
        <v>12</v>
      </c>
      <c r="J2" s="73"/>
    </row>
    <row r="3" spans="1:10" x14ac:dyDescent="0.2">
      <c r="A3" s="12">
        <v>2</v>
      </c>
      <c r="B3" s="115" t="s">
        <v>12</v>
      </c>
      <c r="C3" s="115" t="s">
        <v>13</v>
      </c>
      <c r="J3" s="73"/>
    </row>
    <row r="4" spans="1:10" x14ac:dyDescent="0.2">
      <c r="A4" s="12"/>
      <c r="B4" s="12"/>
      <c r="C4" s="12"/>
      <c r="J4" s="73"/>
    </row>
    <row r="5" spans="1:10" x14ac:dyDescent="0.2">
      <c r="A5" s="12"/>
      <c r="B5" s="12"/>
      <c r="C5" s="12"/>
      <c r="J5" s="73"/>
    </row>
    <row r="6" spans="1:10" x14ac:dyDescent="0.2">
      <c r="A6" s="12"/>
      <c r="B6" s="12"/>
      <c r="C6" s="12"/>
      <c r="J6" s="73"/>
    </row>
    <row r="7" spans="1:10" x14ac:dyDescent="0.2">
      <c r="A7" s="12"/>
      <c r="B7" s="12"/>
      <c r="C7" s="12"/>
      <c r="J7" s="73"/>
    </row>
    <row r="8" spans="1:10" x14ac:dyDescent="0.2">
      <c r="A8" s="12"/>
      <c r="B8" s="12"/>
      <c r="C8" s="12"/>
      <c r="J8" s="73"/>
    </row>
    <row r="9" spans="1:10" x14ac:dyDescent="0.2">
      <c r="A9" s="12"/>
      <c r="B9" s="12"/>
      <c r="C9" s="12"/>
      <c r="J9" s="73"/>
    </row>
    <row r="10" spans="1:10" x14ac:dyDescent="0.2">
      <c r="A10" s="12"/>
      <c r="B10" s="12"/>
      <c r="C10" s="12"/>
      <c r="J10" s="73"/>
    </row>
    <row r="11" spans="1:10" x14ac:dyDescent="0.2">
      <c r="A11" s="12"/>
      <c r="B11" s="12"/>
      <c r="C11" s="12"/>
      <c r="J11" s="73"/>
    </row>
    <row r="12" spans="1:10" x14ac:dyDescent="0.2">
      <c r="A12" s="12"/>
      <c r="B12" s="12"/>
      <c r="C12" s="12"/>
      <c r="J12" s="73"/>
    </row>
    <row r="13" spans="1:10" x14ac:dyDescent="0.2">
      <c r="A13" s="12"/>
      <c r="B13" s="12"/>
      <c r="C13" s="12"/>
      <c r="J13" s="73"/>
    </row>
    <row r="14" spans="1:10" x14ac:dyDescent="0.2">
      <c r="A14" s="12"/>
      <c r="B14" s="12"/>
      <c r="C14" s="12"/>
      <c r="J14" s="73"/>
    </row>
    <row r="15" spans="1:10" x14ac:dyDescent="0.2">
      <c r="A15" s="12"/>
      <c r="B15" s="12"/>
      <c r="C15" s="12"/>
      <c r="J15" s="73"/>
    </row>
    <row r="16" spans="1:10" x14ac:dyDescent="0.2">
      <c r="A16" s="12"/>
      <c r="B16" s="12"/>
      <c r="C16" s="12"/>
      <c r="J16" s="73"/>
    </row>
    <row r="17" spans="1:10" x14ac:dyDescent="0.2">
      <c r="A17" s="12"/>
      <c r="B17" s="12"/>
      <c r="C17" s="12"/>
      <c r="J17" s="73"/>
    </row>
    <row r="18" spans="1:10" x14ac:dyDescent="0.2">
      <c r="A18" s="12"/>
      <c r="B18" s="12"/>
      <c r="C18" s="12"/>
    </row>
    <row r="19" spans="1:10" x14ac:dyDescent="0.2">
      <c r="A19" s="12"/>
      <c r="B19" s="12"/>
      <c r="C19" s="12"/>
    </row>
    <row r="20" spans="1:10" x14ac:dyDescent="0.2">
      <c r="A20" s="12"/>
      <c r="B20" s="12"/>
      <c r="C20" s="12"/>
    </row>
    <row r="21" spans="1:10" x14ac:dyDescent="0.2">
      <c r="A21" s="12"/>
      <c r="B21" s="12"/>
      <c r="C21" s="12"/>
    </row>
    <row r="22" spans="1:10" x14ac:dyDescent="0.2">
      <c r="A22" s="12"/>
      <c r="B22" s="12"/>
      <c r="C22" s="12"/>
    </row>
    <row r="23" spans="1:10" x14ac:dyDescent="0.2">
      <c r="A23" s="12"/>
      <c r="B23" s="12"/>
      <c r="C23" s="12"/>
    </row>
    <row r="24" spans="1:10" x14ac:dyDescent="0.2">
      <c r="A24" s="12"/>
      <c r="B24" s="12"/>
      <c r="C24" s="12"/>
    </row>
    <row r="25" spans="1:10" x14ac:dyDescent="0.2">
      <c r="A25" s="12"/>
      <c r="B25" s="12"/>
      <c r="C25" s="12"/>
    </row>
    <row r="26" spans="1:10" x14ac:dyDescent="0.2">
      <c r="A26" s="12"/>
      <c r="B26" s="12"/>
      <c r="C26" s="12"/>
    </row>
    <row r="27" spans="1:10" x14ac:dyDescent="0.2">
      <c r="A27" s="12"/>
      <c r="B27" s="12"/>
      <c r="C27" s="12"/>
    </row>
    <row r="28" spans="1:10" x14ac:dyDescent="0.2">
      <c r="A28" s="12"/>
      <c r="B28" s="12"/>
      <c r="C28" s="12"/>
    </row>
    <row r="29" spans="1:10" x14ac:dyDescent="0.2">
      <c r="A29" s="12"/>
      <c r="B29" s="12"/>
      <c r="C29" s="12"/>
    </row>
    <row r="30" spans="1:10" x14ac:dyDescent="0.2">
      <c r="A30" s="12"/>
      <c r="B30" s="12"/>
      <c r="C30" s="12"/>
    </row>
    <row r="31" spans="1:10" x14ac:dyDescent="0.2">
      <c r="A31" s="12"/>
      <c r="B31" s="12"/>
      <c r="C31" s="12"/>
    </row>
    <row r="32" spans="1:10" x14ac:dyDescent="0.2">
      <c r="A32" s="12"/>
      <c r="B32" s="12"/>
      <c r="C32" s="12"/>
    </row>
    <row r="33" s="12" customFormat="1" x14ac:dyDescent="0.2"/>
    <row r="34" s="12" customFormat="1" x14ac:dyDescent="0.2"/>
    <row r="35" s="12" customFormat="1" x14ac:dyDescent="0.2"/>
    <row r="36" s="12" customFormat="1" x14ac:dyDescent="0.2"/>
    <row r="37" s="12" customFormat="1" x14ac:dyDescent="0.2"/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109375" defaultRowHeight="12.75" x14ac:dyDescent="0.2"/>
  <sheetData>
    <row r="1" spans="1:2" x14ac:dyDescent="0.2">
      <c r="A1" t="s">
        <v>29</v>
      </c>
      <c r="B1" t="s">
        <v>30</v>
      </c>
    </row>
    <row r="2" spans="1:2" x14ac:dyDescent="0.2">
      <c r="A2" s="27" t="e">
        <f>#REF!&amp;"_"&amp;#REF!</f>
        <v>#REF!</v>
      </c>
      <c r="B2">
        <f>ROW()</f>
        <v>2</v>
      </c>
    </row>
    <row r="3" spans="1:2" x14ac:dyDescent="0.2">
      <c r="A3" s="27" t="e">
        <f>#REF!&amp;"_"&amp;#REF!</f>
        <v>#REF!</v>
      </c>
      <c r="B3">
        <f>ROW()</f>
        <v>3</v>
      </c>
    </row>
    <row r="4" spans="1:2" x14ac:dyDescent="0.2">
      <c r="A4" s="27" t="e">
        <f>#REF!&amp;"_"&amp;#REF!</f>
        <v>#REF!</v>
      </c>
      <c r="B4">
        <f>ROW()</f>
        <v>4</v>
      </c>
    </row>
    <row r="5" spans="1:2" x14ac:dyDescent="0.2">
      <c r="A5" s="27" t="e">
        <f>#REF!&amp;"_"&amp;#REF!</f>
        <v>#REF!</v>
      </c>
      <c r="B5">
        <f>ROW()</f>
        <v>5</v>
      </c>
    </row>
    <row r="6" spans="1:2" x14ac:dyDescent="0.2">
      <c r="A6" s="27" t="e">
        <f>#REF!&amp;"_"&amp;#REF!</f>
        <v>#REF!</v>
      </c>
      <c r="B6">
        <f>ROW()</f>
        <v>6</v>
      </c>
    </row>
    <row r="7" spans="1:2" x14ac:dyDescent="0.2">
      <c r="A7" s="27" t="e">
        <f>#REF!&amp;"_"&amp;#REF!</f>
        <v>#REF!</v>
      </c>
      <c r="B7">
        <f>ROW()</f>
        <v>7</v>
      </c>
    </row>
    <row r="8" spans="1:2" x14ac:dyDescent="0.2">
      <c r="A8" s="27" t="e">
        <f>#REF!&amp;"_"&amp;#REF!</f>
        <v>#REF!</v>
      </c>
      <c r="B8">
        <f>ROW()</f>
        <v>8</v>
      </c>
    </row>
    <row r="9" spans="1:2" x14ac:dyDescent="0.2">
      <c r="A9" s="27" t="e">
        <f>#REF!&amp;"_"&amp;#REF!</f>
        <v>#REF!</v>
      </c>
      <c r="B9">
        <f>ROW()</f>
        <v>9</v>
      </c>
    </row>
    <row r="10" spans="1:2" x14ac:dyDescent="0.2">
      <c r="A10" s="27" t="e">
        <f>#REF!&amp;"_"&amp;#REF!</f>
        <v>#REF!</v>
      </c>
      <c r="B10">
        <f>ROW()</f>
        <v>10</v>
      </c>
    </row>
    <row r="11" spans="1:2" x14ac:dyDescent="0.2">
      <c r="A11" s="27" t="e">
        <f>#REF!&amp;"_"&amp;#REF!</f>
        <v>#REF!</v>
      </c>
      <c r="B11">
        <f>ROW()</f>
        <v>11</v>
      </c>
    </row>
    <row r="12" spans="1:2" x14ac:dyDescent="0.2">
      <c r="A12" s="27" t="e">
        <f>#REF!&amp;"_"&amp;#REF!</f>
        <v>#REF!</v>
      </c>
      <c r="B12">
        <f>ROW()</f>
        <v>12</v>
      </c>
    </row>
    <row r="13" spans="1:2" x14ac:dyDescent="0.2">
      <c r="A13" s="27" t="e">
        <f>#REF!&amp;"_"&amp;#REF!</f>
        <v>#REF!</v>
      </c>
      <c r="B13">
        <f>ROW()</f>
        <v>13</v>
      </c>
    </row>
    <row r="14" spans="1:2" x14ac:dyDescent="0.2">
      <c r="A14" s="27" t="e">
        <f>#REF!&amp;"_"&amp;#REF!</f>
        <v>#REF!</v>
      </c>
      <c r="B14">
        <f>ROW()</f>
        <v>14</v>
      </c>
    </row>
    <row r="15" spans="1:2" x14ac:dyDescent="0.2">
      <c r="A15" s="27" t="e">
        <f>#REF!&amp;"_"&amp;#REF!</f>
        <v>#REF!</v>
      </c>
      <c r="B15">
        <f>ROW()</f>
        <v>15</v>
      </c>
    </row>
    <row r="16" spans="1:2" x14ac:dyDescent="0.2">
      <c r="A16" s="27" t="e">
        <f>#REF!&amp;"_"&amp;#REF!</f>
        <v>#REF!</v>
      </c>
      <c r="B16">
        <f>ROW()</f>
        <v>16</v>
      </c>
    </row>
    <row r="17" spans="1:2" x14ac:dyDescent="0.2">
      <c r="A17" s="27" t="e">
        <f>#REF!&amp;"_"&amp;#REF!</f>
        <v>#REF!</v>
      </c>
      <c r="B17">
        <f>ROW()</f>
        <v>17</v>
      </c>
    </row>
    <row r="18" spans="1:2" x14ac:dyDescent="0.2">
      <c r="A18" s="27" t="e">
        <f>#REF!&amp;"_"&amp;#REF!</f>
        <v>#REF!</v>
      </c>
      <c r="B18">
        <f>ROW()</f>
        <v>18</v>
      </c>
    </row>
    <row r="19" spans="1:2" x14ac:dyDescent="0.2">
      <c r="A19" s="27" t="e">
        <f>#REF!&amp;"_"&amp;#REF!</f>
        <v>#REF!</v>
      </c>
      <c r="B19">
        <f>ROW()</f>
        <v>19</v>
      </c>
    </row>
    <row r="20" spans="1:2" x14ac:dyDescent="0.2">
      <c r="A20" s="27" t="e">
        <f>#REF!&amp;"_"&amp;#REF!</f>
        <v>#REF!</v>
      </c>
      <c r="B20">
        <f>ROW()</f>
        <v>20</v>
      </c>
    </row>
    <row r="21" spans="1:2" x14ac:dyDescent="0.2">
      <c r="A21" s="27" t="e">
        <f>#REF!&amp;"_"&amp;#REF!</f>
        <v>#REF!</v>
      </c>
      <c r="B21">
        <f>ROW()</f>
        <v>21</v>
      </c>
    </row>
    <row r="22" spans="1:2" x14ac:dyDescent="0.2">
      <c r="A22" s="27" t="e">
        <f>#REF!&amp;"_"&amp;#REF!</f>
        <v>#REF!</v>
      </c>
      <c r="B22">
        <f>ROW()</f>
        <v>22</v>
      </c>
    </row>
    <row r="23" spans="1:2" x14ac:dyDescent="0.2">
      <c r="A23" s="27" t="e">
        <f>#REF!&amp;"_"&amp;#REF!</f>
        <v>#REF!</v>
      </c>
      <c r="B23">
        <f>ROW()</f>
        <v>23</v>
      </c>
    </row>
    <row r="24" spans="1:2" x14ac:dyDescent="0.2">
      <c r="A24" s="27" t="e">
        <f>#REF!&amp;"_"&amp;#REF!</f>
        <v>#REF!</v>
      </c>
      <c r="B24">
        <f>ROW()</f>
        <v>24</v>
      </c>
    </row>
    <row r="25" spans="1:2" x14ac:dyDescent="0.2">
      <c r="A25" s="27" t="e">
        <f>#REF!&amp;"_"&amp;#REF!</f>
        <v>#REF!</v>
      </c>
      <c r="B25">
        <f>ROW()</f>
        <v>25</v>
      </c>
    </row>
    <row r="26" spans="1:2" x14ac:dyDescent="0.2">
      <c r="A26" s="27" t="e">
        <f>#REF!&amp;"_"&amp;#REF!</f>
        <v>#REF!</v>
      </c>
      <c r="B26">
        <f>ROW()</f>
        <v>26</v>
      </c>
    </row>
    <row r="27" spans="1:2" x14ac:dyDescent="0.2">
      <c r="A27" s="27" t="e">
        <f>#REF!&amp;"_"&amp;#REF!</f>
        <v>#REF!</v>
      </c>
      <c r="B27">
        <f>ROW()</f>
        <v>27</v>
      </c>
    </row>
    <row r="28" spans="1:2" x14ac:dyDescent="0.2">
      <c r="A28" s="27" t="e">
        <f>#REF!&amp;"_"&amp;#REF!</f>
        <v>#REF!</v>
      </c>
      <c r="B28">
        <f>ROW()</f>
        <v>28</v>
      </c>
    </row>
    <row r="29" spans="1:2" x14ac:dyDescent="0.2">
      <c r="A29" s="27" t="e">
        <f>#REF!&amp;"_"&amp;#REF!</f>
        <v>#REF!</v>
      </c>
      <c r="B29">
        <f>ROW()</f>
        <v>29</v>
      </c>
    </row>
    <row r="30" spans="1:2" x14ac:dyDescent="0.2">
      <c r="A30" s="27" t="e">
        <f>#REF!&amp;"_"&amp;#REF!</f>
        <v>#REF!</v>
      </c>
      <c r="B30">
        <f>ROW()</f>
        <v>30</v>
      </c>
    </row>
    <row r="31" spans="1:2" x14ac:dyDescent="0.2">
      <c r="A31" s="27" t="e">
        <f>#REF!&amp;"_"&amp;#REF!</f>
        <v>#REF!</v>
      </c>
      <c r="B31">
        <f>ROW()</f>
        <v>31</v>
      </c>
    </row>
    <row r="32" spans="1:2" x14ac:dyDescent="0.2">
      <c r="A32" s="27" t="e">
        <f>#REF!&amp;"_"&amp;#REF!</f>
        <v>#REF!</v>
      </c>
      <c r="B32">
        <f>ROW()</f>
        <v>32</v>
      </c>
    </row>
    <row r="33" spans="1:2" x14ac:dyDescent="0.2">
      <c r="A33" s="27" t="e">
        <f>#REF!&amp;"_"&amp;#REF!</f>
        <v>#REF!</v>
      </c>
      <c r="B33">
        <f>ROW()</f>
        <v>33</v>
      </c>
    </row>
    <row r="34" spans="1:2" x14ac:dyDescent="0.2">
      <c r="A34" s="27" t="e">
        <f>#REF!&amp;"_"&amp;#REF!</f>
        <v>#REF!</v>
      </c>
      <c r="B34">
        <f>ROW()</f>
        <v>34</v>
      </c>
    </row>
    <row r="35" spans="1:2" x14ac:dyDescent="0.2">
      <c r="A35" s="27" t="e">
        <f>#REF!&amp;"_"&amp;#REF!</f>
        <v>#REF!</v>
      </c>
      <c r="B35">
        <f>ROW()</f>
        <v>35</v>
      </c>
    </row>
    <row r="36" spans="1:2" x14ac:dyDescent="0.2">
      <c r="A36" s="27" t="e">
        <f>#REF!&amp;"_"&amp;#REF!</f>
        <v>#REF!</v>
      </c>
      <c r="B36">
        <f>ROW()</f>
        <v>36</v>
      </c>
    </row>
    <row r="37" spans="1:2" x14ac:dyDescent="0.2">
      <c r="A37" s="27" t="e">
        <f>#REF!&amp;"_"&amp;#REF!</f>
        <v>#REF!</v>
      </c>
      <c r="B37">
        <f>ROW()</f>
        <v>37</v>
      </c>
    </row>
    <row r="38" spans="1:2" x14ac:dyDescent="0.2">
      <c r="A38" s="27" t="e">
        <f>#REF!&amp;"_"&amp;#REF!</f>
        <v>#REF!</v>
      </c>
      <c r="B38">
        <f>ROW()</f>
        <v>38</v>
      </c>
    </row>
    <row r="39" spans="1:2" x14ac:dyDescent="0.2">
      <c r="A39" s="27" t="e">
        <f>#REF!&amp;"_"&amp;#REF!</f>
        <v>#REF!</v>
      </c>
      <c r="B39">
        <f>ROW()</f>
        <v>39</v>
      </c>
    </row>
    <row r="40" spans="1:2" x14ac:dyDescent="0.2">
      <c r="A40" s="27" t="e">
        <f>#REF!&amp;"_"&amp;#REF!</f>
        <v>#REF!</v>
      </c>
      <c r="B40">
        <f>ROW()</f>
        <v>40</v>
      </c>
    </row>
    <row r="41" spans="1:2" x14ac:dyDescent="0.2">
      <c r="A41" s="27" t="e">
        <f>#REF!&amp;"_"&amp;#REF!</f>
        <v>#REF!</v>
      </c>
      <c r="B41">
        <f>ROW()</f>
        <v>41</v>
      </c>
    </row>
    <row r="42" spans="1:2" x14ac:dyDescent="0.2">
      <c r="A42" s="27" t="e">
        <f>#REF!&amp;"_"&amp;#REF!</f>
        <v>#REF!</v>
      </c>
      <c r="B42">
        <f>ROW()</f>
        <v>42</v>
      </c>
    </row>
    <row r="43" spans="1:2" x14ac:dyDescent="0.2">
      <c r="A43" s="27" t="e">
        <f>#REF!&amp;"_"&amp;#REF!</f>
        <v>#REF!</v>
      </c>
      <c r="B43">
        <f>ROW()</f>
        <v>43</v>
      </c>
    </row>
    <row r="44" spans="1:2" x14ac:dyDescent="0.2">
      <c r="A44" s="27" t="e">
        <f>#REF!&amp;"_"&amp;#REF!</f>
        <v>#REF!</v>
      </c>
      <c r="B44">
        <f>ROW()</f>
        <v>44</v>
      </c>
    </row>
    <row r="45" spans="1:2" x14ac:dyDescent="0.2">
      <c r="A45" s="27" t="e">
        <f>#REF!&amp;"_"&amp;#REF!</f>
        <v>#REF!</v>
      </c>
      <c r="B45">
        <f>ROW()</f>
        <v>45</v>
      </c>
    </row>
    <row r="46" spans="1:2" x14ac:dyDescent="0.2">
      <c r="A46" s="27" t="e">
        <f>#REF!&amp;"_"&amp;#REF!</f>
        <v>#REF!</v>
      </c>
      <c r="B46">
        <f>ROW()</f>
        <v>46</v>
      </c>
    </row>
    <row r="47" spans="1:2" x14ac:dyDescent="0.2">
      <c r="A47" s="27" t="e">
        <f>#REF!&amp;"_"&amp;#REF!</f>
        <v>#REF!</v>
      </c>
      <c r="B47">
        <f>ROW()</f>
        <v>47</v>
      </c>
    </row>
    <row r="48" spans="1:2" x14ac:dyDescent="0.2">
      <c r="A48" s="27" t="e">
        <f>#REF!&amp;"_"&amp;#REF!</f>
        <v>#REF!</v>
      </c>
      <c r="B48">
        <f>ROW()</f>
        <v>48</v>
      </c>
    </row>
    <row r="49" spans="1:2" x14ac:dyDescent="0.2">
      <c r="A49" s="27" t="e">
        <f>#REF!&amp;"_"&amp;#REF!</f>
        <v>#REF!</v>
      </c>
      <c r="B49">
        <f>ROW()</f>
        <v>49</v>
      </c>
    </row>
    <row r="50" spans="1:2" x14ac:dyDescent="0.2">
      <c r="A50" s="27" t="e">
        <f>#REF!&amp;"_"&amp;#REF!</f>
        <v>#REF!</v>
      </c>
      <c r="B50">
        <f>ROW()</f>
        <v>50</v>
      </c>
    </row>
    <row r="51" spans="1:2" x14ac:dyDescent="0.2">
      <c r="A51" s="27" t="e">
        <f>#REF!&amp;"_"&amp;#REF!</f>
        <v>#REF!</v>
      </c>
      <c r="B51">
        <f>ROW()</f>
        <v>51</v>
      </c>
    </row>
    <row r="52" spans="1:2" x14ac:dyDescent="0.2">
      <c r="A52" s="27" t="e">
        <f>#REF!&amp;"_"&amp;#REF!</f>
        <v>#REF!</v>
      </c>
      <c r="B52">
        <f>ROW()</f>
        <v>52</v>
      </c>
    </row>
    <row r="53" spans="1:2" x14ac:dyDescent="0.2">
      <c r="A53" s="27" t="e">
        <f>#REF!&amp;"_"&amp;#REF!</f>
        <v>#REF!</v>
      </c>
      <c r="B53">
        <f>ROW()</f>
        <v>53</v>
      </c>
    </row>
    <row r="54" spans="1:2" x14ac:dyDescent="0.2">
      <c r="A54" s="27" t="e">
        <f>#REF!&amp;"_"&amp;#REF!</f>
        <v>#REF!</v>
      </c>
      <c r="B54">
        <f>ROW()</f>
        <v>54</v>
      </c>
    </row>
    <row r="55" spans="1:2" x14ac:dyDescent="0.2">
      <c r="A55" s="27" t="e">
        <f>#REF!&amp;"_"&amp;#REF!</f>
        <v>#REF!</v>
      </c>
      <c r="B55">
        <f>ROW()</f>
        <v>55</v>
      </c>
    </row>
    <row r="56" spans="1:2" x14ac:dyDescent="0.2">
      <c r="A56" s="27" t="e">
        <f>#REF!&amp;"_"&amp;#REF!</f>
        <v>#REF!</v>
      </c>
      <c r="B56">
        <f>ROW()</f>
        <v>56</v>
      </c>
    </row>
    <row r="57" spans="1:2" x14ac:dyDescent="0.2">
      <c r="A57" s="27" t="e">
        <f>#REF!&amp;"_"&amp;#REF!</f>
        <v>#REF!</v>
      </c>
      <c r="B57">
        <f>ROW()</f>
        <v>57</v>
      </c>
    </row>
    <row r="58" spans="1:2" x14ac:dyDescent="0.2">
      <c r="A58" s="27" t="e">
        <f>#REF!&amp;"_"&amp;#REF!</f>
        <v>#REF!</v>
      </c>
      <c r="B58">
        <f>ROW()</f>
        <v>58</v>
      </c>
    </row>
    <row r="59" spans="1:2" x14ac:dyDescent="0.2">
      <c r="A59" s="27" t="e">
        <f>#REF!&amp;"_"&amp;#REF!</f>
        <v>#REF!</v>
      </c>
      <c r="B59">
        <f>ROW()</f>
        <v>59</v>
      </c>
    </row>
    <row r="60" spans="1:2" x14ac:dyDescent="0.2">
      <c r="A60" s="27" t="e">
        <f>#REF!&amp;"_"&amp;#REF!</f>
        <v>#REF!</v>
      </c>
      <c r="B60">
        <f>ROW()</f>
        <v>60</v>
      </c>
    </row>
    <row r="61" spans="1:2" x14ac:dyDescent="0.2">
      <c r="A61" s="27" t="e">
        <f>#REF!&amp;"_"&amp;#REF!</f>
        <v>#REF!</v>
      </c>
      <c r="B61">
        <f>ROW()</f>
        <v>61</v>
      </c>
    </row>
    <row r="62" spans="1:2" x14ac:dyDescent="0.2">
      <c r="A62" s="27" t="e">
        <f>#REF!&amp;"_"&amp;#REF!</f>
        <v>#REF!</v>
      </c>
      <c r="B62">
        <f>ROW()</f>
        <v>62</v>
      </c>
    </row>
    <row r="63" spans="1:2" x14ac:dyDescent="0.2">
      <c r="A63" s="27" t="e">
        <f>#REF!&amp;"_"&amp;#REF!</f>
        <v>#REF!</v>
      </c>
      <c r="B63">
        <f>ROW()</f>
        <v>63</v>
      </c>
    </row>
    <row r="64" spans="1:2" x14ac:dyDescent="0.2">
      <c r="A64" s="27" t="e">
        <f>#REF!&amp;"_"&amp;#REF!</f>
        <v>#REF!</v>
      </c>
      <c r="B64">
        <f>ROW()</f>
        <v>64</v>
      </c>
    </row>
    <row r="65" spans="1:2" x14ac:dyDescent="0.2">
      <c r="A65" s="27" t="e">
        <f>#REF!&amp;"_"&amp;#REF!</f>
        <v>#REF!</v>
      </c>
      <c r="B65">
        <f>ROW()</f>
        <v>65</v>
      </c>
    </row>
    <row r="66" spans="1:2" x14ac:dyDescent="0.2">
      <c r="A66" s="27" t="e">
        <f>#REF!&amp;"_"&amp;#REF!</f>
        <v>#REF!</v>
      </c>
      <c r="B66">
        <f>ROW()</f>
        <v>66</v>
      </c>
    </row>
    <row r="67" spans="1:2" x14ac:dyDescent="0.2">
      <c r="A67" s="27" t="e">
        <f>#REF!&amp;"_"&amp;#REF!</f>
        <v>#REF!</v>
      </c>
      <c r="B67">
        <f>ROW()</f>
        <v>67</v>
      </c>
    </row>
    <row r="68" spans="1:2" x14ac:dyDescent="0.2">
      <c r="A68" s="27" t="e">
        <f>#REF!&amp;"_"&amp;#REF!</f>
        <v>#REF!</v>
      </c>
      <c r="B68">
        <f>ROW()</f>
        <v>68</v>
      </c>
    </row>
    <row r="69" spans="1:2" x14ac:dyDescent="0.2">
      <c r="A69" s="27" t="e">
        <f>#REF!&amp;"_"&amp;#REF!</f>
        <v>#REF!</v>
      </c>
      <c r="B69">
        <f>ROW()</f>
        <v>69</v>
      </c>
    </row>
    <row r="70" spans="1:2" x14ac:dyDescent="0.2">
      <c r="A70" s="27" t="e">
        <f>#REF!&amp;"_"&amp;#REF!</f>
        <v>#REF!</v>
      </c>
      <c r="B70">
        <f>ROW()</f>
        <v>70</v>
      </c>
    </row>
    <row r="71" spans="1:2" x14ac:dyDescent="0.2">
      <c r="A71" s="27" t="e">
        <f>#REF!&amp;"_"&amp;#REF!</f>
        <v>#REF!</v>
      </c>
      <c r="B71">
        <f>ROW()</f>
        <v>71</v>
      </c>
    </row>
    <row r="72" spans="1:2" x14ac:dyDescent="0.2">
      <c r="A72" s="27" t="e">
        <f>#REF!&amp;"_"&amp;#REF!</f>
        <v>#REF!</v>
      </c>
      <c r="B72">
        <f>ROW()</f>
        <v>72</v>
      </c>
    </row>
    <row r="73" spans="1:2" x14ac:dyDescent="0.2">
      <c r="A73" s="27" t="e">
        <f>#REF!&amp;"_"&amp;#REF!</f>
        <v>#REF!</v>
      </c>
      <c r="B73">
        <f>ROW()</f>
        <v>73</v>
      </c>
    </row>
    <row r="74" spans="1:2" x14ac:dyDescent="0.2">
      <c r="A74" s="27" t="e">
        <f>#REF!&amp;"_"&amp;#REF!</f>
        <v>#REF!</v>
      </c>
      <c r="B74">
        <f>ROW()</f>
        <v>74</v>
      </c>
    </row>
    <row r="75" spans="1:2" x14ac:dyDescent="0.2">
      <c r="A75" s="27" t="e">
        <f>#REF!&amp;"_"&amp;#REF!</f>
        <v>#REF!</v>
      </c>
      <c r="B75">
        <f>ROW()</f>
        <v>75</v>
      </c>
    </row>
    <row r="76" spans="1:2" x14ac:dyDescent="0.2">
      <c r="A76" s="27" t="e">
        <f>#REF!&amp;"_"&amp;#REF!</f>
        <v>#REF!</v>
      </c>
      <c r="B76">
        <f>ROW()</f>
        <v>76</v>
      </c>
    </row>
    <row r="77" spans="1:2" x14ac:dyDescent="0.2">
      <c r="A77" s="27" t="e">
        <f>#REF!&amp;"_"&amp;#REF!</f>
        <v>#REF!</v>
      </c>
      <c r="B77">
        <f>ROW()</f>
        <v>77</v>
      </c>
    </row>
    <row r="78" spans="1:2" x14ac:dyDescent="0.2">
      <c r="A78" s="27" t="e">
        <f>#REF!&amp;"_"&amp;#REF!</f>
        <v>#REF!</v>
      </c>
      <c r="B78">
        <f>ROW()</f>
        <v>78</v>
      </c>
    </row>
    <row r="79" spans="1:2" x14ac:dyDescent="0.2">
      <c r="A79" s="27" t="e">
        <f>#REF!&amp;"_"&amp;#REF!</f>
        <v>#REF!</v>
      </c>
      <c r="B79">
        <f>ROW()</f>
        <v>79</v>
      </c>
    </row>
    <row r="80" spans="1:2" x14ac:dyDescent="0.2">
      <c r="A80" s="27" t="e">
        <f>#REF!&amp;"_"&amp;#REF!</f>
        <v>#REF!</v>
      </c>
      <c r="B80">
        <f>ROW()</f>
        <v>80</v>
      </c>
    </row>
    <row r="81" spans="1:2" x14ac:dyDescent="0.2">
      <c r="A81" s="27" t="e">
        <f>#REF!&amp;"_"&amp;#REF!</f>
        <v>#REF!</v>
      </c>
      <c r="B81">
        <f>ROW()</f>
        <v>81</v>
      </c>
    </row>
    <row r="82" spans="1:2" x14ac:dyDescent="0.2">
      <c r="A82" s="27" t="e">
        <f>#REF!&amp;"_"&amp;#REF!</f>
        <v>#REF!</v>
      </c>
      <c r="B82">
        <f>ROW()</f>
        <v>82</v>
      </c>
    </row>
    <row r="83" spans="1:2" x14ac:dyDescent="0.2">
      <c r="A83" s="27" t="e">
        <f>#REF!&amp;"_"&amp;#REF!</f>
        <v>#REF!</v>
      </c>
      <c r="B83">
        <f>ROW()</f>
        <v>83</v>
      </c>
    </row>
    <row r="84" spans="1:2" x14ac:dyDescent="0.2">
      <c r="A84" s="27" t="e">
        <f>#REF!&amp;"_"&amp;#REF!</f>
        <v>#REF!</v>
      </c>
      <c r="B84">
        <f>ROW()</f>
        <v>84</v>
      </c>
    </row>
    <row r="85" spans="1:2" x14ac:dyDescent="0.2">
      <c r="A85" s="27" t="e">
        <f>#REF!&amp;"_"&amp;#REF!</f>
        <v>#REF!</v>
      </c>
      <c r="B85">
        <f>ROW()</f>
        <v>85</v>
      </c>
    </row>
    <row r="86" spans="1:2" x14ac:dyDescent="0.2">
      <c r="A86" s="27" t="e">
        <f>#REF!&amp;"_"&amp;#REF!</f>
        <v>#REF!</v>
      </c>
      <c r="B86">
        <f>ROW()</f>
        <v>86</v>
      </c>
    </row>
    <row r="87" spans="1:2" x14ac:dyDescent="0.2">
      <c r="A87" s="27" t="e">
        <f>#REF!&amp;"_"&amp;#REF!</f>
        <v>#REF!</v>
      </c>
      <c r="B87">
        <f>ROW()</f>
        <v>87</v>
      </c>
    </row>
    <row r="88" spans="1:2" x14ac:dyDescent="0.2">
      <c r="A88" s="27" t="e">
        <f>#REF!&amp;"_"&amp;#REF!</f>
        <v>#REF!</v>
      </c>
      <c r="B88">
        <f>ROW()</f>
        <v>88</v>
      </c>
    </row>
    <row r="89" spans="1:2" x14ac:dyDescent="0.2">
      <c r="A89" s="27" t="e">
        <f>#REF!&amp;"_"&amp;#REF!</f>
        <v>#REF!</v>
      </c>
      <c r="B89">
        <f>ROW()</f>
        <v>89</v>
      </c>
    </row>
    <row r="90" spans="1:2" x14ac:dyDescent="0.2">
      <c r="A90" s="27" t="e">
        <f>#REF!&amp;"_"&amp;#REF!</f>
        <v>#REF!</v>
      </c>
      <c r="B90">
        <f>ROW()</f>
        <v>90</v>
      </c>
    </row>
    <row r="91" spans="1:2" x14ac:dyDescent="0.2">
      <c r="A91" s="27" t="e">
        <f>#REF!&amp;"_"&amp;#REF!</f>
        <v>#REF!</v>
      </c>
      <c r="B91">
        <f>ROW()</f>
        <v>91</v>
      </c>
    </row>
    <row r="92" spans="1:2" x14ac:dyDescent="0.2">
      <c r="A92" s="27" t="e">
        <f>#REF!&amp;"_"&amp;#REF!</f>
        <v>#REF!</v>
      </c>
      <c r="B92">
        <f>ROW()</f>
        <v>92</v>
      </c>
    </row>
    <row r="93" spans="1:2" x14ac:dyDescent="0.2">
      <c r="A93" s="27" t="e">
        <f>#REF!&amp;"_"&amp;#REF!</f>
        <v>#REF!</v>
      </c>
      <c r="B93">
        <f>ROW()</f>
        <v>93</v>
      </c>
    </row>
    <row r="94" spans="1:2" x14ac:dyDescent="0.2">
      <c r="A94" s="27" t="e">
        <f>#REF!&amp;"_"&amp;#REF!</f>
        <v>#REF!</v>
      </c>
      <c r="B94">
        <f>ROW()</f>
        <v>94</v>
      </c>
    </row>
    <row r="95" spans="1:2" x14ac:dyDescent="0.2">
      <c r="A95" s="27" t="e">
        <f>#REF!&amp;"_"&amp;#REF!</f>
        <v>#REF!</v>
      </c>
      <c r="B95">
        <f>ROW()</f>
        <v>95</v>
      </c>
    </row>
    <row r="96" spans="1:2" x14ac:dyDescent="0.2">
      <c r="A96" s="27" t="e">
        <f>#REF!&amp;"_"&amp;#REF!</f>
        <v>#REF!</v>
      </c>
      <c r="B96">
        <f>ROW()</f>
        <v>96</v>
      </c>
    </row>
    <row r="97" spans="1:2" x14ac:dyDescent="0.2">
      <c r="A97" s="27" t="e">
        <f>#REF!&amp;"_"&amp;#REF!</f>
        <v>#REF!</v>
      </c>
      <c r="B97">
        <f>ROW()</f>
        <v>97</v>
      </c>
    </row>
    <row r="98" spans="1:2" x14ac:dyDescent="0.2">
      <c r="A98" s="27" t="e">
        <f>#REF!&amp;"_"&amp;#REF!</f>
        <v>#REF!</v>
      </c>
      <c r="B98">
        <f>ROW()</f>
        <v>98</v>
      </c>
    </row>
    <row r="99" spans="1:2" x14ac:dyDescent="0.2">
      <c r="A99" s="27" t="e">
        <f>#REF!&amp;"_"&amp;#REF!</f>
        <v>#REF!</v>
      </c>
      <c r="B99">
        <f>ROW()</f>
        <v>99</v>
      </c>
    </row>
    <row r="100" spans="1:2" x14ac:dyDescent="0.2">
      <c r="A100" s="27" t="e">
        <f>#REF!&amp;"_"&amp;#REF!</f>
        <v>#REF!</v>
      </c>
      <c r="B100">
        <f>ROW()</f>
        <v>100</v>
      </c>
    </row>
    <row r="101" spans="1:2" x14ac:dyDescent="0.2">
      <c r="A101" s="27" t="e">
        <f>#REF!&amp;"_"&amp;#REF!</f>
        <v>#REF!</v>
      </c>
      <c r="B101">
        <f>ROW()</f>
        <v>101</v>
      </c>
    </row>
    <row r="102" spans="1:2" x14ac:dyDescent="0.2">
      <c r="A102" s="27" t="e">
        <f>#REF!&amp;"_"&amp;#REF!</f>
        <v>#REF!</v>
      </c>
      <c r="B102">
        <f>ROW()</f>
        <v>102</v>
      </c>
    </row>
    <row r="103" spans="1:2" x14ac:dyDescent="0.2">
      <c r="A103" s="27" t="e">
        <f>#REF!&amp;"_"&amp;#REF!</f>
        <v>#REF!</v>
      </c>
      <c r="B103">
        <f>ROW()</f>
        <v>103</v>
      </c>
    </row>
    <row r="104" spans="1:2" x14ac:dyDescent="0.2">
      <c r="A104" s="27" t="e">
        <f>#REF!&amp;"_"&amp;#REF!</f>
        <v>#REF!</v>
      </c>
      <c r="B104">
        <f>ROW()</f>
        <v>104</v>
      </c>
    </row>
    <row r="105" spans="1:2" x14ac:dyDescent="0.2">
      <c r="A105" s="27" t="e">
        <f>#REF!&amp;"_"&amp;#REF!</f>
        <v>#REF!</v>
      </c>
      <c r="B105">
        <f>ROW()</f>
        <v>105</v>
      </c>
    </row>
    <row r="106" spans="1:2" x14ac:dyDescent="0.2">
      <c r="A106" s="27" t="e">
        <f>#REF!&amp;"_"&amp;#REF!</f>
        <v>#REF!</v>
      </c>
      <c r="B106">
        <f>ROW()</f>
        <v>106</v>
      </c>
    </row>
    <row r="107" spans="1:2" x14ac:dyDescent="0.2">
      <c r="A107" s="27" t="e">
        <f>#REF!&amp;"_"&amp;#REF!</f>
        <v>#REF!</v>
      </c>
      <c r="B107">
        <f>ROW()</f>
        <v>107</v>
      </c>
    </row>
    <row r="108" spans="1:2" x14ac:dyDescent="0.2">
      <c r="A108" s="27" t="e">
        <f>#REF!&amp;"_"&amp;#REF!</f>
        <v>#REF!</v>
      </c>
      <c r="B108">
        <f>ROW()</f>
        <v>108</v>
      </c>
    </row>
    <row r="109" spans="1:2" x14ac:dyDescent="0.2">
      <c r="A109" s="27" t="e">
        <f>#REF!&amp;"_"&amp;#REF!</f>
        <v>#REF!</v>
      </c>
      <c r="B109">
        <f>ROW()</f>
        <v>109</v>
      </c>
    </row>
    <row r="110" spans="1:2" x14ac:dyDescent="0.2">
      <c r="A110" s="27" t="e">
        <f>#REF!&amp;"_"&amp;#REF!</f>
        <v>#REF!</v>
      </c>
      <c r="B110">
        <f>ROW()</f>
        <v>110</v>
      </c>
    </row>
    <row r="111" spans="1:2" x14ac:dyDescent="0.2">
      <c r="A111" s="27" t="e">
        <f>#REF!&amp;"_"&amp;#REF!</f>
        <v>#REF!</v>
      </c>
      <c r="B111">
        <f>ROW()</f>
        <v>111</v>
      </c>
    </row>
    <row r="112" spans="1:2" x14ac:dyDescent="0.2">
      <c r="A112" s="27" t="e">
        <f>#REF!&amp;"_"&amp;#REF!</f>
        <v>#REF!</v>
      </c>
      <c r="B112">
        <f>ROW()</f>
        <v>112</v>
      </c>
    </row>
    <row r="113" spans="1:2" x14ac:dyDescent="0.2">
      <c r="A113" s="27" t="e">
        <f>#REF!&amp;"_"&amp;#REF!</f>
        <v>#REF!</v>
      </c>
      <c r="B113">
        <f>ROW()</f>
        <v>113</v>
      </c>
    </row>
    <row r="114" spans="1:2" x14ac:dyDescent="0.2">
      <c r="A114" s="27" t="e">
        <f>#REF!&amp;"_"&amp;#REF!</f>
        <v>#REF!</v>
      </c>
      <c r="B114">
        <f>ROW()</f>
        <v>114</v>
      </c>
    </row>
    <row r="115" spans="1:2" x14ac:dyDescent="0.2">
      <c r="A115" s="27" t="e">
        <f>#REF!&amp;"_"&amp;#REF!</f>
        <v>#REF!</v>
      </c>
      <c r="B115">
        <f>ROW()</f>
        <v>115</v>
      </c>
    </row>
    <row r="116" spans="1:2" x14ac:dyDescent="0.2">
      <c r="A116" s="27" t="e">
        <f>#REF!&amp;"_"&amp;#REF!</f>
        <v>#REF!</v>
      </c>
      <c r="B116">
        <f>ROW()</f>
        <v>116</v>
      </c>
    </row>
    <row r="117" spans="1:2" x14ac:dyDescent="0.2">
      <c r="A117" s="27" t="e">
        <f>#REF!&amp;"_"&amp;#REF!</f>
        <v>#REF!</v>
      </c>
      <c r="B117">
        <f>ROW()</f>
        <v>117</v>
      </c>
    </row>
    <row r="118" spans="1:2" x14ac:dyDescent="0.2">
      <c r="A118" s="27" t="e">
        <f>#REF!&amp;"_"&amp;#REF!</f>
        <v>#REF!</v>
      </c>
      <c r="B118">
        <f>ROW()</f>
        <v>118</v>
      </c>
    </row>
    <row r="119" spans="1:2" x14ac:dyDescent="0.2">
      <c r="A119" s="27" t="e">
        <f>#REF!&amp;"_"&amp;#REF!</f>
        <v>#REF!</v>
      </c>
      <c r="B119">
        <f>ROW()</f>
        <v>119</v>
      </c>
    </row>
    <row r="120" spans="1:2" x14ac:dyDescent="0.2">
      <c r="A120" s="27" t="e">
        <f>#REF!&amp;"_"&amp;#REF!</f>
        <v>#REF!</v>
      </c>
      <c r="B120">
        <f>ROW()</f>
        <v>120</v>
      </c>
    </row>
    <row r="121" spans="1:2" x14ac:dyDescent="0.2">
      <c r="A121" s="27" t="e">
        <f>#REF!&amp;"_"&amp;#REF!</f>
        <v>#REF!</v>
      </c>
      <c r="B121">
        <f>ROW()</f>
        <v>121</v>
      </c>
    </row>
    <row r="122" spans="1:2" x14ac:dyDescent="0.2">
      <c r="A122" s="27" t="e">
        <f>#REF!&amp;"_"&amp;#REF!</f>
        <v>#REF!</v>
      </c>
      <c r="B122">
        <f>ROW()</f>
        <v>122</v>
      </c>
    </row>
    <row r="123" spans="1:2" x14ac:dyDescent="0.2">
      <c r="A123" s="27" t="e">
        <f>#REF!&amp;"_"&amp;#REF!</f>
        <v>#REF!</v>
      </c>
      <c r="B123">
        <f>ROW()</f>
        <v>123</v>
      </c>
    </row>
    <row r="124" spans="1:2" x14ac:dyDescent="0.2">
      <c r="A124" s="27" t="e">
        <f>#REF!&amp;"_"&amp;#REF!</f>
        <v>#REF!</v>
      </c>
      <c r="B124">
        <f>ROW()</f>
        <v>124</v>
      </c>
    </row>
    <row r="125" spans="1:2" x14ac:dyDescent="0.2">
      <c r="A125" s="27" t="e">
        <f>#REF!&amp;"_"&amp;#REF!</f>
        <v>#REF!</v>
      </c>
      <c r="B125">
        <f>ROW()</f>
        <v>125</v>
      </c>
    </row>
    <row r="126" spans="1:2" x14ac:dyDescent="0.2">
      <c r="A126" s="27" t="e">
        <f>#REF!&amp;"_"&amp;#REF!</f>
        <v>#REF!</v>
      </c>
      <c r="B126">
        <f>ROW()</f>
        <v>126</v>
      </c>
    </row>
    <row r="127" spans="1:2" x14ac:dyDescent="0.2">
      <c r="A127" s="27" t="e">
        <f>#REF!&amp;"_"&amp;#REF!</f>
        <v>#REF!</v>
      </c>
      <c r="B127">
        <f>ROW()</f>
        <v>127</v>
      </c>
    </row>
    <row r="128" spans="1:2" x14ac:dyDescent="0.2">
      <c r="A128" s="27" t="e">
        <f>#REF!&amp;"_"&amp;#REF!</f>
        <v>#REF!</v>
      </c>
      <c r="B128">
        <f>ROW()</f>
        <v>128</v>
      </c>
    </row>
    <row r="129" spans="1:2" x14ac:dyDescent="0.2">
      <c r="A129" s="27" t="e">
        <f>#REF!&amp;"_"&amp;#REF!</f>
        <v>#REF!</v>
      </c>
      <c r="B129">
        <f>ROW()</f>
        <v>129</v>
      </c>
    </row>
    <row r="130" spans="1:2" x14ac:dyDescent="0.2">
      <c r="A130" s="27" t="e">
        <f>#REF!&amp;"_"&amp;#REF!</f>
        <v>#REF!</v>
      </c>
      <c r="B130">
        <f>ROW()</f>
        <v>130</v>
      </c>
    </row>
    <row r="131" spans="1:2" x14ac:dyDescent="0.2">
      <c r="A131" s="27" t="e">
        <f>#REF!&amp;"_"&amp;#REF!</f>
        <v>#REF!</v>
      </c>
      <c r="B131">
        <f>ROW()</f>
        <v>131</v>
      </c>
    </row>
    <row r="132" spans="1:2" x14ac:dyDescent="0.2">
      <c r="A132" s="27" t="e">
        <f>#REF!&amp;"_"&amp;#REF!</f>
        <v>#REF!</v>
      </c>
      <c r="B132">
        <f>ROW()</f>
        <v>132</v>
      </c>
    </row>
    <row r="133" spans="1:2" x14ac:dyDescent="0.2">
      <c r="A133" s="27" t="e">
        <f>#REF!&amp;"_"&amp;#REF!</f>
        <v>#REF!</v>
      </c>
      <c r="B133">
        <f>ROW()</f>
        <v>133</v>
      </c>
    </row>
    <row r="134" spans="1:2" x14ac:dyDescent="0.2">
      <c r="A134" s="27" t="e">
        <f>#REF!&amp;"_"&amp;#REF!</f>
        <v>#REF!</v>
      </c>
      <c r="B134">
        <f>ROW()</f>
        <v>134</v>
      </c>
    </row>
    <row r="135" spans="1:2" x14ac:dyDescent="0.2">
      <c r="A135" s="27" t="e">
        <f>#REF!&amp;"_"&amp;#REF!</f>
        <v>#REF!</v>
      </c>
      <c r="B135">
        <f>ROW()</f>
        <v>135</v>
      </c>
    </row>
    <row r="136" spans="1:2" x14ac:dyDescent="0.2">
      <c r="A136" s="27" t="e">
        <f>#REF!&amp;"_"&amp;#REF!</f>
        <v>#REF!</v>
      </c>
      <c r="B136">
        <f>ROW()</f>
        <v>136</v>
      </c>
    </row>
    <row r="137" spans="1:2" x14ac:dyDescent="0.2">
      <c r="A137" s="27" t="e">
        <f>#REF!&amp;"_"&amp;#REF!</f>
        <v>#REF!</v>
      </c>
      <c r="B137">
        <f>ROW()</f>
        <v>137</v>
      </c>
    </row>
    <row r="138" spans="1:2" x14ac:dyDescent="0.2">
      <c r="A138" s="27" t="e">
        <f>#REF!&amp;"_"&amp;#REF!</f>
        <v>#REF!</v>
      </c>
      <c r="B138">
        <f>ROW()</f>
        <v>138</v>
      </c>
    </row>
    <row r="139" spans="1:2" x14ac:dyDescent="0.2">
      <c r="A139" s="27" t="e">
        <f>#REF!&amp;"_"&amp;#REF!</f>
        <v>#REF!</v>
      </c>
      <c r="B139">
        <f>ROW()</f>
        <v>139</v>
      </c>
    </row>
    <row r="140" spans="1:2" x14ac:dyDescent="0.2">
      <c r="A140" s="27" t="e">
        <f>#REF!&amp;"_"&amp;#REF!</f>
        <v>#REF!</v>
      </c>
      <c r="B140">
        <f>ROW()</f>
        <v>140</v>
      </c>
    </row>
    <row r="141" spans="1:2" x14ac:dyDescent="0.2">
      <c r="A141" s="27" t="e">
        <f>#REF!&amp;"_"&amp;#REF!</f>
        <v>#REF!</v>
      </c>
      <c r="B141">
        <f>ROW()</f>
        <v>141</v>
      </c>
    </row>
    <row r="142" spans="1:2" x14ac:dyDescent="0.2">
      <c r="A142" s="27" t="e">
        <f>#REF!&amp;"_"&amp;#REF!</f>
        <v>#REF!</v>
      </c>
      <c r="B142">
        <f>ROW()</f>
        <v>142</v>
      </c>
    </row>
    <row r="143" spans="1:2" x14ac:dyDescent="0.2">
      <c r="A143" s="27" t="e">
        <f>#REF!&amp;"_"&amp;#REF!</f>
        <v>#REF!</v>
      </c>
      <c r="B143">
        <f>ROW()</f>
        <v>143</v>
      </c>
    </row>
    <row r="144" spans="1:2" x14ac:dyDescent="0.2">
      <c r="A144" s="27" t="e">
        <f>#REF!&amp;"_"&amp;#REF!</f>
        <v>#REF!</v>
      </c>
      <c r="B144">
        <f>ROW()</f>
        <v>144</v>
      </c>
    </row>
    <row r="145" spans="1:2" x14ac:dyDescent="0.2">
      <c r="A145" s="27" t="e">
        <f>#REF!&amp;"_"&amp;#REF!</f>
        <v>#REF!</v>
      </c>
      <c r="B145">
        <f>ROW()</f>
        <v>145</v>
      </c>
    </row>
    <row r="146" spans="1:2" x14ac:dyDescent="0.2">
      <c r="A146" s="27" t="e">
        <f>#REF!&amp;"_"&amp;#REF!</f>
        <v>#REF!</v>
      </c>
      <c r="B146">
        <f>ROW()</f>
        <v>146</v>
      </c>
    </row>
    <row r="147" spans="1:2" x14ac:dyDescent="0.2">
      <c r="A147" s="27" t="e">
        <f>#REF!&amp;"_"&amp;#REF!</f>
        <v>#REF!</v>
      </c>
      <c r="B147">
        <f>ROW()</f>
        <v>147</v>
      </c>
    </row>
    <row r="148" spans="1:2" x14ac:dyDescent="0.2">
      <c r="A148" s="27" t="e">
        <f>#REF!&amp;"_"&amp;#REF!</f>
        <v>#REF!</v>
      </c>
      <c r="B148">
        <f>ROW()</f>
        <v>148</v>
      </c>
    </row>
    <row r="149" spans="1:2" x14ac:dyDescent="0.2">
      <c r="A149" s="27" t="e">
        <f>#REF!&amp;"_"&amp;#REF!</f>
        <v>#REF!</v>
      </c>
      <c r="B149">
        <f>ROW()</f>
        <v>149</v>
      </c>
    </row>
    <row r="150" spans="1:2" x14ac:dyDescent="0.2">
      <c r="A150" s="27" t="e">
        <f>#REF!&amp;"_"&amp;#REF!</f>
        <v>#REF!</v>
      </c>
      <c r="B150">
        <f>ROW()</f>
        <v>150</v>
      </c>
    </row>
    <row r="151" spans="1:2" x14ac:dyDescent="0.2">
      <c r="A151" s="27" t="e">
        <f>#REF!&amp;"_"&amp;#REF!</f>
        <v>#REF!</v>
      </c>
      <c r="B151">
        <f>ROW()</f>
        <v>151</v>
      </c>
    </row>
    <row r="152" spans="1:2" x14ac:dyDescent="0.2">
      <c r="A152" s="27" t="e">
        <f>#REF!&amp;"_"&amp;#REF!</f>
        <v>#REF!</v>
      </c>
      <c r="B152">
        <f>ROW()</f>
        <v>152</v>
      </c>
    </row>
    <row r="153" spans="1:2" x14ac:dyDescent="0.2">
      <c r="A153" s="27" t="e">
        <f>#REF!&amp;"_"&amp;#REF!</f>
        <v>#REF!</v>
      </c>
      <c r="B153">
        <f>ROW()</f>
        <v>153</v>
      </c>
    </row>
    <row r="154" spans="1:2" x14ac:dyDescent="0.2">
      <c r="A154" s="27" t="e">
        <f>#REF!&amp;"_"&amp;#REF!</f>
        <v>#REF!</v>
      </c>
      <c r="B154">
        <f>ROW()</f>
        <v>154</v>
      </c>
    </row>
    <row r="155" spans="1:2" x14ac:dyDescent="0.2">
      <c r="A155" s="27" t="e">
        <f>#REF!&amp;"_"&amp;#REF!</f>
        <v>#REF!</v>
      </c>
      <c r="B155">
        <f>ROW()</f>
        <v>155</v>
      </c>
    </row>
    <row r="156" spans="1:2" x14ac:dyDescent="0.2">
      <c r="A156" s="27" t="e">
        <f>#REF!&amp;"_"&amp;#REF!</f>
        <v>#REF!</v>
      </c>
      <c r="B156">
        <f>ROW()</f>
        <v>156</v>
      </c>
    </row>
    <row r="157" spans="1:2" x14ac:dyDescent="0.2">
      <c r="A157" s="27" t="e">
        <f>#REF!&amp;"_"&amp;#REF!</f>
        <v>#REF!</v>
      </c>
      <c r="B157">
        <f>ROW()</f>
        <v>157</v>
      </c>
    </row>
    <row r="158" spans="1:2" x14ac:dyDescent="0.2">
      <c r="A158" s="27" t="e">
        <f>#REF!&amp;"_"&amp;#REF!</f>
        <v>#REF!</v>
      </c>
      <c r="B158">
        <f>ROW()</f>
        <v>158</v>
      </c>
    </row>
    <row r="159" spans="1:2" x14ac:dyDescent="0.2">
      <c r="A159" s="27" t="e">
        <f>#REF!&amp;"_"&amp;#REF!</f>
        <v>#REF!</v>
      </c>
      <c r="B159">
        <f>ROW()</f>
        <v>159</v>
      </c>
    </row>
    <row r="160" spans="1:2" x14ac:dyDescent="0.2">
      <c r="A160" s="27" t="e">
        <f>#REF!&amp;"_"&amp;#REF!</f>
        <v>#REF!</v>
      </c>
      <c r="B160">
        <f>ROW()</f>
        <v>160</v>
      </c>
    </row>
    <row r="161" spans="1:2" x14ac:dyDescent="0.2">
      <c r="A161" s="27" t="e">
        <f>#REF!&amp;"_"&amp;#REF!</f>
        <v>#REF!</v>
      </c>
      <c r="B161">
        <f>ROW()</f>
        <v>161</v>
      </c>
    </row>
    <row r="162" spans="1:2" x14ac:dyDescent="0.2">
      <c r="A162" s="27" t="e">
        <f>#REF!&amp;"_"&amp;#REF!</f>
        <v>#REF!</v>
      </c>
      <c r="B162">
        <f>ROW()</f>
        <v>162</v>
      </c>
    </row>
    <row r="163" spans="1:2" x14ac:dyDescent="0.2">
      <c r="A163" s="27" t="e">
        <f>#REF!&amp;"_"&amp;#REF!</f>
        <v>#REF!</v>
      </c>
      <c r="B163">
        <f>ROW()</f>
        <v>163</v>
      </c>
    </row>
    <row r="164" spans="1:2" x14ac:dyDescent="0.2">
      <c r="A164" s="27" t="e">
        <f>#REF!&amp;"_"&amp;#REF!</f>
        <v>#REF!</v>
      </c>
      <c r="B164">
        <f>ROW()</f>
        <v>164</v>
      </c>
    </row>
    <row r="165" spans="1:2" x14ac:dyDescent="0.2">
      <c r="A165" s="27" t="e">
        <f>#REF!&amp;"_"&amp;#REF!</f>
        <v>#REF!</v>
      </c>
      <c r="B165">
        <f>ROW()</f>
        <v>165</v>
      </c>
    </row>
    <row r="166" spans="1:2" x14ac:dyDescent="0.2">
      <c r="A166" s="27" t="e">
        <f>#REF!&amp;"_"&amp;#REF!</f>
        <v>#REF!</v>
      </c>
      <c r="B166">
        <f>ROW()</f>
        <v>166</v>
      </c>
    </row>
    <row r="167" spans="1:2" x14ac:dyDescent="0.2">
      <c r="A167" s="27" t="e">
        <f>#REF!&amp;"_"&amp;#REF!</f>
        <v>#REF!</v>
      </c>
      <c r="B167">
        <f>ROW()</f>
        <v>167</v>
      </c>
    </row>
    <row r="168" spans="1:2" x14ac:dyDescent="0.2">
      <c r="A168" s="27" t="e">
        <f>#REF!&amp;"_"&amp;#REF!</f>
        <v>#REF!</v>
      </c>
      <c r="B168">
        <f>ROW()</f>
        <v>168</v>
      </c>
    </row>
    <row r="169" spans="1:2" x14ac:dyDescent="0.2">
      <c r="A169" s="27" t="e">
        <f>#REF!&amp;"_"&amp;#REF!</f>
        <v>#REF!</v>
      </c>
      <c r="B169">
        <f>ROW()</f>
        <v>169</v>
      </c>
    </row>
    <row r="170" spans="1:2" x14ac:dyDescent="0.2">
      <c r="A170" s="27" t="e">
        <f>#REF!&amp;"_"&amp;#REF!</f>
        <v>#REF!</v>
      </c>
      <c r="B170">
        <f>ROW()</f>
        <v>170</v>
      </c>
    </row>
    <row r="171" spans="1:2" x14ac:dyDescent="0.2">
      <c r="A171" s="27" t="e">
        <f>#REF!&amp;"_"&amp;#REF!</f>
        <v>#REF!</v>
      </c>
      <c r="B171">
        <f>ROW()</f>
        <v>171</v>
      </c>
    </row>
    <row r="172" spans="1:2" x14ac:dyDescent="0.2">
      <c r="A172" s="27" t="e">
        <f>#REF!&amp;"_"&amp;#REF!</f>
        <v>#REF!</v>
      </c>
      <c r="B172">
        <f>ROW()</f>
        <v>172</v>
      </c>
    </row>
    <row r="173" spans="1:2" x14ac:dyDescent="0.2">
      <c r="A173" s="27" t="e">
        <f>#REF!&amp;"_"&amp;#REF!</f>
        <v>#REF!</v>
      </c>
      <c r="B173">
        <f>ROW()</f>
        <v>173</v>
      </c>
    </row>
    <row r="174" spans="1:2" x14ac:dyDescent="0.2">
      <c r="A174" s="27" t="e">
        <f>#REF!&amp;"_"&amp;#REF!</f>
        <v>#REF!</v>
      </c>
      <c r="B174">
        <f>ROW()</f>
        <v>174</v>
      </c>
    </row>
    <row r="175" spans="1:2" x14ac:dyDescent="0.2">
      <c r="A175" s="27" t="e">
        <f>#REF!&amp;"_"&amp;#REF!</f>
        <v>#REF!</v>
      </c>
      <c r="B175">
        <f>ROW()</f>
        <v>175</v>
      </c>
    </row>
    <row r="176" spans="1:2" x14ac:dyDescent="0.2">
      <c r="A176" s="27" t="e">
        <f>#REF!&amp;"_"&amp;#REF!</f>
        <v>#REF!</v>
      </c>
      <c r="B176">
        <f>ROW()</f>
        <v>176</v>
      </c>
    </row>
    <row r="177" spans="1:2" x14ac:dyDescent="0.2">
      <c r="A177" s="27" t="e">
        <f>#REF!&amp;"_"&amp;#REF!</f>
        <v>#REF!</v>
      </c>
      <c r="B177">
        <f>ROW()</f>
        <v>177</v>
      </c>
    </row>
    <row r="178" spans="1:2" x14ac:dyDescent="0.2">
      <c r="A178" s="27" t="e">
        <f>#REF!&amp;"_"&amp;#REF!</f>
        <v>#REF!</v>
      </c>
      <c r="B178">
        <f>ROW()</f>
        <v>178</v>
      </c>
    </row>
    <row r="179" spans="1:2" x14ac:dyDescent="0.2">
      <c r="A179" s="27" t="e">
        <f>#REF!&amp;"_"&amp;#REF!</f>
        <v>#REF!</v>
      </c>
      <c r="B179">
        <f>ROW()</f>
        <v>179</v>
      </c>
    </row>
    <row r="180" spans="1:2" x14ac:dyDescent="0.2">
      <c r="A180" s="27" t="e">
        <f>#REF!&amp;"_"&amp;#REF!</f>
        <v>#REF!</v>
      </c>
      <c r="B180">
        <f>ROW()</f>
        <v>180</v>
      </c>
    </row>
    <row r="181" spans="1:2" x14ac:dyDescent="0.2">
      <c r="A181" s="27" t="e">
        <f>#REF!&amp;"_"&amp;#REF!</f>
        <v>#REF!</v>
      </c>
      <c r="B181">
        <f>ROW()</f>
        <v>181</v>
      </c>
    </row>
    <row r="182" spans="1:2" x14ac:dyDescent="0.2">
      <c r="A182" s="27" t="e">
        <f>#REF!&amp;"_"&amp;#REF!</f>
        <v>#REF!</v>
      </c>
      <c r="B182">
        <f>ROW()</f>
        <v>182</v>
      </c>
    </row>
    <row r="183" spans="1:2" x14ac:dyDescent="0.2">
      <c r="A183" s="27" t="e">
        <f>#REF!&amp;"_"&amp;#REF!</f>
        <v>#REF!</v>
      </c>
      <c r="B183">
        <f>ROW()</f>
        <v>183</v>
      </c>
    </row>
    <row r="184" spans="1:2" x14ac:dyDescent="0.2">
      <c r="A184" s="27" t="e">
        <f>#REF!&amp;"_"&amp;#REF!</f>
        <v>#REF!</v>
      </c>
      <c r="B184">
        <f>ROW()</f>
        <v>184</v>
      </c>
    </row>
    <row r="185" spans="1:2" x14ac:dyDescent="0.2">
      <c r="A185" s="27" t="e">
        <f>#REF!&amp;"_"&amp;#REF!</f>
        <v>#REF!</v>
      </c>
      <c r="B185">
        <f>ROW()</f>
        <v>185</v>
      </c>
    </row>
    <row r="186" spans="1:2" x14ac:dyDescent="0.2">
      <c r="A186" s="27" t="e">
        <f>#REF!&amp;"_"&amp;#REF!</f>
        <v>#REF!</v>
      </c>
      <c r="B186">
        <f>ROW()</f>
        <v>186</v>
      </c>
    </row>
    <row r="187" spans="1:2" x14ac:dyDescent="0.2">
      <c r="A187" s="27" t="e">
        <f>#REF!&amp;"_"&amp;#REF!</f>
        <v>#REF!</v>
      </c>
      <c r="B187">
        <f>ROW()</f>
        <v>187</v>
      </c>
    </row>
    <row r="188" spans="1:2" x14ac:dyDescent="0.2">
      <c r="A188" s="27" t="e">
        <f>#REF!&amp;"_"&amp;#REF!</f>
        <v>#REF!</v>
      </c>
      <c r="B188">
        <f>ROW()</f>
        <v>188</v>
      </c>
    </row>
    <row r="189" spans="1:2" x14ac:dyDescent="0.2">
      <c r="A189" s="27" t="e">
        <f>#REF!&amp;"_"&amp;#REF!</f>
        <v>#REF!</v>
      </c>
      <c r="B189">
        <f>ROW()</f>
        <v>189</v>
      </c>
    </row>
    <row r="190" spans="1:2" x14ac:dyDescent="0.2">
      <c r="A190" s="27" t="e">
        <f>#REF!&amp;"_"&amp;#REF!</f>
        <v>#REF!</v>
      </c>
      <c r="B190">
        <f>ROW()</f>
        <v>190</v>
      </c>
    </row>
    <row r="191" spans="1:2" x14ac:dyDescent="0.2">
      <c r="A191" s="27" t="e">
        <f>#REF!&amp;"_"&amp;#REF!</f>
        <v>#REF!</v>
      </c>
      <c r="B191">
        <f>ROW()</f>
        <v>191</v>
      </c>
    </row>
    <row r="192" spans="1:2" x14ac:dyDescent="0.2">
      <c r="A192" s="27" t="e">
        <f>#REF!&amp;"_"&amp;#REF!</f>
        <v>#REF!</v>
      </c>
      <c r="B192">
        <f>ROW()</f>
        <v>192</v>
      </c>
    </row>
    <row r="193" spans="1:2" x14ac:dyDescent="0.2">
      <c r="A193" s="27" t="e">
        <f>#REF!&amp;"_"&amp;#REF!</f>
        <v>#REF!</v>
      </c>
      <c r="B193">
        <f>ROW()</f>
        <v>193</v>
      </c>
    </row>
    <row r="194" spans="1:2" x14ac:dyDescent="0.2">
      <c r="A194" s="27" t="e">
        <f>#REF!&amp;"_"&amp;#REF!</f>
        <v>#REF!</v>
      </c>
      <c r="B194">
        <f>ROW()</f>
        <v>194</v>
      </c>
    </row>
    <row r="195" spans="1:2" x14ac:dyDescent="0.2">
      <c r="A195" s="27" t="e">
        <f>#REF!&amp;"_"&amp;#REF!</f>
        <v>#REF!</v>
      </c>
      <c r="B195">
        <f>ROW()</f>
        <v>195</v>
      </c>
    </row>
    <row r="196" spans="1:2" x14ac:dyDescent="0.2">
      <c r="A196" s="27" t="e">
        <f>#REF!&amp;"_"&amp;#REF!</f>
        <v>#REF!</v>
      </c>
      <c r="B196">
        <f>ROW()</f>
        <v>196</v>
      </c>
    </row>
    <row r="197" spans="1:2" x14ac:dyDescent="0.2">
      <c r="A197" s="27" t="e">
        <f>#REF!&amp;"_"&amp;#REF!</f>
        <v>#REF!</v>
      </c>
      <c r="B197">
        <f>ROW()</f>
        <v>197</v>
      </c>
    </row>
    <row r="198" spans="1:2" x14ac:dyDescent="0.2">
      <c r="A198" s="27" t="e">
        <f>#REF!&amp;"_"&amp;#REF!</f>
        <v>#REF!</v>
      </c>
      <c r="B198">
        <f>ROW()</f>
        <v>198</v>
      </c>
    </row>
    <row r="199" spans="1:2" x14ac:dyDescent="0.2">
      <c r="A199" s="27" t="e">
        <f>#REF!&amp;"_"&amp;#REF!</f>
        <v>#REF!</v>
      </c>
      <c r="B199">
        <f>ROW()</f>
        <v>199</v>
      </c>
    </row>
    <row r="200" spans="1:2" x14ac:dyDescent="0.2">
      <c r="A200" s="27" t="e">
        <f>#REF!&amp;"_"&amp;#REF!</f>
        <v>#REF!</v>
      </c>
      <c r="B200">
        <f>ROW()</f>
        <v>200</v>
      </c>
    </row>
    <row r="201" spans="1:2" x14ac:dyDescent="0.2">
      <c r="A201" s="27" t="e">
        <f>#REF!&amp;"_"&amp;#REF!</f>
        <v>#REF!</v>
      </c>
      <c r="B201">
        <f>ROW()</f>
        <v>201</v>
      </c>
    </row>
    <row r="202" spans="1:2" x14ac:dyDescent="0.2">
      <c r="A202" s="27" t="e">
        <f>#REF!&amp;"_"&amp;#REF!</f>
        <v>#REF!</v>
      </c>
      <c r="B202">
        <f>ROW()</f>
        <v>202</v>
      </c>
    </row>
    <row r="203" spans="1:2" x14ac:dyDescent="0.2">
      <c r="A203" s="27" t="e">
        <f>#REF!&amp;"_"&amp;#REF!</f>
        <v>#REF!</v>
      </c>
      <c r="B203">
        <f>ROW()</f>
        <v>203</v>
      </c>
    </row>
    <row r="204" spans="1:2" x14ac:dyDescent="0.2">
      <c r="A204" s="27" t="e">
        <f>#REF!&amp;"_"&amp;#REF!</f>
        <v>#REF!</v>
      </c>
      <c r="B204">
        <f>ROW()</f>
        <v>204</v>
      </c>
    </row>
    <row r="205" spans="1:2" x14ac:dyDescent="0.2">
      <c r="A205" s="27" t="e">
        <f>#REF!&amp;"_"&amp;#REF!</f>
        <v>#REF!</v>
      </c>
      <c r="B205">
        <f>ROW()</f>
        <v>205</v>
      </c>
    </row>
    <row r="206" spans="1:2" x14ac:dyDescent="0.2">
      <c r="A206" s="27" t="e">
        <f>#REF!&amp;"_"&amp;#REF!</f>
        <v>#REF!</v>
      </c>
      <c r="B206">
        <f>ROW()</f>
        <v>206</v>
      </c>
    </row>
    <row r="207" spans="1:2" x14ac:dyDescent="0.2">
      <c r="A207" s="27" t="e">
        <f>#REF!&amp;"_"&amp;#REF!</f>
        <v>#REF!</v>
      </c>
      <c r="B207">
        <f>ROW()</f>
        <v>207</v>
      </c>
    </row>
    <row r="208" spans="1:2" x14ac:dyDescent="0.2">
      <c r="A208" s="27" t="e">
        <f>#REF!&amp;"_"&amp;#REF!</f>
        <v>#REF!</v>
      </c>
      <c r="B208">
        <f>ROW()</f>
        <v>208</v>
      </c>
    </row>
    <row r="209" spans="1:2" x14ac:dyDescent="0.2">
      <c r="A209" s="27" t="e">
        <f>#REF!&amp;"_"&amp;#REF!</f>
        <v>#REF!</v>
      </c>
      <c r="B209">
        <f>ROW()</f>
        <v>209</v>
      </c>
    </row>
    <row r="210" spans="1:2" x14ac:dyDescent="0.2">
      <c r="A210" s="27" t="e">
        <f>#REF!&amp;"_"&amp;#REF!</f>
        <v>#REF!</v>
      </c>
      <c r="B210">
        <f>ROW()</f>
        <v>210</v>
      </c>
    </row>
    <row r="211" spans="1:2" x14ac:dyDescent="0.2">
      <c r="A211" s="27" t="e">
        <f>#REF!&amp;"_"&amp;#REF!</f>
        <v>#REF!</v>
      </c>
      <c r="B211">
        <f>ROW()</f>
        <v>211</v>
      </c>
    </row>
    <row r="212" spans="1:2" x14ac:dyDescent="0.2">
      <c r="A212" s="27" t="e">
        <f>#REF!&amp;"_"&amp;#REF!</f>
        <v>#REF!</v>
      </c>
      <c r="B212">
        <f>ROW()</f>
        <v>212</v>
      </c>
    </row>
    <row r="213" spans="1:2" x14ac:dyDescent="0.2">
      <c r="A213" s="27" t="e">
        <f>#REF!&amp;"_"&amp;#REF!</f>
        <v>#REF!</v>
      </c>
      <c r="B213">
        <f>ROW()</f>
        <v>213</v>
      </c>
    </row>
    <row r="214" spans="1:2" x14ac:dyDescent="0.2">
      <c r="A214" s="27" t="e">
        <f>#REF!&amp;"_"&amp;#REF!</f>
        <v>#REF!</v>
      </c>
      <c r="B214">
        <f>ROW()</f>
        <v>214</v>
      </c>
    </row>
    <row r="215" spans="1:2" x14ac:dyDescent="0.2">
      <c r="A215" s="27" t="e">
        <f>#REF!&amp;"_"&amp;#REF!</f>
        <v>#REF!</v>
      </c>
      <c r="B215">
        <f>ROW()</f>
        <v>215</v>
      </c>
    </row>
    <row r="216" spans="1:2" x14ac:dyDescent="0.2">
      <c r="A216" s="27" t="e">
        <f>#REF!&amp;"_"&amp;#REF!</f>
        <v>#REF!</v>
      </c>
      <c r="B216">
        <f>ROW()</f>
        <v>216</v>
      </c>
    </row>
    <row r="217" spans="1:2" x14ac:dyDescent="0.2">
      <c r="A217" s="27" t="e">
        <f>#REF!&amp;"_"&amp;#REF!</f>
        <v>#REF!</v>
      </c>
      <c r="B217">
        <f>ROW()</f>
        <v>217</v>
      </c>
    </row>
    <row r="218" spans="1:2" x14ac:dyDescent="0.2">
      <c r="A218" s="27" t="e">
        <f>#REF!&amp;"_"&amp;#REF!</f>
        <v>#REF!</v>
      </c>
      <c r="B218">
        <f>ROW()</f>
        <v>218</v>
      </c>
    </row>
    <row r="219" spans="1:2" x14ac:dyDescent="0.2">
      <c r="A219" s="27" t="e">
        <f>#REF!&amp;"_"&amp;#REF!</f>
        <v>#REF!</v>
      </c>
      <c r="B219">
        <f>ROW()</f>
        <v>219</v>
      </c>
    </row>
    <row r="220" spans="1:2" x14ac:dyDescent="0.2">
      <c r="A220" s="27" t="e">
        <f>#REF!&amp;"_"&amp;#REF!</f>
        <v>#REF!</v>
      </c>
      <c r="B220">
        <f>ROW()</f>
        <v>220</v>
      </c>
    </row>
    <row r="221" spans="1:2" x14ac:dyDescent="0.2">
      <c r="A221" s="27" t="e">
        <f>#REF!&amp;"_"&amp;#REF!</f>
        <v>#REF!</v>
      </c>
      <c r="B221">
        <f>ROW()</f>
        <v>221</v>
      </c>
    </row>
    <row r="222" spans="1:2" x14ac:dyDescent="0.2">
      <c r="A222" s="27" t="e">
        <f>#REF!&amp;"_"&amp;#REF!</f>
        <v>#REF!</v>
      </c>
      <c r="B222">
        <f>ROW()</f>
        <v>222</v>
      </c>
    </row>
    <row r="223" spans="1:2" x14ac:dyDescent="0.2">
      <c r="A223" s="27" t="e">
        <f>#REF!&amp;"_"&amp;#REF!</f>
        <v>#REF!</v>
      </c>
      <c r="B223">
        <f>ROW()</f>
        <v>223</v>
      </c>
    </row>
    <row r="224" spans="1:2" x14ac:dyDescent="0.2">
      <c r="A224" s="27" t="e">
        <f>#REF!&amp;"_"&amp;#REF!</f>
        <v>#REF!</v>
      </c>
      <c r="B224">
        <f>ROW()</f>
        <v>224</v>
      </c>
    </row>
    <row r="225" spans="1:2" x14ac:dyDescent="0.2">
      <c r="A225" s="27" t="e">
        <f>#REF!&amp;"_"&amp;#REF!</f>
        <v>#REF!</v>
      </c>
      <c r="B225">
        <f>ROW()</f>
        <v>225</v>
      </c>
    </row>
    <row r="226" spans="1:2" x14ac:dyDescent="0.2">
      <c r="A226" s="27" t="e">
        <f>#REF!&amp;"_"&amp;#REF!</f>
        <v>#REF!</v>
      </c>
      <c r="B226">
        <f>ROW()</f>
        <v>226</v>
      </c>
    </row>
    <row r="227" spans="1:2" x14ac:dyDescent="0.2">
      <c r="A227" s="27" t="e">
        <f>#REF!&amp;"_"&amp;#REF!</f>
        <v>#REF!</v>
      </c>
      <c r="B227">
        <f>ROW()</f>
        <v>227</v>
      </c>
    </row>
    <row r="228" spans="1:2" x14ac:dyDescent="0.2">
      <c r="A228" s="27" t="e">
        <f>#REF!&amp;"_"&amp;#REF!</f>
        <v>#REF!</v>
      </c>
      <c r="B228">
        <f>ROW()</f>
        <v>228</v>
      </c>
    </row>
    <row r="229" spans="1:2" x14ac:dyDescent="0.2">
      <c r="A229" s="27" t="e">
        <f>#REF!&amp;"_"&amp;#REF!</f>
        <v>#REF!</v>
      </c>
      <c r="B229">
        <f>ROW()</f>
        <v>229</v>
      </c>
    </row>
    <row r="230" spans="1:2" x14ac:dyDescent="0.2">
      <c r="A230" s="27" t="e">
        <f>#REF!&amp;"_"&amp;#REF!</f>
        <v>#REF!</v>
      </c>
      <c r="B230">
        <f>ROW()</f>
        <v>230</v>
      </c>
    </row>
    <row r="231" spans="1:2" x14ac:dyDescent="0.2">
      <c r="A231" s="27" t="e">
        <f>#REF!&amp;"_"&amp;#REF!</f>
        <v>#REF!</v>
      </c>
      <c r="B231">
        <f>ROW()</f>
        <v>231</v>
      </c>
    </row>
    <row r="232" spans="1:2" x14ac:dyDescent="0.2">
      <c r="A232" s="27" t="e">
        <f>#REF!&amp;"_"&amp;#REF!</f>
        <v>#REF!</v>
      </c>
      <c r="B232">
        <f>ROW()</f>
        <v>232</v>
      </c>
    </row>
    <row r="233" spans="1:2" x14ac:dyDescent="0.2">
      <c r="A233" s="27" t="e">
        <f>#REF!&amp;"_"&amp;#REF!</f>
        <v>#REF!</v>
      </c>
      <c r="B233">
        <f>ROW()</f>
        <v>233</v>
      </c>
    </row>
    <row r="234" spans="1:2" x14ac:dyDescent="0.2">
      <c r="A234" s="27" t="e">
        <f>#REF!&amp;"_"&amp;#REF!</f>
        <v>#REF!</v>
      </c>
      <c r="B234">
        <f>ROW()</f>
        <v>234</v>
      </c>
    </row>
    <row r="235" spans="1:2" x14ac:dyDescent="0.2">
      <c r="A235" s="27" t="e">
        <f>#REF!&amp;"_"&amp;#REF!</f>
        <v>#REF!</v>
      </c>
      <c r="B235">
        <f>ROW()</f>
        <v>235</v>
      </c>
    </row>
    <row r="236" spans="1:2" x14ac:dyDescent="0.2">
      <c r="A236" s="27" t="e">
        <f>#REF!&amp;"_"&amp;#REF!</f>
        <v>#REF!</v>
      </c>
      <c r="B236">
        <f>ROW()</f>
        <v>236</v>
      </c>
    </row>
    <row r="237" spans="1:2" x14ac:dyDescent="0.2">
      <c r="A237" s="27" t="e">
        <f>#REF!&amp;"_"&amp;#REF!</f>
        <v>#REF!</v>
      </c>
      <c r="B237">
        <f>ROW()</f>
        <v>237</v>
      </c>
    </row>
    <row r="238" spans="1:2" x14ac:dyDescent="0.2">
      <c r="A238" s="27" t="e">
        <f>#REF!&amp;"_"&amp;#REF!</f>
        <v>#REF!</v>
      </c>
      <c r="B238">
        <f>ROW()</f>
        <v>238</v>
      </c>
    </row>
    <row r="239" spans="1:2" x14ac:dyDescent="0.2">
      <c r="A239" s="27" t="e">
        <f>#REF!&amp;"_"&amp;#REF!</f>
        <v>#REF!</v>
      </c>
      <c r="B239">
        <f>ROW()</f>
        <v>239</v>
      </c>
    </row>
    <row r="240" spans="1:2" x14ac:dyDescent="0.2">
      <c r="A240" s="27" t="e">
        <f>#REF!&amp;"_"&amp;#REF!</f>
        <v>#REF!</v>
      </c>
      <c r="B240">
        <f>ROW()</f>
        <v>240</v>
      </c>
    </row>
    <row r="241" spans="1:2" x14ac:dyDescent="0.2">
      <c r="A241" s="27" t="e">
        <f>#REF!&amp;"_"&amp;#REF!</f>
        <v>#REF!</v>
      </c>
      <c r="B241">
        <f>ROW()</f>
        <v>241</v>
      </c>
    </row>
    <row r="242" spans="1:2" x14ac:dyDescent="0.2">
      <c r="A242" s="27" t="e">
        <f>#REF!&amp;"_"&amp;#REF!</f>
        <v>#REF!</v>
      </c>
      <c r="B242">
        <f>ROW()</f>
        <v>242</v>
      </c>
    </row>
    <row r="243" spans="1:2" x14ac:dyDescent="0.2">
      <c r="A243" s="27" t="e">
        <f>#REF!&amp;"_"&amp;#REF!</f>
        <v>#REF!</v>
      </c>
      <c r="B243">
        <f>ROW()</f>
        <v>243</v>
      </c>
    </row>
    <row r="244" spans="1:2" x14ac:dyDescent="0.2">
      <c r="A244" s="27" t="e">
        <f>#REF!&amp;"_"&amp;#REF!</f>
        <v>#REF!</v>
      </c>
      <c r="B244">
        <f>ROW()</f>
        <v>244</v>
      </c>
    </row>
    <row r="245" spans="1:2" x14ac:dyDescent="0.2">
      <c r="A245" s="27" t="e">
        <f>#REF!&amp;"_"&amp;#REF!</f>
        <v>#REF!</v>
      </c>
      <c r="B245">
        <f>ROW()</f>
        <v>245</v>
      </c>
    </row>
    <row r="246" spans="1:2" x14ac:dyDescent="0.2">
      <c r="A246" s="27" t="e">
        <f>#REF!&amp;"_"&amp;#REF!</f>
        <v>#REF!</v>
      </c>
      <c r="B246">
        <f>ROW()</f>
        <v>246</v>
      </c>
    </row>
    <row r="247" spans="1:2" x14ac:dyDescent="0.2">
      <c r="A247" s="27" t="e">
        <f>#REF!&amp;"_"&amp;#REF!</f>
        <v>#REF!</v>
      </c>
      <c r="B247">
        <f>ROW()</f>
        <v>247</v>
      </c>
    </row>
    <row r="248" spans="1:2" x14ac:dyDescent="0.2">
      <c r="A248" s="27" t="e">
        <f>#REF!&amp;"_"&amp;#REF!</f>
        <v>#REF!</v>
      </c>
      <c r="B248">
        <f>ROW()</f>
        <v>248</v>
      </c>
    </row>
    <row r="249" spans="1:2" x14ac:dyDescent="0.2">
      <c r="A249" s="27" t="e">
        <f>#REF!&amp;"_"&amp;#REF!</f>
        <v>#REF!</v>
      </c>
      <c r="B249">
        <f>ROW()</f>
        <v>249</v>
      </c>
    </row>
    <row r="250" spans="1:2" x14ac:dyDescent="0.2">
      <c r="A250" s="27" t="e">
        <f>#REF!&amp;"_"&amp;#REF!</f>
        <v>#REF!</v>
      </c>
      <c r="B250">
        <f>ROW()</f>
        <v>250</v>
      </c>
    </row>
    <row r="251" spans="1:2" x14ac:dyDescent="0.2">
      <c r="A251" s="27" t="e">
        <f>#REF!&amp;"_"&amp;#REF!</f>
        <v>#REF!</v>
      </c>
      <c r="B251">
        <f>ROW()</f>
        <v>251</v>
      </c>
    </row>
    <row r="252" spans="1:2" x14ac:dyDescent="0.2">
      <c r="A252" s="27" t="e">
        <f>#REF!&amp;"_"&amp;#REF!</f>
        <v>#REF!</v>
      </c>
      <c r="B252">
        <f>ROW()</f>
        <v>252</v>
      </c>
    </row>
    <row r="253" spans="1:2" x14ac:dyDescent="0.2">
      <c r="A253" s="27" t="e">
        <f>#REF!&amp;"_"&amp;#REF!</f>
        <v>#REF!</v>
      </c>
      <c r="B253">
        <f>ROW()</f>
        <v>253</v>
      </c>
    </row>
    <row r="254" spans="1:2" x14ac:dyDescent="0.2">
      <c r="A254" s="27" t="e">
        <f>#REF!&amp;"_"&amp;#REF!</f>
        <v>#REF!</v>
      </c>
      <c r="B254">
        <f>ROW()</f>
        <v>254</v>
      </c>
    </row>
    <row r="255" spans="1:2" x14ac:dyDescent="0.2">
      <c r="A255" s="27" t="e">
        <f>#REF!&amp;"_"&amp;#REF!</f>
        <v>#REF!</v>
      </c>
      <c r="B255">
        <f>ROW()</f>
        <v>255</v>
      </c>
    </row>
    <row r="256" spans="1:2" x14ac:dyDescent="0.2">
      <c r="A256" s="27" t="e">
        <f>#REF!&amp;"_"&amp;#REF!</f>
        <v>#REF!</v>
      </c>
      <c r="B256">
        <f>ROW()</f>
        <v>256</v>
      </c>
    </row>
    <row r="257" spans="1:2" x14ac:dyDescent="0.2">
      <c r="A257" s="27" t="e">
        <f>#REF!&amp;"_"&amp;#REF!</f>
        <v>#REF!</v>
      </c>
      <c r="B257">
        <f>ROW()</f>
        <v>257</v>
      </c>
    </row>
    <row r="258" spans="1:2" x14ac:dyDescent="0.2">
      <c r="A258" s="27" t="e">
        <f>#REF!&amp;"_"&amp;#REF!</f>
        <v>#REF!</v>
      </c>
      <c r="B258">
        <f>ROW()</f>
        <v>258</v>
      </c>
    </row>
    <row r="259" spans="1:2" x14ac:dyDescent="0.2">
      <c r="A259" s="27" t="e">
        <f>#REF!&amp;"_"&amp;#REF!</f>
        <v>#REF!</v>
      </c>
      <c r="B259">
        <f>ROW()</f>
        <v>259</v>
      </c>
    </row>
    <row r="260" spans="1:2" x14ac:dyDescent="0.2">
      <c r="A260" s="27" t="e">
        <f>#REF!&amp;"_"&amp;#REF!</f>
        <v>#REF!</v>
      </c>
      <c r="B260">
        <f>ROW()</f>
        <v>260</v>
      </c>
    </row>
    <row r="261" spans="1:2" x14ac:dyDescent="0.2">
      <c r="A261" s="27" t="e">
        <f>#REF!&amp;"_"&amp;#REF!</f>
        <v>#REF!</v>
      </c>
      <c r="B261">
        <f>ROW()</f>
        <v>261</v>
      </c>
    </row>
    <row r="262" spans="1:2" x14ac:dyDescent="0.2">
      <c r="A262" s="27" t="e">
        <f>#REF!&amp;"_"&amp;#REF!</f>
        <v>#REF!</v>
      </c>
      <c r="B262">
        <f>ROW()</f>
        <v>262</v>
      </c>
    </row>
    <row r="263" spans="1:2" x14ac:dyDescent="0.2">
      <c r="A263" s="27" t="e">
        <f>#REF!&amp;"_"&amp;#REF!</f>
        <v>#REF!</v>
      </c>
      <c r="B263">
        <f>ROW()</f>
        <v>263</v>
      </c>
    </row>
    <row r="264" spans="1:2" x14ac:dyDescent="0.2">
      <c r="A264" s="27" t="e">
        <f>#REF!&amp;"_"&amp;#REF!</f>
        <v>#REF!</v>
      </c>
      <c r="B264">
        <f>ROW()</f>
        <v>264</v>
      </c>
    </row>
    <row r="265" spans="1:2" x14ac:dyDescent="0.2">
      <c r="A265" s="27" t="e">
        <f>#REF!&amp;"_"&amp;#REF!</f>
        <v>#REF!</v>
      </c>
      <c r="B265">
        <f>ROW()</f>
        <v>265</v>
      </c>
    </row>
    <row r="266" spans="1:2" x14ac:dyDescent="0.2">
      <c r="A266" s="27" t="e">
        <f>#REF!&amp;"_"&amp;#REF!</f>
        <v>#REF!</v>
      </c>
      <c r="B266">
        <f>ROW()</f>
        <v>266</v>
      </c>
    </row>
    <row r="267" spans="1:2" x14ac:dyDescent="0.2">
      <c r="A267" s="27" t="e">
        <f>#REF!&amp;"_"&amp;#REF!</f>
        <v>#REF!</v>
      </c>
      <c r="B267">
        <f>ROW()</f>
        <v>267</v>
      </c>
    </row>
    <row r="268" spans="1:2" x14ac:dyDescent="0.2">
      <c r="A268" s="27" t="e">
        <f>#REF!&amp;"_"&amp;#REF!</f>
        <v>#REF!</v>
      </c>
      <c r="B268">
        <f>ROW()</f>
        <v>268</v>
      </c>
    </row>
    <row r="269" spans="1:2" x14ac:dyDescent="0.2">
      <c r="A269" s="27" t="e">
        <f>#REF!&amp;"_"&amp;#REF!</f>
        <v>#REF!</v>
      </c>
      <c r="B269">
        <f>ROW()</f>
        <v>269</v>
      </c>
    </row>
    <row r="270" spans="1:2" x14ac:dyDescent="0.2">
      <c r="A270" s="27" t="e">
        <f>#REF!&amp;"_"&amp;#REF!</f>
        <v>#REF!</v>
      </c>
      <c r="B270">
        <f>ROW()</f>
        <v>270</v>
      </c>
    </row>
    <row r="271" spans="1:2" x14ac:dyDescent="0.2">
      <c r="A271" s="27" t="e">
        <f>#REF!&amp;"_"&amp;#REF!</f>
        <v>#REF!</v>
      </c>
      <c r="B271">
        <f>ROW()</f>
        <v>271</v>
      </c>
    </row>
    <row r="272" spans="1:2" x14ac:dyDescent="0.2">
      <c r="A272" s="27" t="e">
        <f>#REF!&amp;"_"&amp;#REF!</f>
        <v>#REF!</v>
      </c>
      <c r="B272">
        <f>ROW()</f>
        <v>272</v>
      </c>
    </row>
    <row r="273" spans="1:2" x14ac:dyDescent="0.2">
      <c r="A273" s="27" t="e">
        <f>#REF!&amp;"_"&amp;#REF!</f>
        <v>#REF!</v>
      </c>
      <c r="B273">
        <f>ROW()</f>
        <v>273</v>
      </c>
    </row>
    <row r="274" spans="1:2" x14ac:dyDescent="0.2">
      <c r="A274" s="27" t="e">
        <f>#REF!&amp;"_"&amp;#REF!</f>
        <v>#REF!</v>
      </c>
      <c r="B274">
        <f>ROW()</f>
        <v>274</v>
      </c>
    </row>
    <row r="275" spans="1:2" x14ac:dyDescent="0.2">
      <c r="A275" s="27" t="e">
        <f>#REF!&amp;"_"&amp;#REF!</f>
        <v>#REF!</v>
      </c>
      <c r="B275">
        <f>ROW()</f>
        <v>275</v>
      </c>
    </row>
    <row r="276" spans="1:2" x14ac:dyDescent="0.2">
      <c r="A276" s="27" t="e">
        <f>#REF!&amp;"_"&amp;#REF!</f>
        <v>#REF!</v>
      </c>
      <c r="B276">
        <f>ROW()</f>
        <v>276</v>
      </c>
    </row>
    <row r="277" spans="1:2" x14ac:dyDescent="0.2">
      <c r="A277" s="27" t="e">
        <f>#REF!&amp;"_"&amp;#REF!</f>
        <v>#REF!</v>
      </c>
      <c r="B277">
        <f>ROW()</f>
        <v>277</v>
      </c>
    </row>
    <row r="278" spans="1:2" x14ac:dyDescent="0.2">
      <c r="A278" s="27" t="e">
        <f>#REF!&amp;"_"&amp;#REF!</f>
        <v>#REF!</v>
      </c>
      <c r="B278">
        <f>ROW()</f>
        <v>278</v>
      </c>
    </row>
    <row r="279" spans="1:2" x14ac:dyDescent="0.2">
      <c r="A279" s="27" t="e">
        <f>#REF!&amp;"_"&amp;#REF!</f>
        <v>#REF!</v>
      </c>
      <c r="B279">
        <f>ROW()</f>
        <v>279</v>
      </c>
    </row>
    <row r="280" spans="1:2" x14ac:dyDescent="0.2">
      <c r="A280" s="27" t="e">
        <f>#REF!&amp;"_"&amp;#REF!</f>
        <v>#REF!</v>
      </c>
      <c r="B280">
        <f>ROW()</f>
        <v>280</v>
      </c>
    </row>
    <row r="281" spans="1:2" x14ac:dyDescent="0.2">
      <c r="A281" s="27" t="e">
        <f>#REF!&amp;"_"&amp;#REF!</f>
        <v>#REF!</v>
      </c>
      <c r="B281">
        <f>ROW()</f>
        <v>281</v>
      </c>
    </row>
    <row r="282" spans="1:2" x14ac:dyDescent="0.2">
      <c r="A282" s="27" t="e">
        <f>#REF!&amp;"_"&amp;#REF!</f>
        <v>#REF!</v>
      </c>
      <c r="B282">
        <f>ROW()</f>
        <v>282</v>
      </c>
    </row>
    <row r="283" spans="1:2" x14ac:dyDescent="0.2">
      <c r="A283" s="27" t="e">
        <f>#REF!&amp;"_"&amp;#REF!</f>
        <v>#REF!</v>
      </c>
      <c r="B283">
        <f>ROW()</f>
        <v>283</v>
      </c>
    </row>
    <row r="284" spans="1:2" x14ac:dyDescent="0.2">
      <c r="A284" s="27" t="e">
        <f>#REF!&amp;"_"&amp;#REF!</f>
        <v>#REF!</v>
      </c>
      <c r="B284">
        <f>ROW()</f>
        <v>284</v>
      </c>
    </row>
    <row r="285" spans="1:2" x14ac:dyDescent="0.2">
      <c r="A285" s="27" t="e">
        <f>#REF!&amp;"_"&amp;#REF!</f>
        <v>#REF!</v>
      </c>
      <c r="B285">
        <f>ROW()</f>
        <v>285</v>
      </c>
    </row>
    <row r="286" spans="1:2" x14ac:dyDescent="0.2">
      <c r="A286" s="27" t="e">
        <f>#REF!&amp;"_"&amp;#REF!</f>
        <v>#REF!</v>
      </c>
      <c r="B286">
        <f>ROW()</f>
        <v>286</v>
      </c>
    </row>
    <row r="287" spans="1:2" x14ac:dyDescent="0.2">
      <c r="A287" s="27" t="e">
        <f>#REF!&amp;"_"&amp;#REF!</f>
        <v>#REF!</v>
      </c>
      <c r="B287">
        <f>ROW()</f>
        <v>287</v>
      </c>
    </row>
    <row r="288" spans="1:2" x14ac:dyDescent="0.2">
      <c r="A288" s="27" t="e">
        <f>#REF!&amp;"_"&amp;#REF!</f>
        <v>#REF!</v>
      </c>
      <c r="B288">
        <f>ROW()</f>
        <v>288</v>
      </c>
    </row>
    <row r="289" spans="1:2" x14ac:dyDescent="0.2">
      <c r="A289" s="27" t="e">
        <f>#REF!&amp;"_"&amp;#REF!</f>
        <v>#REF!</v>
      </c>
      <c r="B289">
        <f>ROW()</f>
        <v>289</v>
      </c>
    </row>
    <row r="290" spans="1:2" x14ac:dyDescent="0.2">
      <c r="A290" s="27" t="e">
        <f>#REF!&amp;"_"&amp;#REF!</f>
        <v>#REF!</v>
      </c>
      <c r="B290">
        <f>ROW()</f>
        <v>290</v>
      </c>
    </row>
    <row r="291" spans="1:2" x14ac:dyDescent="0.2">
      <c r="A291" s="27" t="e">
        <f>#REF!&amp;"_"&amp;#REF!</f>
        <v>#REF!</v>
      </c>
      <c r="B291">
        <f>ROW()</f>
        <v>291</v>
      </c>
    </row>
    <row r="292" spans="1:2" x14ac:dyDescent="0.2">
      <c r="A292" s="27" t="e">
        <f>#REF!&amp;"_"&amp;#REF!</f>
        <v>#REF!</v>
      </c>
      <c r="B292">
        <f>ROW()</f>
        <v>292</v>
      </c>
    </row>
    <row r="293" spans="1:2" x14ac:dyDescent="0.2">
      <c r="A293" s="27" t="e">
        <f>#REF!&amp;"_"&amp;#REF!</f>
        <v>#REF!</v>
      </c>
      <c r="B293">
        <f>ROW()</f>
        <v>293</v>
      </c>
    </row>
    <row r="294" spans="1:2" x14ac:dyDescent="0.2">
      <c r="A294" s="27" t="e">
        <f>#REF!&amp;"_"&amp;#REF!</f>
        <v>#REF!</v>
      </c>
      <c r="B294">
        <f>ROW()</f>
        <v>294</v>
      </c>
    </row>
    <row r="295" spans="1:2" x14ac:dyDescent="0.2">
      <c r="A295" s="27" t="e">
        <f>#REF!&amp;"_"&amp;#REF!</f>
        <v>#REF!</v>
      </c>
      <c r="B295">
        <f>ROW()</f>
        <v>295</v>
      </c>
    </row>
    <row r="296" spans="1:2" x14ac:dyDescent="0.2">
      <c r="A296" s="27" t="e">
        <f>#REF!&amp;"_"&amp;#REF!</f>
        <v>#REF!</v>
      </c>
      <c r="B296">
        <f>ROW()</f>
        <v>296</v>
      </c>
    </row>
    <row r="297" spans="1:2" x14ac:dyDescent="0.2">
      <c r="A297" s="27" t="e">
        <f>#REF!&amp;"_"&amp;#REF!</f>
        <v>#REF!</v>
      </c>
      <c r="B297">
        <f>ROW()</f>
        <v>297</v>
      </c>
    </row>
    <row r="298" spans="1:2" x14ac:dyDescent="0.2">
      <c r="A298" s="27" t="e">
        <f>#REF!&amp;"_"&amp;#REF!</f>
        <v>#REF!</v>
      </c>
      <c r="B298">
        <f>ROW()</f>
        <v>298</v>
      </c>
    </row>
    <row r="299" spans="1:2" x14ac:dyDescent="0.2">
      <c r="A299" s="27" t="e">
        <f>#REF!&amp;"_"&amp;#REF!</f>
        <v>#REF!</v>
      </c>
      <c r="B299">
        <f>ROW()</f>
        <v>299</v>
      </c>
    </row>
    <row r="300" spans="1:2" x14ac:dyDescent="0.2">
      <c r="A300" s="27" t="e">
        <f>#REF!&amp;"_"&amp;#REF!</f>
        <v>#REF!</v>
      </c>
      <c r="B300">
        <f>ROW()</f>
        <v>300</v>
      </c>
    </row>
    <row r="301" spans="1:2" x14ac:dyDescent="0.2">
      <c r="A301" s="27" t="e">
        <f>#REF!&amp;"_"&amp;#REF!</f>
        <v>#REF!</v>
      </c>
      <c r="B301">
        <f>ROW()</f>
        <v>301</v>
      </c>
    </row>
    <row r="302" spans="1:2" x14ac:dyDescent="0.2">
      <c r="A302" s="27" t="e">
        <f>#REF!&amp;"_"&amp;#REF!</f>
        <v>#REF!</v>
      </c>
      <c r="B302">
        <f>ROW()</f>
        <v>302</v>
      </c>
    </row>
    <row r="303" spans="1:2" x14ac:dyDescent="0.2">
      <c r="A303" s="27" t="e">
        <f>#REF!&amp;"_"&amp;#REF!</f>
        <v>#REF!</v>
      </c>
      <c r="B303">
        <f>ROW()</f>
        <v>303</v>
      </c>
    </row>
    <row r="304" spans="1:2" x14ac:dyDescent="0.2">
      <c r="A304" s="27" t="e">
        <f>#REF!&amp;"_"&amp;#REF!</f>
        <v>#REF!</v>
      </c>
      <c r="B304">
        <f>ROW()</f>
        <v>304</v>
      </c>
    </row>
    <row r="305" spans="1:2" x14ac:dyDescent="0.2">
      <c r="A305" s="27" t="e">
        <f>#REF!&amp;"_"&amp;#REF!</f>
        <v>#REF!</v>
      </c>
      <c r="B305">
        <f>ROW()</f>
        <v>305</v>
      </c>
    </row>
    <row r="306" spans="1:2" x14ac:dyDescent="0.2">
      <c r="A306" s="27" t="e">
        <f>#REF!&amp;"_"&amp;#REF!</f>
        <v>#REF!</v>
      </c>
      <c r="B306">
        <f>ROW()</f>
        <v>306</v>
      </c>
    </row>
    <row r="307" spans="1:2" x14ac:dyDescent="0.2">
      <c r="A307" s="27" t="e">
        <f>#REF!&amp;"_"&amp;#REF!</f>
        <v>#REF!</v>
      </c>
      <c r="B307">
        <f>ROW()</f>
        <v>307</v>
      </c>
    </row>
    <row r="308" spans="1:2" x14ac:dyDescent="0.2">
      <c r="A308" s="27" t="e">
        <f>#REF!&amp;"_"&amp;#REF!</f>
        <v>#REF!</v>
      </c>
      <c r="B308">
        <f>ROW()</f>
        <v>308</v>
      </c>
    </row>
    <row r="309" spans="1:2" x14ac:dyDescent="0.2">
      <c r="A309" s="27" t="e">
        <f>#REF!&amp;"_"&amp;#REF!</f>
        <v>#REF!</v>
      </c>
      <c r="B309">
        <f>ROW()</f>
        <v>309</v>
      </c>
    </row>
    <row r="310" spans="1:2" x14ac:dyDescent="0.2">
      <c r="A310" s="27" t="e">
        <f>#REF!&amp;"_"&amp;#REF!</f>
        <v>#REF!</v>
      </c>
      <c r="B310">
        <f>ROW()</f>
        <v>310</v>
      </c>
    </row>
    <row r="311" spans="1:2" x14ac:dyDescent="0.2">
      <c r="A311" s="27" t="e">
        <f>#REF!&amp;"_"&amp;#REF!</f>
        <v>#REF!</v>
      </c>
      <c r="B311">
        <f>ROW()</f>
        <v>311</v>
      </c>
    </row>
    <row r="312" spans="1:2" x14ac:dyDescent="0.2">
      <c r="A312" s="27" t="e">
        <f>#REF!&amp;"_"&amp;#REF!</f>
        <v>#REF!</v>
      </c>
      <c r="B312">
        <f>ROW()</f>
        <v>312</v>
      </c>
    </row>
    <row r="313" spans="1:2" x14ac:dyDescent="0.2">
      <c r="A313" s="27" t="e">
        <f>#REF!&amp;"_"&amp;#REF!</f>
        <v>#REF!</v>
      </c>
      <c r="B313">
        <f>ROW()</f>
        <v>313</v>
      </c>
    </row>
    <row r="314" spans="1:2" x14ac:dyDescent="0.2">
      <c r="A314" s="27" t="e">
        <f>#REF!&amp;"_"&amp;#REF!</f>
        <v>#REF!</v>
      </c>
      <c r="B314">
        <f>ROW()</f>
        <v>314</v>
      </c>
    </row>
    <row r="315" spans="1:2" x14ac:dyDescent="0.2">
      <c r="A315" s="27" t="e">
        <f>#REF!&amp;"_"&amp;#REF!</f>
        <v>#REF!</v>
      </c>
      <c r="B315">
        <f>ROW()</f>
        <v>315</v>
      </c>
    </row>
    <row r="316" spans="1:2" x14ac:dyDescent="0.2">
      <c r="A316" s="27" t="e">
        <f>#REF!&amp;"_"&amp;#REF!</f>
        <v>#REF!</v>
      </c>
      <c r="B316">
        <f>ROW()</f>
        <v>316</v>
      </c>
    </row>
    <row r="317" spans="1:2" x14ac:dyDescent="0.2">
      <c r="A317" s="27" t="e">
        <f>#REF!&amp;"_"&amp;#REF!</f>
        <v>#REF!</v>
      </c>
      <c r="B317">
        <f>ROW()</f>
        <v>317</v>
      </c>
    </row>
    <row r="318" spans="1:2" x14ac:dyDescent="0.2">
      <c r="A318" s="27" t="e">
        <f>#REF!&amp;"_"&amp;#REF!</f>
        <v>#REF!</v>
      </c>
      <c r="B318">
        <f>ROW()</f>
        <v>318</v>
      </c>
    </row>
    <row r="319" spans="1:2" x14ac:dyDescent="0.2">
      <c r="A319" s="27" t="e">
        <f>#REF!&amp;"_"&amp;#REF!</f>
        <v>#REF!</v>
      </c>
      <c r="B319">
        <f>ROW()</f>
        <v>319</v>
      </c>
    </row>
    <row r="320" spans="1:2" x14ac:dyDescent="0.2">
      <c r="A320" s="27" t="e">
        <f>#REF!&amp;"_"&amp;#REF!</f>
        <v>#REF!</v>
      </c>
      <c r="B320">
        <f>ROW()</f>
        <v>320</v>
      </c>
    </row>
    <row r="321" spans="1:2" x14ac:dyDescent="0.2">
      <c r="A321" s="27" t="e">
        <f>#REF!&amp;"_"&amp;#REF!</f>
        <v>#REF!</v>
      </c>
      <c r="B321">
        <f>ROW()</f>
        <v>321</v>
      </c>
    </row>
    <row r="322" spans="1:2" x14ac:dyDescent="0.2">
      <c r="A322" s="27" t="e">
        <f>#REF!&amp;"_"&amp;#REF!</f>
        <v>#REF!</v>
      </c>
      <c r="B322">
        <f>ROW()</f>
        <v>322</v>
      </c>
    </row>
    <row r="323" spans="1:2" x14ac:dyDescent="0.2">
      <c r="A323" s="27" t="e">
        <f>#REF!&amp;"_"&amp;#REF!</f>
        <v>#REF!</v>
      </c>
      <c r="B323">
        <f>ROW()</f>
        <v>323</v>
      </c>
    </row>
    <row r="324" spans="1:2" x14ac:dyDescent="0.2">
      <c r="A324" s="27" t="e">
        <f>#REF!&amp;"_"&amp;#REF!</f>
        <v>#REF!</v>
      </c>
      <c r="B324">
        <f>ROW()</f>
        <v>324</v>
      </c>
    </row>
    <row r="325" spans="1:2" x14ac:dyDescent="0.2">
      <c r="A325" s="27" t="e">
        <f>#REF!&amp;"_"&amp;#REF!</f>
        <v>#REF!</v>
      </c>
      <c r="B325">
        <f>ROW()</f>
        <v>325</v>
      </c>
    </row>
    <row r="326" spans="1:2" x14ac:dyDescent="0.2">
      <c r="A326" s="27" t="e">
        <f>#REF!&amp;"_"&amp;#REF!</f>
        <v>#REF!</v>
      </c>
      <c r="B326">
        <f>ROW()</f>
        <v>326</v>
      </c>
    </row>
    <row r="327" spans="1:2" x14ac:dyDescent="0.2">
      <c r="A327" s="27" t="e">
        <f>#REF!&amp;"_"&amp;#REF!</f>
        <v>#REF!</v>
      </c>
      <c r="B327">
        <f>ROW()</f>
        <v>327</v>
      </c>
    </row>
    <row r="328" spans="1:2" x14ac:dyDescent="0.2">
      <c r="A328" s="27" t="e">
        <f>#REF!&amp;"_"&amp;#REF!</f>
        <v>#REF!</v>
      </c>
      <c r="B328">
        <f>ROW()</f>
        <v>328</v>
      </c>
    </row>
    <row r="329" spans="1:2" x14ac:dyDescent="0.2">
      <c r="A329" s="27" t="e">
        <f>#REF!&amp;"_"&amp;#REF!</f>
        <v>#REF!</v>
      </c>
      <c r="B329">
        <f>ROW()</f>
        <v>329</v>
      </c>
    </row>
    <row r="330" spans="1:2" x14ac:dyDescent="0.2">
      <c r="A330" s="27" t="e">
        <f>#REF!&amp;"_"&amp;#REF!</f>
        <v>#REF!</v>
      </c>
      <c r="B330">
        <f>ROW()</f>
        <v>330</v>
      </c>
    </row>
    <row r="331" spans="1:2" x14ac:dyDescent="0.2">
      <c r="A331" s="27" t="e">
        <f>#REF!&amp;"_"&amp;#REF!</f>
        <v>#REF!</v>
      </c>
      <c r="B331">
        <f>ROW()</f>
        <v>331</v>
      </c>
    </row>
    <row r="332" spans="1:2" x14ac:dyDescent="0.2">
      <c r="A332" s="27" t="e">
        <f>#REF!&amp;"_"&amp;#REF!</f>
        <v>#REF!</v>
      </c>
      <c r="B332">
        <f>ROW()</f>
        <v>332</v>
      </c>
    </row>
    <row r="333" spans="1:2" x14ac:dyDescent="0.2">
      <c r="A333" s="27" t="e">
        <f>#REF!&amp;"_"&amp;#REF!</f>
        <v>#REF!</v>
      </c>
      <c r="B333">
        <f>ROW()</f>
        <v>333</v>
      </c>
    </row>
    <row r="334" spans="1:2" x14ac:dyDescent="0.2">
      <c r="A334" s="27" t="e">
        <f>#REF!&amp;"_"&amp;#REF!</f>
        <v>#REF!</v>
      </c>
      <c r="B334">
        <f>ROW()</f>
        <v>334</v>
      </c>
    </row>
    <row r="335" spans="1:2" x14ac:dyDescent="0.2">
      <c r="A335" s="27" t="e">
        <f>#REF!&amp;"_"&amp;#REF!</f>
        <v>#REF!</v>
      </c>
      <c r="B335">
        <f>ROW()</f>
        <v>335</v>
      </c>
    </row>
    <row r="336" spans="1:2" x14ac:dyDescent="0.2">
      <c r="A336" s="27" t="e">
        <f>#REF!&amp;"_"&amp;#REF!</f>
        <v>#REF!</v>
      </c>
      <c r="B336">
        <f>ROW()</f>
        <v>336</v>
      </c>
    </row>
    <row r="337" spans="1:2" x14ac:dyDescent="0.2">
      <c r="A337" s="27" t="e">
        <f>#REF!&amp;"_"&amp;#REF!</f>
        <v>#REF!</v>
      </c>
      <c r="B337">
        <f>ROW()</f>
        <v>337</v>
      </c>
    </row>
    <row r="338" spans="1:2" x14ac:dyDescent="0.2">
      <c r="A338" s="27" t="e">
        <f>#REF!&amp;"_"&amp;#REF!</f>
        <v>#REF!</v>
      </c>
      <c r="B338">
        <f>ROW()</f>
        <v>338</v>
      </c>
    </row>
    <row r="339" spans="1:2" x14ac:dyDescent="0.2">
      <c r="A339" s="27" t="e">
        <f>#REF!&amp;"_"&amp;#REF!</f>
        <v>#REF!</v>
      </c>
      <c r="B339">
        <f>ROW()</f>
        <v>339</v>
      </c>
    </row>
    <row r="340" spans="1:2" x14ac:dyDescent="0.2">
      <c r="A340" s="27" t="e">
        <f>#REF!&amp;"_"&amp;#REF!</f>
        <v>#REF!</v>
      </c>
      <c r="B340">
        <f>ROW()</f>
        <v>340</v>
      </c>
    </row>
    <row r="341" spans="1:2" x14ac:dyDescent="0.2">
      <c r="A341" s="27" t="e">
        <f>#REF!&amp;"_"&amp;#REF!</f>
        <v>#REF!</v>
      </c>
      <c r="B341">
        <f>ROW()</f>
        <v>341</v>
      </c>
    </row>
    <row r="342" spans="1:2" x14ac:dyDescent="0.2">
      <c r="A342" s="27" t="e">
        <f>#REF!&amp;"_"&amp;#REF!</f>
        <v>#REF!</v>
      </c>
      <c r="B342">
        <f>ROW()</f>
        <v>342</v>
      </c>
    </row>
    <row r="343" spans="1:2" x14ac:dyDescent="0.2">
      <c r="A343" s="27" t="e">
        <f>#REF!&amp;"_"&amp;#REF!</f>
        <v>#REF!</v>
      </c>
      <c r="B343">
        <f>ROW()</f>
        <v>343</v>
      </c>
    </row>
    <row r="344" spans="1:2" x14ac:dyDescent="0.2">
      <c r="A344" s="27" t="e">
        <f>#REF!&amp;"_"&amp;#REF!</f>
        <v>#REF!</v>
      </c>
      <c r="B344">
        <f>ROW()</f>
        <v>344</v>
      </c>
    </row>
    <row r="345" spans="1:2" x14ac:dyDescent="0.2">
      <c r="A345" s="27" t="e">
        <f>#REF!&amp;"_"&amp;#REF!</f>
        <v>#REF!</v>
      </c>
      <c r="B345">
        <f>ROW()</f>
        <v>345</v>
      </c>
    </row>
    <row r="346" spans="1:2" x14ac:dyDescent="0.2">
      <c r="A346" s="27" t="e">
        <f>#REF!&amp;"_"&amp;#REF!</f>
        <v>#REF!</v>
      </c>
      <c r="B346">
        <f>ROW()</f>
        <v>346</v>
      </c>
    </row>
    <row r="347" spans="1:2" x14ac:dyDescent="0.2">
      <c r="A347" s="27" t="e">
        <f>#REF!&amp;"_"&amp;#REF!</f>
        <v>#REF!</v>
      </c>
      <c r="B347">
        <f>ROW()</f>
        <v>347</v>
      </c>
    </row>
    <row r="348" spans="1:2" x14ac:dyDescent="0.2">
      <c r="A348" s="27" t="e">
        <f>#REF!&amp;"_"&amp;#REF!</f>
        <v>#REF!</v>
      </c>
      <c r="B348">
        <f>ROW()</f>
        <v>348</v>
      </c>
    </row>
    <row r="349" spans="1:2" x14ac:dyDescent="0.2">
      <c r="A349" s="27" t="e">
        <f>#REF!&amp;"_"&amp;#REF!</f>
        <v>#REF!</v>
      </c>
      <c r="B349">
        <f>ROW()</f>
        <v>349</v>
      </c>
    </row>
    <row r="350" spans="1:2" x14ac:dyDescent="0.2">
      <c r="A350" s="27" t="e">
        <f>#REF!&amp;"_"&amp;#REF!</f>
        <v>#REF!</v>
      </c>
      <c r="B350">
        <f>ROW()</f>
        <v>350</v>
      </c>
    </row>
    <row r="351" spans="1:2" x14ac:dyDescent="0.2">
      <c r="A351" s="27" t="e">
        <f>#REF!&amp;"_"&amp;#REF!</f>
        <v>#REF!</v>
      </c>
      <c r="B351">
        <f>ROW()</f>
        <v>351</v>
      </c>
    </row>
    <row r="352" spans="1:2" x14ac:dyDescent="0.2">
      <c r="A352" s="27" t="e">
        <f>#REF!&amp;"_"&amp;#REF!</f>
        <v>#REF!</v>
      </c>
      <c r="B352">
        <f>ROW()</f>
        <v>352</v>
      </c>
    </row>
    <row r="353" spans="1:2" x14ac:dyDescent="0.2">
      <c r="A353" s="27" t="e">
        <f>#REF!&amp;"_"&amp;#REF!</f>
        <v>#REF!</v>
      </c>
      <c r="B353">
        <f>ROW()</f>
        <v>353</v>
      </c>
    </row>
    <row r="354" spans="1:2" x14ac:dyDescent="0.2">
      <c r="A354" s="27" t="e">
        <f>#REF!&amp;"_"&amp;#REF!</f>
        <v>#REF!</v>
      </c>
      <c r="B354">
        <f>ROW()</f>
        <v>354</v>
      </c>
    </row>
    <row r="355" spans="1:2" x14ac:dyDescent="0.2">
      <c r="A355" s="27" t="e">
        <f>#REF!&amp;"_"&amp;#REF!</f>
        <v>#REF!</v>
      </c>
      <c r="B355">
        <f>ROW()</f>
        <v>355</v>
      </c>
    </row>
    <row r="356" spans="1:2" x14ac:dyDescent="0.2">
      <c r="A356" s="27" t="e">
        <f>#REF!&amp;"_"&amp;#REF!</f>
        <v>#REF!</v>
      </c>
      <c r="B356">
        <f>ROW()</f>
        <v>356</v>
      </c>
    </row>
    <row r="357" spans="1:2" x14ac:dyDescent="0.2">
      <c r="A357" s="27" t="e">
        <f>#REF!&amp;"_"&amp;#REF!</f>
        <v>#REF!</v>
      </c>
      <c r="B357">
        <f>ROW()</f>
        <v>357</v>
      </c>
    </row>
    <row r="358" spans="1:2" x14ac:dyDescent="0.2">
      <c r="A358" s="27" t="e">
        <f>#REF!&amp;"_"&amp;#REF!</f>
        <v>#REF!</v>
      </c>
      <c r="B358">
        <f>ROW()</f>
        <v>358</v>
      </c>
    </row>
    <row r="359" spans="1:2" x14ac:dyDescent="0.2">
      <c r="A359" s="27" t="e">
        <f>#REF!&amp;"_"&amp;#REF!</f>
        <v>#REF!</v>
      </c>
      <c r="B359">
        <f>ROW()</f>
        <v>359</v>
      </c>
    </row>
    <row r="360" spans="1:2" x14ac:dyDescent="0.2">
      <c r="A360" s="27" t="e">
        <f>#REF!&amp;"_"&amp;#REF!</f>
        <v>#REF!</v>
      </c>
      <c r="B360">
        <f>ROW()</f>
        <v>360</v>
      </c>
    </row>
    <row r="361" spans="1:2" x14ac:dyDescent="0.2">
      <c r="A361" s="27" t="e">
        <f>#REF!&amp;"_"&amp;#REF!</f>
        <v>#REF!</v>
      </c>
      <c r="B361">
        <f>ROW()</f>
        <v>361</v>
      </c>
    </row>
    <row r="362" spans="1:2" x14ac:dyDescent="0.2">
      <c r="A362" s="27" t="e">
        <f>#REF!&amp;"_"&amp;#REF!</f>
        <v>#REF!</v>
      </c>
      <c r="B362">
        <f>ROW()</f>
        <v>362</v>
      </c>
    </row>
    <row r="363" spans="1:2" x14ac:dyDescent="0.2">
      <c r="A363" s="27" t="e">
        <f>#REF!&amp;"_"&amp;#REF!</f>
        <v>#REF!</v>
      </c>
      <c r="B363">
        <f>ROW()</f>
        <v>363</v>
      </c>
    </row>
    <row r="364" spans="1:2" x14ac:dyDescent="0.2">
      <c r="A364" s="27" t="e">
        <f>#REF!&amp;"_"&amp;#REF!</f>
        <v>#REF!</v>
      </c>
      <c r="B364">
        <f>ROW()</f>
        <v>364</v>
      </c>
    </row>
    <row r="365" spans="1:2" x14ac:dyDescent="0.2">
      <c r="A365" s="27" t="e">
        <f>#REF!&amp;"_"&amp;#REF!</f>
        <v>#REF!</v>
      </c>
      <c r="B365">
        <f>ROW()</f>
        <v>365</v>
      </c>
    </row>
    <row r="366" spans="1:2" x14ac:dyDescent="0.2">
      <c r="A366" s="27" t="e">
        <f>#REF!&amp;"_"&amp;#REF!</f>
        <v>#REF!</v>
      </c>
      <c r="B366">
        <f>ROW()</f>
        <v>366</v>
      </c>
    </row>
    <row r="367" spans="1:2" x14ac:dyDescent="0.2">
      <c r="A367" s="27" t="e">
        <f>#REF!&amp;"_"&amp;#REF!</f>
        <v>#REF!</v>
      </c>
      <c r="B367">
        <f>ROW()</f>
        <v>367</v>
      </c>
    </row>
    <row r="368" spans="1:2" x14ac:dyDescent="0.2">
      <c r="A368" s="27" t="e">
        <f>#REF!&amp;"_"&amp;#REF!</f>
        <v>#REF!</v>
      </c>
      <c r="B368">
        <f>ROW()</f>
        <v>368</v>
      </c>
    </row>
    <row r="369" spans="1:2" x14ac:dyDescent="0.2">
      <c r="A369" s="27" t="e">
        <f>#REF!&amp;"_"&amp;#REF!</f>
        <v>#REF!</v>
      </c>
      <c r="B369">
        <f>ROW()</f>
        <v>369</v>
      </c>
    </row>
    <row r="370" spans="1:2" x14ac:dyDescent="0.2">
      <c r="A370" s="27" t="e">
        <f>#REF!&amp;"_"&amp;#REF!</f>
        <v>#REF!</v>
      </c>
      <c r="B370">
        <f>ROW()</f>
        <v>370</v>
      </c>
    </row>
    <row r="371" spans="1:2" x14ac:dyDescent="0.2">
      <c r="A371" s="27" t="e">
        <f>#REF!&amp;"_"&amp;#REF!</f>
        <v>#REF!</v>
      </c>
      <c r="B371">
        <f>ROW()</f>
        <v>371</v>
      </c>
    </row>
    <row r="372" spans="1:2" x14ac:dyDescent="0.2">
      <c r="A372" s="27" t="e">
        <f>#REF!&amp;"_"&amp;#REF!</f>
        <v>#REF!</v>
      </c>
      <c r="B372">
        <f>ROW()</f>
        <v>372</v>
      </c>
    </row>
    <row r="373" spans="1:2" x14ac:dyDescent="0.2">
      <c r="A373" s="27" t="e">
        <f>#REF!&amp;"_"&amp;#REF!</f>
        <v>#REF!</v>
      </c>
      <c r="B373">
        <f>ROW()</f>
        <v>373</v>
      </c>
    </row>
    <row r="374" spans="1:2" x14ac:dyDescent="0.2">
      <c r="A374" s="27" t="e">
        <f>#REF!&amp;"_"&amp;#REF!</f>
        <v>#REF!</v>
      </c>
      <c r="B374">
        <f>ROW()</f>
        <v>374</v>
      </c>
    </row>
    <row r="375" spans="1:2" x14ac:dyDescent="0.2">
      <c r="A375" s="27" t="e">
        <f>#REF!&amp;"_"&amp;#REF!</f>
        <v>#REF!</v>
      </c>
      <c r="B375">
        <f>ROW()</f>
        <v>375</v>
      </c>
    </row>
    <row r="376" spans="1:2" x14ac:dyDescent="0.2">
      <c r="A376" s="27" t="e">
        <f>#REF!&amp;"_"&amp;#REF!</f>
        <v>#REF!</v>
      </c>
      <c r="B376">
        <f>ROW()</f>
        <v>376</v>
      </c>
    </row>
    <row r="377" spans="1:2" x14ac:dyDescent="0.2">
      <c r="A377" s="27" t="e">
        <f>#REF!&amp;"_"&amp;#REF!</f>
        <v>#REF!</v>
      </c>
      <c r="B377">
        <f>ROW()</f>
        <v>377</v>
      </c>
    </row>
    <row r="378" spans="1:2" x14ac:dyDescent="0.2">
      <c r="A378" s="27" t="e">
        <f>#REF!&amp;"_"&amp;#REF!</f>
        <v>#REF!</v>
      </c>
      <c r="B378">
        <f>ROW()</f>
        <v>378</v>
      </c>
    </row>
    <row r="379" spans="1:2" x14ac:dyDescent="0.2">
      <c r="A379" s="27" t="e">
        <f>#REF!&amp;"_"&amp;#REF!</f>
        <v>#REF!</v>
      </c>
      <c r="B379">
        <f>ROW()</f>
        <v>379</v>
      </c>
    </row>
    <row r="380" spans="1:2" x14ac:dyDescent="0.2">
      <c r="A380" s="27" t="e">
        <f>#REF!&amp;"_"&amp;#REF!</f>
        <v>#REF!</v>
      </c>
      <c r="B380">
        <f>ROW()</f>
        <v>380</v>
      </c>
    </row>
    <row r="381" spans="1:2" x14ac:dyDescent="0.2">
      <c r="A381" s="27" t="e">
        <f>#REF!&amp;"_"&amp;#REF!</f>
        <v>#REF!</v>
      </c>
      <c r="B381">
        <f>ROW()</f>
        <v>381</v>
      </c>
    </row>
    <row r="382" spans="1:2" x14ac:dyDescent="0.2">
      <c r="A382" s="27" t="e">
        <f>#REF!&amp;"_"&amp;#REF!</f>
        <v>#REF!</v>
      </c>
      <c r="B382">
        <f>ROW()</f>
        <v>382</v>
      </c>
    </row>
    <row r="383" spans="1:2" x14ac:dyDescent="0.2">
      <c r="A383" s="27" t="e">
        <f>#REF!&amp;"_"&amp;#REF!</f>
        <v>#REF!</v>
      </c>
      <c r="B383">
        <f>ROW()</f>
        <v>383</v>
      </c>
    </row>
    <row r="384" spans="1:2" x14ac:dyDescent="0.2">
      <c r="A384" s="27" t="e">
        <f>#REF!&amp;"_"&amp;#REF!</f>
        <v>#REF!</v>
      </c>
      <c r="B384">
        <f>ROW()</f>
        <v>384</v>
      </c>
    </row>
    <row r="385" spans="1:2" x14ac:dyDescent="0.2">
      <c r="A385" s="27" t="e">
        <f>#REF!&amp;"_"&amp;#REF!</f>
        <v>#REF!</v>
      </c>
      <c r="B385">
        <f>ROW()</f>
        <v>385</v>
      </c>
    </row>
    <row r="386" spans="1:2" x14ac:dyDescent="0.2">
      <c r="A386" s="27" t="e">
        <f>#REF!&amp;"_"&amp;#REF!</f>
        <v>#REF!</v>
      </c>
      <c r="B386">
        <f>ROW()</f>
        <v>386</v>
      </c>
    </row>
    <row r="387" spans="1:2" x14ac:dyDescent="0.2">
      <c r="A387" s="27" t="e">
        <f>#REF!&amp;"_"&amp;#REF!</f>
        <v>#REF!</v>
      </c>
      <c r="B387">
        <f>ROW()</f>
        <v>387</v>
      </c>
    </row>
    <row r="388" spans="1:2" x14ac:dyDescent="0.2">
      <c r="A388" s="27" t="e">
        <f>#REF!&amp;"_"&amp;#REF!</f>
        <v>#REF!</v>
      </c>
      <c r="B388">
        <f>ROW()</f>
        <v>388</v>
      </c>
    </row>
    <row r="389" spans="1:2" x14ac:dyDescent="0.2">
      <c r="A389" s="27" t="e">
        <f>#REF!&amp;"_"&amp;#REF!</f>
        <v>#REF!</v>
      </c>
      <c r="B389">
        <f>ROW()</f>
        <v>389</v>
      </c>
    </row>
    <row r="390" spans="1:2" x14ac:dyDescent="0.2">
      <c r="A390" s="27" t="e">
        <f>#REF!&amp;"_"&amp;#REF!</f>
        <v>#REF!</v>
      </c>
      <c r="B390">
        <f>ROW()</f>
        <v>390</v>
      </c>
    </row>
    <row r="391" spans="1:2" x14ac:dyDescent="0.2">
      <c r="A391" s="27" t="e">
        <f>#REF!&amp;"_"&amp;#REF!</f>
        <v>#REF!</v>
      </c>
      <c r="B391">
        <f>ROW()</f>
        <v>391</v>
      </c>
    </row>
    <row r="392" spans="1:2" x14ac:dyDescent="0.2">
      <c r="A392" s="27" t="e">
        <f>#REF!&amp;"_"&amp;#REF!</f>
        <v>#REF!</v>
      </c>
      <c r="B392">
        <f>ROW()</f>
        <v>392</v>
      </c>
    </row>
    <row r="393" spans="1:2" x14ac:dyDescent="0.2">
      <c r="A393" s="27" t="e">
        <f>#REF!&amp;"_"&amp;#REF!</f>
        <v>#REF!</v>
      </c>
      <c r="B393">
        <f>ROW()</f>
        <v>393</v>
      </c>
    </row>
    <row r="394" spans="1:2" x14ac:dyDescent="0.2">
      <c r="A394" s="27" t="e">
        <f>#REF!&amp;"_"&amp;#REF!</f>
        <v>#REF!</v>
      </c>
      <c r="B394">
        <f>ROW()</f>
        <v>394</v>
      </c>
    </row>
    <row r="395" spans="1:2" x14ac:dyDescent="0.2">
      <c r="A395" s="27" t="e">
        <f>#REF!&amp;"_"&amp;#REF!</f>
        <v>#REF!</v>
      </c>
      <c r="B395">
        <f>ROW()</f>
        <v>395</v>
      </c>
    </row>
    <row r="396" spans="1:2" x14ac:dyDescent="0.2">
      <c r="A396" s="27" t="e">
        <f>#REF!&amp;"_"&amp;#REF!</f>
        <v>#REF!</v>
      </c>
      <c r="B396">
        <f>ROW()</f>
        <v>396</v>
      </c>
    </row>
    <row r="397" spans="1:2" x14ac:dyDescent="0.2">
      <c r="A397" s="27" t="e">
        <f>#REF!&amp;"_"&amp;#REF!</f>
        <v>#REF!</v>
      </c>
      <c r="B397">
        <f>ROW()</f>
        <v>397</v>
      </c>
    </row>
    <row r="398" spans="1:2" x14ac:dyDescent="0.2">
      <c r="A398" s="27" t="e">
        <f>#REF!&amp;"_"&amp;#REF!</f>
        <v>#REF!</v>
      </c>
      <c r="B398">
        <f>ROW()</f>
        <v>398</v>
      </c>
    </row>
    <row r="399" spans="1:2" x14ac:dyDescent="0.2">
      <c r="A399" s="27" t="e">
        <f>#REF!&amp;"_"&amp;#REF!</f>
        <v>#REF!</v>
      </c>
      <c r="B399">
        <f>ROW()</f>
        <v>399</v>
      </c>
    </row>
    <row r="400" spans="1:2" x14ac:dyDescent="0.2">
      <c r="A400" s="27" t="e">
        <f>#REF!&amp;"_"&amp;#REF!</f>
        <v>#REF!</v>
      </c>
      <c r="B400">
        <f>ROW()</f>
        <v>400</v>
      </c>
    </row>
    <row r="401" spans="1:2" x14ac:dyDescent="0.2">
      <c r="A401" s="27" t="e">
        <f>#REF!&amp;"_"&amp;#REF!</f>
        <v>#REF!</v>
      </c>
      <c r="B401">
        <f>ROW()</f>
        <v>401</v>
      </c>
    </row>
    <row r="402" spans="1:2" x14ac:dyDescent="0.2">
      <c r="A402" s="27" t="e">
        <f>#REF!&amp;"_"&amp;#REF!</f>
        <v>#REF!</v>
      </c>
      <c r="B402">
        <f>ROW()</f>
        <v>402</v>
      </c>
    </row>
    <row r="403" spans="1:2" x14ac:dyDescent="0.2">
      <c r="A403" s="27" t="e">
        <f>#REF!&amp;"_"&amp;#REF!</f>
        <v>#REF!</v>
      </c>
      <c r="B403">
        <f>ROW()</f>
        <v>403</v>
      </c>
    </row>
    <row r="404" spans="1:2" x14ac:dyDescent="0.2">
      <c r="A404" s="27" t="e">
        <f>#REF!&amp;"_"&amp;#REF!</f>
        <v>#REF!</v>
      </c>
      <c r="B404">
        <f>ROW()</f>
        <v>404</v>
      </c>
    </row>
    <row r="405" spans="1:2" x14ac:dyDescent="0.2">
      <c r="A405" s="27" t="e">
        <f>#REF!&amp;"_"&amp;#REF!</f>
        <v>#REF!</v>
      </c>
      <c r="B405">
        <f>ROW()</f>
        <v>405</v>
      </c>
    </row>
    <row r="406" spans="1:2" x14ac:dyDescent="0.2">
      <c r="A406" s="27" t="e">
        <f>#REF!&amp;"_"&amp;#REF!</f>
        <v>#REF!</v>
      </c>
      <c r="B406">
        <f>ROW()</f>
        <v>406</v>
      </c>
    </row>
    <row r="407" spans="1:2" x14ac:dyDescent="0.2">
      <c r="A407" s="27" t="e">
        <f>#REF!&amp;"_"&amp;#REF!</f>
        <v>#REF!</v>
      </c>
      <c r="B407">
        <f>ROW()</f>
        <v>407</v>
      </c>
    </row>
    <row r="408" spans="1:2" x14ac:dyDescent="0.2">
      <c r="A408" s="27" t="e">
        <f>#REF!&amp;"_"&amp;#REF!</f>
        <v>#REF!</v>
      </c>
      <c r="B408">
        <f>ROW()</f>
        <v>408</v>
      </c>
    </row>
    <row r="409" spans="1:2" x14ac:dyDescent="0.2">
      <c r="A409" s="27" t="e">
        <f>#REF!&amp;"_"&amp;#REF!</f>
        <v>#REF!</v>
      </c>
      <c r="B409">
        <f>ROW()</f>
        <v>409</v>
      </c>
    </row>
    <row r="410" spans="1:2" x14ac:dyDescent="0.2">
      <c r="A410" s="27" t="e">
        <f>#REF!&amp;"_"&amp;#REF!</f>
        <v>#REF!</v>
      </c>
      <c r="B410">
        <f>ROW()</f>
        <v>410</v>
      </c>
    </row>
    <row r="411" spans="1:2" x14ac:dyDescent="0.2">
      <c r="A411" s="27" t="e">
        <f>#REF!&amp;"_"&amp;#REF!</f>
        <v>#REF!</v>
      </c>
      <c r="B411">
        <f>ROW()</f>
        <v>411</v>
      </c>
    </row>
    <row r="412" spans="1:2" x14ac:dyDescent="0.2">
      <c r="A412" s="27" t="e">
        <f>#REF!&amp;"_"&amp;#REF!</f>
        <v>#REF!</v>
      </c>
      <c r="B412">
        <f>ROW()</f>
        <v>412</v>
      </c>
    </row>
    <row r="413" spans="1:2" x14ac:dyDescent="0.2">
      <c r="A413" s="27" t="e">
        <f>#REF!&amp;"_"&amp;#REF!</f>
        <v>#REF!</v>
      </c>
      <c r="B413">
        <f>ROW()</f>
        <v>413</v>
      </c>
    </row>
    <row r="414" spans="1:2" x14ac:dyDescent="0.2">
      <c r="A414" s="27" t="e">
        <f>#REF!&amp;"_"&amp;#REF!</f>
        <v>#REF!</v>
      </c>
      <c r="B414">
        <f>ROW()</f>
        <v>414</v>
      </c>
    </row>
    <row r="415" spans="1:2" x14ac:dyDescent="0.2">
      <c r="A415" s="27" t="e">
        <f>#REF!&amp;"_"&amp;#REF!</f>
        <v>#REF!</v>
      </c>
      <c r="B415">
        <f>ROW()</f>
        <v>415</v>
      </c>
    </row>
    <row r="416" spans="1:2" x14ac:dyDescent="0.2">
      <c r="A416" s="27" t="e">
        <f>#REF!&amp;"_"&amp;#REF!</f>
        <v>#REF!</v>
      </c>
      <c r="B416">
        <f>ROW()</f>
        <v>416</v>
      </c>
    </row>
    <row r="417" spans="1:2" x14ac:dyDescent="0.2">
      <c r="A417" s="27" t="e">
        <f>#REF!&amp;"_"&amp;#REF!</f>
        <v>#REF!</v>
      </c>
      <c r="B417">
        <f>ROW()</f>
        <v>417</v>
      </c>
    </row>
    <row r="418" spans="1:2" x14ac:dyDescent="0.2">
      <c r="A418" s="27" t="e">
        <f>#REF!&amp;"_"&amp;#REF!</f>
        <v>#REF!</v>
      </c>
      <c r="B418">
        <f>ROW()</f>
        <v>418</v>
      </c>
    </row>
    <row r="419" spans="1:2" x14ac:dyDescent="0.2">
      <c r="A419" s="27" t="e">
        <f>#REF!&amp;"_"&amp;#REF!</f>
        <v>#REF!</v>
      </c>
      <c r="B419">
        <f>ROW()</f>
        <v>419</v>
      </c>
    </row>
    <row r="420" spans="1:2" x14ac:dyDescent="0.2">
      <c r="A420" s="27" t="e">
        <f>#REF!&amp;"_"&amp;#REF!</f>
        <v>#REF!</v>
      </c>
      <c r="B420">
        <f>ROW()</f>
        <v>420</v>
      </c>
    </row>
    <row r="421" spans="1:2" x14ac:dyDescent="0.2">
      <c r="A421" s="27" t="e">
        <f>#REF!&amp;"_"&amp;#REF!</f>
        <v>#REF!</v>
      </c>
      <c r="B421">
        <f>ROW()</f>
        <v>421</v>
      </c>
    </row>
    <row r="422" spans="1:2" x14ac:dyDescent="0.2">
      <c r="A422" s="27" t="e">
        <f>#REF!&amp;"_"&amp;#REF!</f>
        <v>#REF!</v>
      </c>
      <c r="B422">
        <f>ROW()</f>
        <v>422</v>
      </c>
    </row>
    <row r="423" spans="1:2" x14ac:dyDescent="0.2">
      <c r="A423" s="27" t="e">
        <f>#REF!&amp;"_"&amp;#REF!</f>
        <v>#REF!</v>
      </c>
      <c r="B423">
        <f>ROW()</f>
        <v>423</v>
      </c>
    </row>
    <row r="424" spans="1:2" x14ac:dyDescent="0.2">
      <c r="A424" s="27" t="e">
        <f>#REF!&amp;"_"&amp;#REF!</f>
        <v>#REF!</v>
      </c>
      <c r="B424">
        <f>ROW()</f>
        <v>424</v>
      </c>
    </row>
    <row r="425" spans="1:2" x14ac:dyDescent="0.2">
      <c r="A425" s="27" t="e">
        <f>#REF!&amp;"_"&amp;#REF!</f>
        <v>#REF!</v>
      </c>
      <c r="B425">
        <f>ROW()</f>
        <v>425</v>
      </c>
    </row>
    <row r="426" spans="1:2" x14ac:dyDescent="0.2">
      <c r="A426" s="27" t="e">
        <f>#REF!&amp;"_"&amp;#REF!</f>
        <v>#REF!</v>
      </c>
      <c r="B426">
        <f>ROW()</f>
        <v>426</v>
      </c>
    </row>
    <row r="427" spans="1:2" x14ac:dyDescent="0.2">
      <c r="A427" s="27" t="e">
        <f>#REF!&amp;"_"&amp;#REF!</f>
        <v>#REF!</v>
      </c>
      <c r="B427">
        <f>ROW()</f>
        <v>427</v>
      </c>
    </row>
    <row r="428" spans="1:2" x14ac:dyDescent="0.2">
      <c r="A428" s="27" t="e">
        <f>#REF!&amp;"_"&amp;#REF!</f>
        <v>#REF!</v>
      </c>
      <c r="B428">
        <f>ROW()</f>
        <v>428</v>
      </c>
    </row>
    <row r="429" spans="1:2" x14ac:dyDescent="0.2">
      <c r="A429" s="27" t="e">
        <f>#REF!&amp;"_"&amp;#REF!</f>
        <v>#REF!</v>
      </c>
      <c r="B429">
        <f>ROW()</f>
        <v>429</v>
      </c>
    </row>
    <row r="430" spans="1:2" x14ac:dyDescent="0.2">
      <c r="A430" s="27" t="e">
        <f>#REF!&amp;"_"&amp;#REF!</f>
        <v>#REF!</v>
      </c>
      <c r="B430">
        <f>ROW()</f>
        <v>430</v>
      </c>
    </row>
    <row r="431" spans="1:2" x14ac:dyDescent="0.2">
      <c r="A431" s="27" t="e">
        <f>#REF!&amp;"_"&amp;#REF!</f>
        <v>#REF!</v>
      </c>
      <c r="B431">
        <f>ROW()</f>
        <v>431</v>
      </c>
    </row>
    <row r="432" spans="1:2" x14ac:dyDescent="0.2">
      <c r="A432" s="27" t="e">
        <f>#REF!&amp;"_"&amp;#REF!</f>
        <v>#REF!</v>
      </c>
      <c r="B432">
        <f>ROW()</f>
        <v>432</v>
      </c>
    </row>
    <row r="433" spans="1:2" x14ac:dyDescent="0.2">
      <c r="A433" s="27" t="e">
        <f>#REF!&amp;"_"&amp;#REF!</f>
        <v>#REF!</v>
      </c>
      <c r="B433">
        <f>ROW()</f>
        <v>433</v>
      </c>
    </row>
    <row r="434" spans="1:2" x14ac:dyDescent="0.2">
      <c r="A434" s="27" t="e">
        <f>#REF!&amp;"_"&amp;#REF!</f>
        <v>#REF!</v>
      </c>
      <c r="B434">
        <f>ROW()</f>
        <v>434</v>
      </c>
    </row>
    <row r="435" spans="1:2" x14ac:dyDescent="0.2">
      <c r="A435" s="27" t="e">
        <f>#REF!&amp;"_"&amp;#REF!</f>
        <v>#REF!</v>
      </c>
      <c r="B435">
        <f>ROW()</f>
        <v>435</v>
      </c>
    </row>
    <row r="436" spans="1:2" x14ac:dyDescent="0.2">
      <c r="A436" s="27" t="e">
        <f>#REF!&amp;"_"&amp;#REF!</f>
        <v>#REF!</v>
      </c>
      <c r="B436">
        <f>ROW()</f>
        <v>436</v>
      </c>
    </row>
    <row r="437" spans="1:2" x14ac:dyDescent="0.2">
      <c r="A437" s="27" t="e">
        <f>#REF!&amp;"_"&amp;#REF!</f>
        <v>#REF!</v>
      </c>
      <c r="B437">
        <f>ROW()</f>
        <v>437</v>
      </c>
    </row>
    <row r="438" spans="1:2" x14ac:dyDescent="0.2">
      <c r="A438" s="27" t="e">
        <f>#REF!&amp;"_"&amp;#REF!</f>
        <v>#REF!</v>
      </c>
      <c r="B438">
        <f>ROW()</f>
        <v>438</v>
      </c>
    </row>
    <row r="439" spans="1:2" x14ac:dyDescent="0.2">
      <c r="A439" s="27" t="e">
        <f>#REF!&amp;"_"&amp;#REF!</f>
        <v>#REF!</v>
      </c>
      <c r="B439">
        <f>ROW()</f>
        <v>439</v>
      </c>
    </row>
    <row r="440" spans="1:2" x14ac:dyDescent="0.2">
      <c r="A440" s="27" t="e">
        <f>#REF!&amp;"_"&amp;#REF!</f>
        <v>#REF!</v>
      </c>
      <c r="B440">
        <f>ROW()</f>
        <v>440</v>
      </c>
    </row>
    <row r="441" spans="1:2" x14ac:dyDescent="0.2">
      <c r="A441" s="27" t="e">
        <f>#REF!&amp;"_"&amp;#REF!</f>
        <v>#REF!</v>
      </c>
      <c r="B441">
        <f>ROW()</f>
        <v>441</v>
      </c>
    </row>
    <row r="442" spans="1:2" x14ac:dyDescent="0.2">
      <c r="A442" s="27" t="e">
        <f>#REF!&amp;"_"&amp;#REF!</f>
        <v>#REF!</v>
      </c>
      <c r="B442">
        <f>ROW()</f>
        <v>442</v>
      </c>
    </row>
    <row r="443" spans="1:2" x14ac:dyDescent="0.2">
      <c r="A443" s="27" t="e">
        <f>#REF!&amp;"_"&amp;#REF!</f>
        <v>#REF!</v>
      </c>
      <c r="B443">
        <f>ROW()</f>
        <v>443</v>
      </c>
    </row>
    <row r="444" spans="1:2" x14ac:dyDescent="0.2">
      <c r="A444" s="27" t="e">
        <f>#REF!&amp;"_"&amp;#REF!</f>
        <v>#REF!</v>
      </c>
      <c r="B444">
        <f>ROW()</f>
        <v>444</v>
      </c>
    </row>
    <row r="445" spans="1:2" x14ac:dyDescent="0.2">
      <c r="A445" s="27" t="e">
        <f>#REF!&amp;"_"&amp;#REF!</f>
        <v>#REF!</v>
      </c>
      <c r="B445">
        <f>ROW()</f>
        <v>445</v>
      </c>
    </row>
    <row r="446" spans="1:2" x14ac:dyDescent="0.2">
      <c r="A446" s="27" t="e">
        <f>#REF!&amp;"_"&amp;#REF!</f>
        <v>#REF!</v>
      </c>
      <c r="B446">
        <f>ROW()</f>
        <v>446</v>
      </c>
    </row>
    <row r="447" spans="1:2" x14ac:dyDescent="0.2">
      <c r="A447" s="27" t="e">
        <f>#REF!&amp;"_"&amp;#REF!</f>
        <v>#REF!</v>
      </c>
      <c r="B447">
        <f>ROW()</f>
        <v>447</v>
      </c>
    </row>
    <row r="448" spans="1:2" x14ac:dyDescent="0.2">
      <c r="A448" s="27" t="e">
        <f>#REF!&amp;"_"&amp;#REF!</f>
        <v>#REF!</v>
      </c>
      <c r="B448">
        <f>ROW()</f>
        <v>448</v>
      </c>
    </row>
    <row r="449" spans="1:2" x14ac:dyDescent="0.2">
      <c r="A449" s="27" t="e">
        <f>#REF!&amp;"_"&amp;#REF!</f>
        <v>#REF!</v>
      </c>
      <c r="B449">
        <f>ROW()</f>
        <v>449</v>
      </c>
    </row>
    <row r="450" spans="1:2" x14ac:dyDescent="0.2">
      <c r="A450" s="27" t="e">
        <f>#REF!&amp;"_"&amp;#REF!</f>
        <v>#REF!</v>
      </c>
      <c r="B450">
        <f>ROW()</f>
        <v>450</v>
      </c>
    </row>
    <row r="451" spans="1:2" x14ac:dyDescent="0.2">
      <c r="A451" s="27" t="e">
        <f>#REF!&amp;"_"&amp;#REF!</f>
        <v>#REF!</v>
      </c>
      <c r="B451">
        <f>ROW()</f>
        <v>451</v>
      </c>
    </row>
    <row r="452" spans="1:2" x14ac:dyDescent="0.2">
      <c r="A452" s="27" t="e">
        <f>#REF!&amp;"_"&amp;#REF!</f>
        <v>#REF!</v>
      </c>
      <c r="B452">
        <f>ROW()</f>
        <v>452</v>
      </c>
    </row>
    <row r="453" spans="1:2" x14ac:dyDescent="0.2">
      <c r="A453" s="27" t="e">
        <f>#REF!&amp;"_"&amp;#REF!</f>
        <v>#REF!</v>
      </c>
      <c r="B453">
        <f>ROW()</f>
        <v>453</v>
      </c>
    </row>
    <row r="454" spans="1:2" x14ac:dyDescent="0.2">
      <c r="A454" s="27" t="e">
        <f>#REF!&amp;"_"&amp;#REF!</f>
        <v>#REF!</v>
      </c>
      <c r="B454">
        <f>ROW()</f>
        <v>454</v>
      </c>
    </row>
    <row r="455" spans="1:2" x14ac:dyDescent="0.2">
      <c r="A455" s="27" t="e">
        <f>#REF!&amp;"_"&amp;#REF!</f>
        <v>#REF!</v>
      </c>
      <c r="B455">
        <f>ROW()</f>
        <v>455</v>
      </c>
    </row>
    <row r="456" spans="1:2" x14ac:dyDescent="0.2">
      <c r="A456" s="27" t="e">
        <f>#REF!&amp;"_"&amp;#REF!</f>
        <v>#REF!</v>
      </c>
      <c r="B456">
        <f>ROW()</f>
        <v>456</v>
      </c>
    </row>
    <row r="457" spans="1:2" x14ac:dyDescent="0.2">
      <c r="A457" s="27" t="e">
        <f>#REF!&amp;"_"&amp;#REF!</f>
        <v>#REF!</v>
      </c>
      <c r="B457">
        <f>ROW()</f>
        <v>457</v>
      </c>
    </row>
    <row r="458" spans="1:2" x14ac:dyDescent="0.2">
      <c r="A458" s="27" t="e">
        <f>#REF!&amp;"_"&amp;#REF!</f>
        <v>#REF!</v>
      </c>
      <c r="B458">
        <f>ROW()</f>
        <v>458</v>
      </c>
    </row>
    <row r="459" spans="1:2" x14ac:dyDescent="0.2">
      <c r="A459" s="27" t="e">
        <f>#REF!&amp;"_"&amp;#REF!</f>
        <v>#REF!</v>
      </c>
      <c r="B459">
        <f>ROW()</f>
        <v>459</v>
      </c>
    </row>
    <row r="460" spans="1:2" x14ac:dyDescent="0.2">
      <c r="A460" s="27" t="e">
        <f>#REF!&amp;"_"&amp;#REF!</f>
        <v>#REF!</v>
      </c>
      <c r="B460">
        <f>ROW()</f>
        <v>460</v>
      </c>
    </row>
    <row r="461" spans="1:2" x14ac:dyDescent="0.2">
      <c r="A461" s="27" t="e">
        <f>#REF!&amp;"_"&amp;#REF!</f>
        <v>#REF!</v>
      </c>
      <c r="B461">
        <f>ROW()</f>
        <v>461</v>
      </c>
    </row>
    <row r="462" spans="1:2" x14ac:dyDescent="0.2">
      <c r="A462" s="27" t="e">
        <f>#REF!&amp;"_"&amp;#REF!</f>
        <v>#REF!</v>
      </c>
      <c r="B462">
        <f>ROW()</f>
        <v>462</v>
      </c>
    </row>
    <row r="463" spans="1:2" x14ac:dyDescent="0.2">
      <c r="A463" s="27" t="e">
        <f>#REF!&amp;"_"&amp;#REF!</f>
        <v>#REF!</v>
      </c>
      <c r="B463">
        <f>ROW()</f>
        <v>463</v>
      </c>
    </row>
    <row r="464" spans="1:2" x14ac:dyDescent="0.2">
      <c r="A464" s="27" t="e">
        <f>#REF!&amp;"_"&amp;#REF!</f>
        <v>#REF!</v>
      </c>
      <c r="B464">
        <f>ROW()</f>
        <v>464</v>
      </c>
    </row>
    <row r="465" spans="1:2" x14ac:dyDescent="0.2">
      <c r="A465" s="27" t="e">
        <f>#REF!&amp;"_"&amp;#REF!</f>
        <v>#REF!</v>
      </c>
      <c r="B465">
        <f>ROW()</f>
        <v>465</v>
      </c>
    </row>
    <row r="466" spans="1:2" x14ac:dyDescent="0.2">
      <c r="A466" s="27" t="e">
        <f>#REF!&amp;"_"&amp;#REF!</f>
        <v>#REF!</v>
      </c>
      <c r="B466">
        <f>ROW()</f>
        <v>466</v>
      </c>
    </row>
    <row r="467" spans="1:2" x14ac:dyDescent="0.2">
      <c r="A467" s="27" t="e">
        <f>#REF!&amp;"_"&amp;#REF!</f>
        <v>#REF!</v>
      </c>
      <c r="B467">
        <f>ROW()</f>
        <v>467</v>
      </c>
    </row>
    <row r="468" spans="1:2" x14ac:dyDescent="0.2">
      <c r="A468" s="27" t="e">
        <f>#REF!&amp;"_"&amp;#REF!</f>
        <v>#REF!</v>
      </c>
      <c r="B468">
        <f>ROW()</f>
        <v>468</v>
      </c>
    </row>
    <row r="469" spans="1:2" x14ac:dyDescent="0.2">
      <c r="A469" s="27" t="e">
        <f>#REF!&amp;"_"&amp;#REF!</f>
        <v>#REF!</v>
      </c>
      <c r="B469">
        <f>ROW()</f>
        <v>469</v>
      </c>
    </row>
    <row r="470" spans="1:2" x14ac:dyDescent="0.2">
      <c r="A470" s="27" t="e">
        <f>#REF!&amp;"_"&amp;#REF!</f>
        <v>#REF!</v>
      </c>
      <c r="B470">
        <f>ROW()</f>
        <v>470</v>
      </c>
    </row>
    <row r="471" spans="1:2" x14ac:dyDescent="0.2">
      <c r="A471" s="27" t="e">
        <f>#REF!&amp;"_"&amp;#REF!</f>
        <v>#REF!</v>
      </c>
      <c r="B471">
        <f>ROW()</f>
        <v>471</v>
      </c>
    </row>
    <row r="472" spans="1:2" x14ac:dyDescent="0.2">
      <c r="A472" s="27" t="e">
        <f>#REF!&amp;"_"&amp;#REF!</f>
        <v>#REF!</v>
      </c>
      <c r="B472">
        <f>ROW()</f>
        <v>472</v>
      </c>
    </row>
    <row r="473" spans="1:2" x14ac:dyDescent="0.2">
      <c r="A473" s="27" t="e">
        <f>#REF!&amp;"_"&amp;#REF!</f>
        <v>#REF!</v>
      </c>
      <c r="B473">
        <f>ROW()</f>
        <v>473</v>
      </c>
    </row>
    <row r="474" spans="1:2" x14ac:dyDescent="0.2">
      <c r="A474" s="27" t="e">
        <f>#REF!&amp;"_"&amp;#REF!</f>
        <v>#REF!</v>
      </c>
      <c r="B474">
        <f>ROW()</f>
        <v>474</v>
      </c>
    </row>
    <row r="475" spans="1:2" x14ac:dyDescent="0.2">
      <c r="A475" s="27" t="e">
        <f>#REF!&amp;"_"&amp;#REF!</f>
        <v>#REF!</v>
      </c>
      <c r="B475">
        <f>ROW()</f>
        <v>475</v>
      </c>
    </row>
    <row r="476" spans="1:2" x14ac:dyDescent="0.2">
      <c r="A476" s="27" t="e">
        <f>#REF!&amp;"_"&amp;#REF!</f>
        <v>#REF!</v>
      </c>
      <c r="B476">
        <f>ROW()</f>
        <v>476</v>
      </c>
    </row>
    <row r="477" spans="1:2" x14ac:dyDescent="0.2">
      <c r="A477" s="27" t="e">
        <f>#REF!&amp;"_"&amp;#REF!</f>
        <v>#REF!</v>
      </c>
      <c r="B477">
        <f>ROW()</f>
        <v>477</v>
      </c>
    </row>
    <row r="478" spans="1:2" x14ac:dyDescent="0.2">
      <c r="A478" s="27" t="e">
        <f>#REF!&amp;"_"&amp;#REF!</f>
        <v>#REF!</v>
      </c>
      <c r="B478">
        <f>ROW()</f>
        <v>478</v>
      </c>
    </row>
    <row r="479" spans="1:2" x14ac:dyDescent="0.2">
      <c r="A479" s="27" t="e">
        <f>#REF!&amp;"_"&amp;#REF!</f>
        <v>#REF!</v>
      </c>
      <c r="B479">
        <f>ROW()</f>
        <v>479</v>
      </c>
    </row>
    <row r="480" spans="1:2" x14ac:dyDescent="0.2">
      <c r="A480" s="27" t="e">
        <f>#REF!&amp;"_"&amp;#REF!</f>
        <v>#REF!</v>
      </c>
      <c r="B480">
        <f>ROW()</f>
        <v>480</v>
      </c>
    </row>
    <row r="481" spans="1:2" x14ac:dyDescent="0.2">
      <c r="A481" s="27" t="e">
        <f>#REF!&amp;"_"&amp;#REF!</f>
        <v>#REF!</v>
      </c>
      <c r="B481">
        <f>ROW()</f>
        <v>481</v>
      </c>
    </row>
    <row r="482" spans="1:2" x14ac:dyDescent="0.2">
      <c r="A482" s="27" t="e">
        <f>#REF!&amp;"_"&amp;#REF!</f>
        <v>#REF!</v>
      </c>
      <c r="B482">
        <f>ROW()</f>
        <v>482</v>
      </c>
    </row>
    <row r="483" spans="1:2" x14ac:dyDescent="0.2">
      <c r="A483" s="27" t="e">
        <f>#REF!&amp;"_"&amp;#REF!</f>
        <v>#REF!</v>
      </c>
      <c r="B483">
        <f>ROW()</f>
        <v>483</v>
      </c>
    </row>
    <row r="484" spans="1:2" x14ac:dyDescent="0.2">
      <c r="A484" s="27" t="e">
        <f>#REF!&amp;"_"&amp;#REF!</f>
        <v>#REF!</v>
      </c>
      <c r="B484">
        <f>ROW()</f>
        <v>484</v>
      </c>
    </row>
    <row r="485" spans="1:2" x14ac:dyDescent="0.2">
      <c r="A485" s="27" t="e">
        <f>#REF!&amp;"_"&amp;#REF!</f>
        <v>#REF!</v>
      </c>
      <c r="B485">
        <f>ROW()</f>
        <v>485</v>
      </c>
    </row>
    <row r="486" spans="1:2" x14ac:dyDescent="0.2">
      <c r="A486" s="27" t="e">
        <f>#REF!&amp;"_"&amp;#REF!</f>
        <v>#REF!</v>
      </c>
      <c r="B486">
        <f>ROW()</f>
        <v>486</v>
      </c>
    </row>
    <row r="487" spans="1:2" x14ac:dyDescent="0.2">
      <c r="A487" s="27" t="e">
        <f>#REF!&amp;"_"&amp;#REF!</f>
        <v>#REF!</v>
      </c>
      <c r="B487">
        <f>ROW()</f>
        <v>487</v>
      </c>
    </row>
    <row r="488" spans="1:2" x14ac:dyDescent="0.2">
      <c r="A488" s="27" t="e">
        <f>#REF!&amp;"_"&amp;#REF!</f>
        <v>#REF!</v>
      </c>
      <c r="B488">
        <f>ROW()</f>
        <v>488</v>
      </c>
    </row>
    <row r="489" spans="1:2" x14ac:dyDescent="0.2">
      <c r="A489" s="27" t="e">
        <f>#REF!&amp;"_"&amp;#REF!</f>
        <v>#REF!</v>
      </c>
      <c r="B489">
        <f>ROW()</f>
        <v>489</v>
      </c>
    </row>
    <row r="490" spans="1:2" x14ac:dyDescent="0.2">
      <c r="A490" s="27" t="e">
        <f>#REF!&amp;"_"&amp;#REF!</f>
        <v>#REF!</v>
      </c>
      <c r="B490">
        <f>ROW()</f>
        <v>490</v>
      </c>
    </row>
    <row r="491" spans="1:2" x14ac:dyDescent="0.2">
      <c r="A491" s="27" t="e">
        <f>#REF!&amp;"_"&amp;#REF!</f>
        <v>#REF!</v>
      </c>
      <c r="B491">
        <f>ROW()</f>
        <v>491</v>
      </c>
    </row>
    <row r="492" spans="1:2" x14ac:dyDescent="0.2">
      <c r="A492" s="27" t="e">
        <f>#REF!&amp;"_"&amp;#REF!</f>
        <v>#REF!</v>
      </c>
      <c r="B492">
        <f>ROW()</f>
        <v>492</v>
      </c>
    </row>
    <row r="493" spans="1:2" x14ac:dyDescent="0.2">
      <c r="A493" s="27" t="e">
        <f>#REF!&amp;"_"&amp;#REF!</f>
        <v>#REF!</v>
      </c>
      <c r="B493">
        <f>ROW()</f>
        <v>493</v>
      </c>
    </row>
    <row r="494" spans="1:2" x14ac:dyDescent="0.2">
      <c r="A494" s="27" t="e">
        <f>#REF!&amp;"_"&amp;#REF!</f>
        <v>#REF!</v>
      </c>
      <c r="B494">
        <f>ROW()</f>
        <v>494</v>
      </c>
    </row>
    <row r="495" spans="1:2" x14ac:dyDescent="0.2">
      <c r="A495" s="27" t="e">
        <f>#REF!&amp;"_"&amp;#REF!</f>
        <v>#REF!</v>
      </c>
      <c r="B495">
        <f>ROW()</f>
        <v>495</v>
      </c>
    </row>
    <row r="496" spans="1:2" x14ac:dyDescent="0.2">
      <c r="A496" s="27" t="e">
        <f>#REF!&amp;"_"&amp;#REF!</f>
        <v>#REF!</v>
      </c>
      <c r="B496">
        <f>ROW()</f>
        <v>496</v>
      </c>
    </row>
    <row r="497" spans="1:2" x14ac:dyDescent="0.2">
      <c r="A497" s="27" t="e">
        <f>#REF!&amp;"_"&amp;#REF!</f>
        <v>#REF!</v>
      </c>
      <c r="B497">
        <f>ROW()</f>
        <v>497</v>
      </c>
    </row>
    <row r="498" spans="1:2" x14ac:dyDescent="0.2">
      <c r="A498" s="27" t="e">
        <f>#REF!&amp;"_"&amp;#REF!</f>
        <v>#REF!</v>
      </c>
      <c r="B498">
        <f>ROW()</f>
        <v>498</v>
      </c>
    </row>
    <row r="499" spans="1:2" x14ac:dyDescent="0.2">
      <c r="A499" s="27" t="e">
        <f>#REF!&amp;"_"&amp;#REF!</f>
        <v>#REF!</v>
      </c>
      <c r="B499">
        <f>ROW()</f>
        <v>499</v>
      </c>
    </row>
    <row r="500" spans="1:2" x14ac:dyDescent="0.2">
      <c r="A500" s="27" t="e">
        <f>#REF!&amp;"_"&amp;#REF!</f>
        <v>#REF!</v>
      </c>
      <c r="B500">
        <f>ROW()</f>
        <v>500</v>
      </c>
    </row>
    <row r="501" spans="1:2" x14ac:dyDescent="0.2">
      <c r="A501" s="27" t="e">
        <f>#REF!&amp;"_"&amp;#REF!</f>
        <v>#REF!</v>
      </c>
      <c r="B501">
        <f>ROW()</f>
        <v>501</v>
      </c>
    </row>
    <row r="502" spans="1:2" x14ac:dyDescent="0.2">
      <c r="A502" s="27" t="e">
        <f>#REF!&amp;"_"&amp;#REF!</f>
        <v>#REF!</v>
      </c>
      <c r="B502">
        <f>ROW()</f>
        <v>502</v>
      </c>
    </row>
    <row r="503" spans="1:2" x14ac:dyDescent="0.2">
      <c r="A503" s="27" t="e">
        <f>#REF!&amp;"_"&amp;#REF!</f>
        <v>#REF!</v>
      </c>
      <c r="B503">
        <f>ROW()</f>
        <v>503</v>
      </c>
    </row>
    <row r="504" spans="1:2" x14ac:dyDescent="0.2">
      <c r="A504" s="27" t="e">
        <f>#REF!&amp;"_"&amp;#REF!</f>
        <v>#REF!</v>
      </c>
      <c r="B504">
        <f>ROW()</f>
        <v>504</v>
      </c>
    </row>
    <row r="505" spans="1:2" x14ac:dyDescent="0.2">
      <c r="A505" s="27" t="e">
        <f>#REF!&amp;"_"&amp;#REF!</f>
        <v>#REF!</v>
      </c>
      <c r="B505">
        <f>ROW()</f>
        <v>505</v>
      </c>
    </row>
    <row r="506" spans="1:2" x14ac:dyDescent="0.2">
      <c r="A506" s="27" t="e">
        <f>#REF!&amp;"_"&amp;#REF!</f>
        <v>#REF!</v>
      </c>
      <c r="B506">
        <f>ROW()</f>
        <v>506</v>
      </c>
    </row>
    <row r="507" spans="1:2" x14ac:dyDescent="0.2">
      <c r="A507" s="27" t="e">
        <f>#REF!&amp;"_"&amp;#REF!</f>
        <v>#REF!</v>
      </c>
      <c r="B507">
        <f>ROW()</f>
        <v>507</v>
      </c>
    </row>
    <row r="508" spans="1:2" x14ac:dyDescent="0.2">
      <c r="A508" s="27" t="e">
        <f>#REF!&amp;"_"&amp;#REF!</f>
        <v>#REF!</v>
      </c>
      <c r="B508">
        <f>ROW()</f>
        <v>508</v>
      </c>
    </row>
    <row r="509" spans="1:2" x14ac:dyDescent="0.2">
      <c r="A509" s="27" t="e">
        <f>#REF!&amp;"_"&amp;#REF!</f>
        <v>#REF!</v>
      </c>
      <c r="B509">
        <f>ROW()</f>
        <v>509</v>
      </c>
    </row>
    <row r="510" spans="1:2" x14ac:dyDescent="0.2">
      <c r="A510" s="27" t="e">
        <f>#REF!&amp;"_"&amp;#REF!</f>
        <v>#REF!</v>
      </c>
      <c r="B510">
        <f>ROW()</f>
        <v>510</v>
      </c>
    </row>
    <row r="511" spans="1:2" x14ac:dyDescent="0.2">
      <c r="A511" s="27" t="e">
        <f>#REF!&amp;"_"&amp;#REF!</f>
        <v>#REF!</v>
      </c>
      <c r="B511">
        <f>ROW()</f>
        <v>511</v>
      </c>
    </row>
    <row r="512" spans="1:2" x14ac:dyDescent="0.2">
      <c r="A512" s="27" t="e">
        <f>#REF!&amp;"_"&amp;#REF!</f>
        <v>#REF!</v>
      </c>
      <c r="B512">
        <f>ROW()</f>
        <v>512</v>
      </c>
    </row>
    <row r="513" spans="1:2" x14ac:dyDescent="0.2">
      <c r="A513" s="27" t="e">
        <f>#REF!&amp;"_"&amp;#REF!</f>
        <v>#REF!</v>
      </c>
      <c r="B513">
        <f>ROW()</f>
        <v>513</v>
      </c>
    </row>
    <row r="514" spans="1:2" x14ac:dyDescent="0.2">
      <c r="A514" s="27" t="e">
        <f>#REF!&amp;"_"&amp;#REF!</f>
        <v>#REF!</v>
      </c>
      <c r="B514">
        <f>ROW()</f>
        <v>514</v>
      </c>
    </row>
    <row r="515" spans="1:2" x14ac:dyDescent="0.2">
      <c r="A515" s="27" t="e">
        <f>#REF!&amp;"_"&amp;#REF!</f>
        <v>#REF!</v>
      </c>
      <c r="B515">
        <f>ROW()</f>
        <v>515</v>
      </c>
    </row>
    <row r="516" spans="1:2" x14ac:dyDescent="0.2">
      <c r="A516" s="27" t="e">
        <f>#REF!&amp;"_"&amp;#REF!</f>
        <v>#REF!</v>
      </c>
      <c r="B516">
        <f>ROW()</f>
        <v>516</v>
      </c>
    </row>
    <row r="517" spans="1:2" x14ac:dyDescent="0.2">
      <c r="A517" s="27" t="e">
        <f>#REF!&amp;"_"&amp;#REF!</f>
        <v>#REF!</v>
      </c>
      <c r="B517">
        <f>ROW()</f>
        <v>517</v>
      </c>
    </row>
    <row r="518" spans="1:2" x14ac:dyDescent="0.2">
      <c r="A518" s="27" t="e">
        <f>#REF!&amp;"_"&amp;#REF!</f>
        <v>#REF!</v>
      </c>
      <c r="B518">
        <f>ROW()</f>
        <v>518</v>
      </c>
    </row>
    <row r="519" spans="1:2" x14ac:dyDescent="0.2">
      <c r="A519" s="27" t="e">
        <f>#REF!&amp;"_"&amp;#REF!</f>
        <v>#REF!</v>
      </c>
      <c r="B519">
        <f>ROW()</f>
        <v>519</v>
      </c>
    </row>
    <row r="520" spans="1:2" x14ac:dyDescent="0.2">
      <c r="A520" s="27" t="e">
        <f>#REF!&amp;"_"&amp;#REF!</f>
        <v>#REF!</v>
      </c>
      <c r="B520">
        <f>ROW()</f>
        <v>520</v>
      </c>
    </row>
    <row r="521" spans="1:2" x14ac:dyDescent="0.2">
      <c r="A521" s="27" t="e">
        <f>#REF!&amp;"_"&amp;#REF!</f>
        <v>#REF!</v>
      </c>
      <c r="B521">
        <f>ROW()</f>
        <v>521</v>
      </c>
    </row>
    <row r="522" spans="1:2" x14ac:dyDescent="0.2">
      <c r="A522" s="27" t="e">
        <f>#REF!&amp;"_"&amp;#REF!</f>
        <v>#REF!</v>
      </c>
      <c r="B522">
        <f>ROW()</f>
        <v>522</v>
      </c>
    </row>
    <row r="523" spans="1:2" x14ac:dyDescent="0.2">
      <c r="A523" s="27" t="e">
        <f>#REF!&amp;"_"&amp;#REF!</f>
        <v>#REF!</v>
      </c>
      <c r="B523">
        <f>ROW()</f>
        <v>523</v>
      </c>
    </row>
    <row r="524" spans="1:2" x14ac:dyDescent="0.2">
      <c r="A524" s="27" t="e">
        <f>#REF!&amp;"_"&amp;#REF!</f>
        <v>#REF!</v>
      </c>
      <c r="B524">
        <f>ROW()</f>
        <v>524</v>
      </c>
    </row>
    <row r="525" spans="1:2" x14ac:dyDescent="0.2">
      <c r="A525" s="27" t="e">
        <f>#REF!&amp;"_"&amp;#REF!</f>
        <v>#REF!</v>
      </c>
      <c r="B525">
        <f>ROW()</f>
        <v>525</v>
      </c>
    </row>
    <row r="526" spans="1:2" x14ac:dyDescent="0.2">
      <c r="A526" s="27" t="e">
        <f>#REF!&amp;"_"&amp;#REF!</f>
        <v>#REF!</v>
      </c>
      <c r="B526">
        <f>ROW()</f>
        <v>526</v>
      </c>
    </row>
    <row r="527" spans="1:2" x14ac:dyDescent="0.2">
      <c r="A527" s="27" t="e">
        <f>#REF!&amp;"_"&amp;#REF!</f>
        <v>#REF!</v>
      </c>
      <c r="B527">
        <f>ROW()</f>
        <v>527</v>
      </c>
    </row>
    <row r="528" spans="1:2" x14ac:dyDescent="0.2">
      <c r="A528" s="27" t="e">
        <f>#REF!&amp;"_"&amp;#REF!</f>
        <v>#REF!</v>
      </c>
      <c r="B528">
        <f>ROW()</f>
        <v>528</v>
      </c>
    </row>
    <row r="529" spans="1:2" x14ac:dyDescent="0.2">
      <c r="A529" s="27" t="e">
        <f>#REF!&amp;"_"&amp;#REF!</f>
        <v>#REF!</v>
      </c>
      <c r="B529">
        <f>ROW()</f>
        <v>529</v>
      </c>
    </row>
    <row r="530" spans="1:2" x14ac:dyDescent="0.2">
      <c r="A530" s="27" t="e">
        <f>#REF!&amp;"_"&amp;#REF!</f>
        <v>#REF!</v>
      </c>
      <c r="B530">
        <f>ROW()</f>
        <v>530</v>
      </c>
    </row>
    <row r="531" spans="1:2" x14ac:dyDescent="0.2">
      <c r="A531" s="27" t="e">
        <f>#REF!&amp;"_"&amp;#REF!</f>
        <v>#REF!</v>
      </c>
      <c r="B531">
        <f>ROW()</f>
        <v>531</v>
      </c>
    </row>
    <row r="532" spans="1:2" x14ac:dyDescent="0.2">
      <c r="A532" s="27" t="e">
        <f>#REF!&amp;"_"&amp;#REF!</f>
        <v>#REF!</v>
      </c>
      <c r="B532">
        <f>ROW()</f>
        <v>532</v>
      </c>
    </row>
    <row r="533" spans="1:2" x14ac:dyDescent="0.2">
      <c r="A533" s="27" t="e">
        <f>#REF!&amp;"_"&amp;#REF!</f>
        <v>#REF!</v>
      </c>
      <c r="B533">
        <f>ROW()</f>
        <v>533</v>
      </c>
    </row>
    <row r="534" spans="1:2" x14ac:dyDescent="0.2">
      <c r="A534" s="27" t="e">
        <f>#REF!&amp;"_"&amp;#REF!</f>
        <v>#REF!</v>
      </c>
      <c r="B534">
        <f>ROW()</f>
        <v>534</v>
      </c>
    </row>
    <row r="535" spans="1:2" x14ac:dyDescent="0.2">
      <c r="A535" s="27" t="e">
        <f>#REF!&amp;"_"&amp;#REF!</f>
        <v>#REF!</v>
      </c>
      <c r="B535">
        <f>ROW()</f>
        <v>535</v>
      </c>
    </row>
    <row r="536" spans="1:2" x14ac:dyDescent="0.2">
      <c r="A536" s="27" t="e">
        <f>#REF!&amp;"_"&amp;#REF!</f>
        <v>#REF!</v>
      </c>
      <c r="B536">
        <f>ROW()</f>
        <v>536</v>
      </c>
    </row>
    <row r="537" spans="1:2" x14ac:dyDescent="0.2">
      <c r="A537" s="27" t="e">
        <f>#REF!&amp;"_"&amp;#REF!</f>
        <v>#REF!</v>
      </c>
      <c r="B537">
        <f>ROW()</f>
        <v>537</v>
      </c>
    </row>
    <row r="538" spans="1:2" x14ac:dyDescent="0.2">
      <c r="A538" s="27" t="e">
        <f>#REF!&amp;"_"&amp;#REF!</f>
        <v>#REF!</v>
      </c>
      <c r="B538">
        <f>ROW()</f>
        <v>538</v>
      </c>
    </row>
    <row r="539" spans="1:2" x14ac:dyDescent="0.2">
      <c r="A539" s="27" t="e">
        <f>#REF!&amp;"_"&amp;#REF!</f>
        <v>#REF!</v>
      </c>
      <c r="B539">
        <f>ROW()</f>
        <v>539</v>
      </c>
    </row>
    <row r="540" spans="1:2" x14ac:dyDescent="0.2">
      <c r="A540" s="27" t="e">
        <f>#REF!&amp;"_"&amp;#REF!</f>
        <v>#REF!</v>
      </c>
      <c r="B540">
        <f>ROW()</f>
        <v>540</v>
      </c>
    </row>
    <row r="541" spans="1:2" x14ac:dyDescent="0.2">
      <c r="A541" s="27" t="e">
        <f>#REF!&amp;"_"&amp;#REF!</f>
        <v>#REF!</v>
      </c>
      <c r="B541">
        <f>ROW()</f>
        <v>541</v>
      </c>
    </row>
    <row r="542" spans="1:2" x14ac:dyDescent="0.2">
      <c r="A542" s="27" t="e">
        <f>#REF!&amp;"_"&amp;#REF!</f>
        <v>#REF!</v>
      </c>
      <c r="B542">
        <f>ROW()</f>
        <v>542</v>
      </c>
    </row>
    <row r="543" spans="1:2" x14ac:dyDescent="0.2">
      <c r="A543" s="27" t="e">
        <f>#REF!&amp;"_"&amp;#REF!</f>
        <v>#REF!</v>
      </c>
      <c r="B543">
        <f>ROW()</f>
        <v>543</v>
      </c>
    </row>
    <row r="544" spans="1:2" x14ac:dyDescent="0.2">
      <c r="A544" s="27" t="e">
        <f>#REF!&amp;"_"&amp;#REF!</f>
        <v>#REF!</v>
      </c>
      <c r="B544">
        <f>ROW()</f>
        <v>544</v>
      </c>
    </row>
    <row r="545" spans="1:2" x14ac:dyDescent="0.2">
      <c r="A545" s="27" t="e">
        <f>#REF!&amp;"_"&amp;#REF!</f>
        <v>#REF!</v>
      </c>
      <c r="B545">
        <f>ROW()</f>
        <v>545</v>
      </c>
    </row>
    <row r="546" spans="1:2" x14ac:dyDescent="0.2">
      <c r="A546" s="27" t="e">
        <f>#REF!&amp;"_"&amp;#REF!</f>
        <v>#REF!</v>
      </c>
      <c r="B546">
        <f>ROW()</f>
        <v>546</v>
      </c>
    </row>
    <row r="547" spans="1:2" x14ac:dyDescent="0.2">
      <c r="A547" s="27" t="e">
        <f>#REF!&amp;"_"&amp;#REF!</f>
        <v>#REF!</v>
      </c>
      <c r="B547">
        <f>ROW()</f>
        <v>547</v>
      </c>
    </row>
    <row r="548" spans="1:2" x14ac:dyDescent="0.2">
      <c r="A548" s="27" t="e">
        <f>#REF!&amp;"_"&amp;#REF!</f>
        <v>#REF!</v>
      </c>
      <c r="B548">
        <f>ROW()</f>
        <v>548</v>
      </c>
    </row>
    <row r="549" spans="1:2" x14ac:dyDescent="0.2">
      <c r="A549" s="27" t="e">
        <f>#REF!&amp;"_"&amp;#REF!</f>
        <v>#REF!</v>
      </c>
      <c r="B549">
        <f>ROW()</f>
        <v>549</v>
      </c>
    </row>
    <row r="550" spans="1:2" x14ac:dyDescent="0.2">
      <c r="A550" s="27" t="e">
        <f>#REF!&amp;"_"&amp;#REF!</f>
        <v>#REF!</v>
      </c>
      <c r="B550">
        <f>ROW()</f>
        <v>550</v>
      </c>
    </row>
    <row r="551" spans="1:2" x14ac:dyDescent="0.2">
      <c r="A551" s="27" t="e">
        <f>#REF!&amp;"_"&amp;#REF!</f>
        <v>#REF!</v>
      </c>
      <c r="B551">
        <f>ROW()</f>
        <v>551</v>
      </c>
    </row>
    <row r="552" spans="1:2" x14ac:dyDescent="0.2">
      <c r="A552" s="27" t="e">
        <f>#REF!&amp;"_"&amp;#REF!</f>
        <v>#REF!</v>
      </c>
      <c r="B552">
        <f>ROW()</f>
        <v>552</v>
      </c>
    </row>
    <row r="553" spans="1:2" x14ac:dyDescent="0.2">
      <c r="A553" s="27" t="e">
        <f>#REF!&amp;"_"&amp;#REF!</f>
        <v>#REF!</v>
      </c>
      <c r="B553">
        <f>ROW()</f>
        <v>553</v>
      </c>
    </row>
    <row r="554" spans="1:2" x14ac:dyDescent="0.2">
      <c r="A554" s="27" t="e">
        <f>#REF!&amp;"_"&amp;#REF!</f>
        <v>#REF!</v>
      </c>
      <c r="B554">
        <f>ROW()</f>
        <v>554</v>
      </c>
    </row>
    <row r="555" spans="1:2" x14ac:dyDescent="0.2">
      <c r="A555" s="27" t="e">
        <f>#REF!&amp;"_"&amp;#REF!</f>
        <v>#REF!</v>
      </c>
      <c r="B555">
        <f>ROW()</f>
        <v>555</v>
      </c>
    </row>
    <row r="556" spans="1:2" x14ac:dyDescent="0.2">
      <c r="A556" s="27" t="e">
        <f>#REF!&amp;"_"&amp;#REF!</f>
        <v>#REF!</v>
      </c>
      <c r="B556">
        <f>ROW()</f>
        <v>556</v>
      </c>
    </row>
    <row r="557" spans="1:2" x14ac:dyDescent="0.2">
      <c r="A557" s="27" t="e">
        <f>#REF!&amp;"_"&amp;#REF!</f>
        <v>#REF!</v>
      </c>
      <c r="B557">
        <f>ROW()</f>
        <v>557</v>
      </c>
    </row>
    <row r="558" spans="1:2" x14ac:dyDescent="0.2">
      <c r="A558" s="27" t="e">
        <f>#REF!&amp;"_"&amp;#REF!</f>
        <v>#REF!</v>
      </c>
      <c r="B558">
        <f>ROW()</f>
        <v>558</v>
      </c>
    </row>
    <row r="559" spans="1:2" x14ac:dyDescent="0.2">
      <c r="A559" s="27" t="e">
        <f>#REF!&amp;"_"&amp;#REF!</f>
        <v>#REF!</v>
      </c>
      <c r="B559">
        <f>ROW()</f>
        <v>559</v>
      </c>
    </row>
    <row r="560" spans="1:2" x14ac:dyDescent="0.2">
      <c r="A560" s="27" t="e">
        <f>#REF!&amp;"_"&amp;#REF!</f>
        <v>#REF!</v>
      </c>
      <c r="B560">
        <f>ROW()</f>
        <v>560</v>
      </c>
    </row>
    <row r="561" spans="1:2" x14ac:dyDescent="0.2">
      <c r="A561" s="27" t="e">
        <f>#REF!&amp;"_"&amp;#REF!</f>
        <v>#REF!</v>
      </c>
      <c r="B561">
        <f>ROW()</f>
        <v>561</v>
      </c>
    </row>
    <row r="562" spans="1:2" x14ac:dyDescent="0.2">
      <c r="A562" s="27" t="e">
        <f>#REF!&amp;"_"&amp;#REF!</f>
        <v>#REF!</v>
      </c>
      <c r="B562">
        <f>ROW()</f>
        <v>562</v>
      </c>
    </row>
    <row r="563" spans="1:2" x14ac:dyDescent="0.2">
      <c r="A563" s="27" t="e">
        <f>#REF!&amp;"_"&amp;#REF!</f>
        <v>#REF!</v>
      </c>
      <c r="B563">
        <f>ROW()</f>
        <v>563</v>
      </c>
    </row>
    <row r="564" spans="1:2" x14ac:dyDescent="0.2">
      <c r="A564" s="27" t="e">
        <f>#REF!&amp;"_"&amp;#REF!</f>
        <v>#REF!</v>
      </c>
      <c r="B564">
        <f>ROW()</f>
        <v>564</v>
      </c>
    </row>
    <row r="565" spans="1:2" x14ac:dyDescent="0.2">
      <c r="A565" s="27" t="e">
        <f>#REF!&amp;"_"&amp;#REF!</f>
        <v>#REF!</v>
      </c>
      <c r="B565">
        <f>ROW()</f>
        <v>565</v>
      </c>
    </row>
    <row r="566" spans="1:2" x14ac:dyDescent="0.2">
      <c r="A566" s="27" t="e">
        <f>#REF!&amp;"_"&amp;#REF!</f>
        <v>#REF!</v>
      </c>
      <c r="B566">
        <f>ROW()</f>
        <v>566</v>
      </c>
    </row>
    <row r="567" spans="1:2" x14ac:dyDescent="0.2">
      <c r="A567" s="27" t="e">
        <f>#REF!&amp;"_"&amp;#REF!</f>
        <v>#REF!</v>
      </c>
      <c r="B567">
        <f>ROW()</f>
        <v>567</v>
      </c>
    </row>
    <row r="568" spans="1:2" x14ac:dyDescent="0.2">
      <c r="A568" s="27" t="e">
        <f>#REF!&amp;"_"&amp;#REF!</f>
        <v>#REF!</v>
      </c>
      <c r="B568">
        <f>ROW()</f>
        <v>568</v>
      </c>
    </row>
    <row r="569" spans="1:2" x14ac:dyDescent="0.2">
      <c r="A569" s="27" t="e">
        <f>#REF!&amp;"_"&amp;#REF!</f>
        <v>#REF!</v>
      </c>
      <c r="B569">
        <f>ROW()</f>
        <v>569</v>
      </c>
    </row>
    <row r="570" spans="1:2" x14ac:dyDescent="0.2">
      <c r="A570" s="27" t="e">
        <f>#REF!&amp;"_"&amp;#REF!</f>
        <v>#REF!</v>
      </c>
      <c r="B570">
        <f>ROW()</f>
        <v>570</v>
      </c>
    </row>
    <row r="571" spans="1:2" x14ac:dyDescent="0.2">
      <c r="A571" s="27" t="e">
        <f>#REF!&amp;"_"&amp;#REF!</f>
        <v>#REF!</v>
      </c>
      <c r="B571">
        <f>ROW()</f>
        <v>571</v>
      </c>
    </row>
    <row r="572" spans="1:2" x14ac:dyDescent="0.2">
      <c r="A572" s="27" t="e">
        <f>#REF!&amp;"_"&amp;#REF!</f>
        <v>#REF!</v>
      </c>
      <c r="B572">
        <f>ROW()</f>
        <v>572</v>
      </c>
    </row>
    <row r="573" spans="1:2" x14ac:dyDescent="0.2">
      <c r="A573" s="27" t="e">
        <f>#REF!&amp;"_"&amp;#REF!</f>
        <v>#REF!</v>
      </c>
      <c r="B573">
        <f>ROW()</f>
        <v>573</v>
      </c>
    </row>
    <row r="574" spans="1:2" x14ac:dyDescent="0.2">
      <c r="A574" s="27" t="e">
        <f>#REF!&amp;"_"&amp;#REF!</f>
        <v>#REF!</v>
      </c>
      <c r="B574">
        <f>ROW()</f>
        <v>574</v>
      </c>
    </row>
    <row r="575" spans="1:2" x14ac:dyDescent="0.2">
      <c r="A575" s="27" t="e">
        <f>#REF!&amp;"_"&amp;#REF!</f>
        <v>#REF!</v>
      </c>
      <c r="B575">
        <f>ROW()</f>
        <v>575</v>
      </c>
    </row>
    <row r="576" spans="1:2" x14ac:dyDescent="0.2">
      <c r="A576" s="27" t="e">
        <f>#REF!&amp;"_"&amp;#REF!</f>
        <v>#REF!</v>
      </c>
      <c r="B576">
        <f>ROW()</f>
        <v>576</v>
      </c>
    </row>
    <row r="577" spans="1:2" x14ac:dyDescent="0.2">
      <c r="A577" s="27" t="e">
        <f>#REF!&amp;"_"&amp;#REF!</f>
        <v>#REF!</v>
      </c>
      <c r="B577">
        <f>ROW()</f>
        <v>577</v>
      </c>
    </row>
    <row r="578" spans="1:2" x14ac:dyDescent="0.2">
      <c r="A578" s="27" t="e">
        <f>#REF!&amp;"_"&amp;#REF!</f>
        <v>#REF!</v>
      </c>
      <c r="B578">
        <f>ROW()</f>
        <v>578</v>
      </c>
    </row>
    <row r="579" spans="1:2" x14ac:dyDescent="0.2">
      <c r="A579" s="27" t="e">
        <f>#REF!&amp;"_"&amp;#REF!</f>
        <v>#REF!</v>
      </c>
      <c r="B579">
        <f>ROW()</f>
        <v>579</v>
      </c>
    </row>
    <row r="580" spans="1:2" x14ac:dyDescent="0.2">
      <c r="A580" s="27" t="e">
        <f>#REF!&amp;"_"&amp;#REF!</f>
        <v>#REF!</v>
      </c>
      <c r="B580">
        <f>ROW()</f>
        <v>580</v>
      </c>
    </row>
    <row r="581" spans="1:2" x14ac:dyDescent="0.2">
      <c r="A581" s="27" t="e">
        <f>#REF!&amp;"_"&amp;#REF!</f>
        <v>#REF!</v>
      </c>
      <c r="B581">
        <f>ROW()</f>
        <v>581</v>
      </c>
    </row>
    <row r="582" spans="1:2" x14ac:dyDescent="0.2">
      <c r="A582" s="27" t="e">
        <f>#REF!&amp;"_"&amp;#REF!</f>
        <v>#REF!</v>
      </c>
      <c r="B582">
        <f>ROW()</f>
        <v>582</v>
      </c>
    </row>
    <row r="583" spans="1:2" x14ac:dyDescent="0.2">
      <c r="A583" s="27" t="e">
        <f>#REF!&amp;"_"&amp;#REF!</f>
        <v>#REF!</v>
      </c>
      <c r="B583">
        <f>ROW()</f>
        <v>583</v>
      </c>
    </row>
    <row r="584" spans="1:2" x14ac:dyDescent="0.2">
      <c r="A584" s="27" t="e">
        <f>#REF!&amp;"_"&amp;#REF!</f>
        <v>#REF!</v>
      </c>
      <c r="B584">
        <f>ROW()</f>
        <v>584</v>
      </c>
    </row>
    <row r="585" spans="1:2" x14ac:dyDescent="0.2">
      <c r="A585" s="27" t="e">
        <f>#REF!&amp;"_"&amp;#REF!</f>
        <v>#REF!</v>
      </c>
      <c r="B585">
        <f>ROW()</f>
        <v>585</v>
      </c>
    </row>
    <row r="586" spans="1:2" x14ac:dyDescent="0.2">
      <c r="A586" s="27" t="e">
        <f>#REF!&amp;"_"&amp;#REF!</f>
        <v>#REF!</v>
      </c>
      <c r="B586">
        <f>ROW()</f>
        <v>586</v>
      </c>
    </row>
    <row r="587" spans="1:2" x14ac:dyDescent="0.2">
      <c r="A587" s="27" t="e">
        <f>#REF!&amp;"_"&amp;#REF!</f>
        <v>#REF!</v>
      </c>
      <c r="B587">
        <f>ROW()</f>
        <v>587</v>
      </c>
    </row>
    <row r="588" spans="1:2" x14ac:dyDescent="0.2">
      <c r="A588" s="27" t="e">
        <f>#REF!&amp;"_"&amp;#REF!</f>
        <v>#REF!</v>
      </c>
      <c r="B588">
        <f>ROW()</f>
        <v>588</v>
      </c>
    </row>
    <row r="589" spans="1:2" x14ac:dyDescent="0.2">
      <c r="A589" s="27" t="e">
        <f>#REF!&amp;"_"&amp;#REF!</f>
        <v>#REF!</v>
      </c>
      <c r="B589">
        <f>ROW()</f>
        <v>589</v>
      </c>
    </row>
    <row r="590" spans="1:2" x14ac:dyDescent="0.2">
      <c r="A590" s="27" t="e">
        <f>#REF!&amp;"_"&amp;#REF!</f>
        <v>#REF!</v>
      </c>
      <c r="B590">
        <f>ROW()</f>
        <v>590</v>
      </c>
    </row>
    <row r="591" spans="1:2" x14ac:dyDescent="0.2">
      <c r="A591" s="27" t="e">
        <f>#REF!&amp;"_"&amp;#REF!</f>
        <v>#REF!</v>
      </c>
      <c r="B591">
        <f>ROW()</f>
        <v>591</v>
      </c>
    </row>
    <row r="592" spans="1:2" x14ac:dyDescent="0.2">
      <c r="A592" s="27" t="e">
        <f>#REF!&amp;"_"&amp;#REF!</f>
        <v>#REF!</v>
      </c>
      <c r="B592">
        <f>ROW()</f>
        <v>592</v>
      </c>
    </row>
    <row r="593" spans="1:2" x14ac:dyDescent="0.2">
      <c r="A593" s="27" t="e">
        <f>#REF!&amp;"_"&amp;#REF!</f>
        <v>#REF!</v>
      </c>
      <c r="B593">
        <f>ROW()</f>
        <v>593</v>
      </c>
    </row>
    <row r="594" spans="1:2" x14ac:dyDescent="0.2">
      <c r="A594" s="27" t="e">
        <f>#REF!&amp;"_"&amp;#REF!</f>
        <v>#REF!</v>
      </c>
      <c r="B594">
        <f>ROW()</f>
        <v>594</v>
      </c>
    </row>
    <row r="595" spans="1:2" x14ac:dyDescent="0.2">
      <c r="A595" s="27" t="e">
        <f>#REF!&amp;"_"&amp;#REF!</f>
        <v>#REF!</v>
      </c>
      <c r="B595">
        <f>ROW()</f>
        <v>595</v>
      </c>
    </row>
    <row r="596" spans="1:2" x14ac:dyDescent="0.2">
      <c r="A596" s="27" t="e">
        <f>#REF!&amp;"_"&amp;#REF!</f>
        <v>#REF!</v>
      </c>
      <c r="B596">
        <f>ROW()</f>
        <v>596</v>
      </c>
    </row>
    <row r="597" spans="1:2" x14ac:dyDescent="0.2">
      <c r="A597" s="27" t="e">
        <f>#REF!&amp;"_"&amp;#REF!</f>
        <v>#REF!</v>
      </c>
      <c r="B597">
        <f>ROW()</f>
        <v>597</v>
      </c>
    </row>
    <row r="598" spans="1:2" x14ac:dyDescent="0.2">
      <c r="A598" s="27" t="e">
        <f>#REF!&amp;"_"&amp;#REF!</f>
        <v>#REF!</v>
      </c>
      <c r="B598">
        <f>ROW()</f>
        <v>598</v>
      </c>
    </row>
    <row r="599" spans="1:2" x14ac:dyDescent="0.2">
      <c r="A599" s="27" t="e">
        <f>#REF!&amp;"_"&amp;#REF!</f>
        <v>#REF!</v>
      </c>
      <c r="B599">
        <f>ROW()</f>
        <v>599</v>
      </c>
    </row>
    <row r="600" spans="1:2" x14ac:dyDescent="0.2">
      <c r="A600" s="27" t="e">
        <f>#REF!&amp;"_"&amp;#REF!</f>
        <v>#REF!</v>
      </c>
      <c r="B600">
        <f>ROW()</f>
        <v>600</v>
      </c>
    </row>
    <row r="601" spans="1:2" x14ac:dyDescent="0.2">
      <c r="A601" s="27" t="e">
        <f>#REF!&amp;"_"&amp;#REF!</f>
        <v>#REF!</v>
      </c>
      <c r="B601">
        <f>ROW()</f>
        <v>601</v>
      </c>
    </row>
    <row r="602" spans="1:2" x14ac:dyDescent="0.2">
      <c r="A602" s="27" t="e">
        <f>#REF!&amp;"_"&amp;#REF!</f>
        <v>#REF!</v>
      </c>
      <c r="B602">
        <f>ROW()</f>
        <v>602</v>
      </c>
    </row>
    <row r="603" spans="1:2" x14ac:dyDescent="0.2">
      <c r="A603" s="27" t="e">
        <f>#REF!&amp;"_"&amp;#REF!</f>
        <v>#REF!</v>
      </c>
      <c r="B603">
        <f>ROW()</f>
        <v>603</v>
      </c>
    </row>
    <row r="604" spans="1:2" x14ac:dyDescent="0.2">
      <c r="A604" s="27" t="e">
        <f>#REF!&amp;"_"&amp;#REF!</f>
        <v>#REF!</v>
      </c>
      <c r="B604">
        <f>ROW()</f>
        <v>604</v>
      </c>
    </row>
    <row r="605" spans="1:2" x14ac:dyDescent="0.2">
      <c r="A605" s="27" t="e">
        <f>#REF!&amp;"_"&amp;#REF!</f>
        <v>#REF!</v>
      </c>
      <c r="B605">
        <f>ROW()</f>
        <v>605</v>
      </c>
    </row>
    <row r="606" spans="1:2" x14ac:dyDescent="0.2">
      <c r="A606" s="27" t="e">
        <f>#REF!&amp;"_"&amp;#REF!</f>
        <v>#REF!</v>
      </c>
      <c r="B606">
        <f>ROW()</f>
        <v>606</v>
      </c>
    </row>
    <row r="607" spans="1:2" x14ac:dyDescent="0.2">
      <c r="A607" s="27" t="e">
        <f>#REF!&amp;"_"&amp;#REF!</f>
        <v>#REF!</v>
      </c>
      <c r="B607">
        <f>ROW()</f>
        <v>607</v>
      </c>
    </row>
    <row r="608" spans="1:2" x14ac:dyDescent="0.2">
      <c r="A608" s="27" t="e">
        <f>#REF!&amp;"_"&amp;#REF!</f>
        <v>#REF!</v>
      </c>
      <c r="B608">
        <f>ROW()</f>
        <v>608</v>
      </c>
    </row>
    <row r="609" spans="1:2" x14ac:dyDescent="0.2">
      <c r="A609" s="27" t="e">
        <f>#REF!&amp;"_"&amp;#REF!</f>
        <v>#REF!</v>
      </c>
      <c r="B609">
        <f>ROW()</f>
        <v>609</v>
      </c>
    </row>
    <row r="610" spans="1:2" x14ac:dyDescent="0.2">
      <c r="A610" s="27" t="e">
        <f>#REF!&amp;"_"&amp;#REF!</f>
        <v>#REF!</v>
      </c>
      <c r="B610">
        <f>ROW()</f>
        <v>610</v>
      </c>
    </row>
    <row r="611" spans="1:2" x14ac:dyDescent="0.2">
      <c r="A611" s="27" t="e">
        <f>#REF!&amp;"_"&amp;#REF!</f>
        <v>#REF!</v>
      </c>
      <c r="B611">
        <f>ROW()</f>
        <v>611</v>
      </c>
    </row>
    <row r="612" spans="1:2" x14ac:dyDescent="0.2">
      <c r="A612" s="27" t="e">
        <f>#REF!&amp;"_"&amp;#REF!</f>
        <v>#REF!</v>
      </c>
      <c r="B612">
        <f>ROW()</f>
        <v>612</v>
      </c>
    </row>
    <row r="613" spans="1:2" x14ac:dyDescent="0.2">
      <c r="A613" s="27" t="e">
        <f>#REF!&amp;"_"&amp;#REF!</f>
        <v>#REF!</v>
      </c>
      <c r="B613">
        <f>ROW()</f>
        <v>613</v>
      </c>
    </row>
    <row r="614" spans="1:2" x14ac:dyDescent="0.2">
      <c r="A614" s="27" t="e">
        <f>#REF!&amp;"_"&amp;#REF!</f>
        <v>#REF!</v>
      </c>
      <c r="B614">
        <f>ROW()</f>
        <v>614</v>
      </c>
    </row>
    <row r="615" spans="1:2" x14ac:dyDescent="0.2">
      <c r="A615" s="27" t="e">
        <f>#REF!&amp;"_"&amp;#REF!</f>
        <v>#REF!</v>
      </c>
      <c r="B615">
        <f>ROW()</f>
        <v>615</v>
      </c>
    </row>
    <row r="616" spans="1:2" x14ac:dyDescent="0.2">
      <c r="A616" s="27" t="e">
        <f>#REF!&amp;"_"&amp;#REF!</f>
        <v>#REF!</v>
      </c>
      <c r="B616">
        <f>ROW()</f>
        <v>616</v>
      </c>
    </row>
    <row r="617" spans="1:2" x14ac:dyDescent="0.2">
      <c r="A617" s="27" t="e">
        <f>#REF!&amp;"_"&amp;#REF!</f>
        <v>#REF!</v>
      </c>
      <c r="B617">
        <f>ROW()</f>
        <v>617</v>
      </c>
    </row>
    <row r="618" spans="1:2" x14ac:dyDescent="0.2">
      <c r="A618" s="27" t="e">
        <f>#REF!&amp;"_"&amp;#REF!</f>
        <v>#REF!</v>
      </c>
      <c r="B618">
        <f>ROW()</f>
        <v>618</v>
      </c>
    </row>
    <row r="619" spans="1:2" x14ac:dyDescent="0.2">
      <c r="A619" s="27" t="e">
        <f>#REF!&amp;"_"&amp;#REF!</f>
        <v>#REF!</v>
      </c>
      <c r="B619">
        <f>ROW()</f>
        <v>619</v>
      </c>
    </row>
    <row r="620" spans="1:2" x14ac:dyDescent="0.2">
      <c r="A620" s="27" t="e">
        <f>#REF!&amp;"_"&amp;#REF!</f>
        <v>#REF!</v>
      </c>
      <c r="B620">
        <f>ROW()</f>
        <v>620</v>
      </c>
    </row>
    <row r="621" spans="1:2" x14ac:dyDescent="0.2">
      <c r="A621" s="27" t="e">
        <f>#REF!&amp;"_"&amp;#REF!</f>
        <v>#REF!</v>
      </c>
      <c r="B621">
        <f>ROW()</f>
        <v>621</v>
      </c>
    </row>
    <row r="622" spans="1:2" x14ac:dyDescent="0.2">
      <c r="A622" s="27" t="e">
        <f>#REF!&amp;"_"&amp;#REF!</f>
        <v>#REF!</v>
      </c>
      <c r="B622">
        <f>ROW()</f>
        <v>622</v>
      </c>
    </row>
    <row r="623" spans="1:2" x14ac:dyDescent="0.2">
      <c r="A623" s="27" t="e">
        <f>#REF!&amp;"_"&amp;#REF!</f>
        <v>#REF!</v>
      </c>
      <c r="B623">
        <f>ROW()</f>
        <v>623</v>
      </c>
    </row>
    <row r="624" spans="1:2" x14ac:dyDescent="0.2">
      <c r="A624" s="27" t="e">
        <f>#REF!&amp;"_"&amp;#REF!</f>
        <v>#REF!</v>
      </c>
      <c r="B624">
        <f>ROW()</f>
        <v>624</v>
      </c>
    </row>
    <row r="625" spans="1:2" x14ac:dyDescent="0.2">
      <c r="A625" s="27" t="e">
        <f>#REF!&amp;"_"&amp;#REF!</f>
        <v>#REF!</v>
      </c>
      <c r="B625">
        <f>ROW()</f>
        <v>625</v>
      </c>
    </row>
    <row r="626" spans="1:2" x14ac:dyDescent="0.2">
      <c r="A626" s="27" t="e">
        <f>#REF!&amp;"_"&amp;#REF!</f>
        <v>#REF!</v>
      </c>
      <c r="B626">
        <f>ROW()</f>
        <v>626</v>
      </c>
    </row>
    <row r="627" spans="1:2" x14ac:dyDescent="0.2">
      <c r="A627" s="27" t="e">
        <f>#REF!&amp;"_"&amp;#REF!</f>
        <v>#REF!</v>
      </c>
      <c r="B627">
        <f>ROW()</f>
        <v>627</v>
      </c>
    </row>
    <row r="628" spans="1:2" x14ac:dyDescent="0.2">
      <c r="A628" s="27" t="e">
        <f>#REF!&amp;"_"&amp;#REF!</f>
        <v>#REF!</v>
      </c>
      <c r="B628">
        <f>ROW()</f>
        <v>628</v>
      </c>
    </row>
    <row r="629" spans="1:2" x14ac:dyDescent="0.2">
      <c r="A629" s="27" t="e">
        <f>#REF!&amp;"_"&amp;#REF!</f>
        <v>#REF!</v>
      </c>
      <c r="B629">
        <f>ROW()</f>
        <v>629</v>
      </c>
    </row>
    <row r="630" spans="1:2" x14ac:dyDescent="0.2">
      <c r="A630" s="27" t="e">
        <f>#REF!&amp;"_"&amp;#REF!</f>
        <v>#REF!</v>
      </c>
      <c r="B630">
        <f>ROW()</f>
        <v>630</v>
      </c>
    </row>
    <row r="631" spans="1:2" x14ac:dyDescent="0.2">
      <c r="A631" s="27" t="e">
        <f>#REF!&amp;"_"&amp;#REF!</f>
        <v>#REF!</v>
      </c>
      <c r="B631">
        <f>ROW()</f>
        <v>631</v>
      </c>
    </row>
    <row r="632" spans="1:2" x14ac:dyDescent="0.2">
      <c r="A632" s="27" t="e">
        <f>#REF!&amp;"_"&amp;#REF!</f>
        <v>#REF!</v>
      </c>
      <c r="B632">
        <f>ROW()</f>
        <v>632</v>
      </c>
    </row>
    <row r="633" spans="1:2" x14ac:dyDescent="0.2">
      <c r="A633" s="27" t="e">
        <f>#REF!&amp;"_"&amp;#REF!</f>
        <v>#REF!</v>
      </c>
      <c r="B633">
        <f>ROW()</f>
        <v>633</v>
      </c>
    </row>
    <row r="634" spans="1:2" x14ac:dyDescent="0.2">
      <c r="A634" s="27" t="e">
        <f>#REF!&amp;"_"&amp;#REF!</f>
        <v>#REF!</v>
      </c>
      <c r="B634">
        <f>ROW()</f>
        <v>634</v>
      </c>
    </row>
    <row r="635" spans="1:2" x14ac:dyDescent="0.2">
      <c r="A635" s="27" t="e">
        <f>#REF!&amp;"_"&amp;#REF!</f>
        <v>#REF!</v>
      </c>
      <c r="B635">
        <f>ROW()</f>
        <v>635</v>
      </c>
    </row>
    <row r="636" spans="1:2" x14ac:dyDescent="0.2">
      <c r="A636" s="27" t="e">
        <f>#REF!&amp;"_"&amp;#REF!</f>
        <v>#REF!</v>
      </c>
      <c r="B636">
        <f>ROW()</f>
        <v>636</v>
      </c>
    </row>
    <row r="637" spans="1:2" x14ac:dyDescent="0.2">
      <c r="A637" s="27" t="e">
        <f>#REF!&amp;"_"&amp;#REF!</f>
        <v>#REF!</v>
      </c>
      <c r="B637">
        <f>ROW()</f>
        <v>637</v>
      </c>
    </row>
    <row r="638" spans="1:2" x14ac:dyDescent="0.2">
      <c r="A638" s="27" t="e">
        <f>#REF!&amp;"_"&amp;#REF!</f>
        <v>#REF!</v>
      </c>
      <c r="B638">
        <f>ROW()</f>
        <v>638</v>
      </c>
    </row>
    <row r="639" spans="1:2" x14ac:dyDescent="0.2">
      <c r="A639" s="27" t="e">
        <f>#REF!&amp;"_"&amp;#REF!</f>
        <v>#REF!</v>
      </c>
      <c r="B639">
        <f>ROW()</f>
        <v>639</v>
      </c>
    </row>
    <row r="640" spans="1:2" x14ac:dyDescent="0.2">
      <c r="A640" s="27" t="e">
        <f>#REF!&amp;"_"&amp;#REF!</f>
        <v>#REF!</v>
      </c>
      <c r="B640">
        <f>ROW()</f>
        <v>640</v>
      </c>
    </row>
    <row r="641" spans="1:2" x14ac:dyDescent="0.2">
      <c r="A641" s="27" t="e">
        <f>#REF!&amp;"_"&amp;#REF!</f>
        <v>#REF!</v>
      </c>
      <c r="B641">
        <f>ROW()</f>
        <v>641</v>
      </c>
    </row>
    <row r="642" spans="1:2" x14ac:dyDescent="0.2">
      <c r="A642" s="27" t="e">
        <f>#REF!&amp;"_"&amp;#REF!</f>
        <v>#REF!</v>
      </c>
      <c r="B642">
        <f>ROW()</f>
        <v>642</v>
      </c>
    </row>
    <row r="643" spans="1:2" x14ac:dyDescent="0.2">
      <c r="A643" s="27" t="e">
        <f>#REF!&amp;"_"&amp;#REF!</f>
        <v>#REF!</v>
      </c>
      <c r="B643">
        <f>ROW()</f>
        <v>643</v>
      </c>
    </row>
    <row r="644" spans="1:2" x14ac:dyDescent="0.2">
      <c r="A644" s="27" t="e">
        <f>#REF!&amp;"_"&amp;#REF!</f>
        <v>#REF!</v>
      </c>
      <c r="B644">
        <f>ROW()</f>
        <v>644</v>
      </c>
    </row>
    <row r="645" spans="1:2" x14ac:dyDescent="0.2">
      <c r="A645" s="27" t="e">
        <f>#REF!&amp;"_"&amp;#REF!</f>
        <v>#REF!</v>
      </c>
      <c r="B645">
        <f>ROW()</f>
        <v>645</v>
      </c>
    </row>
    <row r="646" spans="1:2" x14ac:dyDescent="0.2">
      <c r="A646" s="27" t="e">
        <f>#REF!&amp;"_"&amp;#REF!</f>
        <v>#REF!</v>
      </c>
      <c r="B646">
        <f>ROW()</f>
        <v>646</v>
      </c>
    </row>
    <row r="647" spans="1:2" x14ac:dyDescent="0.2">
      <c r="A647" s="27" t="e">
        <f>#REF!&amp;"_"&amp;#REF!</f>
        <v>#REF!</v>
      </c>
      <c r="B647">
        <f>ROW()</f>
        <v>647</v>
      </c>
    </row>
    <row r="648" spans="1:2" x14ac:dyDescent="0.2">
      <c r="A648" s="27" t="e">
        <f>#REF!&amp;"_"&amp;#REF!</f>
        <v>#REF!</v>
      </c>
      <c r="B648">
        <f>ROW()</f>
        <v>648</v>
      </c>
    </row>
    <row r="649" spans="1:2" x14ac:dyDescent="0.2">
      <c r="A649" s="27" t="e">
        <f>#REF!&amp;"_"&amp;#REF!</f>
        <v>#REF!</v>
      </c>
      <c r="B649">
        <f>ROW()</f>
        <v>649</v>
      </c>
    </row>
    <row r="650" spans="1:2" x14ac:dyDescent="0.2">
      <c r="A650" s="27" t="e">
        <f>#REF!&amp;"_"&amp;#REF!</f>
        <v>#REF!</v>
      </c>
      <c r="B650">
        <f>ROW()</f>
        <v>650</v>
      </c>
    </row>
    <row r="651" spans="1:2" x14ac:dyDescent="0.2">
      <c r="A651" s="27" t="e">
        <f>#REF!&amp;"_"&amp;#REF!</f>
        <v>#REF!</v>
      </c>
      <c r="B651">
        <f>ROW()</f>
        <v>651</v>
      </c>
    </row>
    <row r="652" spans="1:2" x14ac:dyDescent="0.2">
      <c r="A652" s="27" t="e">
        <f>#REF!&amp;"_"&amp;#REF!</f>
        <v>#REF!</v>
      </c>
      <c r="B652">
        <f>ROW()</f>
        <v>652</v>
      </c>
    </row>
    <row r="653" spans="1:2" x14ac:dyDescent="0.2">
      <c r="A653" s="27" t="e">
        <f>#REF!&amp;"_"&amp;#REF!</f>
        <v>#REF!</v>
      </c>
      <c r="B653">
        <f>ROW()</f>
        <v>653</v>
      </c>
    </row>
    <row r="654" spans="1:2" x14ac:dyDescent="0.2">
      <c r="A654" s="27" t="e">
        <f>#REF!&amp;"_"&amp;#REF!</f>
        <v>#REF!</v>
      </c>
      <c r="B654">
        <f>ROW()</f>
        <v>654</v>
      </c>
    </row>
    <row r="655" spans="1:2" x14ac:dyDescent="0.2">
      <c r="A655" s="27" t="e">
        <f>#REF!&amp;"_"&amp;#REF!</f>
        <v>#REF!</v>
      </c>
      <c r="B655">
        <f>ROW()</f>
        <v>655</v>
      </c>
    </row>
    <row r="656" spans="1:2" x14ac:dyDescent="0.2">
      <c r="A656" s="27" t="e">
        <f>#REF!&amp;"_"&amp;#REF!</f>
        <v>#REF!</v>
      </c>
      <c r="B656">
        <f>ROW()</f>
        <v>656</v>
      </c>
    </row>
    <row r="657" spans="1:2" x14ac:dyDescent="0.2">
      <c r="A657" s="27" t="e">
        <f>#REF!&amp;"_"&amp;#REF!</f>
        <v>#REF!</v>
      </c>
      <c r="B657">
        <f>ROW()</f>
        <v>657</v>
      </c>
    </row>
    <row r="658" spans="1:2" x14ac:dyDescent="0.2">
      <c r="A658" s="27" t="e">
        <f>#REF!&amp;"_"&amp;#REF!</f>
        <v>#REF!</v>
      </c>
      <c r="B658">
        <f>ROW()</f>
        <v>658</v>
      </c>
    </row>
    <row r="659" spans="1:2" x14ac:dyDescent="0.2">
      <c r="A659" s="27" t="e">
        <f>#REF!&amp;"_"&amp;#REF!</f>
        <v>#REF!</v>
      </c>
      <c r="B659">
        <f>ROW()</f>
        <v>659</v>
      </c>
    </row>
    <row r="660" spans="1:2" x14ac:dyDescent="0.2">
      <c r="A660" s="27" t="e">
        <f>#REF!&amp;"_"&amp;#REF!</f>
        <v>#REF!</v>
      </c>
      <c r="B660">
        <f>ROW()</f>
        <v>660</v>
      </c>
    </row>
    <row r="661" spans="1:2" x14ac:dyDescent="0.2">
      <c r="A661" s="27" t="e">
        <f>#REF!&amp;"_"&amp;#REF!</f>
        <v>#REF!</v>
      </c>
      <c r="B661">
        <f>ROW()</f>
        <v>661</v>
      </c>
    </row>
    <row r="662" spans="1:2" x14ac:dyDescent="0.2">
      <c r="A662" s="27" t="e">
        <f>#REF!&amp;"_"&amp;#REF!</f>
        <v>#REF!</v>
      </c>
      <c r="B662">
        <f>ROW()</f>
        <v>662</v>
      </c>
    </row>
    <row r="663" spans="1:2" x14ac:dyDescent="0.2">
      <c r="A663" s="27" t="e">
        <f>#REF!&amp;"_"&amp;#REF!</f>
        <v>#REF!</v>
      </c>
      <c r="B663">
        <f>ROW()</f>
        <v>663</v>
      </c>
    </row>
    <row r="664" spans="1:2" x14ac:dyDescent="0.2">
      <c r="A664" s="27" t="e">
        <f>#REF!&amp;"_"&amp;#REF!</f>
        <v>#REF!</v>
      </c>
      <c r="B664">
        <f>ROW()</f>
        <v>664</v>
      </c>
    </row>
    <row r="665" spans="1:2" x14ac:dyDescent="0.2">
      <c r="A665" s="27" t="e">
        <f>#REF!&amp;"_"&amp;#REF!</f>
        <v>#REF!</v>
      </c>
      <c r="B665">
        <f>ROW()</f>
        <v>665</v>
      </c>
    </row>
    <row r="666" spans="1:2" x14ac:dyDescent="0.2">
      <c r="A666" s="27" t="e">
        <f>#REF!&amp;"_"&amp;#REF!</f>
        <v>#REF!</v>
      </c>
      <c r="B666">
        <f>ROW()</f>
        <v>666</v>
      </c>
    </row>
    <row r="667" spans="1:2" x14ac:dyDescent="0.2">
      <c r="A667" s="27" t="e">
        <f>#REF!&amp;"_"&amp;#REF!</f>
        <v>#REF!</v>
      </c>
      <c r="B667">
        <f>ROW()</f>
        <v>667</v>
      </c>
    </row>
    <row r="668" spans="1:2" x14ac:dyDescent="0.2">
      <c r="A668" s="27" t="e">
        <f>#REF!&amp;"_"&amp;#REF!</f>
        <v>#REF!</v>
      </c>
      <c r="B668">
        <f>ROW()</f>
        <v>668</v>
      </c>
    </row>
    <row r="669" spans="1:2" x14ac:dyDescent="0.2">
      <c r="A669" s="27" t="e">
        <f>#REF!&amp;"_"&amp;#REF!</f>
        <v>#REF!</v>
      </c>
      <c r="B669">
        <f>ROW()</f>
        <v>669</v>
      </c>
    </row>
    <row r="670" spans="1:2" x14ac:dyDescent="0.2">
      <c r="A670" s="27" t="e">
        <f>#REF!&amp;"_"&amp;#REF!</f>
        <v>#REF!</v>
      </c>
      <c r="B670">
        <f>ROW()</f>
        <v>670</v>
      </c>
    </row>
    <row r="671" spans="1:2" x14ac:dyDescent="0.2">
      <c r="A671" s="27" t="e">
        <f>#REF!&amp;"_"&amp;#REF!</f>
        <v>#REF!</v>
      </c>
      <c r="B671">
        <f>ROW()</f>
        <v>671</v>
      </c>
    </row>
    <row r="672" spans="1:2" x14ac:dyDescent="0.2">
      <c r="A672" s="27" t="e">
        <f>#REF!&amp;"_"&amp;#REF!</f>
        <v>#REF!</v>
      </c>
      <c r="B672">
        <f>ROW()</f>
        <v>672</v>
      </c>
    </row>
    <row r="673" spans="1:2" x14ac:dyDescent="0.2">
      <c r="A673" s="27" t="e">
        <f>#REF!&amp;"_"&amp;#REF!</f>
        <v>#REF!</v>
      </c>
      <c r="B673">
        <f>ROW()</f>
        <v>673</v>
      </c>
    </row>
    <row r="674" spans="1:2" x14ac:dyDescent="0.2">
      <c r="A674" s="27" t="e">
        <f>#REF!&amp;"_"&amp;#REF!</f>
        <v>#REF!</v>
      </c>
      <c r="B674">
        <f>ROW()</f>
        <v>674</v>
      </c>
    </row>
    <row r="675" spans="1:2" x14ac:dyDescent="0.2">
      <c r="A675" s="27" t="e">
        <f>#REF!&amp;"_"&amp;#REF!</f>
        <v>#REF!</v>
      </c>
      <c r="B675">
        <f>ROW()</f>
        <v>675</v>
      </c>
    </row>
    <row r="676" spans="1:2" x14ac:dyDescent="0.2">
      <c r="A676" s="27" t="e">
        <f>#REF!&amp;"_"&amp;#REF!</f>
        <v>#REF!</v>
      </c>
      <c r="B676">
        <f>ROW()</f>
        <v>676</v>
      </c>
    </row>
    <row r="677" spans="1:2" x14ac:dyDescent="0.2">
      <c r="A677" s="27" t="e">
        <f>#REF!&amp;"_"&amp;#REF!</f>
        <v>#REF!</v>
      </c>
      <c r="B677">
        <f>ROW()</f>
        <v>677</v>
      </c>
    </row>
    <row r="678" spans="1:2" x14ac:dyDescent="0.2">
      <c r="A678" s="27" t="e">
        <f>#REF!&amp;"_"&amp;#REF!</f>
        <v>#REF!</v>
      </c>
      <c r="B678">
        <f>ROW()</f>
        <v>678</v>
      </c>
    </row>
    <row r="679" spans="1:2" x14ac:dyDescent="0.2">
      <c r="A679" s="27" t="e">
        <f>#REF!&amp;"_"&amp;#REF!</f>
        <v>#REF!</v>
      </c>
      <c r="B679">
        <f>ROW()</f>
        <v>679</v>
      </c>
    </row>
    <row r="680" spans="1:2" x14ac:dyDescent="0.2">
      <c r="A680" s="27" t="e">
        <f>#REF!&amp;"_"&amp;#REF!</f>
        <v>#REF!</v>
      </c>
      <c r="B680">
        <f>ROW()</f>
        <v>680</v>
      </c>
    </row>
    <row r="681" spans="1:2" x14ac:dyDescent="0.2">
      <c r="A681" s="27" t="e">
        <f>#REF!&amp;"_"&amp;#REF!</f>
        <v>#REF!</v>
      </c>
      <c r="B681">
        <f>ROW()</f>
        <v>681</v>
      </c>
    </row>
    <row r="682" spans="1:2" x14ac:dyDescent="0.2">
      <c r="A682" s="27" t="e">
        <f>#REF!&amp;"_"&amp;#REF!</f>
        <v>#REF!</v>
      </c>
      <c r="B682">
        <f>ROW()</f>
        <v>682</v>
      </c>
    </row>
    <row r="683" spans="1:2" x14ac:dyDescent="0.2">
      <c r="A683" s="27" t="e">
        <f>#REF!&amp;"_"&amp;#REF!</f>
        <v>#REF!</v>
      </c>
      <c r="B683">
        <f>ROW()</f>
        <v>683</v>
      </c>
    </row>
    <row r="684" spans="1:2" x14ac:dyDescent="0.2">
      <c r="A684" s="27" t="e">
        <f>#REF!&amp;"_"&amp;#REF!</f>
        <v>#REF!</v>
      </c>
      <c r="B684">
        <f>ROW()</f>
        <v>684</v>
      </c>
    </row>
    <row r="685" spans="1:2" x14ac:dyDescent="0.2">
      <c r="A685" s="27" t="e">
        <f>#REF!&amp;"_"&amp;#REF!</f>
        <v>#REF!</v>
      </c>
      <c r="B685">
        <f>ROW()</f>
        <v>685</v>
      </c>
    </row>
    <row r="686" spans="1:2" x14ac:dyDescent="0.2">
      <c r="A686" s="27" t="e">
        <f>#REF!&amp;"_"&amp;#REF!</f>
        <v>#REF!</v>
      </c>
      <c r="B686">
        <f>ROW()</f>
        <v>686</v>
      </c>
    </row>
    <row r="687" spans="1:2" x14ac:dyDescent="0.2">
      <c r="A687" s="27" t="e">
        <f>#REF!&amp;"_"&amp;#REF!</f>
        <v>#REF!</v>
      </c>
      <c r="B687">
        <f>ROW()</f>
        <v>687</v>
      </c>
    </row>
    <row r="688" spans="1:2" x14ac:dyDescent="0.2">
      <c r="A688" s="27" t="e">
        <f>#REF!&amp;"_"&amp;#REF!</f>
        <v>#REF!</v>
      </c>
      <c r="B688">
        <f>ROW()</f>
        <v>688</v>
      </c>
    </row>
    <row r="689" spans="1:2" x14ac:dyDescent="0.2">
      <c r="A689" s="27" t="e">
        <f>#REF!&amp;"_"&amp;#REF!</f>
        <v>#REF!</v>
      </c>
      <c r="B689">
        <f>ROW()</f>
        <v>689</v>
      </c>
    </row>
    <row r="690" spans="1:2" x14ac:dyDescent="0.2">
      <c r="A690" s="27" t="e">
        <f>#REF!&amp;"_"&amp;#REF!</f>
        <v>#REF!</v>
      </c>
      <c r="B690">
        <f>ROW()</f>
        <v>690</v>
      </c>
    </row>
    <row r="691" spans="1:2" x14ac:dyDescent="0.2">
      <c r="A691" s="27" t="e">
        <f>#REF!&amp;"_"&amp;#REF!</f>
        <v>#REF!</v>
      </c>
      <c r="B691">
        <f>ROW()</f>
        <v>691</v>
      </c>
    </row>
    <row r="692" spans="1:2" x14ac:dyDescent="0.2">
      <c r="A692" s="27" t="e">
        <f>#REF!&amp;"_"&amp;#REF!</f>
        <v>#REF!</v>
      </c>
      <c r="B692">
        <f>ROW()</f>
        <v>692</v>
      </c>
    </row>
    <row r="693" spans="1:2" x14ac:dyDescent="0.2">
      <c r="A693" s="27" t="e">
        <f>#REF!&amp;"_"&amp;#REF!</f>
        <v>#REF!</v>
      </c>
      <c r="B693">
        <f>ROW()</f>
        <v>693</v>
      </c>
    </row>
    <row r="694" spans="1:2" x14ac:dyDescent="0.2">
      <c r="A694" s="27" t="e">
        <f>#REF!&amp;"_"&amp;#REF!</f>
        <v>#REF!</v>
      </c>
      <c r="B694">
        <f>ROW()</f>
        <v>694</v>
      </c>
    </row>
    <row r="695" spans="1:2" x14ac:dyDescent="0.2">
      <c r="A695" s="27" t="e">
        <f>#REF!&amp;"_"&amp;#REF!</f>
        <v>#REF!</v>
      </c>
      <c r="B695">
        <f>ROW()</f>
        <v>695</v>
      </c>
    </row>
    <row r="696" spans="1:2" x14ac:dyDescent="0.2">
      <c r="A696" s="27" t="e">
        <f>#REF!&amp;"_"&amp;#REF!</f>
        <v>#REF!</v>
      </c>
      <c r="B696">
        <f>ROW()</f>
        <v>696</v>
      </c>
    </row>
    <row r="697" spans="1:2" x14ac:dyDescent="0.2">
      <c r="A697" s="27" t="e">
        <f>#REF!&amp;"_"&amp;#REF!</f>
        <v>#REF!</v>
      </c>
      <c r="B697">
        <f>ROW()</f>
        <v>697</v>
      </c>
    </row>
    <row r="698" spans="1:2" x14ac:dyDescent="0.2">
      <c r="A698" s="27" t="e">
        <f>#REF!&amp;"_"&amp;#REF!</f>
        <v>#REF!</v>
      </c>
      <c r="B698">
        <f>ROW()</f>
        <v>698</v>
      </c>
    </row>
    <row r="699" spans="1:2" x14ac:dyDescent="0.2">
      <c r="A699" s="27" t="e">
        <f>#REF!&amp;"_"&amp;#REF!</f>
        <v>#REF!</v>
      </c>
      <c r="B699">
        <f>ROW()</f>
        <v>699</v>
      </c>
    </row>
    <row r="700" spans="1:2" x14ac:dyDescent="0.2">
      <c r="A700" s="27" t="e">
        <f>#REF!&amp;"_"&amp;#REF!</f>
        <v>#REF!</v>
      </c>
      <c r="B700">
        <f>ROW()</f>
        <v>700</v>
      </c>
    </row>
    <row r="701" spans="1:2" x14ac:dyDescent="0.2">
      <c r="A701" s="27" t="e">
        <f>#REF!&amp;"_"&amp;#REF!</f>
        <v>#REF!</v>
      </c>
      <c r="B701">
        <f>ROW()</f>
        <v>701</v>
      </c>
    </row>
    <row r="702" spans="1:2" x14ac:dyDescent="0.2">
      <c r="A702" s="27" t="e">
        <f>#REF!&amp;"_"&amp;#REF!</f>
        <v>#REF!</v>
      </c>
      <c r="B702">
        <f>ROW()</f>
        <v>702</v>
      </c>
    </row>
    <row r="703" spans="1:2" x14ac:dyDescent="0.2">
      <c r="A703" s="27" t="e">
        <f>#REF!&amp;"_"&amp;#REF!</f>
        <v>#REF!</v>
      </c>
      <c r="B703">
        <f>ROW()</f>
        <v>703</v>
      </c>
    </row>
    <row r="704" spans="1:2" x14ac:dyDescent="0.2">
      <c r="A704" s="27" t="e">
        <f>#REF!&amp;"_"&amp;#REF!</f>
        <v>#REF!</v>
      </c>
      <c r="B704">
        <f>ROW()</f>
        <v>704</v>
      </c>
    </row>
    <row r="705" spans="1:2" x14ac:dyDescent="0.2">
      <c r="A705" s="27" t="e">
        <f>#REF!&amp;"_"&amp;#REF!</f>
        <v>#REF!</v>
      </c>
      <c r="B705">
        <f>ROW()</f>
        <v>705</v>
      </c>
    </row>
    <row r="706" spans="1:2" x14ac:dyDescent="0.2">
      <c r="A706" s="27" t="e">
        <f>#REF!&amp;"_"&amp;#REF!</f>
        <v>#REF!</v>
      </c>
      <c r="B706">
        <f>ROW()</f>
        <v>706</v>
      </c>
    </row>
    <row r="707" spans="1:2" x14ac:dyDescent="0.2">
      <c r="A707" s="27" t="e">
        <f>#REF!&amp;"_"&amp;#REF!</f>
        <v>#REF!</v>
      </c>
      <c r="B707">
        <f>ROW()</f>
        <v>707</v>
      </c>
    </row>
    <row r="708" spans="1:2" x14ac:dyDescent="0.2">
      <c r="A708" s="27" t="e">
        <f>#REF!&amp;"_"&amp;#REF!</f>
        <v>#REF!</v>
      </c>
      <c r="B708">
        <f>ROW()</f>
        <v>708</v>
      </c>
    </row>
    <row r="709" spans="1:2" x14ac:dyDescent="0.2">
      <c r="A709" s="27" t="e">
        <f>#REF!&amp;"_"&amp;#REF!</f>
        <v>#REF!</v>
      </c>
      <c r="B709">
        <f>ROW()</f>
        <v>709</v>
      </c>
    </row>
    <row r="710" spans="1:2" x14ac:dyDescent="0.2">
      <c r="A710" s="27" t="e">
        <f>#REF!&amp;"_"&amp;#REF!</f>
        <v>#REF!</v>
      </c>
      <c r="B710">
        <f>ROW()</f>
        <v>710</v>
      </c>
    </row>
    <row r="711" spans="1:2" x14ac:dyDescent="0.2">
      <c r="A711" s="27" t="e">
        <f>#REF!&amp;"_"&amp;#REF!</f>
        <v>#REF!</v>
      </c>
      <c r="B711">
        <f>ROW()</f>
        <v>711</v>
      </c>
    </row>
    <row r="712" spans="1:2" x14ac:dyDescent="0.2">
      <c r="A712" s="27" t="e">
        <f>#REF!&amp;"_"&amp;#REF!</f>
        <v>#REF!</v>
      </c>
      <c r="B712">
        <f>ROW()</f>
        <v>712</v>
      </c>
    </row>
    <row r="713" spans="1:2" x14ac:dyDescent="0.2">
      <c r="A713" s="27" t="e">
        <f>#REF!&amp;"_"&amp;#REF!</f>
        <v>#REF!</v>
      </c>
      <c r="B713">
        <f>ROW()</f>
        <v>713</v>
      </c>
    </row>
    <row r="714" spans="1:2" x14ac:dyDescent="0.2">
      <c r="A714" s="27" t="e">
        <f>#REF!&amp;"_"&amp;#REF!</f>
        <v>#REF!</v>
      </c>
      <c r="B714">
        <f>ROW()</f>
        <v>714</v>
      </c>
    </row>
    <row r="715" spans="1:2" x14ac:dyDescent="0.2">
      <c r="A715" s="27" t="e">
        <f>#REF!&amp;"_"&amp;#REF!</f>
        <v>#REF!</v>
      </c>
      <c r="B715">
        <f>ROW()</f>
        <v>715</v>
      </c>
    </row>
    <row r="716" spans="1:2" x14ac:dyDescent="0.2">
      <c r="A716" s="27" t="e">
        <f>#REF!&amp;"_"&amp;#REF!</f>
        <v>#REF!</v>
      </c>
      <c r="B716">
        <f>ROW()</f>
        <v>716</v>
      </c>
    </row>
    <row r="717" spans="1:2" x14ac:dyDescent="0.2">
      <c r="A717" s="27" t="e">
        <f>#REF!&amp;"_"&amp;#REF!</f>
        <v>#REF!</v>
      </c>
      <c r="B717">
        <f>ROW()</f>
        <v>717</v>
      </c>
    </row>
    <row r="718" spans="1:2" x14ac:dyDescent="0.2">
      <c r="A718" s="27" t="e">
        <f>#REF!&amp;"_"&amp;#REF!</f>
        <v>#REF!</v>
      </c>
      <c r="B718">
        <f>ROW()</f>
        <v>718</v>
      </c>
    </row>
    <row r="719" spans="1:2" x14ac:dyDescent="0.2">
      <c r="A719" s="27" t="e">
        <f>#REF!&amp;"_"&amp;#REF!</f>
        <v>#REF!</v>
      </c>
      <c r="B719">
        <f>ROW()</f>
        <v>719</v>
      </c>
    </row>
    <row r="720" spans="1:2" x14ac:dyDescent="0.2">
      <c r="A720" s="27" t="e">
        <f>#REF!&amp;"_"&amp;#REF!</f>
        <v>#REF!</v>
      </c>
      <c r="B720">
        <f>ROW()</f>
        <v>720</v>
      </c>
    </row>
    <row r="721" spans="1:2" x14ac:dyDescent="0.2">
      <c r="A721" s="27" t="e">
        <f>#REF!&amp;"_"&amp;#REF!</f>
        <v>#REF!</v>
      </c>
      <c r="B721">
        <f>ROW()</f>
        <v>721</v>
      </c>
    </row>
    <row r="722" spans="1:2" x14ac:dyDescent="0.2">
      <c r="A722" s="27" t="e">
        <f>#REF!&amp;"_"&amp;#REF!</f>
        <v>#REF!</v>
      </c>
      <c r="B722">
        <f>ROW()</f>
        <v>722</v>
      </c>
    </row>
    <row r="723" spans="1:2" x14ac:dyDescent="0.2">
      <c r="A723" s="27" t="e">
        <f>#REF!&amp;"_"&amp;#REF!</f>
        <v>#REF!</v>
      </c>
      <c r="B723">
        <f>ROW()</f>
        <v>723</v>
      </c>
    </row>
    <row r="724" spans="1:2" x14ac:dyDescent="0.2">
      <c r="A724" s="27" t="e">
        <f>#REF!&amp;"_"&amp;#REF!</f>
        <v>#REF!</v>
      </c>
      <c r="B724">
        <f>ROW()</f>
        <v>724</v>
      </c>
    </row>
    <row r="725" spans="1:2" x14ac:dyDescent="0.2">
      <c r="A725" s="27" t="e">
        <f>#REF!&amp;"_"&amp;#REF!</f>
        <v>#REF!</v>
      </c>
      <c r="B725">
        <f>ROW()</f>
        <v>725</v>
      </c>
    </row>
    <row r="726" spans="1:2" x14ac:dyDescent="0.2">
      <c r="A726" s="27" t="e">
        <f>#REF!&amp;"_"&amp;#REF!</f>
        <v>#REF!</v>
      </c>
      <c r="B726">
        <f>ROW()</f>
        <v>726</v>
      </c>
    </row>
    <row r="727" spans="1:2" x14ac:dyDescent="0.2">
      <c r="A727" s="27" t="e">
        <f>#REF!&amp;"_"&amp;#REF!</f>
        <v>#REF!</v>
      </c>
      <c r="B727">
        <f>ROW()</f>
        <v>727</v>
      </c>
    </row>
    <row r="728" spans="1:2" x14ac:dyDescent="0.2">
      <c r="A728" s="27" t="e">
        <f>#REF!&amp;"_"&amp;#REF!</f>
        <v>#REF!</v>
      </c>
      <c r="B728">
        <f>ROW()</f>
        <v>728</v>
      </c>
    </row>
    <row r="729" spans="1:2" x14ac:dyDescent="0.2">
      <c r="A729" s="27" t="e">
        <f>#REF!&amp;"_"&amp;#REF!</f>
        <v>#REF!</v>
      </c>
      <c r="B729">
        <f>ROW()</f>
        <v>729</v>
      </c>
    </row>
    <row r="730" spans="1:2" x14ac:dyDescent="0.2">
      <c r="A730" s="27" t="e">
        <f>#REF!&amp;"_"&amp;#REF!</f>
        <v>#REF!</v>
      </c>
      <c r="B730">
        <f>ROW()</f>
        <v>730</v>
      </c>
    </row>
    <row r="731" spans="1:2" x14ac:dyDescent="0.2">
      <c r="A731" s="27" t="e">
        <f>#REF!&amp;"_"&amp;#REF!</f>
        <v>#REF!</v>
      </c>
      <c r="B731">
        <f>ROW()</f>
        <v>731</v>
      </c>
    </row>
    <row r="732" spans="1:2" x14ac:dyDescent="0.2">
      <c r="A732" s="27" t="e">
        <f>#REF!&amp;"_"&amp;#REF!</f>
        <v>#REF!</v>
      </c>
      <c r="B732">
        <f>ROW()</f>
        <v>732</v>
      </c>
    </row>
    <row r="733" spans="1:2" x14ac:dyDescent="0.2">
      <c r="A733" s="27" t="e">
        <f>#REF!&amp;"_"&amp;#REF!</f>
        <v>#REF!</v>
      </c>
      <c r="B733">
        <f>ROW()</f>
        <v>733</v>
      </c>
    </row>
    <row r="734" spans="1:2" x14ac:dyDescent="0.2">
      <c r="A734" s="27" t="e">
        <f>#REF!&amp;"_"&amp;#REF!</f>
        <v>#REF!</v>
      </c>
      <c r="B734">
        <f>ROW()</f>
        <v>734</v>
      </c>
    </row>
    <row r="735" spans="1:2" x14ac:dyDescent="0.2">
      <c r="A735" s="27" t="e">
        <f>#REF!&amp;"_"&amp;#REF!</f>
        <v>#REF!</v>
      </c>
      <c r="B735">
        <f>ROW()</f>
        <v>735</v>
      </c>
    </row>
    <row r="736" spans="1:2" x14ac:dyDescent="0.2">
      <c r="A736" s="27" t="e">
        <f>#REF!&amp;"_"&amp;#REF!</f>
        <v>#REF!</v>
      </c>
      <c r="B736">
        <f>ROW()</f>
        <v>736</v>
      </c>
    </row>
    <row r="737" spans="1:2" x14ac:dyDescent="0.2">
      <c r="A737" s="27" t="e">
        <f>#REF!&amp;"_"&amp;#REF!</f>
        <v>#REF!</v>
      </c>
      <c r="B737">
        <f>ROW()</f>
        <v>737</v>
      </c>
    </row>
    <row r="738" spans="1:2" x14ac:dyDescent="0.2">
      <c r="A738" s="27" t="e">
        <f>#REF!&amp;"_"&amp;#REF!</f>
        <v>#REF!</v>
      </c>
      <c r="B738">
        <f>ROW()</f>
        <v>738</v>
      </c>
    </row>
    <row r="739" spans="1:2" x14ac:dyDescent="0.2">
      <c r="A739" s="27" t="e">
        <f>#REF!&amp;"_"&amp;#REF!</f>
        <v>#REF!</v>
      </c>
      <c r="B739">
        <f>ROW()</f>
        <v>739</v>
      </c>
    </row>
    <row r="740" spans="1:2" x14ac:dyDescent="0.2">
      <c r="A740" s="27" t="e">
        <f>#REF!&amp;"_"&amp;#REF!</f>
        <v>#REF!</v>
      </c>
      <c r="B740">
        <f>ROW()</f>
        <v>740</v>
      </c>
    </row>
    <row r="741" spans="1:2" x14ac:dyDescent="0.2">
      <c r="A741" s="27" t="e">
        <f>#REF!&amp;"_"&amp;#REF!</f>
        <v>#REF!</v>
      </c>
      <c r="B741">
        <f>ROW()</f>
        <v>741</v>
      </c>
    </row>
    <row r="742" spans="1:2" x14ac:dyDescent="0.2">
      <c r="A742" s="27" t="e">
        <f>#REF!&amp;"_"&amp;#REF!</f>
        <v>#REF!</v>
      </c>
      <c r="B742">
        <f>ROW()</f>
        <v>742</v>
      </c>
    </row>
    <row r="743" spans="1:2" x14ac:dyDescent="0.2">
      <c r="A743" s="27" t="e">
        <f>#REF!&amp;"_"&amp;#REF!</f>
        <v>#REF!</v>
      </c>
      <c r="B743">
        <f>ROW()</f>
        <v>743</v>
      </c>
    </row>
    <row r="744" spans="1:2" x14ac:dyDescent="0.2">
      <c r="A744" s="27" t="e">
        <f>#REF!&amp;"_"&amp;#REF!</f>
        <v>#REF!</v>
      </c>
      <c r="B744">
        <f>ROW()</f>
        <v>744</v>
      </c>
    </row>
    <row r="745" spans="1:2" x14ac:dyDescent="0.2">
      <c r="A745" s="27" t="e">
        <f>#REF!&amp;"_"&amp;#REF!</f>
        <v>#REF!</v>
      </c>
      <c r="B745">
        <f>ROW()</f>
        <v>745</v>
      </c>
    </row>
    <row r="746" spans="1:2" x14ac:dyDescent="0.2">
      <c r="A746" s="27" t="e">
        <f>#REF!&amp;"_"&amp;#REF!</f>
        <v>#REF!</v>
      </c>
      <c r="B746">
        <f>ROW()</f>
        <v>746</v>
      </c>
    </row>
    <row r="747" spans="1:2" x14ac:dyDescent="0.2">
      <c r="A747" s="27" t="e">
        <f>#REF!&amp;"_"&amp;#REF!</f>
        <v>#REF!</v>
      </c>
      <c r="B747">
        <f>ROW()</f>
        <v>747</v>
      </c>
    </row>
    <row r="748" spans="1:2" x14ac:dyDescent="0.2">
      <c r="A748" s="27" t="e">
        <f>#REF!&amp;"_"&amp;#REF!</f>
        <v>#REF!</v>
      </c>
      <c r="B748">
        <f>ROW()</f>
        <v>748</v>
      </c>
    </row>
    <row r="749" spans="1:2" x14ac:dyDescent="0.2">
      <c r="A749" s="27" t="e">
        <f>#REF!&amp;"_"&amp;#REF!</f>
        <v>#REF!</v>
      </c>
      <c r="B749">
        <f>ROW()</f>
        <v>749</v>
      </c>
    </row>
    <row r="750" spans="1:2" x14ac:dyDescent="0.2">
      <c r="A750" s="27" t="e">
        <f>#REF!&amp;"_"&amp;#REF!</f>
        <v>#REF!</v>
      </c>
      <c r="B750">
        <f>ROW()</f>
        <v>750</v>
      </c>
    </row>
    <row r="751" spans="1:2" x14ac:dyDescent="0.2">
      <c r="A751" s="27" t="e">
        <f>#REF!&amp;"_"&amp;#REF!</f>
        <v>#REF!</v>
      </c>
      <c r="B751">
        <f>ROW()</f>
        <v>751</v>
      </c>
    </row>
    <row r="752" spans="1:2" x14ac:dyDescent="0.2">
      <c r="A752" s="27" t="e">
        <f>#REF!&amp;"_"&amp;#REF!</f>
        <v>#REF!</v>
      </c>
      <c r="B752">
        <f>ROW()</f>
        <v>752</v>
      </c>
    </row>
    <row r="753" spans="1:2" x14ac:dyDescent="0.2">
      <c r="A753" s="27" t="e">
        <f>#REF!&amp;"_"&amp;#REF!</f>
        <v>#REF!</v>
      </c>
      <c r="B753">
        <f>ROW()</f>
        <v>753</v>
      </c>
    </row>
    <row r="754" spans="1:2" x14ac:dyDescent="0.2">
      <c r="A754" s="27" t="e">
        <f>#REF!&amp;"_"&amp;#REF!</f>
        <v>#REF!</v>
      </c>
      <c r="B754">
        <f>ROW()</f>
        <v>754</v>
      </c>
    </row>
    <row r="755" spans="1:2" x14ac:dyDescent="0.2">
      <c r="A755" s="27" t="e">
        <f>#REF!&amp;"_"&amp;#REF!</f>
        <v>#REF!</v>
      </c>
      <c r="B755">
        <f>ROW()</f>
        <v>755</v>
      </c>
    </row>
    <row r="756" spans="1:2" x14ac:dyDescent="0.2">
      <c r="A756" s="27" t="e">
        <f>#REF!&amp;"_"&amp;#REF!</f>
        <v>#REF!</v>
      </c>
      <c r="B756">
        <f>ROW()</f>
        <v>756</v>
      </c>
    </row>
    <row r="757" spans="1:2" x14ac:dyDescent="0.2">
      <c r="A757" s="27" t="e">
        <f>#REF!&amp;"_"&amp;#REF!</f>
        <v>#REF!</v>
      </c>
      <c r="B757">
        <f>ROW()</f>
        <v>757</v>
      </c>
    </row>
    <row r="758" spans="1:2" x14ac:dyDescent="0.2">
      <c r="A758" s="27" t="e">
        <f>#REF!&amp;"_"&amp;#REF!</f>
        <v>#REF!</v>
      </c>
      <c r="B758">
        <f>ROW()</f>
        <v>758</v>
      </c>
    </row>
    <row r="759" spans="1:2" x14ac:dyDescent="0.2">
      <c r="A759" s="27" t="e">
        <f>#REF!&amp;"_"&amp;#REF!</f>
        <v>#REF!</v>
      </c>
      <c r="B759">
        <f>ROW()</f>
        <v>759</v>
      </c>
    </row>
    <row r="760" spans="1:2" x14ac:dyDescent="0.2">
      <c r="A760" s="27" t="e">
        <f>#REF!&amp;"_"&amp;#REF!</f>
        <v>#REF!</v>
      </c>
      <c r="B760">
        <f>ROW()</f>
        <v>760</v>
      </c>
    </row>
    <row r="761" spans="1:2" x14ac:dyDescent="0.2">
      <c r="A761" s="27" t="e">
        <f>#REF!&amp;"_"&amp;#REF!</f>
        <v>#REF!</v>
      </c>
      <c r="B761">
        <f>ROW()</f>
        <v>761</v>
      </c>
    </row>
    <row r="762" spans="1:2" x14ac:dyDescent="0.2">
      <c r="A762" s="27" t="e">
        <f>#REF!&amp;"_"&amp;#REF!</f>
        <v>#REF!</v>
      </c>
      <c r="B762">
        <f>ROW()</f>
        <v>762</v>
      </c>
    </row>
    <row r="763" spans="1:2" x14ac:dyDescent="0.2">
      <c r="A763" s="27" t="e">
        <f>#REF!&amp;"_"&amp;#REF!</f>
        <v>#REF!</v>
      </c>
      <c r="B763">
        <f>ROW()</f>
        <v>763</v>
      </c>
    </row>
    <row r="764" spans="1:2" x14ac:dyDescent="0.2">
      <c r="A764" s="27" t="e">
        <f>#REF!&amp;"_"&amp;#REF!</f>
        <v>#REF!</v>
      </c>
      <c r="B764">
        <f>ROW()</f>
        <v>764</v>
      </c>
    </row>
    <row r="765" spans="1:2" x14ac:dyDescent="0.2">
      <c r="A765" s="27" t="e">
        <f>#REF!&amp;"_"&amp;#REF!</f>
        <v>#REF!</v>
      </c>
      <c r="B765">
        <f>ROW()</f>
        <v>765</v>
      </c>
    </row>
    <row r="766" spans="1:2" x14ac:dyDescent="0.2">
      <c r="A766" s="27" t="e">
        <f>#REF!&amp;"_"&amp;#REF!</f>
        <v>#REF!</v>
      </c>
      <c r="B766">
        <f>ROW()</f>
        <v>766</v>
      </c>
    </row>
    <row r="767" spans="1:2" x14ac:dyDescent="0.2">
      <c r="A767" s="27" t="e">
        <f>#REF!&amp;"_"&amp;#REF!</f>
        <v>#REF!</v>
      </c>
      <c r="B767">
        <f>ROW()</f>
        <v>767</v>
      </c>
    </row>
    <row r="768" spans="1:2" x14ac:dyDescent="0.2">
      <c r="A768" s="27" t="e">
        <f>#REF!&amp;"_"&amp;#REF!</f>
        <v>#REF!</v>
      </c>
      <c r="B768">
        <f>ROW()</f>
        <v>768</v>
      </c>
    </row>
    <row r="769" spans="1:2" x14ac:dyDescent="0.2">
      <c r="A769" s="27" t="e">
        <f>#REF!&amp;"_"&amp;#REF!</f>
        <v>#REF!</v>
      </c>
      <c r="B769">
        <f>ROW()</f>
        <v>769</v>
      </c>
    </row>
    <row r="770" spans="1:2" x14ac:dyDescent="0.2">
      <c r="A770" s="27" t="e">
        <f>#REF!&amp;"_"&amp;#REF!</f>
        <v>#REF!</v>
      </c>
      <c r="B770">
        <f>ROW()</f>
        <v>770</v>
      </c>
    </row>
    <row r="771" spans="1:2" x14ac:dyDescent="0.2">
      <c r="A771" s="27" t="e">
        <f>#REF!&amp;"_"&amp;#REF!</f>
        <v>#REF!</v>
      </c>
      <c r="B771">
        <f>ROW()</f>
        <v>771</v>
      </c>
    </row>
    <row r="772" spans="1:2" x14ac:dyDescent="0.2">
      <c r="A772" s="27" t="e">
        <f>#REF!&amp;"_"&amp;#REF!</f>
        <v>#REF!</v>
      </c>
      <c r="B772">
        <f>ROW()</f>
        <v>772</v>
      </c>
    </row>
    <row r="773" spans="1:2" x14ac:dyDescent="0.2">
      <c r="A773" s="27" t="e">
        <f>#REF!&amp;"_"&amp;#REF!</f>
        <v>#REF!</v>
      </c>
      <c r="B773">
        <f>ROW()</f>
        <v>773</v>
      </c>
    </row>
    <row r="774" spans="1:2" x14ac:dyDescent="0.2">
      <c r="A774" s="27" t="e">
        <f>#REF!&amp;"_"&amp;#REF!</f>
        <v>#REF!</v>
      </c>
      <c r="B774">
        <f>ROW()</f>
        <v>774</v>
      </c>
    </row>
    <row r="775" spans="1:2" x14ac:dyDescent="0.2">
      <c r="A775" s="27" t="e">
        <f>#REF!&amp;"_"&amp;#REF!</f>
        <v>#REF!</v>
      </c>
      <c r="B775">
        <f>ROW()</f>
        <v>775</v>
      </c>
    </row>
    <row r="776" spans="1:2" x14ac:dyDescent="0.2">
      <c r="A776" s="27" t="e">
        <f>#REF!&amp;"_"&amp;#REF!</f>
        <v>#REF!</v>
      </c>
      <c r="B776">
        <f>ROW()</f>
        <v>776</v>
      </c>
    </row>
    <row r="777" spans="1:2" x14ac:dyDescent="0.2">
      <c r="A777" s="27" t="e">
        <f>#REF!&amp;"_"&amp;#REF!</f>
        <v>#REF!</v>
      </c>
      <c r="B777">
        <f>ROW()</f>
        <v>777</v>
      </c>
    </row>
    <row r="778" spans="1:2" x14ac:dyDescent="0.2">
      <c r="A778" s="27" t="e">
        <f>#REF!&amp;"_"&amp;#REF!</f>
        <v>#REF!</v>
      </c>
      <c r="B778">
        <f>ROW()</f>
        <v>778</v>
      </c>
    </row>
    <row r="779" spans="1:2" x14ac:dyDescent="0.2">
      <c r="A779" s="27" t="e">
        <f>#REF!&amp;"_"&amp;#REF!</f>
        <v>#REF!</v>
      </c>
      <c r="B779">
        <f>ROW()</f>
        <v>779</v>
      </c>
    </row>
    <row r="780" spans="1:2" x14ac:dyDescent="0.2">
      <c r="A780" s="27" t="e">
        <f>#REF!&amp;"_"&amp;#REF!</f>
        <v>#REF!</v>
      </c>
      <c r="B780">
        <f>ROW()</f>
        <v>780</v>
      </c>
    </row>
    <row r="781" spans="1:2" x14ac:dyDescent="0.2">
      <c r="A781" s="27" t="e">
        <f>#REF!&amp;"_"&amp;#REF!</f>
        <v>#REF!</v>
      </c>
      <c r="B781">
        <f>ROW()</f>
        <v>781</v>
      </c>
    </row>
    <row r="782" spans="1:2" x14ac:dyDescent="0.2">
      <c r="A782" s="27" t="e">
        <f>#REF!&amp;"_"&amp;#REF!</f>
        <v>#REF!</v>
      </c>
      <c r="B782">
        <f>ROW()</f>
        <v>782</v>
      </c>
    </row>
    <row r="783" spans="1:2" x14ac:dyDescent="0.2">
      <c r="A783" s="27" t="e">
        <f>#REF!&amp;"_"&amp;#REF!</f>
        <v>#REF!</v>
      </c>
      <c r="B783">
        <f>ROW()</f>
        <v>783</v>
      </c>
    </row>
    <row r="784" spans="1:2" x14ac:dyDescent="0.2">
      <c r="A784" s="27" t="e">
        <f>#REF!&amp;"_"&amp;#REF!</f>
        <v>#REF!</v>
      </c>
      <c r="B784">
        <f>ROW()</f>
        <v>784</v>
      </c>
    </row>
    <row r="785" spans="1:2" x14ac:dyDescent="0.2">
      <c r="A785" s="27" t="e">
        <f>#REF!&amp;"_"&amp;#REF!</f>
        <v>#REF!</v>
      </c>
      <c r="B785">
        <f>ROW()</f>
        <v>785</v>
      </c>
    </row>
    <row r="786" spans="1:2" x14ac:dyDescent="0.2">
      <c r="A786" s="27" t="e">
        <f>#REF!&amp;"_"&amp;#REF!</f>
        <v>#REF!</v>
      </c>
      <c r="B786">
        <f>ROW()</f>
        <v>786</v>
      </c>
    </row>
    <row r="787" spans="1:2" x14ac:dyDescent="0.2">
      <c r="A787" s="27" t="e">
        <f>#REF!&amp;"_"&amp;#REF!</f>
        <v>#REF!</v>
      </c>
      <c r="B787">
        <f>ROW()</f>
        <v>787</v>
      </c>
    </row>
    <row r="788" spans="1:2" x14ac:dyDescent="0.2">
      <c r="A788" s="27" t="e">
        <f>#REF!&amp;"_"&amp;#REF!</f>
        <v>#REF!</v>
      </c>
      <c r="B788">
        <f>ROW()</f>
        <v>788</v>
      </c>
    </row>
    <row r="789" spans="1:2" x14ac:dyDescent="0.2">
      <c r="A789" s="27" t="e">
        <f>#REF!&amp;"_"&amp;#REF!</f>
        <v>#REF!</v>
      </c>
      <c r="B789">
        <f>ROW()</f>
        <v>789</v>
      </c>
    </row>
    <row r="790" spans="1:2" x14ac:dyDescent="0.2">
      <c r="A790" s="27" t="e">
        <f>#REF!&amp;"_"&amp;#REF!</f>
        <v>#REF!</v>
      </c>
      <c r="B790">
        <f>ROW()</f>
        <v>790</v>
      </c>
    </row>
    <row r="791" spans="1:2" x14ac:dyDescent="0.2">
      <c r="A791" s="27" t="e">
        <f>#REF!&amp;"_"&amp;#REF!</f>
        <v>#REF!</v>
      </c>
      <c r="B791">
        <f>ROW()</f>
        <v>791</v>
      </c>
    </row>
    <row r="792" spans="1:2" x14ac:dyDescent="0.2">
      <c r="A792" s="27" t="e">
        <f>#REF!&amp;"_"&amp;#REF!</f>
        <v>#REF!</v>
      </c>
      <c r="B792">
        <f>ROW()</f>
        <v>792</v>
      </c>
    </row>
    <row r="793" spans="1:2" x14ac:dyDescent="0.2">
      <c r="A793" s="27" t="e">
        <f>#REF!&amp;"_"&amp;#REF!</f>
        <v>#REF!</v>
      </c>
      <c r="B793">
        <f>ROW()</f>
        <v>793</v>
      </c>
    </row>
    <row r="794" spans="1:2" x14ac:dyDescent="0.2">
      <c r="A794" s="27" t="e">
        <f>#REF!&amp;"_"&amp;#REF!</f>
        <v>#REF!</v>
      </c>
      <c r="B794">
        <f>ROW()</f>
        <v>794</v>
      </c>
    </row>
    <row r="795" spans="1:2" x14ac:dyDescent="0.2">
      <c r="A795" s="27" t="e">
        <f>#REF!&amp;"_"&amp;#REF!</f>
        <v>#REF!</v>
      </c>
      <c r="B795">
        <f>ROW()</f>
        <v>795</v>
      </c>
    </row>
    <row r="796" spans="1:2" x14ac:dyDescent="0.2">
      <c r="A796" s="27" t="e">
        <f>#REF!&amp;"_"&amp;#REF!</f>
        <v>#REF!</v>
      </c>
      <c r="B796">
        <f>ROW()</f>
        <v>796</v>
      </c>
    </row>
    <row r="797" spans="1:2" x14ac:dyDescent="0.2">
      <c r="A797" s="27" t="e">
        <f>#REF!&amp;"_"&amp;#REF!</f>
        <v>#REF!</v>
      </c>
      <c r="B797">
        <f>ROW()</f>
        <v>797</v>
      </c>
    </row>
    <row r="798" spans="1:2" x14ac:dyDescent="0.2">
      <c r="A798" s="27" t="e">
        <f>#REF!&amp;"_"&amp;#REF!</f>
        <v>#REF!</v>
      </c>
      <c r="B798">
        <f>ROW()</f>
        <v>798</v>
      </c>
    </row>
    <row r="799" spans="1:2" x14ac:dyDescent="0.2">
      <c r="A799" s="27" t="e">
        <f>#REF!&amp;"_"&amp;#REF!</f>
        <v>#REF!</v>
      </c>
      <c r="B799">
        <f>ROW()</f>
        <v>799</v>
      </c>
    </row>
    <row r="800" spans="1:2" x14ac:dyDescent="0.2">
      <c r="A800" s="27" t="e">
        <f>#REF!&amp;"_"&amp;#REF!</f>
        <v>#REF!</v>
      </c>
      <c r="B800">
        <f>ROW()</f>
        <v>800</v>
      </c>
    </row>
    <row r="801" spans="1:2" x14ac:dyDescent="0.2">
      <c r="A801" s="27" t="e">
        <f>#REF!&amp;"_"&amp;#REF!</f>
        <v>#REF!</v>
      </c>
      <c r="B801">
        <f>ROW()</f>
        <v>801</v>
      </c>
    </row>
    <row r="802" spans="1:2" x14ac:dyDescent="0.2">
      <c r="A802" s="27" t="e">
        <f>#REF!&amp;"_"&amp;#REF!</f>
        <v>#REF!</v>
      </c>
      <c r="B802">
        <f>ROW()</f>
        <v>802</v>
      </c>
    </row>
    <row r="803" spans="1:2" x14ac:dyDescent="0.2">
      <c r="A803" s="27" t="e">
        <f>#REF!&amp;"_"&amp;#REF!</f>
        <v>#REF!</v>
      </c>
      <c r="B803">
        <f>ROW()</f>
        <v>803</v>
      </c>
    </row>
    <row r="804" spans="1:2" x14ac:dyDescent="0.2">
      <c r="A804" s="27" t="e">
        <f>#REF!&amp;"_"&amp;#REF!</f>
        <v>#REF!</v>
      </c>
      <c r="B804">
        <f>ROW()</f>
        <v>804</v>
      </c>
    </row>
    <row r="805" spans="1:2" x14ac:dyDescent="0.2">
      <c r="A805" s="27" t="e">
        <f>#REF!&amp;"_"&amp;#REF!</f>
        <v>#REF!</v>
      </c>
      <c r="B805">
        <f>ROW()</f>
        <v>805</v>
      </c>
    </row>
    <row r="806" spans="1:2" x14ac:dyDescent="0.2">
      <c r="A806" s="27" t="e">
        <f>#REF!&amp;"_"&amp;#REF!</f>
        <v>#REF!</v>
      </c>
      <c r="B806">
        <f>ROW()</f>
        <v>806</v>
      </c>
    </row>
    <row r="807" spans="1:2" x14ac:dyDescent="0.2">
      <c r="A807" s="27" t="e">
        <f>#REF!&amp;"_"&amp;#REF!</f>
        <v>#REF!</v>
      </c>
      <c r="B807">
        <f>ROW()</f>
        <v>807</v>
      </c>
    </row>
    <row r="808" spans="1:2" x14ac:dyDescent="0.2">
      <c r="A808" s="27" t="e">
        <f>#REF!&amp;"_"&amp;#REF!</f>
        <v>#REF!</v>
      </c>
      <c r="B808">
        <f>ROW()</f>
        <v>808</v>
      </c>
    </row>
    <row r="809" spans="1:2" x14ac:dyDescent="0.2">
      <c r="A809" s="27" t="e">
        <f>#REF!&amp;"_"&amp;#REF!</f>
        <v>#REF!</v>
      </c>
      <c r="B809">
        <f>ROW()</f>
        <v>809</v>
      </c>
    </row>
    <row r="810" spans="1:2" x14ac:dyDescent="0.2">
      <c r="A810" s="27" t="e">
        <f>#REF!&amp;"_"&amp;#REF!</f>
        <v>#REF!</v>
      </c>
      <c r="B810">
        <f>ROW()</f>
        <v>810</v>
      </c>
    </row>
    <row r="811" spans="1:2" x14ac:dyDescent="0.2">
      <c r="A811" s="27" t="e">
        <f>#REF!&amp;"_"&amp;#REF!</f>
        <v>#REF!</v>
      </c>
      <c r="B811">
        <f>ROW()</f>
        <v>811</v>
      </c>
    </row>
    <row r="812" spans="1:2" x14ac:dyDescent="0.2">
      <c r="A812" s="27" t="e">
        <f>#REF!&amp;"_"&amp;#REF!</f>
        <v>#REF!</v>
      </c>
      <c r="B812">
        <f>ROW()</f>
        <v>812</v>
      </c>
    </row>
    <row r="813" spans="1:2" x14ac:dyDescent="0.2">
      <c r="A813" s="27" t="e">
        <f>#REF!&amp;"_"&amp;#REF!</f>
        <v>#REF!</v>
      </c>
      <c r="B813">
        <f>ROW()</f>
        <v>813</v>
      </c>
    </row>
    <row r="814" spans="1:2" x14ac:dyDescent="0.2">
      <c r="A814" s="27" t="e">
        <f>#REF!&amp;"_"&amp;#REF!</f>
        <v>#REF!</v>
      </c>
      <c r="B814">
        <f>ROW()</f>
        <v>814</v>
      </c>
    </row>
    <row r="815" spans="1:2" x14ac:dyDescent="0.2">
      <c r="A815" s="27" t="e">
        <f>#REF!&amp;"_"&amp;#REF!</f>
        <v>#REF!</v>
      </c>
      <c r="B815">
        <f>ROW()</f>
        <v>815</v>
      </c>
    </row>
    <row r="816" spans="1:2" x14ac:dyDescent="0.2">
      <c r="A816" s="27" t="e">
        <f>#REF!&amp;"_"&amp;#REF!</f>
        <v>#REF!</v>
      </c>
      <c r="B816">
        <f>ROW()</f>
        <v>816</v>
      </c>
    </row>
    <row r="817" spans="1:2" x14ac:dyDescent="0.2">
      <c r="A817" s="27" t="e">
        <f>#REF!&amp;"_"&amp;#REF!</f>
        <v>#REF!</v>
      </c>
      <c r="B817">
        <f>ROW()</f>
        <v>817</v>
      </c>
    </row>
    <row r="818" spans="1:2" x14ac:dyDescent="0.2">
      <c r="A818" s="27" t="e">
        <f>#REF!&amp;"_"&amp;#REF!</f>
        <v>#REF!</v>
      </c>
      <c r="B818">
        <f>ROW()</f>
        <v>818</v>
      </c>
    </row>
    <row r="819" spans="1:2" x14ac:dyDescent="0.2">
      <c r="A819" s="27" t="e">
        <f>#REF!&amp;"_"&amp;#REF!</f>
        <v>#REF!</v>
      </c>
      <c r="B819">
        <f>ROW()</f>
        <v>819</v>
      </c>
    </row>
    <row r="820" spans="1:2" x14ac:dyDescent="0.2">
      <c r="A820" s="27" t="e">
        <f>#REF!&amp;"_"&amp;#REF!</f>
        <v>#REF!</v>
      </c>
      <c r="B820">
        <f>ROW()</f>
        <v>820</v>
      </c>
    </row>
    <row r="821" spans="1:2" x14ac:dyDescent="0.2">
      <c r="A821" s="27" t="e">
        <f>#REF!&amp;"_"&amp;#REF!</f>
        <v>#REF!</v>
      </c>
      <c r="B821">
        <f>ROW()</f>
        <v>821</v>
      </c>
    </row>
    <row r="822" spans="1:2" x14ac:dyDescent="0.2">
      <c r="A822" s="27" t="e">
        <f>#REF!&amp;"_"&amp;#REF!</f>
        <v>#REF!</v>
      </c>
      <c r="B822">
        <f>ROW()</f>
        <v>822</v>
      </c>
    </row>
    <row r="823" spans="1:2" x14ac:dyDescent="0.2">
      <c r="A823" s="27" t="e">
        <f>#REF!&amp;"_"&amp;#REF!</f>
        <v>#REF!</v>
      </c>
      <c r="B823">
        <f>ROW()</f>
        <v>823</v>
      </c>
    </row>
    <row r="824" spans="1:2" x14ac:dyDescent="0.2">
      <c r="A824" s="27" t="e">
        <f>#REF!&amp;"_"&amp;#REF!</f>
        <v>#REF!</v>
      </c>
      <c r="B824">
        <f>ROW()</f>
        <v>824</v>
      </c>
    </row>
    <row r="825" spans="1:2" x14ac:dyDescent="0.2">
      <c r="A825" s="27" t="e">
        <f>#REF!&amp;"_"&amp;#REF!</f>
        <v>#REF!</v>
      </c>
      <c r="B825">
        <f>ROW()</f>
        <v>825</v>
      </c>
    </row>
    <row r="826" spans="1:2" x14ac:dyDescent="0.2">
      <c r="A826" s="27" t="e">
        <f>#REF!&amp;"_"&amp;#REF!</f>
        <v>#REF!</v>
      </c>
      <c r="B826">
        <f>ROW()</f>
        <v>826</v>
      </c>
    </row>
    <row r="827" spans="1:2" x14ac:dyDescent="0.2">
      <c r="A827" s="27" t="e">
        <f>#REF!&amp;"_"&amp;#REF!</f>
        <v>#REF!</v>
      </c>
      <c r="B827">
        <f>ROW()</f>
        <v>827</v>
      </c>
    </row>
    <row r="828" spans="1:2" x14ac:dyDescent="0.2">
      <c r="A828" s="27" t="e">
        <f>#REF!&amp;"_"&amp;#REF!</f>
        <v>#REF!</v>
      </c>
      <c r="B828">
        <f>ROW()</f>
        <v>828</v>
      </c>
    </row>
    <row r="829" spans="1:2" x14ac:dyDescent="0.2">
      <c r="A829" s="27" t="e">
        <f>#REF!&amp;"_"&amp;#REF!</f>
        <v>#REF!</v>
      </c>
      <c r="B829">
        <f>ROW()</f>
        <v>829</v>
      </c>
    </row>
    <row r="830" spans="1:2" x14ac:dyDescent="0.2">
      <c r="A830" s="27" t="e">
        <f>#REF!&amp;"_"&amp;#REF!</f>
        <v>#REF!</v>
      </c>
      <c r="B830">
        <f>ROW()</f>
        <v>830</v>
      </c>
    </row>
    <row r="831" spans="1:2" x14ac:dyDescent="0.2">
      <c r="A831" s="27" t="e">
        <f>#REF!&amp;"_"&amp;#REF!</f>
        <v>#REF!</v>
      </c>
      <c r="B831">
        <f>ROW()</f>
        <v>831</v>
      </c>
    </row>
    <row r="832" spans="1:2" x14ac:dyDescent="0.2">
      <c r="A832" s="27" t="e">
        <f>#REF!&amp;"_"&amp;#REF!</f>
        <v>#REF!</v>
      </c>
      <c r="B832">
        <f>ROW()</f>
        <v>832</v>
      </c>
    </row>
    <row r="833" spans="1:2" x14ac:dyDescent="0.2">
      <c r="A833" s="27" t="e">
        <f>#REF!&amp;"_"&amp;#REF!</f>
        <v>#REF!</v>
      </c>
      <c r="B833">
        <f>ROW()</f>
        <v>833</v>
      </c>
    </row>
    <row r="834" spans="1:2" x14ac:dyDescent="0.2">
      <c r="A834" s="27" t="e">
        <f>#REF!&amp;"_"&amp;#REF!</f>
        <v>#REF!</v>
      </c>
      <c r="B834">
        <f>ROW()</f>
        <v>834</v>
      </c>
    </row>
    <row r="835" spans="1:2" x14ac:dyDescent="0.2">
      <c r="A835" s="27" t="e">
        <f>#REF!&amp;"_"&amp;#REF!</f>
        <v>#REF!</v>
      </c>
      <c r="B835">
        <f>ROW()</f>
        <v>835</v>
      </c>
    </row>
    <row r="836" spans="1:2" x14ac:dyDescent="0.2">
      <c r="A836" s="27" t="e">
        <f>#REF!&amp;"_"&amp;#REF!</f>
        <v>#REF!</v>
      </c>
      <c r="B836">
        <f>ROW()</f>
        <v>836</v>
      </c>
    </row>
    <row r="837" spans="1:2" x14ac:dyDescent="0.2">
      <c r="A837" s="27" t="e">
        <f>#REF!&amp;"_"&amp;#REF!</f>
        <v>#REF!</v>
      </c>
      <c r="B837">
        <f>ROW()</f>
        <v>837</v>
      </c>
    </row>
    <row r="838" spans="1:2" x14ac:dyDescent="0.2">
      <c r="A838" s="27" t="e">
        <f>#REF!&amp;"_"&amp;#REF!</f>
        <v>#REF!</v>
      </c>
      <c r="B838">
        <f>ROW()</f>
        <v>838</v>
      </c>
    </row>
    <row r="839" spans="1:2" x14ac:dyDescent="0.2">
      <c r="A839" s="27" t="e">
        <f>#REF!&amp;"_"&amp;#REF!</f>
        <v>#REF!</v>
      </c>
      <c r="B839">
        <f>ROW()</f>
        <v>839</v>
      </c>
    </row>
    <row r="840" spans="1:2" x14ac:dyDescent="0.2">
      <c r="A840" s="27" t="e">
        <f>#REF!&amp;"_"&amp;#REF!</f>
        <v>#REF!</v>
      </c>
      <c r="B840">
        <f>ROW()</f>
        <v>840</v>
      </c>
    </row>
    <row r="841" spans="1:2" x14ac:dyDescent="0.2">
      <c r="A841" s="27" t="e">
        <f>#REF!&amp;"_"&amp;#REF!</f>
        <v>#REF!</v>
      </c>
      <c r="B841">
        <f>ROW()</f>
        <v>841</v>
      </c>
    </row>
    <row r="842" spans="1:2" x14ac:dyDescent="0.2">
      <c r="A842" s="27" t="e">
        <f>#REF!&amp;"_"&amp;#REF!</f>
        <v>#REF!</v>
      </c>
      <c r="B842">
        <f>ROW()</f>
        <v>842</v>
      </c>
    </row>
    <row r="843" spans="1:2" x14ac:dyDescent="0.2">
      <c r="A843" s="27" t="e">
        <f>#REF!&amp;"_"&amp;#REF!</f>
        <v>#REF!</v>
      </c>
      <c r="B843">
        <f>ROW()</f>
        <v>843</v>
      </c>
    </row>
    <row r="844" spans="1:2" x14ac:dyDescent="0.2">
      <c r="A844" s="27" t="e">
        <f>#REF!&amp;"_"&amp;#REF!</f>
        <v>#REF!</v>
      </c>
      <c r="B844">
        <f>ROW()</f>
        <v>844</v>
      </c>
    </row>
    <row r="845" spans="1:2" x14ac:dyDescent="0.2">
      <c r="A845" s="27" t="e">
        <f>#REF!&amp;"_"&amp;#REF!</f>
        <v>#REF!</v>
      </c>
      <c r="B845">
        <f>ROW()</f>
        <v>845</v>
      </c>
    </row>
    <row r="846" spans="1:2" x14ac:dyDescent="0.2">
      <c r="A846" s="27" t="e">
        <f>#REF!&amp;"_"&amp;#REF!</f>
        <v>#REF!</v>
      </c>
      <c r="B846">
        <f>ROW()</f>
        <v>846</v>
      </c>
    </row>
    <row r="847" spans="1:2" x14ac:dyDescent="0.2">
      <c r="A847" s="27" t="e">
        <f>#REF!&amp;"_"&amp;#REF!</f>
        <v>#REF!</v>
      </c>
      <c r="B847">
        <f>ROW()</f>
        <v>847</v>
      </c>
    </row>
    <row r="848" spans="1:2" x14ac:dyDescent="0.2">
      <c r="A848" s="27" t="e">
        <f>#REF!&amp;"_"&amp;#REF!</f>
        <v>#REF!</v>
      </c>
      <c r="B848">
        <f>ROW()</f>
        <v>848</v>
      </c>
    </row>
    <row r="849" spans="1:2" x14ac:dyDescent="0.2">
      <c r="A849" s="27" t="e">
        <f>#REF!&amp;"_"&amp;#REF!</f>
        <v>#REF!</v>
      </c>
      <c r="B849">
        <f>ROW()</f>
        <v>849</v>
      </c>
    </row>
    <row r="850" spans="1:2" x14ac:dyDescent="0.2">
      <c r="A850" s="27" t="e">
        <f>#REF!&amp;"_"&amp;#REF!</f>
        <v>#REF!</v>
      </c>
      <c r="B850">
        <f>ROW()</f>
        <v>850</v>
      </c>
    </row>
    <row r="851" spans="1:2" x14ac:dyDescent="0.2">
      <c r="A851" s="27" t="e">
        <f>#REF!&amp;"_"&amp;#REF!</f>
        <v>#REF!</v>
      </c>
      <c r="B851">
        <f>ROW()</f>
        <v>851</v>
      </c>
    </row>
    <row r="852" spans="1:2" x14ac:dyDescent="0.2">
      <c r="A852" s="27" t="e">
        <f>#REF!&amp;"_"&amp;#REF!</f>
        <v>#REF!</v>
      </c>
      <c r="B852">
        <f>ROW()</f>
        <v>852</v>
      </c>
    </row>
    <row r="853" spans="1:2" x14ac:dyDescent="0.2">
      <c r="A853" s="27" t="e">
        <f>#REF!&amp;"_"&amp;#REF!</f>
        <v>#REF!</v>
      </c>
      <c r="B853">
        <f>ROW()</f>
        <v>853</v>
      </c>
    </row>
    <row r="854" spans="1:2" x14ac:dyDescent="0.2">
      <c r="A854" s="27" t="e">
        <f>#REF!&amp;"_"&amp;#REF!</f>
        <v>#REF!</v>
      </c>
      <c r="B854">
        <f>ROW()</f>
        <v>854</v>
      </c>
    </row>
    <row r="855" spans="1:2" x14ac:dyDescent="0.2">
      <c r="A855" s="27" t="e">
        <f>#REF!&amp;"_"&amp;#REF!</f>
        <v>#REF!</v>
      </c>
      <c r="B855">
        <f>ROW()</f>
        <v>855</v>
      </c>
    </row>
    <row r="856" spans="1:2" x14ac:dyDescent="0.2">
      <c r="A856" s="27" t="e">
        <f>#REF!&amp;"_"&amp;#REF!</f>
        <v>#REF!</v>
      </c>
      <c r="B856">
        <f>ROW()</f>
        <v>856</v>
      </c>
    </row>
    <row r="857" spans="1:2" x14ac:dyDescent="0.2">
      <c r="A857" s="27" t="e">
        <f>#REF!&amp;"_"&amp;#REF!</f>
        <v>#REF!</v>
      </c>
      <c r="B857">
        <f>ROW()</f>
        <v>857</v>
      </c>
    </row>
    <row r="858" spans="1:2" x14ac:dyDescent="0.2">
      <c r="A858" s="27" t="e">
        <f>#REF!&amp;"_"&amp;#REF!</f>
        <v>#REF!</v>
      </c>
      <c r="B858">
        <f>ROW()</f>
        <v>858</v>
      </c>
    </row>
    <row r="859" spans="1:2" x14ac:dyDescent="0.2">
      <c r="A859" s="27" t="e">
        <f>#REF!&amp;"_"&amp;#REF!</f>
        <v>#REF!</v>
      </c>
      <c r="B859">
        <f>ROW()</f>
        <v>859</v>
      </c>
    </row>
    <row r="860" spans="1:2" x14ac:dyDescent="0.2">
      <c r="A860" s="27" t="e">
        <f>#REF!&amp;"_"&amp;#REF!</f>
        <v>#REF!</v>
      </c>
      <c r="B860">
        <f>ROW()</f>
        <v>860</v>
      </c>
    </row>
    <row r="861" spans="1:2" x14ac:dyDescent="0.2">
      <c r="A861" s="27" t="e">
        <f>#REF!&amp;"_"&amp;#REF!</f>
        <v>#REF!</v>
      </c>
      <c r="B861">
        <f>ROW()</f>
        <v>861</v>
      </c>
    </row>
    <row r="862" spans="1:2" x14ac:dyDescent="0.2">
      <c r="A862" s="27" t="e">
        <f>#REF!&amp;"_"&amp;#REF!</f>
        <v>#REF!</v>
      </c>
      <c r="B862">
        <f>ROW()</f>
        <v>862</v>
      </c>
    </row>
    <row r="863" spans="1:2" x14ac:dyDescent="0.2">
      <c r="A863" s="27" t="e">
        <f>#REF!&amp;"_"&amp;#REF!</f>
        <v>#REF!</v>
      </c>
      <c r="B863">
        <f>ROW()</f>
        <v>863</v>
      </c>
    </row>
    <row r="864" spans="1:2" x14ac:dyDescent="0.2">
      <c r="A864" s="27" t="e">
        <f>#REF!&amp;"_"&amp;#REF!</f>
        <v>#REF!</v>
      </c>
      <c r="B864">
        <f>ROW()</f>
        <v>864</v>
      </c>
    </row>
    <row r="865" spans="1:2" x14ac:dyDescent="0.2">
      <c r="A865" s="27" t="e">
        <f>#REF!&amp;"_"&amp;#REF!</f>
        <v>#REF!</v>
      </c>
      <c r="B865">
        <f>ROW()</f>
        <v>865</v>
      </c>
    </row>
    <row r="866" spans="1:2" x14ac:dyDescent="0.2">
      <c r="A866" s="27" t="e">
        <f>#REF!&amp;"_"&amp;#REF!</f>
        <v>#REF!</v>
      </c>
      <c r="B866">
        <f>ROW()</f>
        <v>866</v>
      </c>
    </row>
    <row r="867" spans="1:2" x14ac:dyDescent="0.2">
      <c r="A867" s="27" t="e">
        <f>#REF!&amp;"_"&amp;#REF!</f>
        <v>#REF!</v>
      </c>
      <c r="B867">
        <f>ROW()</f>
        <v>867</v>
      </c>
    </row>
    <row r="868" spans="1:2" x14ac:dyDescent="0.2">
      <c r="A868" s="27" t="e">
        <f>#REF!&amp;"_"&amp;#REF!</f>
        <v>#REF!</v>
      </c>
      <c r="B868">
        <f>ROW()</f>
        <v>868</v>
      </c>
    </row>
    <row r="869" spans="1:2" x14ac:dyDescent="0.2">
      <c r="A869" s="27" t="e">
        <f>#REF!&amp;"_"&amp;#REF!</f>
        <v>#REF!</v>
      </c>
      <c r="B869">
        <f>ROW()</f>
        <v>869</v>
      </c>
    </row>
    <row r="870" spans="1:2" x14ac:dyDescent="0.2">
      <c r="A870" s="27" t="e">
        <f>#REF!&amp;"_"&amp;#REF!</f>
        <v>#REF!</v>
      </c>
      <c r="B870">
        <f>ROW()</f>
        <v>870</v>
      </c>
    </row>
    <row r="871" spans="1:2" x14ac:dyDescent="0.2">
      <c r="A871" s="27" t="e">
        <f>#REF!&amp;"_"&amp;#REF!</f>
        <v>#REF!</v>
      </c>
      <c r="B871">
        <f>ROW()</f>
        <v>871</v>
      </c>
    </row>
    <row r="872" spans="1:2" x14ac:dyDescent="0.2">
      <c r="A872" s="27" t="e">
        <f>#REF!&amp;"_"&amp;#REF!</f>
        <v>#REF!</v>
      </c>
      <c r="B872">
        <f>ROW()</f>
        <v>872</v>
      </c>
    </row>
    <row r="873" spans="1:2" x14ac:dyDescent="0.2">
      <c r="A873" s="27" t="e">
        <f>#REF!&amp;"_"&amp;#REF!</f>
        <v>#REF!</v>
      </c>
      <c r="B873">
        <f>ROW()</f>
        <v>873</v>
      </c>
    </row>
    <row r="874" spans="1:2" x14ac:dyDescent="0.2">
      <c r="A874" s="27" t="e">
        <f>#REF!&amp;"_"&amp;#REF!</f>
        <v>#REF!</v>
      </c>
      <c r="B874">
        <f>ROW()</f>
        <v>874</v>
      </c>
    </row>
    <row r="875" spans="1:2" x14ac:dyDescent="0.2">
      <c r="A875" s="27" t="e">
        <f>#REF!&amp;"_"&amp;#REF!</f>
        <v>#REF!</v>
      </c>
      <c r="B875">
        <f>ROW()</f>
        <v>875</v>
      </c>
    </row>
    <row r="876" spans="1:2" x14ac:dyDescent="0.2">
      <c r="A876" s="27" t="e">
        <f>#REF!&amp;"_"&amp;#REF!</f>
        <v>#REF!</v>
      </c>
      <c r="B876">
        <f>ROW()</f>
        <v>876</v>
      </c>
    </row>
    <row r="877" spans="1:2" x14ac:dyDescent="0.2">
      <c r="A877" s="27" t="e">
        <f>#REF!&amp;"_"&amp;#REF!</f>
        <v>#REF!</v>
      </c>
      <c r="B877">
        <f>ROW()</f>
        <v>877</v>
      </c>
    </row>
    <row r="878" spans="1:2" x14ac:dyDescent="0.2">
      <c r="A878" s="27" t="e">
        <f>#REF!&amp;"_"&amp;#REF!</f>
        <v>#REF!</v>
      </c>
      <c r="B878">
        <f>ROW()</f>
        <v>878</v>
      </c>
    </row>
    <row r="879" spans="1:2" x14ac:dyDescent="0.2">
      <c r="A879" s="27" t="e">
        <f>#REF!&amp;"_"&amp;#REF!</f>
        <v>#REF!</v>
      </c>
      <c r="B879">
        <f>ROW()</f>
        <v>879</v>
      </c>
    </row>
    <row r="880" spans="1:2" x14ac:dyDescent="0.2">
      <c r="A880" s="27" t="e">
        <f>#REF!&amp;"_"&amp;#REF!</f>
        <v>#REF!</v>
      </c>
      <c r="B880">
        <f>ROW()</f>
        <v>880</v>
      </c>
    </row>
    <row r="881" spans="1:2" x14ac:dyDescent="0.2">
      <c r="A881" s="27" t="e">
        <f>#REF!&amp;"_"&amp;#REF!</f>
        <v>#REF!</v>
      </c>
      <c r="B881">
        <f>ROW()</f>
        <v>881</v>
      </c>
    </row>
    <row r="882" spans="1:2" x14ac:dyDescent="0.2">
      <c r="A882" s="27" t="e">
        <f>#REF!&amp;"_"&amp;#REF!</f>
        <v>#REF!</v>
      </c>
      <c r="B882">
        <f>ROW()</f>
        <v>882</v>
      </c>
    </row>
    <row r="883" spans="1:2" x14ac:dyDescent="0.2">
      <c r="A883" s="27" t="e">
        <f>#REF!&amp;"_"&amp;#REF!</f>
        <v>#REF!</v>
      </c>
      <c r="B883">
        <f>ROW()</f>
        <v>883</v>
      </c>
    </row>
    <row r="884" spans="1:2" x14ac:dyDescent="0.2">
      <c r="A884" s="27" t="e">
        <f>#REF!&amp;"_"&amp;#REF!</f>
        <v>#REF!</v>
      </c>
      <c r="B884">
        <f>ROW()</f>
        <v>884</v>
      </c>
    </row>
    <row r="885" spans="1:2" x14ac:dyDescent="0.2">
      <c r="A885" s="27" t="e">
        <f>#REF!&amp;"_"&amp;#REF!</f>
        <v>#REF!</v>
      </c>
      <c r="B885">
        <f>ROW()</f>
        <v>885</v>
      </c>
    </row>
    <row r="886" spans="1:2" x14ac:dyDescent="0.2">
      <c r="A886" s="27" t="e">
        <f>#REF!&amp;"_"&amp;#REF!</f>
        <v>#REF!</v>
      </c>
      <c r="B886">
        <f>ROW()</f>
        <v>886</v>
      </c>
    </row>
    <row r="887" spans="1:2" x14ac:dyDescent="0.2">
      <c r="A887" s="27" t="e">
        <f>#REF!&amp;"_"&amp;#REF!</f>
        <v>#REF!</v>
      </c>
      <c r="B887">
        <f>ROW()</f>
        <v>887</v>
      </c>
    </row>
    <row r="888" spans="1:2" x14ac:dyDescent="0.2">
      <c r="A888" s="27" t="e">
        <f>#REF!&amp;"_"&amp;#REF!</f>
        <v>#REF!</v>
      </c>
      <c r="B888">
        <f>ROW()</f>
        <v>888</v>
      </c>
    </row>
    <row r="889" spans="1:2" x14ac:dyDescent="0.2">
      <c r="A889" s="27" t="e">
        <f>#REF!&amp;"_"&amp;#REF!</f>
        <v>#REF!</v>
      </c>
      <c r="B889">
        <f>ROW()</f>
        <v>889</v>
      </c>
    </row>
    <row r="890" spans="1:2" x14ac:dyDescent="0.2">
      <c r="A890" s="27" t="e">
        <f>#REF!&amp;"_"&amp;#REF!</f>
        <v>#REF!</v>
      </c>
      <c r="B890">
        <f>ROW()</f>
        <v>890</v>
      </c>
    </row>
    <row r="891" spans="1:2" x14ac:dyDescent="0.2">
      <c r="A891" s="27" t="e">
        <f>#REF!&amp;"_"&amp;#REF!</f>
        <v>#REF!</v>
      </c>
      <c r="B891">
        <f>ROW()</f>
        <v>891</v>
      </c>
    </row>
    <row r="892" spans="1:2" x14ac:dyDescent="0.2">
      <c r="A892" s="27" t="e">
        <f>#REF!&amp;"_"&amp;#REF!</f>
        <v>#REF!</v>
      </c>
      <c r="B892">
        <f>ROW()</f>
        <v>892</v>
      </c>
    </row>
    <row r="893" spans="1:2" x14ac:dyDescent="0.2">
      <c r="A893" s="27" t="e">
        <f>#REF!&amp;"_"&amp;#REF!</f>
        <v>#REF!</v>
      </c>
      <c r="B893">
        <f>ROW()</f>
        <v>893</v>
      </c>
    </row>
    <row r="894" spans="1:2" x14ac:dyDescent="0.2">
      <c r="A894" s="27" t="e">
        <f>#REF!&amp;"_"&amp;#REF!</f>
        <v>#REF!</v>
      </c>
      <c r="B894">
        <f>ROW()</f>
        <v>894</v>
      </c>
    </row>
    <row r="895" spans="1:2" x14ac:dyDescent="0.2">
      <c r="A895" s="27" t="e">
        <f>#REF!&amp;"_"&amp;#REF!</f>
        <v>#REF!</v>
      </c>
      <c r="B895">
        <f>ROW()</f>
        <v>895</v>
      </c>
    </row>
    <row r="896" spans="1:2" x14ac:dyDescent="0.2">
      <c r="A896" s="27" t="e">
        <f>#REF!&amp;"_"&amp;#REF!</f>
        <v>#REF!</v>
      </c>
      <c r="B896">
        <f>ROW()</f>
        <v>896</v>
      </c>
    </row>
    <row r="897" spans="1:2" x14ac:dyDescent="0.2">
      <c r="A897" s="27" t="e">
        <f>#REF!&amp;"_"&amp;#REF!</f>
        <v>#REF!</v>
      </c>
      <c r="B897">
        <f>ROW()</f>
        <v>897</v>
      </c>
    </row>
    <row r="898" spans="1:2" x14ac:dyDescent="0.2">
      <c r="A898" s="27" t="e">
        <f>#REF!&amp;"_"&amp;#REF!</f>
        <v>#REF!</v>
      </c>
      <c r="B898">
        <f>ROW()</f>
        <v>898</v>
      </c>
    </row>
    <row r="899" spans="1:2" x14ac:dyDescent="0.2">
      <c r="A899" s="27" t="e">
        <f>#REF!&amp;"_"&amp;#REF!</f>
        <v>#REF!</v>
      </c>
      <c r="B899">
        <f>ROW()</f>
        <v>899</v>
      </c>
    </row>
    <row r="900" spans="1:2" x14ac:dyDescent="0.2">
      <c r="A900" s="27" t="e">
        <f>#REF!&amp;"_"&amp;#REF!</f>
        <v>#REF!</v>
      </c>
      <c r="B900">
        <f>ROW()</f>
        <v>900</v>
      </c>
    </row>
    <row r="901" spans="1:2" x14ac:dyDescent="0.2">
      <c r="A901" s="27" t="e">
        <f>#REF!&amp;"_"&amp;#REF!</f>
        <v>#REF!</v>
      </c>
      <c r="B901">
        <f>ROW()</f>
        <v>901</v>
      </c>
    </row>
    <row r="902" spans="1:2" x14ac:dyDescent="0.2">
      <c r="A902" s="27" t="e">
        <f>#REF!&amp;"_"&amp;#REF!</f>
        <v>#REF!</v>
      </c>
      <c r="B902">
        <f>ROW()</f>
        <v>902</v>
      </c>
    </row>
    <row r="903" spans="1:2" x14ac:dyDescent="0.2">
      <c r="A903" s="27" t="e">
        <f>#REF!&amp;"_"&amp;#REF!</f>
        <v>#REF!</v>
      </c>
      <c r="B903">
        <f>ROW()</f>
        <v>903</v>
      </c>
    </row>
    <row r="904" spans="1:2" x14ac:dyDescent="0.2">
      <c r="A904" s="27" t="e">
        <f>#REF!&amp;"_"&amp;#REF!</f>
        <v>#REF!</v>
      </c>
      <c r="B904">
        <f>ROW()</f>
        <v>904</v>
      </c>
    </row>
    <row r="905" spans="1:2" x14ac:dyDescent="0.2">
      <c r="A905" s="27" t="e">
        <f>#REF!&amp;"_"&amp;#REF!</f>
        <v>#REF!</v>
      </c>
      <c r="B905">
        <f>ROW()</f>
        <v>905</v>
      </c>
    </row>
    <row r="906" spans="1:2" x14ac:dyDescent="0.2">
      <c r="A906" s="27" t="e">
        <f>#REF!&amp;"_"&amp;#REF!</f>
        <v>#REF!</v>
      </c>
      <c r="B906">
        <f>ROW()</f>
        <v>906</v>
      </c>
    </row>
    <row r="907" spans="1:2" x14ac:dyDescent="0.2">
      <c r="A907" s="27" t="e">
        <f>#REF!&amp;"_"&amp;#REF!</f>
        <v>#REF!</v>
      </c>
      <c r="B907">
        <f>ROW()</f>
        <v>907</v>
      </c>
    </row>
    <row r="908" spans="1:2" x14ac:dyDescent="0.2">
      <c r="A908" s="27" t="e">
        <f>#REF!&amp;"_"&amp;#REF!</f>
        <v>#REF!</v>
      </c>
      <c r="B908">
        <f>ROW()</f>
        <v>908</v>
      </c>
    </row>
    <row r="909" spans="1:2" x14ac:dyDescent="0.2">
      <c r="A909" s="27" t="e">
        <f>#REF!&amp;"_"&amp;#REF!</f>
        <v>#REF!</v>
      </c>
      <c r="B909">
        <f>ROW()</f>
        <v>909</v>
      </c>
    </row>
    <row r="910" spans="1:2" x14ac:dyDescent="0.2">
      <c r="A910" s="27" t="e">
        <f>#REF!&amp;"_"&amp;#REF!</f>
        <v>#REF!</v>
      </c>
      <c r="B910">
        <f>ROW()</f>
        <v>910</v>
      </c>
    </row>
    <row r="911" spans="1:2" x14ac:dyDescent="0.2">
      <c r="A911" s="27" t="e">
        <f>#REF!&amp;"_"&amp;#REF!</f>
        <v>#REF!</v>
      </c>
      <c r="B911">
        <f>ROW()</f>
        <v>911</v>
      </c>
    </row>
    <row r="912" spans="1:2" x14ac:dyDescent="0.2">
      <c r="A912" s="27" t="e">
        <f>#REF!&amp;"_"&amp;#REF!</f>
        <v>#REF!</v>
      </c>
      <c r="B912">
        <f>ROW()</f>
        <v>912</v>
      </c>
    </row>
    <row r="913" spans="1:2" x14ac:dyDescent="0.2">
      <c r="A913" s="27" t="e">
        <f>#REF!&amp;"_"&amp;#REF!</f>
        <v>#REF!</v>
      </c>
      <c r="B913">
        <f>ROW()</f>
        <v>913</v>
      </c>
    </row>
    <row r="914" spans="1:2" x14ac:dyDescent="0.2">
      <c r="A914" s="27" t="e">
        <f>#REF!&amp;"_"&amp;#REF!</f>
        <v>#REF!</v>
      </c>
      <c r="B914">
        <f>ROW()</f>
        <v>914</v>
      </c>
    </row>
    <row r="915" spans="1:2" x14ac:dyDescent="0.2">
      <c r="A915" s="27" t="e">
        <f>#REF!&amp;"_"&amp;#REF!</f>
        <v>#REF!</v>
      </c>
      <c r="B915">
        <f>ROW()</f>
        <v>915</v>
      </c>
    </row>
    <row r="916" spans="1:2" x14ac:dyDescent="0.2">
      <c r="A916" s="27" t="e">
        <f>#REF!&amp;"_"&amp;#REF!</f>
        <v>#REF!</v>
      </c>
      <c r="B916">
        <f>ROW()</f>
        <v>916</v>
      </c>
    </row>
    <row r="917" spans="1:2" x14ac:dyDescent="0.2">
      <c r="A917" s="27" t="e">
        <f>#REF!&amp;"_"&amp;#REF!</f>
        <v>#REF!</v>
      </c>
      <c r="B917">
        <f>ROW()</f>
        <v>917</v>
      </c>
    </row>
    <row r="918" spans="1:2" x14ac:dyDescent="0.2">
      <c r="A918" s="27" t="e">
        <f>#REF!&amp;"_"&amp;#REF!</f>
        <v>#REF!</v>
      </c>
      <c r="B918">
        <f>ROW()</f>
        <v>918</v>
      </c>
    </row>
    <row r="919" spans="1:2" x14ac:dyDescent="0.2">
      <c r="A919" s="27" t="e">
        <f>#REF!&amp;"_"&amp;#REF!</f>
        <v>#REF!</v>
      </c>
      <c r="B919">
        <f>ROW()</f>
        <v>919</v>
      </c>
    </row>
    <row r="920" spans="1:2" x14ac:dyDescent="0.2">
      <c r="A920" s="27" t="e">
        <f>#REF!&amp;"_"&amp;#REF!</f>
        <v>#REF!</v>
      </c>
      <c r="B920">
        <f>ROW()</f>
        <v>920</v>
      </c>
    </row>
    <row r="921" spans="1:2" x14ac:dyDescent="0.2">
      <c r="A921" s="27" t="e">
        <f>#REF!&amp;"_"&amp;#REF!</f>
        <v>#REF!</v>
      </c>
      <c r="B921">
        <f>ROW()</f>
        <v>921</v>
      </c>
    </row>
    <row r="922" spans="1:2" x14ac:dyDescent="0.2">
      <c r="A922" s="27" t="e">
        <f>#REF!&amp;"_"&amp;#REF!</f>
        <v>#REF!</v>
      </c>
      <c r="B922">
        <f>ROW()</f>
        <v>922</v>
      </c>
    </row>
    <row r="923" spans="1:2" x14ac:dyDescent="0.2">
      <c r="A923" s="27" t="e">
        <f>#REF!&amp;"_"&amp;#REF!</f>
        <v>#REF!</v>
      </c>
      <c r="B923">
        <f>ROW()</f>
        <v>923</v>
      </c>
    </row>
    <row r="924" spans="1:2" x14ac:dyDescent="0.2">
      <c r="A924" s="27" t="e">
        <f>#REF!&amp;"_"&amp;#REF!</f>
        <v>#REF!</v>
      </c>
      <c r="B924">
        <f>ROW()</f>
        <v>924</v>
      </c>
    </row>
    <row r="925" spans="1:2" x14ac:dyDescent="0.2">
      <c r="A925" s="27" t="e">
        <f>#REF!&amp;"_"&amp;#REF!</f>
        <v>#REF!</v>
      </c>
      <c r="B925">
        <f>ROW()</f>
        <v>925</v>
      </c>
    </row>
    <row r="926" spans="1:2" x14ac:dyDescent="0.2">
      <c r="A926" s="27" t="e">
        <f>#REF!&amp;"_"&amp;#REF!</f>
        <v>#REF!</v>
      </c>
      <c r="B926">
        <f>ROW()</f>
        <v>926</v>
      </c>
    </row>
    <row r="927" spans="1:2" x14ac:dyDescent="0.2">
      <c r="A927" s="27" t="e">
        <f>#REF!&amp;"_"&amp;#REF!</f>
        <v>#REF!</v>
      </c>
      <c r="B927">
        <f>ROW()</f>
        <v>927</v>
      </c>
    </row>
    <row r="928" spans="1:2" x14ac:dyDescent="0.2">
      <c r="A928" s="27" t="e">
        <f>#REF!&amp;"_"&amp;#REF!</f>
        <v>#REF!</v>
      </c>
      <c r="B928">
        <f>ROW()</f>
        <v>928</v>
      </c>
    </row>
    <row r="929" spans="1:2" x14ac:dyDescent="0.2">
      <c r="A929" s="27" t="e">
        <f>#REF!&amp;"_"&amp;#REF!</f>
        <v>#REF!</v>
      </c>
      <c r="B929">
        <f>ROW()</f>
        <v>929</v>
      </c>
    </row>
    <row r="930" spans="1:2" x14ac:dyDescent="0.2">
      <c r="A930" s="27" t="e">
        <f>#REF!&amp;"_"&amp;#REF!</f>
        <v>#REF!</v>
      </c>
      <c r="B930">
        <f>ROW()</f>
        <v>930</v>
      </c>
    </row>
    <row r="931" spans="1:2" x14ac:dyDescent="0.2">
      <c r="A931" s="27" t="e">
        <f>#REF!&amp;"_"&amp;#REF!</f>
        <v>#REF!</v>
      </c>
      <c r="B931">
        <f>ROW()</f>
        <v>931</v>
      </c>
    </row>
    <row r="932" spans="1:2" x14ac:dyDescent="0.2">
      <c r="A932" s="27" t="e">
        <f>#REF!&amp;"_"&amp;#REF!</f>
        <v>#REF!</v>
      </c>
      <c r="B932">
        <f>ROW()</f>
        <v>932</v>
      </c>
    </row>
    <row r="933" spans="1:2" x14ac:dyDescent="0.2">
      <c r="A933" s="27" t="e">
        <f>#REF!&amp;"_"&amp;#REF!</f>
        <v>#REF!</v>
      </c>
      <c r="B933">
        <f>ROW()</f>
        <v>933</v>
      </c>
    </row>
    <row r="934" spans="1:2" x14ac:dyDescent="0.2">
      <c r="A934" s="27" t="e">
        <f>#REF!&amp;"_"&amp;#REF!</f>
        <v>#REF!</v>
      </c>
      <c r="B934">
        <f>ROW()</f>
        <v>934</v>
      </c>
    </row>
    <row r="935" spans="1:2" x14ac:dyDescent="0.2">
      <c r="A935" s="27" t="e">
        <f>#REF!&amp;"_"&amp;#REF!</f>
        <v>#REF!</v>
      </c>
      <c r="B935">
        <f>ROW()</f>
        <v>935</v>
      </c>
    </row>
    <row r="936" spans="1:2" x14ac:dyDescent="0.2">
      <c r="A936" s="27" t="e">
        <f>#REF!&amp;"_"&amp;#REF!</f>
        <v>#REF!</v>
      </c>
      <c r="B936">
        <f>ROW()</f>
        <v>936</v>
      </c>
    </row>
    <row r="937" spans="1:2" x14ac:dyDescent="0.2">
      <c r="A937" s="27" t="e">
        <f>#REF!&amp;"_"&amp;#REF!</f>
        <v>#REF!</v>
      </c>
      <c r="B937">
        <f>ROW()</f>
        <v>937</v>
      </c>
    </row>
    <row r="938" spans="1:2" x14ac:dyDescent="0.2">
      <c r="A938" s="27" t="e">
        <f>#REF!&amp;"_"&amp;#REF!</f>
        <v>#REF!</v>
      </c>
      <c r="B938">
        <f>ROW()</f>
        <v>938</v>
      </c>
    </row>
    <row r="939" spans="1:2" x14ac:dyDescent="0.2">
      <c r="A939" s="27" t="e">
        <f>#REF!&amp;"_"&amp;#REF!</f>
        <v>#REF!</v>
      </c>
      <c r="B939">
        <f>ROW()</f>
        <v>939</v>
      </c>
    </row>
    <row r="940" spans="1:2" x14ac:dyDescent="0.2">
      <c r="A940" s="27" t="e">
        <f>#REF!&amp;"_"&amp;#REF!</f>
        <v>#REF!</v>
      </c>
      <c r="B940">
        <f>ROW()</f>
        <v>940</v>
      </c>
    </row>
    <row r="941" spans="1:2" x14ac:dyDescent="0.2">
      <c r="A941" s="27" t="e">
        <f>#REF!&amp;"_"&amp;#REF!</f>
        <v>#REF!</v>
      </c>
      <c r="B941">
        <f>ROW()</f>
        <v>941</v>
      </c>
    </row>
    <row r="942" spans="1:2" x14ac:dyDescent="0.2">
      <c r="A942" s="27" t="e">
        <f>#REF!&amp;"_"&amp;#REF!</f>
        <v>#REF!</v>
      </c>
      <c r="B942">
        <f>ROW()</f>
        <v>942</v>
      </c>
    </row>
    <row r="943" spans="1:2" x14ac:dyDescent="0.2">
      <c r="A943" s="27" t="e">
        <f>#REF!&amp;"_"&amp;#REF!</f>
        <v>#REF!</v>
      </c>
      <c r="B943">
        <f>ROW()</f>
        <v>943</v>
      </c>
    </row>
    <row r="944" spans="1:2" x14ac:dyDescent="0.2">
      <c r="A944" s="27" t="e">
        <f>#REF!&amp;"_"&amp;#REF!</f>
        <v>#REF!</v>
      </c>
      <c r="B944">
        <f>ROW()</f>
        <v>944</v>
      </c>
    </row>
    <row r="945" spans="1:2" x14ac:dyDescent="0.2">
      <c r="A945" s="27" t="e">
        <f>#REF!&amp;"_"&amp;#REF!</f>
        <v>#REF!</v>
      </c>
      <c r="B945">
        <f>ROW()</f>
        <v>945</v>
      </c>
    </row>
    <row r="946" spans="1:2" x14ac:dyDescent="0.2">
      <c r="A946" s="27" t="e">
        <f>#REF!&amp;"_"&amp;#REF!</f>
        <v>#REF!</v>
      </c>
      <c r="B946">
        <f>ROW()</f>
        <v>946</v>
      </c>
    </row>
    <row r="947" spans="1:2" x14ac:dyDescent="0.2">
      <c r="A947" s="27" t="e">
        <f>#REF!&amp;"_"&amp;#REF!</f>
        <v>#REF!</v>
      </c>
      <c r="B947">
        <f>ROW()</f>
        <v>947</v>
      </c>
    </row>
    <row r="948" spans="1:2" x14ac:dyDescent="0.2">
      <c r="A948" s="27" t="e">
        <f>#REF!&amp;"_"&amp;#REF!</f>
        <v>#REF!</v>
      </c>
      <c r="B948">
        <f>ROW()</f>
        <v>948</v>
      </c>
    </row>
    <row r="949" spans="1:2" x14ac:dyDescent="0.2">
      <c r="A949" s="27" t="e">
        <f>#REF!&amp;"_"&amp;#REF!</f>
        <v>#REF!</v>
      </c>
      <c r="B949">
        <f>ROW()</f>
        <v>949</v>
      </c>
    </row>
    <row r="950" spans="1:2" x14ac:dyDescent="0.2">
      <c r="A950" s="27" t="e">
        <f>#REF!&amp;"_"&amp;#REF!</f>
        <v>#REF!</v>
      </c>
      <c r="B950">
        <f>ROW()</f>
        <v>950</v>
      </c>
    </row>
    <row r="951" spans="1:2" x14ac:dyDescent="0.2">
      <c r="A951" s="27" t="e">
        <f>#REF!&amp;"_"&amp;#REF!</f>
        <v>#REF!</v>
      </c>
      <c r="B951">
        <f>ROW()</f>
        <v>951</v>
      </c>
    </row>
    <row r="952" spans="1:2" x14ac:dyDescent="0.2">
      <c r="A952" s="27" t="e">
        <f>#REF!&amp;"_"&amp;#REF!</f>
        <v>#REF!</v>
      </c>
      <c r="B952">
        <f>ROW()</f>
        <v>952</v>
      </c>
    </row>
    <row r="953" spans="1:2" x14ac:dyDescent="0.2">
      <c r="A953" s="27" t="e">
        <f>#REF!&amp;"_"&amp;#REF!</f>
        <v>#REF!</v>
      </c>
      <c r="B953">
        <f>ROW()</f>
        <v>953</v>
      </c>
    </row>
    <row r="954" spans="1:2" x14ac:dyDescent="0.2">
      <c r="A954" s="27" t="e">
        <f>#REF!&amp;"_"&amp;#REF!</f>
        <v>#REF!</v>
      </c>
      <c r="B954">
        <f>ROW()</f>
        <v>954</v>
      </c>
    </row>
    <row r="955" spans="1:2" x14ac:dyDescent="0.2">
      <c r="A955" s="27" t="e">
        <f>#REF!&amp;"_"&amp;#REF!</f>
        <v>#REF!</v>
      </c>
      <c r="B955">
        <f>ROW()</f>
        <v>955</v>
      </c>
    </row>
    <row r="956" spans="1:2" x14ac:dyDescent="0.2">
      <c r="A956" s="27" t="e">
        <f>#REF!&amp;"_"&amp;#REF!</f>
        <v>#REF!</v>
      </c>
      <c r="B956">
        <f>ROW()</f>
        <v>956</v>
      </c>
    </row>
    <row r="957" spans="1:2" x14ac:dyDescent="0.2">
      <c r="A957" s="27" t="e">
        <f>#REF!&amp;"_"&amp;#REF!</f>
        <v>#REF!</v>
      </c>
      <c r="B957">
        <f>ROW()</f>
        <v>957</v>
      </c>
    </row>
    <row r="958" spans="1:2" x14ac:dyDescent="0.2">
      <c r="A958" s="27" t="e">
        <f>#REF!&amp;"_"&amp;#REF!</f>
        <v>#REF!</v>
      </c>
      <c r="B958">
        <f>ROW()</f>
        <v>958</v>
      </c>
    </row>
    <row r="959" spans="1:2" x14ac:dyDescent="0.2">
      <c r="A959" s="27" t="e">
        <f>#REF!&amp;"_"&amp;#REF!</f>
        <v>#REF!</v>
      </c>
      <c r="B959">
        <f>ROW()</f>
        <v>959</v>
      </c>
    </row>
    <row r="960" spans="1:2" x14ac:dyDescent="0.2">
      <c r="A960" s="27" t="e">
        <f>#REF!&amp;"_"&amp;#REF!</f>
        <v>#REF!</v>
      </c>
      <c r="B960">
        <f>ROW()</f>
        <v>960</v>
      </c>
    </row>
    <row r="961" spans="1:2" x14ac:dyDescent="0.2">
      <c r="A961" s="27" t="e">
        <f>#REF!&amp;"_"&amp;#REF!</f>
        <v>#REF!</v>
      </c>
      <c r="B961">
        <f>ROW()</f>
        <v>961</v>
      </c>
    </row>
    <row r="962" spans="1:2" x14ac:dyDescent="0.2">
      <c r="A962" s="27" t="e">
        <f>#REF!&amp;"_"&amp;#REF!</f>
        <v>#REF!</v>
      </c>
      <c r="B962">
        <f>ROW()</f>
        <v>962</v>
      </c>
    </row>
    <row r="963" spans="1:2" x14ac:dyDescent="0.2">
      <c r="A963" s="27" t="e">
        <f>#REF!&amp;"_"&amp;#REF!</f>
        <v>#REF!</v>
      </c>
      <c r="B963">
        <f>ROW()</f>
        <v>963</v>
      </c>
    </row>
    <row r="964" spans="1:2" x14ac:dyDescent="0.2">
      <c r="A964" s="27" t="e">
        <f>#REF!&amp;"_"&amp;#REF!</f>
        <v>#REF!</v>
      </c>
      <c r="B964">
        <f>ROW()</f>
        <v>964</v>
      </c>
    </row>
    <row r="965" spans="1:2" x14ac:dyDescent="0.2">
      <c r="A965" s="27" t="e">
        <f>#REF!&amp;"_"&amp;#REF!</f>
        <v>#REF!</v>
      </c>
      <c r="B965">
        <f>ROW()</f>
        <v>965</v>
      </c>
    </row>
    <row r="966" spans="1:2" x14ac:dyDescent="0.2">
      <c r="A966" s="27" t="e">
        <f>#REF!&amp;"_"&amp;#REF!</f>
        <v>#REF!</v>
      </c>
      <c r="B966">
        <f>ROW()</f>
        <v>966</v>
      </c>
    </row>
    <row r="967" spans="1:2" x14ac:dyDescent="0.2">
      <c r="A967" s="27" t="e">
        <f>#REF!&amp;"_"&amp;#REF!</f>
        <v>#REF!</v>
      </c>
      <c r="B967">
        <f>ROW()</f>
        <v>967</v>
      </c>
    </row>
    <row r="968" spans="1:2" x14ac:dyDescent="0.2">
      <c r="A968" s="27" t="e">
        <f>#REF!&amp;"_"&amp;#REF!</f>
        <v>#REF!</v>
      </c>
      <c r="B968">
        <f>ROW()</f>
        <v>968</v>
      </c>
    </row>
    <row r="969" spans="1:2" x14ac:dyDescent="0.2">
      <c r="A969" s="27" t="e">
        <f>#REF!&amp;"_"&amp;#REF!</f>
        <v>#REF!</v>
      </c>
      <c r="B969">
        <f>ROW()</f>
        <v>969</v>
      </c>
    </row>
    <row r="970" spans="1:2" x14ac:dyDescent="0.2">
      <c r="A970" s="27" t="e">
        <f>#REF!&amp;"_"&amp;#REF!</f>
        <v>#REF!</v>
      </c>
      <c r="B970">
        <f>ROW()</f>
        <v>970</v>
      </c>
    </row>
    <row r="971" spans="1:2" x14ac:dyDescent="0.2">
      <c r="A971" s="27" t="e">
        <f>#REF!&amp;"_"&amp;#REF!</f>
        <v>#REF!</v>
      </c>
      <c r="B971">
        <f>ROW()</f>
        <v>971</v>
      </c>
    </row>
    <row r="972" spans="1:2" x14ac:dyDescent="0.2">
      <c r="A972" s="27" t="e">
        <f>#REF!&amp;"_"&amp;#REF!</f>
        <v>#REF!</v>
      </c>
      <c r="B972">
        <f>ROW()</f>
        <v>972</v>
      </c>
    </row>
    <row r="973" spans="1:2" x14ac:dyDescent="0.2">
      <c r="A973" s="27" t="e">
        <f>#REF!&amp;"_"&amp;#REF!</f>
        <v>#REF!</v>
      </c>
      <c r="B973">
        <f>ROW()</f>
        <v>973</v>
      </c>
    </row>
    <row r="974" spans="1:2" x14ac:dyDescent="0.2">
      <c r="A974" s="27" t="e">
        <f>#REF!&amp;"_"&amp;#REF!</f>
        <v>#REF!</v>
      </c>
      <c r="B974">
        <f>ROW()</f>
        <v>974</v>
      </c>
    </row>
    <row r="975" spans="1:2" x14ac:dyDescent="0.2">
      <c r="A975" s="27" t="e">
        <f>#REF!&amp;"_"&amp;#REF!</f>
        <v>#REF!</v>
      </c>
      <c r="B975">
        <f>ROW()</f>
        <v>975</v>
      </c>
    </row>
    <row r="976" spans="1:2" x14ac:dyDescent="0.2">
      <c r="A976" s="27" t="e">
        <f>#REF!&amp;"_"&amp;#REF!</f>
        <v>#REF!</v>
      </c>
      <c r="B976">
        <f>ROW()</f>
        <v>976</v>
      </c>
    </row>
    <row r="977" spans="1:2" x14ac:dyDescent="0.2">
      <c r="A977" s="27" t="e">
        <f>#REF!&amp;"_"&amp;#REF!</f>
        <v>#REF!</v>
      </c>
      <c r="B977">
        <f>ROW()</f>
        <v>977</v>
      </c>
    </row>
    <row r="978" spans="1:2" x14ac:dyDescent="0.2">
      <c r="A978" s="27" t="e">
        <f>#REF!&amp;"_"&amp;#REF!</f>
        <v>#REF!</v>
      </c>
      <c r="B978">
        <f>ROW()</f>
        <v>978</v>
      </c>
    </row>
    <row r="979" spans="1:2" x14ac:dyDescent="0.2">
      <c r="A979" s="27" t="e">
        <f>#REF!&amp;"_"&amp;#REF!</f>
        <v>#REF!</v>
      </c>
      <c r="B979">
        <f>ROW()</f>
        <v>979</v>
      </c>
    </row>
    <row r="980" spans="1:2" x14ac:dyDescent="0.2">
      <c r="A980" s="27" t="e">
        <f>#REF!&amp;"_"&amp;#REF!</f>
        <v>#REF!</v>
      </c>
      <c r="B980">
        <f>ROW()</f>
        <v>980</v>
      </c>
    </row>
    <row r="981" spans="1:2" x14ac:dyDescent="0.2">
      <c r="A981" s="27" t="e">
        <f>#REF!&amp;"_"&amp;#REF!</f>
        <v>#REF!</v>
      </c>
      <c r="B981">
        <f>ROW()</f>
        <v>981</v>
      </c>
    </row>
    <row r="982" spans="1:2" x14ac:dyDescent="0.2">
      <c r="A982" s="27" t="e">
        <f>#REF!&amp;"_"&amp;#REF!</f>
        <v>#REF!</v>
      </c>
      <c r="B982">
        <f>ROW()</f>
        <v>982</v>
      </c>
    </row>
    <row r="983" spans="1:2" x14ac:dyDescent="0.2">
      <c r="A983" s="27" t="e">
        <f>#REF!&amp;"_"&amp;#REF!</f>
        <v>#REF!</v>
      </c>
      <c r="B983">
        <f>ROW()</f>
        <v>983</v>
      </c>
    </row>
    <row r="984" spans="1:2" x14ac:dyDescent="0.2">
      <c r="A984" s="27" t="e">
        <f>#REF!&amp;"_"&amp;#REF!</f>
        <v>#REF!</v>
      </c>
      <c r="B984">
        <f>ROW()</f>
        <v>984</v>
      </c>
    </row>
    <row r="985" spans="1:2" x14ac:dyDescent="0.2">
      <c r="A985" s="27" t="e">
        <f>#REF!&amp;"_"&amp;#REF!</f>
        <v>#REF!</v>
      </c>
      <c r="B985">
        <f>ROW()</f>
        <v>985</v>
      </c>
    </row>
    <row r="986" spans="1:2" x14ac:dyDescent="0.2">
      <c r="A986" s="27" t="e">
        <f>#REF!&amp;"_"&amp;#REF!</f>
        <v>#REF!</v>
      </c>
      <c r="B986">
        <f>ROW()</f>
        <v>986</v>
      </c>
    </row>
    <row r="987" spans="1:2" x14ac:dyDescent="0.2">
      <c r="A987" s="27" t="e">
        <f>#REF!&amp;"_"&amp;#REF!</f>
        <v>#REF!</v>
      </c>
      <c r="B987">
        <f>ROW()</f>
        <v>987</v>
      </c>
    </row>
    <row r="988" spans="1:2" x14ac:dyDescent="0.2">
      <c r="A988" s="27" t="e">
        <f>#REF!&amp;"_"&amp;#REF!</f>
        <v>#REF!</v>
      </c>
      <c r="B988">
        <f>ROW()</f>
        <v>988</v>
      </c>
    </row>
    <row r="989" spans="1:2" x14ac:dyDescent="0.2">
      <c r="A989" s="27" t="e">
        <f>#REF!&amp;"_"&amp;#REF!</f>
        <v>#REF!</v>
      </c>
      <c r="B989">
        <f>ROW()</f>
        <v>989</v>
      </c>
    </row>
    <row r="990" spans="1:2" x14ac:dyDescent="0.2">
      <c r="A990" s="27" t="e">
        <f>#REF!&amp;"_"&amp;#REF!</f>
        <v>#REF!</v>
      </c>
      <c r="B990">
        <f>ROW()</f>
        <v>990</v>
      </c>
    </row>
    <row r="991" spans="1:2" x14ac:dyDescent="0.2">
      <c r="A991" s="27" t="e">
        <f>#REF!&amp;"_"&amp;#REF!</f>
        <v>#REF!</v>
      </c>
      <c r="B991">
        <f>ROW()</f>
        <v>991</v>
      </c>
    </row>
    <row r="992" spans="1:2" x14ac:dyDescent="0.2">
      <c r="A992" s="27" t="e">
        <f>#REF!&amp;"_"&amp;#REF!</f>
        <v>#REF!</v>
      </c>
      <c r="B992">
        <f>ROW()</f>
        <v>992</v>
      </c>
    </row>
    <row r="993" spans="1:2" x14ac:dyDescent="0.2">
      <c r="A993" s="27" t="e">
        <f>#REF!&amp;"_"&amp;#REF!</f>
        <v>#REF!</v>
      </c>
      <c r="B993">
        <f>ROW()</f>
        <v>993</v>
      </c>
    </row>
    <row r="994" spans="1:2" x14ac:dyDescent="0.2">
      <c r="A994" s="27" t="e">
        <f>#REF!&amp;"_"&amp;#REF!</f>
        <v>#REF!</v>
      </c>
      <c r="B994">
        <f>ROW()</f>
        <v>994</v>
      </c>
    </row>
    <row r="995" spans="1:2" x14ac:dyDescent="0.2">
      <c r="A995" s="27" t="e">
        <f>#REF!&amp;"_"&amp;#REF!</f>
        <v>#REF!</v>
      </c>
      <c r="B995">
        <f>ROW()</f>
        <v>995</v>
      </c>
    </row>
    <row r="996" spans="1:2" x14ac:dyDescent="0.2">
      <c r="A996" s="27" t="e">
        <f>#REF!&amp;"_"&amp;#REF!</f>
        <v>#REF!</v>
      </c>
      <c r="B996">
        <f>ROW()</f>
        <v>996</v>
      </c>
    </row>
    <row r="997" spans="1:2" x14ac:dyDescent="0.2">
      <c r="A997" s="27" t="e">
        <f>#REF!&amp;"_"&amp;#REF!</f>
        <v>#REF!</v>
      </c>
      <c r="B997">
        <f>ROW()</f>
        <v>997</v>
      </c>
    </row>
    <row r="998" spans="1:2" x14ac:dyDescent="0.2">
      <c r="A998" s="27" t="e">
        <f>#REF!&amp;"_"&amp;#REF!</f>
        <v>#REF!</v>
      </c>
      <c r="B998">
        <f>ROW()</f>
        <v>998</v>
      </c>
    </row>
    <row r="999" spans="1:2" x14ac:dyDescent="0.2">
      <c r="A999" s="27" t="e">
        <f>#REF!&amp;"_"&amp;#REF!</f>
        <v>#REF!</v>
      </c>
      <c r="B999">
        <f>ROW()</f>
        <v>999</v>
      </c>
    </row>
    <row r="1000" spans="1:2" x14ac:dyDescent="0.2">
      <c r="A1000" s="27" t="e">
        <f>#REF!&amp;"_"&amp;#REF!</f>
        <v>#REF!</v>
      </c>
      <c r="B1000">
        <f>ROW()</f>
        <v>1000</v>
      </c>
    </row>
    <row r="1001" spans="1:2" x14ac:dyDescent="0.2">
      <c r="A1001" s="27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4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9.140625" defaultRowHeight="9" x14ac:dyDescent="0.15"/>
  <cols>
    <col min="1" max="2" width="9.140625" style="75"/>
    <col min="3" max="89" width="9.140625" style="74"/>
    <col min="90" max="16384" width="9.140625" style="103"/>
  </cols>
  <sheetData>
    <row r="1" spans="1:89" s="104" customFormat="1" ht="12.75" x14ac:dyDescent="0.2">
      <c r="A1" s="115" t="s">
        <v>20</v>
      </c>
      <c r="B1" s="115" t="s">
        <v>6</v>
      </c>
      <c r="C1" s="118">
        <v>0</v>
      </c>
      <c r="D1" s="118">
        <v>0.33300000000000002</v>
      </c>
      <c r="E1" s="118">
        <v>0.66700000000000004</v>
      </c>
      <c r="F1" s="118">
        <v>1</v>
      </c>
      <c r="G1" s="118">
        <v>1.5</v>
      </c>
      <c r="H1" s="118">
        <v>2</v>
      </c>
      <c r="I1" s="118">
        <v>2.5</v>
      </c>
      <c r="J1" s="118">
        <v>3</v>
      </c>
      <c r="K1" s="118">
        <v>3.5</v>
      </c>
      <c r="L1" s="118">
        <v>4</v>
      </c>
      <c r="M1" s="118">
        <v>6</v>
      </c>
      <c r="N1" s="118">
        <v>8</v>
      </c>
      <c r="O1" s="118">
        <v>12</v>
      </c>
      <c r="P1" s="118">
        <v>24</v>
      </c>
      <c r="Q1" s="118">
        <v>36</v>
      </c>
      <c r="R1" s="118">
        <v>48</v>
      </c>
      <c r="S1" s="118">
        <v>72</v>
      </c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</row>
    <row r="2" spans="1:89" ht="12.75" x14ac:dyDescent="0.2">
      <c r="A2" s="119">
        <v>1</v>
      </c>
      <c r="B2" s="120">
        <v>1</v>
      </c>
      <c r="C2" s="121" t="s">
        <v>81</v>
      </c>
      <c r="D2" s="121" t="s">
        <v>81</v>
      </c>
      <c r="E2" s="121">
        <v>2.4</v>
      </c>
      <c r="F2" s="121">
        <v>4.5</v>
      </c>
      <c r="G2" s="121">
        <v>15.4</v>
      </c>
      <c r="H2" s="121">
        <v>13</v>
      </c>
      <c r="I2" s="121">
        <v>10.32</v>
      </c>
      <c r="J2" s="121">
        <v>8.4</v>
      </c>
      <c r="K2" s="121">
        <v>7.53</v>
      </c>
      <c r="L2" s="121">
        <v>4.34</v>
      </c>
      <c r="M2" s="121">
        <v>3.88</v>
      </c>
      <c r="N2" s="121">
        <v>2</v>
      </c>
      <c r="O2" s="121">
        <v>1.35</v>
      </c>
      <c r="P2" s="121">
        <v>1.23</v>
      </c>
      <c r="Q2" s="121">
        <v>0.94</v>
      </c>
      <c r="R2" s="121">
        <v>0.21</v>
      </c>
      <c r="S2" s="121">
        <v>0.14000000000000001</v>
      </c>
    </row>
    <row r="3" spans="1:89" ht="12.75" x14ac:dyDescent="0.2">
      <c r="A3" s="112">
        <v>2</v>
      </c>
      <c r="B3" s="120">
        <v>1</v>
      </c>
      <c r="C3" s="121" t="s">
        <v>81</v>
      </c>
      <c r="D3" s="121" t="s">
        <v>81</v>
      </c>
      <c r="E3" s="121" t="s">
        <v>81</v>
      </c>
      <c r="F3" s="121" t="s">
        <v>81</v>
      </c>
      <c r="G3" s="121" t="s">
        <v>81</v>
      </c>
      <c r="H3" s="121" t="s">
        <v>81</v>
      </c>
      <c r="I3" s="121">
        <v>0.8</v>
      </c>
      <c r="J3" s="121">
        <v>2.5099999999999998</v>
      </c>
      <c r="K3" s="121">
        <v>4.32</v>
      </c>
      <c r="L3" s="121">
        <v>5.21</v>
      </c>
      <c r="M3" s="121" t="s">
        <v>82</v>
      </c>
      <c r="N3" s="121">
        <v>9.07</v>
      </c>
      <c r="O3" s="121">
        <v>16.59</v>
      </c>
      <c r="P3" s="121">
        <v>23.32</v>
      </c>
      <c r="Q3" s="121">
        <v>16.11</v>
      </c>
      <c r="R3" s="121">
        <v>16.010000000000002</v>
      </c>
      <c r="S3" s="121">
        <v>15.08</v>
      </c>
    </row>
    <row r="4" spans="1:89" ht="12.75" x14ac:dyDescent="0.2">
      <c r="A4" s="112"/>
      <c r="B4" s="111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</row>
    <row r="5" spans="1:89" ht="12.75" x14ac:dyDescent="0.2">
      <c r="A5" s="112"/>
      <c r="B5" s="111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</row>
    <row r="6" spans="1:89" ht="12.75" x14ac:dyDescent="0.2">
      <c r="A6" s="112"/>
      <c r="B6" s="111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</row>
    <row r="7" spans="1:89" ht="12.75" x14ac:dyDescent="0.2">
      <c r="A7" s="112"/>
      <c r="B7" s="111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</row>
    <row r="8" spans="1:89" ht="12.75" x14ac:dyDescent="0.2">
      <c r="A8" s="112"/>
      <c r="B8" s="111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</row>
    <row r="9" spans="1:89" ht="12.75" x14ac:dyDescent="0.2">
      <c r="A9" s="112"/>
      <c r="B9" s="111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</row>
    <row r="10" spans="1:89" ht="12.75" x14ac:dyDescent="0.2">
      <c r="A10" s="112"/>
      <c r="B10" s="111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</row>
    <row r="11" spans="1:89" ht="12.75" x14ac:dyDescent="0.2">
      <c r="A11" s="112"/>
      <c r="B11" s="111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</row>
    <row r="12" spans="1:89" ht="12.75" x14ac:dyDescent="0.2">
      <c r="A12" s="112"/>
      <c r="B12" s="111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</row>
    <row r="13" spans="1:89" ht="12.75" x14ac:dyDescent="0.2">
      <c r="A13" s="112"/>
      <c r="B13" s="111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</row>
    <row r="14" spans="1:89" ht="12.75" x14ac:dyDescent="0.2">
      <c r="A14" s="112"/>
      <c r="B14" s="111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</row>
    <row r="15" spans="1:89" ht="12.75" x14ac:dyDescent="0.2">
      <c r="A15" s="112"/>
      <c r="B15" s="111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</row>
    <row r="16" spans="1:89" ht="12.75" x14ac:dyDescent="0.2">
      <c r="A16" s="112"/>
      <c r="B16" s="111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</row>
    <row r="17" spans="1:19" ht="12.75" x14ac:dyDescent="0.2">
      <c r="A17" s="112"/>
      <c r="B17" s="111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</row>
    <row r="18" spans="1:19" ht="12.75" x14ac:dyDescent="0.2">
      <c r="A18" s="112"/>
      <c r="B18" s="111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</row>
    <row r="19" spans="1:19" ht="12.75" x14ac:dyDescent="0.2">
      <c r="A19" s="112"/>
      <c r="B19" s="111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</row>
    <row r="20" spans="1:19" ht="12.75" x14ac:dyDescent="0.2">
      <c r="A20" s="112"/>
      <c r="B20" s="111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</row>
    <row r="21" spans="1:19" ht="12.75" x14ac:dyDescent="0.2">
      <c r="A21" s="112"/>
      <c r="B21" s="111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</row>
    <row r="22" spans="1:19" ht="12.75" x14ac:dyDescent="0.2">
      <c r="A22" s="112"/>
      <c r="B22" s="111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</row>
    <row r="23" spans="1:19" ht="12.75" x14ac:dyDescent="0.2">
      <c r="A23" s="112"/>
      <c r="B23" s="111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</row>
    <row r="24" spans="1:19" ht="12.75" x14ac:dyDescent="0.2">
      <c r="A24" s="112"/>
      <c r="B24" s="111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</row>
    <row r="25" spans="1:19" ht="12.75" x14ac:dyDescent="0.2">
      <c r="A25" s="112"/>
      <c r="B25" s="111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</row>
    <row r="26" spans="1:19" ht="12.75" x14ac:dyDescent="0.2">
      <c r="A26" s="112"/>
      <c r="B26" s="111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</row>
    <row r="27" spans="1:19" ht="12.75" x14ac:dyDescent="0.2">
      <c r="A27" s="112"/>
      <c r="B27" s="111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</row>
    <row r="28" spans="1:19" ht="12.75" x14ac:dyDescent="0.2">
      <c r="A28" s="112"/>
      <c r="B28" s="111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</row>
    <row r="29" spans="1:19" ht="12.75" x14ac:dyDescent="0.2">
      <c r="A29" s="112"/>
      <c r="B29" s="111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</row>
    <row r="30" spans="1:19" ht="12.75" x14ac:dyDescent="0.2">
      <c r="A30" s="112"/>
      <c r="B30" s="111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</row>
    <row r="31" spans="1:19" ht="12.75" x14ac:dyDescent="0.2">
      <c r="A31" s="112"/>
      <c r="B31" s="111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</row>
    <row r="32" spans="1:19" ht="12.75" x14ac:dyDescent="0.2">
      <c r="A32" s="112"/>
      <c r="B32" s="111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</row>
    <row r="33" spans="1:19" ht="12.75" x14ac:dyDescent="0.2">
      <c r="A33" s="112"/>
      <c r="B33" s="111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</row>
    <row r="34" spans="1:19" ht="12.75" x14ac:dyDescent="0.2">
      <c r="A34" s="112"/>
      <c r="B34" s="111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</row>
    <row r="35" spans="1:19" ht="12.75" x14ac:dyDescent="0.2">
      <c r="A35" s="112"/>
      <c r="B35" s="111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</row>
    <row r="36" spans="1:19" ht="12.75" x14ac:dyDescent="0.2">
      <c r="A36" s="112"/>
      <c r="B36" s="111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</row>
    <row r="37" spans="1:19" ht="12.75" x14ac:dyDescent="0.2">
      <c r="A37" s="112"/>
      <c r="B37" s="111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</row>
    <row r="38" spans="1:19" ht="12.75" x14ac:dyDescent="0.2">
      <c r="A38" s="112"/>
      <c r="B38" s="111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19" ht="12.75" x14ac:dyDescent="0.2">
      <c r="A39" s="112"/>
      <c r="B39" s="111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19" ht="12.75" x14ac:dyDescent="0.2">
      <c r="A40" s="112"/>
      <c r="B40" s="111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19" ht="12.75" x14ac:dyDescent="0.2">
      <c r="A41" s="112"/>
      <c r="B41" s="111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19" ht="12.75" x14ac:dyDescent="0.2">
      <c r="A42" s="112"/>
      <c r="B42" s="111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19" ht="12.75" x14ac:dyDescent="0.2">
      <c r="A43" s="112"/>
      <c r="B43" s="111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19" ht="12.75" x14ac:dyDescent="0.2">
      <c r="A44" s="112"/>
      <c r="B44" s="111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19" ht="12.75" x14ac:dyDescent="0.2">
      <c r="A45" s="112"/>
      <c r="B45" s="111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19" ht="12.75" x14ac:dyDescent="0.2">
      <c r="A46" s="112"/>
      <c r="B46" s="111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19" ht="12.75" x14ac:dyDescent="0.2">
      <c r="A47" s="112"/>
      <c r="B47" s="111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19" ht="12.75" x14ac:dyDescent="0.2">
      <c r="A48" s="114"/>
      <c r="B48" s="111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2.75" x14ac:dyDescent="0.2">
      <c r="A49" s="114"/>
      <c r="B49" s="111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</sheetData>
  <sortState xmlns:xlrd2="http://schemas.microsoft.com/office/spreadsheetml/2017/richdata2" ref="A2:S29">
    <sortCondition ref="A2:A29"/>
    <sortCondition ref="B2:B29"/>
  </sortState>
  <phoneticPr fontId="4" type="noConversion"/>
  <conditionalFormatting sqref="A2:XFD1048576 T1:XFD3">
    <cfRule type="cellIs" dxfId="2" priority="5" operator="lessThan">
      <formula>0</formula>
    </cfRule>
    <cfRule type="cellIs" dxfId="0" priority="1" operator="equal">
      <formula>"NS"</formula>
    </cfRule>
  </conditionalFormatting>
  <conditionalFormatting sqref="A2:XFD1048576 T1:XFD1">
    <cfRule type="cellIs" dxfId="1" priority="4" operator="equal">
      <formula>"BLQ"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1000"/>
  <sheetViews>
    <sheetView topLeftCell="B1" workbookViewId="0">
      <selection activeCell="B1" sqref="B1"/>
    </sheetView>
  </sheetViews>
  <sheetFormatPr defaultColWidth="9.140625" defaultRowHeight="12.75" x14ac:dyDescent="0.2"/>
  <cols>
    <col min="1" max="1" width="15" style="95" hidden="1" customWidth="1"/>
    <col min="2" max="2" width="9.140625" style="96"/>
    <col min="3" max="3" width="8.7109375" style="26" customWidth="1"/>
    <col min="4" max="4" width="17.28515625" style="26" customWidth="1"/>
    <col min="5" max="5" width="13.42578125" style="102" customWidth="1"/>
    <col min="6" max="16384" width="9.140625" style="97"/>
  </cols>
  <sheetData>
    <row r="1" spans="1:6" x14ac:dyDescent="0.2">
      <c r="B1" s="99" t="s">
        <v>20</v>
      </c>
      <c r="C1" s="97" t="s">
        <v>6</v>
      </c>
      <c r="D1" s="97" t="s">
        <v>64</v>
      </c>
      <c r="E1" s="106" t="s">
        <v>78</v>
      </c>
      <c r="F1" s="97" t="s">
        <v>57</v>
      </c>
    </row>
    <row r="2" spans="1:6" x14ac:dyDescent="0.2">
      <c r="A2" s="98" t="str">
        <f>B2&amp;"_"&amp;C2&amp;"_"&amp;D2</f>
        <v>4_2_1</v>
      </c>
      <c r="B2" s="116">
        <v>4</v>
      </c>
      <c r="C2" s="116">
        <v>2</v>
      </c>
      <c r="D2" s="117">
        <v>1</v>
      </c>
      <c r="E2" s="110">
        <v>6</v>
      </c>
      <c r="F2" s="97" t="str">
        <f>IF(ISERROR(HLOOKUP(D2,Data!$1:$1,1,FALSE)),"PROBLEM - Scheduled time not found.","")</f>
        <v/>
      </c>
    </row>
    <row r="3" spans="1:6" x14ac:dyDescent="0.2">
      <c r="A3" s="98" t="str">
        <f t="shared" ref="A3:A66" si="0">B3&amp;"_"&amp;C3&amp;"_"&amp;D3</f>
        <v>5_1_48</v>
      </c>
      <c r="B3" s="116">
        <v>5</v>
      </c>
      <c r="C3" s="116">
        <v>1</v>
      </c>
      <c r="D3" s="117">
        <v>48</v>
      </c>
      <c r="E3" s="110">
        <v>43</v>
      </c>
      <c r="F3" s="97" t="str">
        <f>IF(ISERROR(HLOOKUP(D3,Data!$1:$1,1,FALSE)),"PROBLEM - Scheduled time not found.","")</f>
        <v/>
      </c>
    </row>
    <row r="4" spans="1:6" x14ac:dyDescent="0.2">
      <c r="A4" s="98" t="str">
        <f t="shared" si="0"/>
        <v>__</v>
      </c>
      <c r="B4" s="107"/>
      <c r="C4" s="107"/>
      <c r="D4" s="108"/>
      <c r="E4" s="109"/>
      <c r="F4" s="97" t="str">
        <f>IF(ISERROR(HLOOKUP(D4,Data!$1:$1,1,FALSE)),"PROBLEM - Scheduled time not found.","")</f>
        <v/>
      </c>
    </row>
    <row r="5" spans="1:6" x14ac:dyDescent="0.2">
      <c r="A5" s="98" t="str">
        <f t="shared" si="0"/>
        <v>__</v>
      </c>
      <c r="B5" s="107"/>
      <c r="C5" s="107"/>
      <c r="D5" s="108"/>
      <c r="E5" s="109"/>
      <c r="F5" s="97" t="str">
        <f>IF(ISERROR(HLOOKUP(D5,Data!$1:$1,1,FALSE)),"PROBLEM - Scheduled time not found.","")</f>
        <v/>
      </c>
    </row>
    <row r="6" spans="1:6" x14ac:dyDescent="0.2">
      <c r="A6" s="98" t="str">
        <f t="shared" si="0"/>
        <v>__</v>
      </c>
      <c r="B6" s="107"/>
      <c r="C6" s="107"/>
      <c r="D6" s="108"/>
      <c r="E6" s="109"/>
      <c r="F6" s="97" t="str">
        <f>IF(ISERROR(HLOOKUP(D6,Data!$1:$1,1,FALSE)),"PROBLEM - Scheduled time not found.","")</f>
        <v/>
      </c>
    </row>
    <row r="7" spans="1:6" x14ac:dyDescent="0.2">
      <c r="A7" s="98" t="str">
        <f t="shared" si="0"/>
        <v>__</v>
      </c>
      <c r="B7" s="107"/>
      <c r="C7" s="107"/>
      <c r="D7" s="108"/>
      <c r="E7" s="109"/>
      <c r="F7" s="97" t="str">
        <f>IF(ISERROR(HLOOKUP(D7,Data!$1:$1,1,FALSE)),"PROBLEM - Scheduled time not found.","")</f>
        <v/>
      </c>
    </row>
    <row r="8" spans="1:6" x14ac:dyDescent="0.2">
      <c r="A8" s="98" t="str">
        <f t="shared" si="0"/>
        <v>__</v>
      </c>
      <c r="B8" s="107"/>
      <c r="C8" s="107"/>
      <c r="D8" s="108"/>
      <c r="E8" s="109"/>
      <c r="F8" s="97" t="str">
        <f>IF(ISERROR(HLOOKUP(D8,Data!$1:$1,1,FALSE)),"PROBLEM - Scheduled time not found.","")</f>
        <v/>
      </c>
    </row>
    <row r="9" spans="1:6" x14ac:dyDescent="0.2">
      <c r="A9" s="98" t="str">
        <f t="shared" si="0"/>
        <v>__</v>
      </c>
      <c r="B9" s="107"/>
      <c r="C9" s="107"/>
      <c r="D9" s="108"/>
      <c r="E9" s="109"/>
      <c r="F9" s="97" t="str">
        <f>IF(ISERROR(HLOOKUP(D9,Data!$1:$1,1,FALSE)),"PROBLEM - Scheduled time not found.","")</f>
        <v/>
      </c>
    </row>
    <row r="10" spans="1:6" x14ac:dyDescent="0.2">
      <c r="A10" s="98" t="str">
        <f t="shared" si="0"/>
        <v>__</v>
      </c>
      <c r="B10" s="107"/>
      <c r="C10" s="107"/>
      <c r="D10" s="108"/>
      <c r="E10" s="109"/>
      <c r="F10" s="97" t="str">
        <f>IF(ISERROR(HLOOKUP(D10,Data!$1:$1,1,FALSE)),"PROBLEM - Scheduled time not found.","")</f>
        <v/>
      </c>
    </row>
    <row r="11" spans="1:6" x14ac:dyDescent="0.2">
      <c r="A11" s="98" t="str">
        <f t="shared" si="0"/>
        <v>__</v>
      </c>
      <c r="B11" s="107"/>
      <c r="C11" s="107"/>
      <c r="D11" s="108"/>
      <c r="E11" s="109"/>
      <c r="F11" s="97" t="str">
        <f>IF(ISERROR(HLOOKUP(D11,Data!$1:$1,1,FALSE)),"PROBLEM - Scheduled time not found.","")</f>
        <v/>
      </c>
    </row>
    <row r="12" spans="1:6" x14ac:dyDescent="0.2">
      <c r="A12" s="98" t="str">
        <f t="shared" si="0"/>
        <v>__</v>
      </c>
      <c r="B12" s="107"/>
      <c r="C12" s="107"/>
      <c r="D12" s="108"/>
      <c r="E12" s="109"/>
      <c r="F12" s="97" t="str">
        <f>IF(ISERROR(HLOOKUP(D12,Data!$1:$1,1,FALSE)),"PROBLEM - Scheduled time not found.","")</f>
        <v/>
      </c>
    </row>
    <row r="13" spans="1:6" x14ac:dyDescent="0.2">
      <c r="A13" s="98" t="str">
        <f t="shared" si="0"/>
        <v>__</v>
      </c>
      <c r="B13" s="107"/>
      <c r="C13" s="107"/>
      <c r="D13" s="108"/>
      <c r="E13" s="109"/>
      <c r="F13" s="97" t="str">
        <f>IF(ISERROR(HLOOKUP(D13,Data!$1:$1,1,FALSE)),"PROBLEM - Scheduled time not found.","")</f>
        <v/>
      </c>
    </row>
    <row r="14" spans="1:6" x14ac:dyDescent="0.2">
      <c r="A14" s="98" t="str">
        <f t="shared" si="0"/>
        <v>__</v>
      </c>
      <c r="B14" s="107"/>
      <c r="C14" s="107"/>
      <c r="D14" s="108"/>
      <c r="E14" s="109"/>
      <c r="F14" s="97" t="str">
        <f>IF(ISERROR(HLOOKUP(D14,Data!$1:$1,1,FALSE)),"PROBLEM - Scheduled time not found.","")</f>
        <v/>
      </c>
    </row>
    <row r="15" spans="1:6" x14ac:dyDescent="0.2">
      <c r="A15" s="98" t="str">
        <f t="shared" si="0"/>
        <v>__</v>
      </c>
      <c r="B15" s="107"/>
      <c r="C15" s="107"/>
      <c r="D15" s="108"/>
      <c r="E15" s="109"/>
      <c r="F15" s="97" t="str">
        <f>IF(ISERROR(HLOOKUP(D15,Data!$1:$1,1,FALSE)),"PROBLEM - Scheduled time not found.","")</f>
        <v/>
      </c>
    </row>
    <row r="16" spans="1:6" x14ac:dyDescent="0.2">
      <c r="A16" s="98" t="str">
        <f t="shared" si="0"/>
        <v>__</v>
      </c>
      <c r="B16" s="107"/>
      <c r="C16" s="107"/>
      <c r="D16" s="108"/>
      <c r="E16" s="109"/>
      <c r="F16" s="97" t="str">
        <f>IF(ISERROR(HLOOKUP(D16,Data!$1:$1,1,FALSE)),"PROBLEM - Scheduled time not found.","")</f>
        <v/>
      </c>
    </row>
    <row r="17" spans="1:6" x14ac:dyDescent="0.2">
      <c r="A17" s="98" t="str">
        <f t="shared" si="0"/>
        <v>__</v>
      </c>
      <c r="B17" s="107"/>
      <c r="C17" s="107"/>
      <c r="D17" s="108"/>
      <c r="E17" s="109"/>
      <c r="F17" s="97" t="str">
        <f>IF(ISERROR(HLOOKUP(D17,Data!$1:$1,1,FALSE)),"PROBLEM - Scheduled time not found.","")</f>
        <v/>
      </c>
    </row>
    <row r="18" spans="1:6" x14ac:dyDescent="0.2">
      <c r="A18" s="98" t="str">
        <f t="shared" si="0"/>
        <v>__</v>
      </c>
      <c r="B18" s="107"/>
      <c r="C18" s="107"/>
      <c r="D18" s="108"/>
      <c r="E18" s="109"/>
      <c r="F18" s="97" t="str">
        <f>IF(ISERROR(HLOOKUP(D18,Data!$1:$1,1,FALSE)),"PROBLEM - Scheduled time not found.","")</f>
        <v/>
      </c>
    </row>
    <row r="19" spans="1:6" x14ac:dyDescent="0.2">
      <c r="A19" s="98" t="str">
        <f t="shared" si="0"/>
        <v>__</v>
      </c>
      <c r="B19" s="107"/>
      <c r="C19" s="107"/>
      <c r="D19" s="108"/>
      <c r="E19" s="109"/>
      <c r="F19" s="97" t="str">
        <f>IF(ISERROR(HLOOKUP(D19,Data!$1:$1,1,FALSE)),"PROBLEM - Scheduled time not found.","")</f>
        <v/>
      </c>
    </row>
    <row r="20" spans="1:6" x14ac:dyDescent="0.2">
      <c r="A20" s="98" t="str">
        <f t="shared" si="0"/>
        <v>__</v>
      </c>
      <c r="B20" s="107"/>
      <c r="C20" s="107"/>
      <c r="D20" s="108"/>
      <c r="E20" s="109"/>
      <c r="F20" s="97" t="str">
        <f>IF(ISERROR(HLOOKUP(D20,Data!$1:$1,1,FALSE)),"PROBLEM - Scheduled time not found.","")</f>
        <v/>
      </c>
    </row>
    <row r="21" spans="1:6" x14ac:dyDescent="0.2">
      <c r="A21" s="98" t="str">
        <f t="shared" si="0"/>
        <v>__</v>
      </c>
      <c r="B21" s="107"/>
      <c r="C21" s="107"/>
      <c r="D21" s="108"/>
      <c r="E21" s="109"/>
      <c r="F21" s="97" t="str">
        <f>IF(ISERROR(HLOOKUP(D21,Data!$1:$1,1,FALSE)),"PROBLEM - Scheduled time not found.","")</f>
        <v/>
      </c>
    </row>
    <row r="22" spans="1:6" x14ac:dyDescent="0.2">
      <c r="A22" s="98" t="str">
        <f t="shared" si="0"/>
        <v>__</v>
      </c>
      <c r="B22" s="107"/>
      <c r="C22" s="107"/>
      <c r="D22" s="108"/>
      <c r="E22" s="109"/>
      <c r="F22" s="97" t="str">
        <f>IF(ISERROR(HLOOKUP(D22,Data!$1:$1,1,FALSE)),"PROBLEM - Scheduled time not found.","")</f>
        <v/>
      </c>
    </row>
    <row r="23" spans="1:6" x14ac:dyDescent="0.2">
      <c r="A23" s="98" t="str">
        <f t="shared" si="0"/>
        <v>__</v>
      </c>
      <c r="B23" s="107"/>
      <c r="C23" s="107"/>
      <c r="D23" s="108"/>
      <c r="E23" s="109"/>
      <c r="F23" s="97" t="str">
        <f>IF(ISERROR(HLOOKUP(D23,Data!$1:$1,1,FALSE)),"PROBLEM - Scheduled time not found.","")</f>
        <v/>
      </c>
    </row>
    <row r="24" spans="1:6" x14ac:dyDescent="0.2">
      <c r="A24" s="98" t="str">
        <f t="shared" si="0"/>
        <v>__</v>
      </c>
      <c r="B24" s="107"/>
      <c r="C24" s="107"/>
      <c r="D24" s="108"/>
      <c r="E24" s="109"/>
      <c r="F24" s="97" t="str">
        <f>IF(ISERROR(HLOOKUP(D24,Data!$1:$1,1,FALSE)),"PROBLEM - Scheduled time not found.","")</f>
        <v/>
      </c>
    </row>
    <row r="25" spans="1:6" x14ac:dyDescent="0.2">
      <c r="A25" s="98" t="str">
        <f t="shared" si="0"/>
        <v>__</v>
      </c>
      <c r="B25" s="107"/>
      <c r="C25" s="107"/>
      <c r="D25" s="108"/>
      <c r="E25" s="109"/>
      <c r="F25" s="97" t="str">
        <f>IF(ISERROR(HLOOKUP(D25,Data!$1:$1,1,FALSE)),"PROBLEM - Scheduled time not found.","")</f>
        <v/>
      </c>
    </row>
    <row r="26" spans="1:6" x14ac:dyDescent="0.2">
      <c r="A26" s="98" t="str">
        <f t="shared" si="0"/>
        <v>__</v>
      </c>
      <c r="B26" s="107"/>
      <c r="C26" s="107"/>
      <c r="D26" s="108"/>
      <c r="E26" s="109"/>
      <c r="F26" s="97" t="str">
        <f>IF(ISERROR(HLOOKUP(D26,Data!$1:$1,1,FALSE)),"PROBLEM - Scheduled time not found.","")</f>
        <v/>
      </c>
    </row>
    <row r="27" spans="1:6" x14ac:dyDescent="0.2">
      <c r="A27" s="98" t="str">
        <f t="shared" si="0"/>
        <v>__</v>
      </c>
      <c r="B27" s="107"/>
      <c r="C27" s="107"/>
      <c r="D27" s="108"/>
      <c r="E27" s="109"/>
      <c r="F27" s="97" t="str">
        <f>IF(ISERROR(HLOOKUP(D27,Data!$1:$1,1,FALSE)),"PROBLEM - Scheduled time not found.","")</f>
        <v/>
      </c>
    </row>
    <row r="28" spans="1:6" x14ac:dyDescent="0.2">
      <c r="A28" s="98" t="str">
        <f t="shared" si="0"/>
        <v>__</v>
      </c>
      <c r="B28" s="107"/>
      <c r="C28" s="107"/>
      <c r="D28" s="108"/>
      <c r="E28" s="109"/>
      <c r="F28" s="97" t="str">
        <f>IF(ISERROR(HLOOKUP(D28,Data!$1:$1,1,FALSE)),"PROBLEM - Scheduled time not found.","")</f>
        <v/>
      </c>
    </row>
    <row r="29" spans="1:6" x14ac:dyDescent="0.2">
      <c r="A29" s="98" t="str">
        <f t="shared" si="0"/>
        <v>__</v>
      </c>
      <c r="B29" s="107"/>
      <c r="C29" s="107"/>
      <c r="D29" s="108"/>
      <c r="E29" s="109"/>
      <c r="F29" s="97" t="str">
        <f>IF(ISERROR(HLOOKUP(D29,Data!$1:$1,1,FALSE)),"PROBLEM - Scheduled time not found.","")</f>
        <v/>
      </c>
    </row>
    <row r="30" spans="1:6" x14ac:dyDescent="0.2">
      <c r="A30" s="98" t="str">
        <f t="shared" si="0"/>
        <v>__</v>
      </c>
      <c r="B30" s="107"/>
      <c r="C30" s="107"/>
      <c r="D30" s="108"/>
      <c r="E30" s="109"/>
      <c r="F30" s="97" t="str">
        <f>IF(ISERROR(HLOOKUP(D30,Data!$1:$1,1,FALSE)),"PROBLEM - Scheduled time not found.","")</f>
        <v/>
      </c>
    </row>
    <row r="31" spans="1:6" x14ac:dyDescent="0.2">
      <c r="A31" s="98" t="str">
        <f t="shared" si="0"/>
        <v>__</v>
      </c>
      <c r="B31" s="107"/>
      <c r="C31" s="107"/>
      <c r="D31" s="108"/>
      <c r="E31" s="109"/>
      <c r="F31" s="97" t="str">
        <f>IF(ISERROR(HLOOKUP(D31,Data!$1:$1,1,FALSE)),"PROBLEM - Scheduled time not found.","")</f>
        <v/>
      </c>
    </row>
    <row r="32" spans="1:6" x14ac:dyDescent="0.2">
      <c r="A32" s="98" t="str">
        <f t="shared" si="0"/>
        <v>__</v>
      </c>
      <c r="B32" s="107"/>
      <c r="C32" s="107"/>
      <c r="D32" s="108"/>
      <c r="E32" s="109"/>
      <c r="F32" s="97" t="str">
        <f>IF(ISERROR(HLOOKUP(D32,Data!$1:$1,1,FALSE)),"PROBLEM - Scheduled time not found.","")</f>
        <v/>
      </c>
    </row>
    <row r="33" spans="1:6" x14ac:dyDescent="0.2">
      <c r="A33" s="98" t="str">
        <f t="shared" si="0"/>
        <v>__</v>
      </c>
      <c r="B33" s="107"/>
      <c r="C33" s="107"/>
      <c r="D33" s="108"/>
      <c r="E33" s="109"/>
      <c r="F33" s="97" t="str">
        <f>IF(ISERROR(HLOOKUP(D33,Data!$1:$1,1,FALSE)),"PROBLEM - Scheduled time not found.","")</f>
        <v/>
      </c>
    </row>
    <row r="34" spans="1:6" x14ac:dyDescent="0.2">
      <c r="A34" s="98" t="str">
        <f t="shared" si="0"/>
        <v>__</v>
      </c>
      <c r="B34" s="107"/>
      <c r="C34" s="107"/>
      <c r="D34" s="108"/>
      <c r="E34" s="109"/>
      <c r="F34" s="97" t="str">
        <f>IF(ISERROR(HLOOKUP(D34,Data!$1:$1,1,FALSE)),"PROBLEM - Scheduled time not found.","")</f>
        <v/>
      </c>
    </row>
    <row r="35" spans="1:6" x14ac:dyDescent="0.2">
      <c r="A35" s="98" t="str">
        <f t="shared" si="0"/>
        <v>__</v>
      </c>
      <c r="B35" s="107"/>
      <c r="C35" s="107"/>
      <c r="D35" s="108"/>
      <c r="E35" s="109"/>
      <c r="F35" s="97" t="str">
        <f>IF(ISERROR(HLOOKUP(D35,Data!$1:$1,1,FALSE)),"PROBLEM - Scheduled time not found.","")</f>
        <v/>
      </c>
    </row>
    <row r="36" spans="1:6" x14ac:dyDescent="0.2">
      <c r="A36" s="98" t="str">
        <f t="shared" si="0"/>
        <v>__</v>
      </c>
      <c r="B36" s="107"/>
      <c r="C36" s="107"/>
      <c r="D36" s="108"/>
      <c r="E36" s="109"/>
      <c r="F36" s="97" t="str">
        <f>IF(ISERROR(HLOOKUP(D36,Data!$1:$1,1,FALSE)),"PROBLEM - Scheduled time not found.","")</f>
        <v/>
      </c>
    </row>
    <row r="37" spans="1:6" x14ac:dyDescent="0.2">
      <c r="A37" s="98" t="str">
        <f t="shared" si="0"/>
        <v>__</v>
      </c>
      <c r="B37" s="107"/>
      <c r="C37" s="107"/>
      <c r="D37" s="108"/>
      <c r="E37" s="109"/>
      <c r="F37" s="97" t="str">
        <f>IF(ISERROR(HLOOKUP(D37,Data!$1:$1,1,FALSE)),"PROBLEM - Scheduled time not found.","")</f>
        <v/>
      </c>
    </row>
    <row r="38" spans="1:6" x14ac:dyDescent="0.2">
      <c r="A38" s="98" t="str">
        <f t="shared" si="0"/>
        <v>__</v>
      </c>
      <c r="B38" s="107"/>
      <c r="C38" s="107"/>
      <c r="D38" s="108"/>
      <c r="E38" s="109"/>
      <c r="F38" s="97" t="str">
        <f>IF(ISERROR(HLOOKUP(D38,Data!$1:$1,1,FALSE)),"PROBLEM - Scheduled time not found.","")</f>
        <v/>
      </c>
    </row>
    <row r="39" spans="1:6" x14ac:dyDescent="0.2">
      <c r="A39" s="98" t="str">
        <f t="shared" si="0"/>
        <v>__</v>
      </c>
      <c r="B39" s="107"/>
      <c r="C39" s="107"/>
      <c r="D39" s="108"/>
      <c r="E39" s="109"/>
      <c r="F39" s="97" t="str">
        <f>IF(ISERROR(HLOOKUP(D39,Data!$1:$1,1,FALSE)),"PROBLEM - Scheduled time not found.","")</f>
        <v/>
      </c>
    </row>
    <row r="40" spans="1:6" x14ac:dyDescent="0.2">
      <c r="A40" s="98" t="str">
        <f t="shared" si="0"/>
        <v>__</v>
      </c>
      <c r="B40" s="107"/>
      <c r="C40" s="107"/>
      <c r="D40" s="108"/>
      <c r="E40" s="109"/>
      <c r="F40" s="97" t="str">
        <f>IF(ISERROR(HLOOKUP(D40,Data!$1:$1,1,FALSE)),"PROBLEM - Scheduled time not found.","")</f>
        <v/>
      </c>
    </row>
    <row r="41" spans="1:6" x14ac:dyDescent="0.2">
      <c r="A41" s="98" t="str">
        <f t="shared" si="0"/>
        <v>__</v>
      </c>
      <c r="B41" s="107"/>
      <c r="C41" s="107"/>
      <c r="D41" s="108"/>
      <c r="E41" s="109"/>
      <c r="F41" s="97" t="str">
        <f>IF(ISERROR(HLOOKUP(D41,Data!$1:$1,1,FALSE)),"PROBLEM - Scheduled time not found.","")</f>
        <v/>
      </c>
    </row>
    <row r="42" spans="1:6" x14ac:dyDescent="0.2">
      <c r="A42" s="98" t="str">
        <f t="shared" si="0"/>
        <v>__</v>
      </c>
      <c r="B42" s="107"/>
      <c r="C42" s="107"/>
      <c r="D42" s="108"/>
      <c r="E42" s="109"/>
      <c r="F42" s="97" t="str">
        <f>IF(ISERROR(HLOOKUP(D42,Data!$1:$1,1,FALSE)),"PROBLEM - Scheduled time not found.","")</f>
        <v/>
      </c>
    </row>
    <row r="43" spans="1:6" x14ac:dyDescent="0.2">
      <c r="A43" s="98" t="str">
        <f t="shared" si="0"/>
        <v>__</v>
      </c>
      <c r="B43" s="107"/>
      <c r="C43" s="107"/>
      <c r="D43" s="108"/>
      <c r="E43" s="109"/>
      <c r="F43" s="97" t="str">
        <f>IF(ISERROR(HLOOKUP(D43,Data!$1:$1,1,FALSE)),"PROBLEM - Scheduled time not found.","")</f>
        <v/>
      </c>
    </row>
    <row r="44" spans="1:6" x14ac:dyDescent="0.2">
      <c r="A44" s="98" t="str">
        <f t="shared" si="0"/>
        <v>__</v>
      </c>
      <c r="B44" s="107"/>
      <c r="C44" s="107"/>
      <c r="D44" s="108"/>
      <c r="E44" s="109"/>
      <c r="F44" s="97" t="str">
        <f>IF(ISERROR(HLOOKUP(D44,Data!$1:$1,1,FALSE)),"PROBLEM - Scheduled time not found.","")</f>
        <v/>
      </c>
    </row>
    <row r="45" spans="1:6" x14ac:dyDescent="0.2">
      <c r="A45" s="98" t="str">
        <f t="shared" si="0"/>
        <v>__</v>
      </c>
      <c r="B45" s="107"/>
      <c r="C45" s="107"/>
      <c r="D45" s="108"/>
      <c r="E45" s="109"/>
      <c r="F45" s="97" t="str">
        <f>IF(ISERROR(HLOOKUP(D45,Data!$1:$1,1,FALSE)),"PROBLEM - Scheduled time not found.","")</f>
        <v/>
      </c>
    </row>
    <row r="46" spans="1:6" x14ac:dyDescent="0.2">
      <c r="A46" s="98" t="str">
        <f t="shared" si="0"/>
        <v>__</v>
      </c>
      <c r="B46" s="107"/>
      <c r="C46" s="107"/>
      <c r="D46" s="108"/>
      <c r="E46" s="109"/>
      <c r="F46" s="97" t="str">
        <f>IF(ISERROR(HLOOKUP(D46,Data!$1:$1,1,FALSE)),"PROBLEM - Scheduled time not found.","")</f>
        <v/>
      </c>
    </row>
    <row r="47" spans="1:6" x14ac:dyDescent="0.2">
      <c r="A47" s="98" t="str">
        <f t="shared" si="0"/>
        <v>__</v>
      </c>
      <c r="B47" s="107"/>
      <c r="C47" s="107"/>
      <c r="D47" s="108"/>
      <c r="E47" s="109"/>
      <c r="F47" s="97" t="str">
        <f>IF(ISERROR(HLOOKUP(D47,Data!$1:$1,1,FALSE)),"PROBLEM - Scheduled time not found.","")</f>
        <v/>
      </c>
    </row>
    <row r="48" spans="1:6" x14ac:dyDescent="0.2">
      <c r="A48" s="98" t="str">
        <f t="shared" si="0"/>
        <v>__</v>
      </c>
      <c r="B48" s="107"/>
      <c r="C48" s="107"/>
      <c r="D48" s="108"/>
      <c r="E48" s="109"/>
      <c r="F48" s="97" t="str">
        <f>IF(ISERROR(HLOOKUP(D48,Data!$1:$1,1,FALSE)),"PROBLEM - Scheduled time not found.","")</f>
        <v/>
      </c>
    </row>
    <row r="49" spans="1:7" x14ac:dyDescent="0.2">
      <c r="A49" s="98" t="str">
        <f t="shared" si="0"/>
        <v>__</v>
      </c>
      <c r="B49" s="107"/>
      <c r="C49" s="107"/>
      <c r="D49" s="108"/>
      <c r="E49" s="109"/>
      <c r="F49" s="97" t="str">
        <f>IF(ISERROR(HLOOKUP(D49,Data!$1:$1,1,FALSE)),"PROBLEM - Scheduled time not found.","")</f>
        <v/>
      </c>
    </row>
    <row r="50" spans="1:7" x14ac:dyDescent="0.2">
      <c r="A50" s="98" t="str">
        <f t="shared" si="0"/>
        <v>__</v>
      </c>
      <c r="B50" s="107"/>
      <c r="C50" s="107"/>
      <c r="D50" s="108"/>
      <c r="E50" s="109"/>
      <c r="F50" s="97" t="str">
        <f>IF(ISERROR(HLOOKUP(D50,Data!$1:$1,1,FALSE)),"PROBLEM - Scheduled time not found.","")</f>
        <v/>
      </c>
    </row>
    <row r="51" spans="1:7" x14ac:dyDescent="0.2">
      <c r="A51" s="98" t="str">
        <f t="shared" si="0"/>
        <v>__</v>
      </c>
      <c r="B51" s="107"/>
      <c r="C51" s="107"/>
      <c r="D51" s="108"/>
      <c r="E51" s="109"/>
      <c r="F51" s="97" t="str">
        <f>IF(ISERROR(HLOOKUP(D51,Data!$1:$1,1,FALSE)),"PROBLEM - Scheduled time not found.","")</f>
        <v/>
      </c>
    </row>
    <row r="52" spans="1:7" x14ac:dyDescent="0.2">
      <c r="A52" s="98" t="str">
        <f t="shared" si="0"/>
        <v>__</v>
      </c>
      <c r="B52" s="107"/>
      <c r="C52" s="107"/>
      <c r="D52" s="108"/>
      <c r="E52" s="109"/>
      <c r="F52" s="97" t="str">
        <f>IF(ISERROR(HLOOKUP(D52,Data!$1:$1,1,FALSE)),"PROBLEM - Scheduled time not found.","")</f>
        <v/>
      </c>
    </row>
    <row r="53" spans="1:7" x14ac:dyDescent="0.2">
      <c r="A53" s="98" t="str">
        <f t="shared" si="0"/>
        <v>__</v>
      </c>
      <c r="B53" s="107"/>
      <c r="C53" s="107"/>
      <c r="D53" s="108"/>
      <c r="E53" s="109"/>
      <c r="F53" s="97" t="str">
        <f>IF(ISERROR(HLOOKUP(D53,Data!$1:$1,1,FALSE)),"PROBLEM - Scheduled time not found.","")</f>
        <v/>
      </c>
    </row>
    <row r="54" spans="1:7" x14ac:dyDescent="0.2">
      <c r="A54" s="98" t="str">
        <f t="shared" si="0"/>
        <v>__</v>
      </c>
      <c r="B54" s="107"/>
      <c r="C54" s="107"/>
      <c r="D54" s="108"/>
      <c r="E54" s="109"/>
      <c r="F54" s="97" t="str">
        <f>IF(ISERROR(HLOOKUP(D54,Data!$1:$1,1,FALSE)),"PROBLEM - Scheduled time not found.","")</f>
        <v/>
      </c>
    </row>
    <row r="55" spans="1:7" x14ac:dyDescent="0.2">
      <c r="A55" s="98" t="str">
        <f t="shared" si="0"/>
        <v>__</v>
      </c>
      <c r="B55" s="107"/>
      <c r="C55" s="107"/>
      <c r="D55" s="108"/>
      <c r="E55" s="109"/>
      <c r="F55" s="97" t="str">
        <f>IF(ISERROR(HLOOKUP(D55,Data!$1:$1,1,FALSE)),"PROBLEM - Scheduled time not found.","")</f>
        <v/>
      </c>
      <c r="G55" s="99"/>
    </row>
    <row r="56" spans="1:7" x14ac:dyDescent="0.2">
      <c r="A56" s="98" t="str">
        <f t="shared" si="0"/>
        <v>__</v>
      </c>
      <c r="B56" s="107"/>
      <c r="C56" s="107"/>
      <c r="D56" s="108"/>
      <c r="E56" s="109"/>
      <c r="F56" s="97" t="str">
        <f>IF(ISERROR(HLOOKUP(D56,Data!$1:$1,1,FALSE)),"PROBLEM - Scheduled time not found.","")</f>
        <v/>
      </c>
    </row>
    <row r="57" spans="1:7" x14ac:dyDescent="0.2">
      <c r="A57" s="98" t="str">
        <f t="shared" si="0"/>
        <v>__</v>
      </c>
      <c r="B57" s="107"/>
      <c r="C57" s="107"/>
      <c r="D57" s="108"/>
      <c r="E57" s="109"/>
      <c r="F57" s="97" t="str">
        <f>IF(ISERROR(HLOOKUP(D57,Data!$1:$1,1,FALSE)),"PROBLEM - Scheduled time not found.","")</f>
        <v/>
      </c>
    </row>
    <row r="58" spans="1:7" x14ac:dyDescent="0.2">
      <c r="A58" s="98" t="str">
        <f t="shared" si="0"/>
        <v>__</v>
      </c>
      <c r="B58" s="107"/>
      <c r="C58" s="107"/>
      <c r="D58" s="108"/>
      <c r="E58" s="109"/>
      <c r="F58" s="97" t="str">
        <f>IF(ISERROR(HLOOKUP(D58,Data!$1:$1,1,FALSE)),"PROBLEM - Scheduled time not found.","")</f>
        <v/>
      </c>
    </row>
    <row r="59" spans="1:7" x14ac:dyDescent="0.2">
      <c r="A59" s="98" t="str">
        <f t="shared" si="0"/>
        <v>__</v>
      </c>
      <c r="B59" s="107"/>
      <c r="C59" s="107"/>
      <c r="D59" s="108"/>
      <c r="E59" s="109"/>
      <c r="F59" s="97" t="str">
        <f>IF(ISERROR(HLOOKUP(D59,Data!$1:$1,1,FALSE)),"PROBLEM - Scheduled time not found.","")</f>
        <v/>
      </c>
    </row>
    <row r="60" spans="1:7" x14ac:dyDescent="0.2">
      <c r="A60" s="98" t="str">
        <f t="shared" si="0"/>
        <v>__</v>
      </c>
      <c r="B60" s="107"/>
      <c r="C60" s="107"/>
      <c r="D60" s="108"/>
      <c r="E60" s="109"/>
      <c r="F60" s="97" t="str">
        <f>IF(ISERROR(HLOOKUP(D60,Data!$1:$1,1,FALSE)),"PROBLEM - Scheduled time not found.","")</f>
        <v/>
      </c>
    </row>
    <row r="61" spans="1:7" x14ac:dyDescent="0.2">
      <c r="A61" s="98" t="str">
        <f t="shared" si="0"/>
        <v>__</v>
      </c>
      <c r="B61" s="107"/>
      <c r="C61" s="107"/>
      <c r="D61" s="108"/>
      <c r="E61" s="109"/>
      <c r="F61" s="97" t="str">
        <f>IF(ISERROR(HLOOKUP(D61,Data!$1:$1,1,FALSE)),"PROBLEM - Scheduled time not found.","")</f>
        <v/>
      </c>
    </row>
    <row r="62" spans="1:7" x14ac:dyDescent="0.2">
      <c r="A62" s="98" t="str">
        <f t="shared" si="0"/>
        <v>__</v>
      </c>
      <c r="B62" s="107"/>
      <c r="C62" s="107"/>
      <c r="D62" s="108"/>
      <c r="E62" s="109"/>
      <c r="F62" s="97" t="str">
        <f>IF(ISERROR(HLOOKUP(D62,Data!$1:$1,1,FALSE)),"PROBLEM - Scheduled time not found.","")</f>
        <v/>
      </c>
    </row>
    <row r="63" spans="1:7" x14ac:dyDescent="0.2">
      <c r="A63" s="98" t="str">
        <f t="shared" si="0"/>
        <v>__</v>
      </c>
      <c r="B63" s="107"/>
      <c r="C63" s="107"/>
      <c r="D63" s="108"/>
      <c r="E63" s="109"/>
      <c r="F63" s="97" t="str">
        <f>IF(ISERROR(HLOOKUP(D63,Data!$1:$1,1,FALSE)),"PROBLEM - Scheduled time not found.","")</f>
        <v/>
      </c>
    </row>
    <row r="64" spans="1:7" x14ac:dyDescent="0.2">
      <c r="A64" s="98" t="str">
        <f t="shared" si="0"/>
        <v>__</v>
      </c>
      <c r="B64" s="107"/>
      <c r="C64" s="107"/>
      <c r="D64" s="108"/>
      <c r="E64" s="109"/>
      <c r="F64" s="97" t="str">
        <f>IF(ISERROR(HLOOKUP(D64,Data!$1:$1,1,FALSE)),"PROBLEM - Scheduled time not found.","")</f>
        <v/>
      </c>
    </row>
    <row r="65" spans="1:6" x14ac:dyDescent="0.2">
      <c r="A65" s="98" t="str">
        <f t="shared" si="0"/>
        <v>__</v>
      </c>
      <c r="B65" s="107"/>
      <c r="C65" s="107"/>
      <c r="D65" s="108"/>
      <c r="E65" s="109"/>
      <c r="F65" s="97" t="str">
        <f>IF(ISERROR(HLOOKUP(D65,Data!$1:$1,1,FALSE)),"PROBLEM - Scheduled time not found.","")</f>
        <v/>
      </c>
    </row>
    <row r="66" spans="1:6" x14ac:dyDescent="0.2">
      <c r="A66" s="98" t="str">
        <f t="shared" si="0"/>
        <v>__</v>
      </c>
      <c r="B66" s="107"/>
      <c r="C66" s="107"/>
      <c r="D66" s="108"/>
      <c r="E66" s="109"/>
      <c r="F66" s="97" t="str">
        <f>IF(ISERROR(HLOOKUP(D66,Data!$1:$1,1,FALSE)),"PROBLEM - Scheduled time not found.","")</f>
        <v/>
      </c>
    </row>
    <row r="67" spans="1:6" x14ac:dyDescent="0.2">
      <c r="A67" s="98" t="str">
        <f t="shared" ref="A67:A130" si="1">B67&amp;"_"&amp;C67&amp;"_"&amp;D67</f>
        <v>__</v>
      </c>
      <c r="B67" s="107"/>
      <c r="C67" s="107"/>
      <c r="D67" s="108"/>
      <c r="E67" s="109"/>
      <c r="F67" s="97" t="str">
        <f>IF(ISERROR(HLOOKUP(D67,Data!$1:$1,1,FALSE)),"PROBLEM - Scheduled time not found.","")</f>
        <v/>
      </c>
    </row>
    <row r="68" spans="1:6" x14ac:dyDescent="0.2">
      <c r="A68" s="98" t="str">
        <f t="shared" si="1"/>
        <v>__</v>
      </c>
      <c r="B68" s="107"/>
      <c r="C68" s="107"/>
      <c r="D68" s="108"/>
      <c r="E68" s="109"/>
      <c r="F68" s="97" t="str">
        <f>IF(ISERROR(HLOOKUP(D68,Data!$1:$1,1,FALSE)),"PROBLEM - Scheduled time not found.","")</f>
        <v/>
      </c>
    </row>
    <row r="69" spans="1:6" x14ac:dyDescent="0.2">
      <c r="A69" s="98" t="str">
        <f t="shared" si="1"/>
        <v>__</v>
      </c>
      <c r="B69" s="107"/>
      <c r="C69" s="107"/>
      <c r="D69" s="108"/>
      <c r="E69" s="109"/>
      <c r="F69" s="97" t="str">
        <f>IF(ISERROR(HLOOKUP(D69,Data!$1:$1,1,FALSE)),"PROBLEM - Scheduled time not found.","")</f>
        <v/>
      </c>
    </row>
    <row r="70" spans="1:6" x14ac:dyDescent="0.2">
      <c r="A70" s="98" t="str">
        <f t="shared" si="1"/>
        <v>__</v>
      </c>
      <c r="B70" s="107"/>
      <c r="C70" s="107"/>
      <c r="D70" s="108"/>
      <c r="E70" s="109"/>
      <c r="F70" s="97" t="str">
        <f>IF(ISERROR(HLOOKUP(D70,Data!$1:$1,1,FALSE)),"PROBLEM - Scheduled time not found.","")</f>
        <v/>
      </c>
    </row>
    <row r="71" spans="1:6" x14ac:dyDescent="0.2">
      <c r="A71" s="98" t="str">
        <f t="shared" si="1"/>
        <v>__</v>
      </c>
      <c r="B71" s="107"/>
      <c r="C71" s="107"/>
      <c r="D71" s="108"/>
      <c r="E71" s="109"/>
      <c r="F71" s="97" t="str">
        <f>IF(ISERROR(HLOOKUP(D71,Data!$1:$1,1,FALSE)),"PROBLEM - Scheduled time not found.","")</f>
        <v/>
      </c>
    </row>
    <row r="72" spans="1:6" x14ac:dyDescent="0.2">
      <c r="A72" s="98" t="str">
        <f t="shared" si="1"/>
        <v>__</v>
      </c>
      <c r="B72" s="107"/>
      <c r="C72" s="107"/>
      <c r="D72" s="108"/>
      <c r="E72" s="109"/>
      <c r="F72" s="97" t="str">
        <f>IF(ISERROR(HLOOKUP(D72,Data!$1:$1,1,FALSE)),"PROBLEM - Scheduled time not found.","")</f>
        <v/>
      </c>
    </row>
    <row r="73" spans="1:6" x14ac:dyDescent="0.2">
      <c r="A73" s="98" t="str">
        <f t="shared" si="1"/>
        <v>__</v>
      </c>
      <c r="B73" s="107"/>
      <c r="C73" s="107"/>
      <c r="D73" s="108"/>
      <c r="E73" s="109"/>
      <c r="F73" s="97" t="str">
        <f>IF(ISERROR(HLOOKUP(D73,Data!$1:$1,1,FALSE)),"PROBLEM - Scheduled time not found.","")</f>
        <v/>
      </c>
    </row>
    <row r="74" spans="1:6" x14ac:dyDescent="0.2">
      <c r="A74" s="98" t="str">
        <f t="shared" si="1"/>
        <v>__</v>
      </c>
      <c r="B74" s="107"/>
      <c r="C74" s="107"/>
      <c r="D74" s="108"/>
      <c r="E74" s="109"/>
      <c r="F74" s="97" t="str">
        <f>IF(ISERROR(HLOOKUP(D74,Data!$1:$1,1,FALSE)),"PROBLEM - Scheduled time not found.","")</f>
        <v/>
      </c>
    </row>
    <row r="75" spans="1:6" x14ac:dyDescent="0.2">
      <c r="A75" s="98" t="str">
        <f t="shared" si="1"/>
        <v>__</v>
      </c>
      <c r="B75" s="107"/>
      <c r="C75" s="107"/>
      <c r="D75" s="108"/>
      <c r="E75" s="109"/>
      <c r="F75" s="97" t="str">
        <f>IF(ISERROR(HLOOKUP(D75,Data!$1:$1,1,FALSE)),"PROBLEM - Scheduled time not found.","")</f>
        <v/>
      </c>
    </row>
    <row r="76" spans="1:6" x14ac:dyDescent="0.2">
      <c r="A76" s="98" t="str">
        <f t="shared" si="1"/>
        <v>__</v>
      </c>
      <c r="B76" s="107"/>
      <c r="C76" s="107"/>
      <c r="D76" s="108"/>
      <c r="E76" s="109"/>
      <c r="F76" s="97" t="str">
        <f>IF(ISERROR(HLOOKUP(D76,Data!$1:$1,1,FALSE)),"PROBLEM - Scheduled time not found.","")</f>
        <v/>
      </c>
    </row>
    <row r="77" spans="1:6" x14ac:dyDescent="0.2">
      <c r="A77" s="98" t="str">
        <f t="shared" si="1"/>
        <v>__</v>
      </c>
      <c r="B77" s="107"/>
      <c r="C77" s="107"/>
      <c r="D77" s="108"/>
      <c r="E77" s="109"/>
      <c r="F77" s="97" t="str">
        <f>IF(ISERROR(HLOOKUP(D77,Data!$1:$1,1,FALSE)),"PROBLEM - Scheduled time not found.","")</f>
        <v/>
      </c>
    </row>
    <row r="78" spans="1:6" x14ac:dyDescent="0.2">
      <c r="A78" s="98" t="str">
        <f t="shared" si="1"/>
        <v>__</v>
      </c>
      <c r="B78" s="107"/>
      <c r="C78" s="107"/>
      <c r="D78" s="108"/>
      <c r="E78" s="109"/>
      <c r="F78" s="97" t="str">
        <f>IF(ISERROR(HLOOKUP(D78,Data!$1:$1,1,FALSE)),"PROBLEM - Scheduled time not found.","")</f>
        <v/>
      </c>
    </row>
    <row r="79" spans="1:6" x14ac:dyDescent="0.2">
      <c r="A79" s="98" t="str">
        <f t="shared" si="1"/>
        <v>__</v>
      </c>
      <c r="B79" s="107"/>
      <c r="C79" s="107"/>
      <c r="D79" s="108"/>
      <c r="E79" s="109"/>
      <c r="F79" s="97" t="str">
        <f>IF(ISERROR(HLOOKUP(D79,Data!$1:$1,1,FALSE)),"PROBLEM - Scheduled time not found.","")</f>
        <v/>
      </c>
    </row>
    <row r="80" spans="1:6" x14ac:dyDescent="0.2">
      <c r="A80" s="98" t="str">
        <f t="shared" si="1"/>
        <v>__</v>
      </c>
      <c r="B80" s="107"/>
      <c r="C80" s="107"/>
      <c r="D80" s="108"/>
      <c r="E80" s="109"/>
      <c r="F80" s="97" t="str">
        <f>IF(ISERROR(HLOOKUP(D80,Data!$1:$1,1,FALSE)),"PROBLEM - Scheduled time not found.","")</f>
        <v/>
      </c>
    </row>
    <row r="81" spans="1:6" x14ac:dyDescent="0.2">
      <c r="A81" s="98" t="str">
        <f t="shared" si="1"/>
        <v>__</v>
      </c>
      <c r="B81" s="107"/>
      <c r="C81" s="107"/>
      <c r="D81" s="108"/>
      <c r="E81" s="109"/>
      <c r="F81" s="97" t="str">
        <f>IF(ISERROR(HLOOKUP(D81,Data!$1:$1,1,FALSE)),"PROBLEM - Scheduled time not found.","")</f>
        <v/>
      </c>
    </row>
    <row r="82" spans="1:6" x14ac:dyDescent="0.2">
      <c r="A82" s="98" t="str">
        <f t="shared" si="1"/>
        <v>__</v>
      </c>
      <c r="B82" s="107"/>
      <c r="C82" s="107"/>
      <c r="D82" s="108"/>
      <c r="E82" s="109"/>
      <c r="F82" s="97" t="str">
        <f>IF(ISERROR(HLOOKUP(D82,Data!$1:$1,1,FALSE)),"PROBLEM - Scheduled time not found.","")</f>
        <v/>
      </c>
    </row>
    <row r="83" spans="1:6" x14ac:dyDescent="0.2">
      <c r="A83" s="98" t="str">
        <f t="shared" si="1"/>
        <v>__</v>
      </c>
      <c r="B83" s="107"/>
      <c r="C83" s="107"/>
      <c r="D83" s="108"/>
      <c r="E83" s="109"/>
      <c r="F83" s="97" t="str">
        <f>IF(ISERROR(HLOOKUP(D83,Data!$1:$1,1,FALSE)),"PROBLEM - Scheduled time not found.","")</f>
        <v/>
      </c>
    </row>
    <row r="84" spans="1:6" x14ac:dyDescent="0.2">
      <c r="A84" s="98" t="str">
        <f t="shared" si="1"/>
        <v>__</v>
      </c>
      <c r="B84" s="107"/>
      <c r="C84" s="107"/>
      <c r="D84" s="108"/>
      <c r="E84" s="109"/>
      <c r="F84" s="97" t="str">
        <f>IF(ISERROR(HLOOKUP(D84,Data!$1:$1,1,FALSE)),"PROBLEM - Scheduled time not found.","")</f>
        <v/>
      </c>
    </row>
    <row r="85" spans="1:6" x14ac:dyDescent="0.2">
      <c r="A85" s="98" t="str">
        <f t="shared" si="1"/>
        <v>__</v>
      </c>
      <c r="B85" s="107"/>
      <c r="C85" s="107"/>
      <c r="D85" s="108"/>
      <c r="E85" s="109"/>
      <c r="F85" s="97" t="str">
        <f>IF(ISERROR(HLOOKUP(D85,Data!$1:$1,1,FALSE)),"PROBLEM - Scheduled time not found.","")</f>
        <v/>
      </c>
    </row>
    <row r="86" spans="1:6" x14ac:dyDescent="0.2">
      <c r="A86" s="98" t="str">
        <f t="shared" si="1"/>
        <v>__</v>
      </c>
      <c r="B86" s="107"/>
      <c r="C86" s="107"/>
      <c r="D86" s="108"/>
      <c r="E86" s="109"/>
      <c r="F86" s="97" t="str">
        <f>IF(ISERROR(HLOOKUP(D86,Data!$1:$1,1,FALSE)),"PROBLEM - Scheduled time not found.","")</f>
        <v/>
      </c>
    </row>
    <row r="87" spans="1:6" x14ac:dyDescent="0.2">
      <c r="A87" s="98" t="str">
        <f t="shared" si="1"/>
        <v>__</v>
      </c>
      <c r="B87" s="107"/>
      <c r="C87" s="107"/>
      <c r="D87" s="108"/>
      <c r="E87" s="109"/>
      <c r="F87" s="97" t="str">
        <f>IF(ISERROR(HLOOKUP(D87,Data!$1:$1,1,FALSE)),"PROBLEM - Scheduled time not found.","")</f>
        <v/>
      </c>
    </row>
    <row r="88" spans="1:6" x14ac:dyDescent="0.2">
      <c r="A88" s="98" t="str">
        <f t="shared" si="1"/>
        <v>__</v>
      </c>
      <c r="B88" s="107"/>
      <c r="C88" s="107"/>
      <c r="D88" s="108"/>
      <c r="E88" s="109"/>
      <c r="F88" s="97" t="str">
        <f>IF(ISERROR(HLOOKUP(D88,Data!$1:$1,1,FALSE)),"PROBLEM - Scheduled time not found.","")</f>
        <v/>
      </c>
    </row>
    <row r="89" spans="1:6" x14ac:dyDescent="0.2">
      <c r="A89" s="98" t="str">
        <f t="shared" si="1"/>
        <v>__</v>
      </c>
      <c r="B89" s="107"/>
      <c r="C89" s="107"/>
      <c r="D89" s="108"/>
      <c r="E89" s="109"/>
      <c r="F89" s="97" t="str">
        <f>IF(ISERROR(HLOOKUP(D89,Data!$1:$1,1,FALSE)),"PROBLEM - Scheduled time not found.","")</f>
        <v/>
      </c>
    </row>
    <row r="90" spans="1:6" x14ac:dyDescent="0.2">
      <c r="A90" s="98" t="str">
        <f t="shared" si="1"/>
        <v>__</v>
      </c>
      <c r="B90" s="107"/>
      <c r="C90" s="107"/>
      <c r="D90" s="108"/>
      <c r="E90" s="109"/>
      <c r="F90" s="97" t="str">
        <f>IF(ISERROR(HLOOKUP(D90,Data!$1:$1,1,FALSE)),"PROBLEM - Scheduled time not found.","")</f>
        <v/>
      </c>
    </row>
    <row r="91" spans="1:6" x14ac:dyDescent="0.2">
      <c r="A91" s="98" t="str">
        <f t="shared" si="1"/>
        <v>__</v>
      </c>
      <c r="B91" s="107"/>
      <c r="C91" s="107"/>
      <c r="D91" s="108"/>
      <c r="E91" s="109"/>
      <c r="F91" s="97" t="str">
        <f>IF(ISERROR(HLOOKUP(D91,Data!$1:$1,1,FALSE)),"PROBLEM - Scheduled time not found.","")</f>
        <v/>
      </c>
    </row>
    <row r="92" spans="1:6" x14ac:dyDescent="0.2">
      <c r="A92" s="98" t="str">
        <f t="shared" si="1"/>
        <v>__</v>
      </c>
      <c r="B92" s="107"/>
      <c r="C92" s="107"/>
      <c r="D92" s="108"/>
      <c r="E92" s="109"/>
      <c r="F92" s="97" t="str">
        <f>IF(ISERROR(HLOOKUP(D92,Data!$1:$1,1,FALSE)),"PROBLEM - Scheduled time not found.","")</f>
        <v/>
      </c>
    </row>
    <row r="93" spans="1:6" x14ac:dyDescent="0.2">
      <c r="A93" s="98" t="str">
        <f t="shared" si="1"/>
        <v>__</v>
      </c>
      <c r="B93" s="107"/>
      <c r="C93" s="107"/>
      <c r="D93" s="108"/>
      <c r="E93" s="109"/>
      <c r="F93" s="97" t="str">
        <f>IF(ISERROR(HLOOKUP(D93,Data!$1:$1,1,FALSE)),"PROBLEM - Scheduled time not found.","")</f>
        <v/>
      </c>
    </row>
    <row r="94" spans="1:6" x14ac:dyDescent="0.2">
      <c r="A94" s="98" t="str">
        <f t="shared" si="1"/>
        <v>__</v>
      </c>
      <c r="B94" s="107"/>
      <c r="C94" s="107"/>
      <c r="D94" s="108"/>
      <c r="E94" s="109"/>
      <c r="F94" s="97" t="str">
        <f>IF(ISERROR(HLOOKUP(D94,Data!$1:$1,1,FALSE)),"PROBLEM - Scheduled time not found.","")</f>
        <v/>
      </c>
    </row>
    <row r="95" spans="1:6" x14ac:dyDescent="0.2">
      <c r="A95" s="98" t="str">
        <f t="shared" si="1"/>
        <v>__</v>
      </c>
      <c r="B95" s="107"/>
      <c r="C95" s="107"/>
      <c r="D95" s="108"/>
      <c r="E95" s="109"/>
      <c r="F95" s="97" t="str">
        <f>IF(ISERROR(HLOOKUP(D95,Data!$1:$1,1,FALSE)),"PROBLEM - Scheduled time not found.","")</f>
        <v/>
      </c>
    </row>
    <row r="96" spans="1:6" x14ac:dyDescent="0.2">
      <c r="A96" s="98" t="str">
        <f t="shared" si="1"/>
        <v>__</v>
      </c>
      <c r="B96" s="107"/>
      <c r="C96" s="107"/>
      <c r="D96" s="108"/>
      <c r="E96" s="109"/>
      <c r="F96" s="97" t="str">
        <f>IF(ISERROR(HLOOKUP(D96,Data!$1:$1,1,FALSE)),"PROBLEM - Scheduled time not found.","")</f>
        <v/>
      </c>
    </row>
    <row r="97" spans="1:6" x14ac:dyDescent="0.2">
      <c r="A97" s="98" t="str">
        <f t="shared" si="1"/>
        <v>__</v>
      </c>
      <c r="B97" s="107"/>
      <c r="C97" s="107"/>
      <c r="D97" s="108"/>
      <c r="E97" s="109"/>
      <c r="F97" s="97" t="str">
        <f>IF(ISERROR(HLOOKUP(D97,Data!$1:$1,1,FALSE)),"PROBLEM - Scheduled time not found.","")</f>
        <v/>
      </c>
    </row>
    <row r="98" spans="1:6" x14ac:dyDescent="0.2">
      <c r="A98" s="98" t="str">
        <f t="shared" si="1"/>
        <v>__</v>
      </c>
      <c r="B98" s="107"/>
      <c r="C98" s="107"/>
      <c r="D98" s="108"/>
      <c r="E98" s="109"/>
      <c r="F98" s="97" t="str">
        <f>IF(ISERROR(HLOOKUP(D98,Data!$1:$1,1,FALSE)),"PROBLEM - Scheduled time not found.","")</f>
        <v/>
      </c>
    </row>
    <row r="99" spans="1:6" x14ac:dyDescent="0.2">
      <c r="A99" s="98" t="str">
        <f t="shared" si="1"/>
        <v>__</v>
      </c>
      <c r="B99" s="107"/>
      <c r="C99" s="107"/>
      <c r="D99" s="108"/>
      <c r="E99" s="109"/>
      <c r="F99" s="97" t="str">
        <f>IF(ISERROR(HLOOKUP(D99,Data!$1:$1,1,FALSE)),"PROBLEM - Scheduled time not found.","")</f>
        <v/>
      </c>
    </row>
    <row r="100" spans="1:6" x14ac:dyDescent="0.2">
      <c r="A100" s="98" t="str">
        <f t="shared" si="1"/>
        <v>__</v>
      </c>
      <c r="B100" s="107"/>
      <c r="C100" s="107"/>
      <c r="D100" s="108"/>
      <c r="E100" s="109"/>
      <c r="F100" s="97" t="str">
        <f>IF(ISERROR(HLOOKUP(D100,Data!$1:$1,1,FALSE)),"PROBLEM - Scheduled time not found.","")</f>
        <v/>
      </c>
    </row>
    <row r="101" spans="1:6" x14ac:dyDescent="0.2">
      <c r="A101" s="98" t="str">
        <f t="shared" si="1"/>
        <v>__</v>
      </c>
      <c r="B101" s="107"/>
      <c r="C101" s="107"/>
      <c r="D101" s="108"/>
      <c r="E101" s="109"/>
      <c r="F101" s="97" t="str">
        <f>IF(ISERROR(HLOOKUP(D101,Data!$1:$1,1,FALSE)),"PROBLEM - Scheduled time not found.","")</f>
        <v/>
      </c>
    </row>
    <row r="102" spans="1:6" x14ac:dyDescent="0.2">
      <c r="A102" s="98" t="str">
        <f t="shared" si="1"/>
        <v>__</v>
      </c>
      <c r="B102" s="107"/>
      <c r="C102" s="107"/>
      <c r="D102" s="108"/>
      <c r="E102" s="109"/>
      <c r="F102" s="97" t="str">
        <f>IF(ISERROR(HLOOKUP(D102,Data!$1:$1,1,FALSE)),"PROBLEM - Scheduled time not found.","")</f>
        <v/>
      </c>
    </row>
    <row r="103" spans="1:6" x14ac:dyDescent="0.2">
      <c r="A103" s="98" t="str">
        <f t="shared" si="1"/>
        <v>__</v>
      </c>
      <c r="B103" s="107"/>
      <c r="C103" s="107"/>
      <c r="D103" s="108"/>
      <c r="E103" s="109"/>
      <c r="F103" s="97" t="str">
        <f>IF(ISERROR(HLOOKUP(D103,Data!$1:$1,1,FALSE)),"PROBLEM - Scheduled time not found.","")</f>
        <v/>
      </c>
    </row>
    <row r="104" spans="1:6" x14ac:dyDescent="0.2">
      <c r="A104" s="98" t="str">
        <f t="shared" si="1"/>
        <v>__</v>
      </c>
      <c r="B104" s="107"/>
      <c r="C104" s="107"/>
      <c r="D104" s="108"/>
      <c r="E104" s="109"/>
      <c r="F104" s="97" t="str">
        <f>IF(ISERROR(HLOOKUP(D104,Data!$1:$1,1,FALSE)),"PROBLEM - Scheduled time not found.","")</f>
        <v/>
      </c>
    </row>
    <row r="105" spans="1:6" x14ac:dyDescent="0.2">
      <c r="A105" s="98" t="str">
        <f t="shared" si="1"/>
        <v>__</v>
      </c>
      <c r="B105" s="107"/>
      <c r="C105" s="107"/>
      <c r="D105" s="108"/>
      <c r="E105" s="109"/>
      <c r="F105" s="97" t="str">
        <f>IF(ISERROR(HLOOKUP(D105,Data!$1:$1,1,FALSE)),"PROBLEM - Scheduled time not found.","")</f>
        <v/>
      </c>
    </row>
    <row r="106" spans="1:6" x14ac:dyDescent="0.2">
      <c r="A106" s="98" t="str">
        <f t="shared" si="1"/>
        <v>__</v>
      </c>
      <c r="B106" s="107"/>
      <c r="C106" s="107"/>
      <c r="D106" s="108"/>
      <c r="E106" s="109"/>
      <c r="F106" s="97" t="str">
        <f>IF(ISERROR(HLOOKUP(D106,Data!$1:$1,1,FALSE)),"PROBLEM - Scheduled time not found.","")</f>
        <v/>
      </c>
    </row>
    <row r="107" spans="1:6" x14ac:dyDescent="0.2">
      <c r="A107" s="98" t="str">
        <f t="shared" si="1"/>
        <v>__</v>
      </c>
      <c r="B107" s="107"/>
      <c r="C107" s="107"/>
      <c r="D107" s="108"/>
      <c r="E107" s="109"/>
      <c r="F107" s="97" t="str">
        <f>IF(ISERROR(HLOOKUP(D107,Data!$1:$1,1,FALSE)),"PROBLEM - Scheduled time not found.","")</f>
        <v/>
      </c>
    </row>
    <row r="108" spans="1:6" x14ac:dyDescent="0.2">
      <c r="A108" s="98" t="str">
        <f t="shared" si="1"/>
        <v>__</v>
      </c>
      <c r="B108" s="107"/>
      <c r="C108" s="107"/>
      <c r="D108" s="108"/>
      <c r="E108" s="109"/>
      <c r="F108" s="97" t="str">
        <f>IF(ISERROR(HLOOKUP(D108,Data!$1:$1,1,FALSE)),"PROBLEM - Scheduled time not found.","")</f>
        <v/>
      </c>
    </row>
    <row r="109" spans="1:6" x14ac:dyDescent="0.2">
      <c r="A109" s="98" t="str">
        <f t="shared" si="1"/>
        <v>__</v>
      </c>
      <c r="B109" s="107"/>
      <c r="C109" s="107"/>
      <c r="D109" s="108"/>
      <c r="E109" s="109"/>
      <c r="F109" s="97" t="str">
        <f>IF(ISERROR(HLOOKUP(D109,Data!$1:$1,1,FALSE)),"PROBLEM - Scheduled time not found.","")</f>
        <v/>
      </c>
    </row>
    <row r="110" spans="1:6" x14ac:dyDescent="0.2">
      <c r="A110" s="98" t="str">
        <f t="shared" si="1"/>
        <v>__</v>
      </c>
      <c r="B110" s="107"/>
      <c r="C110" s="107"/>
      <c r="D110" s="108"/>
      <c r="E110" s="109"/>
      <c r="F110" s="97" t="str">
        <f>IF(ISERROR(HLOOKUP(D110,Data!$1:$1,1,FALSE)),"PROBLEM - Scheduled time not found.","")</f>
        <v/>
      </c>
    </row>
    <row r="111" spans="1:6" x14ac:dyDescent="0.2">
      <c r="A111" s="98" t="str">
        <f t="shared" si="1"/>
        <v>__</v>
      </c>
      <c r="B111" s="107"/>
      <c r="C111" s="107"/>
      <c r="D111" s="108"/>
      <c r="E111" s="109"/>
      <c r="F111" s="97" t="str">
        <f>IF(ISERROR(HLOOKUP(D111,Data!$1:$1,1,FALSE)),"PROBLEM - Scheduled time not found.","")</f>
        <v/>
      </c>
    </row>
    <row r="112" spans="1:6" x14ac:dyDescent="0.2">
      <c r="A112" s="98" t="str">
        <f t="shared" si="1"/>
        <v>__</v>
      </c>
      <c r="B112" s="107"/>
      <c r="C112" s="107"/>
      <c r="D112" s="108"/>
      <c r="E112" s="109"/>
      <c r="F112" s="97" t="str">
        <f>IF(ISERROR(HLOOKUP(D112,Data!$1:$1,1,FALSE)),"PROBLEM - Scheduled time not found.","")</f>
        <v/>
      </c>
    </row>
    <row r="113" spans="1:6" x14ac:dyDescent="0.2">
      <c r="A113" s="98" t="str">
        <f t="shared" si="1"/>
        <v>__</v>
      </c>
      <c r="B113" s="107"/>
      <c r="C113" s="107"/>
      <c r="D113" s="108"/>
      <c r="E113" s="109"/>
      <c r="F113" s="97" t="str">
        <f>IF(ISERROR(HLOOKUP(D113,Data!$1:$1,1,FALSE)),"PROBLEM - Scheduled time not found.","")</f>
        <v/>
      </c>
    </row>
    <row r="114" spans="1:6" x14ac:dyDescent="0.2">
      <c r="A114" s="98" t="str">
        <f t="shared" si="1"/>
        <v>__</v>
      </c>
      <c r="B114" s="107"/>
      <c r="C114" s="107"/>
      <c r="D114" s="108"/>
      <c r="E114" s="109"/>
      <c r="F114" s="97" t="str">
        <f>IF(ISERROR(HLOOKUP(D114,Data!$1:$1,1,FALSE)),"PROBLEM - Scheduled time not found.","")</f>
        <v/>
      </c>
    </row>
    <row r="115" spans="1:6" x14ac:dyDescent="0.2">
      <c r="A115" s="98" t="str">
        <f t="shared" si="1"/>
        <v>__</v>
      </c>
      <c r="B115" s="107"/>
      <c r="C115" s="107"/>
      <c r="D115" s="108"/>
      <c r="E115" s="109"/>
      <c r="F115" s="97" t="str">
        <f>IF(ISERROR(HLOOKUP(D115,Data!$1:$1,1,FALSE)),"PROBLEM - Scheduled time not found.","")</f>
        <v/>
      </c>
    </row>
    <row r="116" spans="1:6" x14ac:dyDescent="0.2">
      <c r="A116" s="98" t="str">
        <f t="shared" si="1"/>
        <v>__</v>
      </c>
      <c r="B116" s="107"/>
      <c r="C116" s="107"/>
      <c r="D116" s="108"/>
      <c r="E116" s="109"/>
      <c r="F116" s="97" t="str">
        <f>IF(ISERROR(HLOOKUP(D116,Data!$1:$1,1,FALSE)),"PROBLEM - Scheduled time not found.","")</f>
        <v/>
      </c>
    </row>
    <row r="117" spans="1:6" x14ac:dyDescent="0.2">
      <c r="A117" s="98" t="str">
        <f t="shared" si="1"/>
        <v>__</v>
      </c>
      <c r="B117" s="107"/>
      <c r="C117" s="107"/>
      <c r="D117" s="108"/>
      <c r="E117" s="109"/>
      <c r="F117" s="97" t="str">
        <f>IF(ISERROR(HLOOKUP(D117,Data!$1:$1,1,FALSE)),"PROBLEM - Scheduled time not found.","")</f>
        <v/>
      </c>
    </row>
    <row r="118" spans="1:6" x14ac:dyDescent="0.2">
      <c r="A118" s="98" t="str">
        <f t="shared" si="1"/>
        <v>__</v>
      </c>
      <c r="B118" s="107"/>
      <c r="C118" s="107"/>
      <c r="D118" s="108"/>
      <c r="E118" s="109"/>
      <c r="F118" s="97" t="str">
        <f>IF(ISERROR(HLOOKUP(D118,Data!$1:$1,1,FALSE)),"PROBLEM - Scheduled time not found.","")</f>
        <v/>
      </c>
    </row>
    <row r="119" spans="1:6" x14ac:dyDescent="0.2">
      <c r="A119" s="98" t="str">
        <f t="shared" si="1"/>
        <v>__</v>
      </c>
      <c r="B119" s="107"/>
      <c r="C119" s="107"/>
      <c r="D119" s="108"/>
      <c r="E119" s="109"/>
      <c r="F119" s="97" t="str">
        <f>IF(ISERROR(HLOOKUP(D119,Data!$1:$1,1,FALSE)),"PROBLEM - Scheduled time not found.","")</f>
        <v/>
      </c>
    </row>
    <row r="120" spans="1:6" x14ac:dyDescent="0.2">
      <c r="A120" s="98" t="str">
        <f t="shared" si="1"/>
        <v>__</v>
      </c>
      <c r="B120" s="107"/>
      <c r="C120" s="107"/>
      <c r="D120" s="108"/>
      <c r="E120" s="109"/>
      <c r="F120" s="97" t="str">
        <f>IF(ISERROR(HLOOKUP(D120,Data!$1:$1,1,FALSE)),"PROBLEM - Scheduled time not found.","")</f>
        <v/>
      </c>
    </row>
    <row r="121" spans="1:6" x14ac:dyDescent="0.2">
      <c r="A121" s="98" t="str">
        <f t="shared" si="1"/>
        <v>__</v>
      </c>
      <c r="B121" s="107"/>
      <c r="C121" s="107"/>
      <c r="D121" s="108"/>
      <c r="E121" s="109"/>
      <c r="F121" s="97" t="str">
        <f>IF(ISERROR(HLOOKUP(D121,Data!$1:$1,1,FALSE)),"PROBLEM - Scheduled time not found.","")</f>
        <v/>
      </c>
    </row>
    <row r="122" spans="1:6" x14ac:dyDescent="0.2">
      <c r="A122" s="98" t="str">
        <f t="shared" si="1"/>
        <v>__</v>
      </c>
      <c r="B122" s="107"/>
      <c r="C122" s="107"/>
      <c r="D122" s="108"/>
      <c r="E122" s="109"/>
      <c r="F122" s="97" t="str">
        <f>IF(ISERROR(HLOOKUP(D122,Data!$1:$1,1,FALSE)),"PROBLEM - Scheduled time not found.","")</f>
        <v/>
      </c>
    </row>
    <row r="123" spans="1:6" x14ac:dyDescent="0.2">
      <c r="A123" s="98" t="str">
        <f t="shared" si="1"/>
        <v>__</v>
      </c>
      <c r="B123" s="107"/>
      <c r="C123" s="107"/>
      <c r="D123" s="108"/>
      <c r="E123" s="109"/>
      <c r="F123" s="97" t="str">
        <f>IF(ISERROR(HLOOKUP(D123,Data!$1:$1,1,FALSE)),"PROBLEM - Scheduled time not found.","")</f>
        <v/>
      </c>
    </row>
    <row r="124" spans="1:6" x14ac:dyDescent="0.2">
      <c r="A124" s="98" t="str">
        <f t="shared" si="1"/>
        <v>__</v>
      </c>
      <c r="B124" s="107"/>
      <c r="C124" s="107"/>
      <c r="D124" s="108"/>
      <c r="E124" s="109"/>
      <c r="F124" s="97" t="str">
        <f>IF(ISERROR(HLOOKUP(D124,Data!$1:$1,1,FALSE)),"PROBLEM - Scheduled time not found.","")</f>
        <v/>
      </c>
    </row>
    <row r="125" spans="1:6" x14ac:dyDescent="0.2">
      <c r="A125" s="98" t="str">
        <f t="shared" si="1"/>
        <v>__</v>
      </c>
      <c r="B125" s="107"/>
      <c r="C125" s="107"/>
      <c r="D125" s="108"/>
      <c r="E125" s="109"/>
      <c r="F125" s="97" t="str">
        <f>IF(ISERROR(HLOOKUP(D125,Data!$1:$1,1,FALSE)),"PROBLEM - Scheduled time not found.","")</f>
        <v/>
      </c>
    </row>
    <row r="126" spans="1:6" x14ac:dyDescent="0.2">
      <c r="A126" s="98" t="str">
        <f t="shared" si="1"/>
        <v>__</v>
      </c>
      <c r="B126" s="107"/>
      <c r="C126" s="107"/>
      <c r="D126" s="108"/>
      <c r="E126" s="109"/>
      <c r="F126" s="97" t="str">
        <f>IF(ISERROR(HLOOKUP(D126,Data!$1:$1,1,FALSE)),"PROBLEM - Scheduled time not found.","")</f>
        <v/>
      </c>
    </row>
    <row r="127" spans="1:6" x14ac:dyDescent="0.2">
      <c r="A127" s="98" t="str">
        <f t="shared" si="1"/>
        <v>__</v>
      </c>
      <c r="B127" s="107"/>
      <c r="C127" s="107"/>
      <c r="D127" s="108"/>
      <c r="E127" s="109"/>
      <c r="F127" s="97" t="str">
        <f>IF(ISERROR(HLOOKUP(D127,Data!$1:$1,1,FALSE)),"PROBLEM - Scheduled time not found.","")</f>
        <v/>
      </c>
    </row>
    <row r="128" spans="1:6" x14ac:dyDescent="0.2">
      <c r="A128" s="98" t="str">
        <f t="shared" si="1"/>
        <v>__</v>
      </c>
      <c r="B128" s="107"/>
      <c r="C128" s="107"/>
      <c r="D128" s="108"/>
      <c r="E128" s="109"/>
      <c r="F128" s="97" t="str">
        <f>IF(ISERROR(HLOOKUP(D128,Data!$1:$1,1,FALSE)),"PROBLEM - Scheduled time not found.","")</f>
        <v/>
      </c>
    </row>
    <row r="129" spans="1:6" x14ac:dyDescent="0.2">
      <c r="A129" s="98" t="str">
        <f t="shared" si="1"/>
        <v>__</v>
      </c>
      <c r="B129" s="107"/>
      <c r="C129" s="107"/>
      <c r="D129" s="108"/>
      <c r="E129" s="109"/>
      <c r="F129" s="97" t="str">
        <f>IF(ISERROR(HLOOKUP(D129,Data!$1:$1,1,FALSE)),"PROBLEM - Scheduled time not found.","")</f>
        <v/>
      </c>
    </row>
    <row r="130" spans="1:6" x14ac:dyDescent="0.2">
      <c r="A130" s="98" t="str">
        <f t="shared" si="1"/>
        <v>__</v>
      </c>
      <c r="B130" s="107"/>
      <c r="C130" s="107"/>
      <c r="D130" s="108"/>
      <c r="E130" s="109"/>
      <c r="F130" s="97" t="str">
        <f>IF(ISERROR(HLOOKUP(D130,Data!$1:$1,1,FALSE)),"PROBLEM - Scheduled time not found.","")</f>
        <v/>
      </c>
    </row>
    <row r="131" spans="1:6" x14ac:dyDescent="0.2">
      <c r="A131" s="98" t="str">
        <f t="shared" ref="A131:A194" si="2">B131&amp;"_"&amp;C131&amp;"_"&amp;D131</f>
        <v>__</v>
      </c>
      <c r="B131" s="107"/>
      <c r="C131" s="107"/>
      <c r="D131" s="108"/>
      <c r="E131" s="109"/>
      <c r="F131" s="97" t="str">
        <f>IF(ISERROR(HLOOKUP(D131,Data!$1:$1,1,FALSE)),"PROBLEM - Scheduled time not found.","")</f>
        <v/>
      </c>
    </row>
    <row r="132" spans="1:6" x14ac:dyDescent="0.2">
      <c r="A132" s="98" t="str">
        <f t="shared" si="2"/>
        <v>__</v>
      </c>
      <c r="B132" s="107"/>
      <c r="C132" s="107"/>
      <c r="D132" s="108"/>
      <c r="E132" s="109"/>
      <c r="F132" s="97" t="str">
        <f>IF(ISERROR(HLOOKUP(D132,Data!$1:$1,1,FALSE)),"PROBLEM - Scheduled time not found.","")</f>
        <v/>
      </c>
    </row>
    <row r="133" spans="1:6" x14ac:dyDescent="0.2">
      <c r="A133" s="98" t="str">
        <f t="shared" si="2"/>
        <v>__</v>
      </c>
      <c r="B133" s="107"/>
      <c r="C133" s="107"/>
      <c r="D133" s="108"/>
      <c r="E133" s="109"/>
      <c r="F133" s="97" t="str">
        <f>IF(ISERROR(HLOOKUP(D133,Data!$1:$1,1,FALSE)),"PROBLEM - Scheduled time not found.","")</f>
        <v/>
      </c>
    </row>
    <row r="134" spans="1:6" x14ac:dyDescent="0.2">
      <c r="A134" s="98" t="str">
        <f t="shared" si="2"/>
        <v>__</v>
      </c>
      <c r="B134" s="107"/>
      <c r="C134" s="107"/>
      <c r="D134" s="108"/>
      <c r="E134" s="109"/>
      <c r="F134" s="97" t="str">
        <f>IF(ISERROR(HLOOKUP(D134,Data!$1:$1,1,FALSE)),"PROBLEM - Scheduled time not found.","")</f>
        <v/>
      </c>
    </row>
    <row r="135" spans="1:6" x14ac:dyDescent="0.2">
      <c r="A135" s="98" t="str">
        <f t="shared" si="2"/>
        <v>__</v>
      </c>
      <c r="B135" s="107"/>
      <c r="C135" s="107"/>
      <c r="D135" s="108"/>
      <c r="E135" s="109"/>
      <c r="F135" s="97" t="str">
        <f>IF(ISERROR(HLOOKUP(D135,Data!$1:$1,1,FALSE)),"PROBLEM - Scheduled time not found.","")</f>
        <v/>
      </c>
    </row>
    <row r="136" spans="1:6" x14ac:dyDescent="0.2">
      <c r="A136" s="98" t="str">
        <f t="shared" si="2"/>
        <v>__</v>
      </c>
      <c r="B136" s="107"/>
      <c r="C136" s="107"/>
      <c r="D136" s="108"/>
      <c r="E136" s="109"/>
      <c r="F136" s="97" t="str">
        <f>IF(ISERROR(HLOOKUP(D136,Data!$1:$1,1,FALSE)),"PROBLEM - Scheduled time not found.","")</f>
        <v/>
      </c>
    </row>
    <row r="137" spans="1:6" x14ac:dyDescent="0.2">
      <c r="A137" s="98" t="str">
        <f t="shared" si="2"/>
        <v>__</v>
      </c>
      <c r="B137" s="107"/>
      <c r="C137" s="107"/>
      <c r="D137" s="108"/>
      <c r="E137" s="109"/>
      <c r="F137" s="97" t="str">
        <f>IF(ISERROR(HLOOKUP(D137,Data!$1:$1,1,FALSE)),"PROBLEM - Scheduled time not found.","")</f>
        <v/>
      </c>
    </row>
    <row r="138" spans="1:6" x14ac:dyDescent="0.2">
      <c r="A138" s="98" t="str">
        <f t="shared" si="2"/>
        <v>__</v>
      </c>
      <c r="B138" s="107"/>
      <c r="C138" s="107"/>
      <c r="D138" s="108"/>
      <c r="E138" s="109"/>
      <c r="F138" s="97" t="str">
        <f>IF(ISERROR(HLOOKUP(D138,Data!$1:$1,1,FALSE)),"PROBLEM - Scheduled time not found.","")</f>
        <v/>
      </c>
    </row>
    <row r="139" spans="1:6" x14ac:dyDescent="0.2">
      <c r="A139" s="98" t="str">
        <f t="shared" si="2"/>
        <v>__</v>
      </c>
      <c r="B139" s="107"/>
      <c r="C139" s="107"/>
      <c r="D139" s="108"/>
      <c r="E139" s="109"/>
      <c r="F139" s="97" t="str">
        <f>IF(ISERROR(HLOOKUP(D139,Data!$1:$1,1,FALSE)),"PROBLEM - Scheduled time not found.","")</f>
        <v/>
      </c>
    </row>
    <row r="140" spans="1:6" x14ac:dyDescent="0.2">
      <c r="A140" s="98" t="str">
        <f t="shared" si="2"/>
        <v>__</v>
      </c>
      <c r="B140" s="107"/>
      <c r="C140" s="107"/>
      <c r="D140" s="108"/>
      <c r="E140" s="109"/>
      <c r="F140" s="97" t="str">
        <f>IF(ISERROR(HLOOKUP(D140,Data!$1:$1,1,FALSE)),"PROBLEM - Scheduled time not found.","")</f>
        <v/>
      </c>
    </row>
    <row r="141" spans="1:6" x14ac:dyDescent="0.2">
      <c r="A141" s="98" t="str">
        <f t="shared" si="2"/>
        <v>__</v>
      </c>
      <c r="B141" s="107"/>
      <c r="C141" s="107"/>
      <c r="D141" s="108"/>
      <c r="E141" s="109"/>
      <c r="F141" s="97" t="str">
        <f>IF(ISERROR(HLOOKUP(D141,Data!$1:$1,1,FALSE)),"PROBLEM - Scheduled time not found.","")</f>
        <v/>
      </c>
    </row>
    <row r="142" spans="1:6" x14ac:dyDescent="0.2">
      <c r="A142" s="98" t="str">
        <f t="shared" si="2"/>
        <v>__</v>
      </c>
      <c r="B142" s="107"/>
      <c r="C142" s="107"/>
      <c r="D142" s="108"/>
      <c r="E142" s="109"/>
      <c r="F142" s="97" t="str">
        <f>IF(ISERROR(HLOOKUP(D142,Data!$1:$1,1,FALSE)),"PROBLEM - Scheduled time not found.","")</f>
        <v/>
      </c>
    </row>
    <row r="143" spans="1:6" x14ac:dyDescent="0.2">
      <c r="A143" s="98" t="str">
        <f t="shared" si="2"/>
        <v>__</v>
      </c>
      <c r="B143" s="107"/>
      <c r="C143" s="107"/>
      <c r="D143" s="108"/>
      <c r="E143" s="109"/>
      <c r="F143" s="97" t="str">
        <f>IF(ISERROR(HLOOKUP(D143,Data!$1:$1,1,FALSE)),"PROBLEM - Scheduled time not found.","")</f>
        <v/>
      </c>
    </row>
    <row r="144" spans="1:6" x14ac:dyDescent="0.2">
      <c r="A144" s="98" t="str">
        <f t="shared" si="2"/>
        <v>__</v>
      </c>
      <c r="B144" s="107"/>
      <c r="C144" s="107"/>
      <c r="D144" s="108"/>
      <c r="E144" s="109"/>
      <c r="F144" s="97" t="str">
        <f>IF(ISERROR(HLOOKUP(D144,Data!$1:$1,1,FALSE)),"PROBLEM - Scheduled time not found.","")</f>
        <v/>
      </c>
    </row>
    <row r="145" spans="1:6" x14ac:dyDescent="0.2">
      <c r="A145" s="98" t="str">
        <f t="shared" si="2"/>
        <v>__</v>
      </c>
      <c r="B145" s="107"/>
      <c r="C145" s="107"/>
      <c r="D145" s="108"/>
      <c r="E145" s="109"/>
      <c r="F145" s="97" t="str">
        <f>IF(ISERROR(HLOOKUP(D145,Data!$1:$1,1,FALSE)),"PROBLEM - Scheduled time not found.","")</f>
        <v/>
      </c>
    </row>
    <row r="146" spans="1:6" x14ac:dyDescent="0.2">
      <c r="A146" s="98" t="str">
        <f t="shared" si="2"/>
        <v>__</v>
      </c>
      <c r="B146" s="107"/>
      <c r="C146" s="107"/>
      <c r="D146" s="108"/>
      <c r="E146" s="109"/>
      <c r="F146" s="97" t="str">
        <f>IF(ISERROR(HLOOKUP(D146,Data!$1:$1,1,FALSE)),"PROBLEM - Scheduled time not found.","")</f>
        <v/>
      </c>
    </row>
    <row r="147" spans="1:6" x14ac:dyDescent="0.2">
      <c r="A147" s="98" t="str">
        <f t="shared" si="2"/>
        <v>__</v>
      </c>
      <c r="B147" s="107"/>
      <c r="C147" s="107"/>
      <c r="D147" s="108"/>
      <c r="E147" s="109"/>
      <c r="F147" s="97" t="str">
        <f>IF(ISERROR(HLOOKUP(D147,Data!$1:$1,1,FALSE)),"PROBLEM - Scheduled time not found.","")</f>
        <v/>
      </c>
    </row>
    <row r="148" spans="1:6" x14ac:dyDescent="0.2">
      <c r="A148" s="98" t="str">
        <f t="shared" si="2"/>
        <v>__</v>
      </c>
      <c r="B148" s="107"/>
      <c r="C148" s="107"/>
      <c r="D148" s="108"/>
      <c r="E148" s="109"/>
      <c r="F148" s="97" t="str">
        <f>IF(ISERROR(HLOOKUP(D148,Data!$1:$1,1,FALSE)),"PROBLEM - Scheduled time not found.","")</f>
        <v/>
      </c>
    </row>
    <row r="149" spans="1:6" x14ac:dyDescent="0.2">
      <c r="A149" s="98" t="str">
        <f t="shared" si="2"/>
        <v>__</v>
      </c>
      <c r="B149" s="107"/>
      <c r="C149" s="107"/>
      <c r="D149" s="108"/>
      <c r="E149" s="109"/>
      <c r="F149" s="97" t="str">
        <f>IF(ISERROR(HLOOKUP(D149,Data!$1:$1,1,FALSE)),"PROBLEM - Scheduled time not found.","")</f>
        <v/>
      </c>
    </row>
    <row r="150" spans="1:6" x14ac:dyDescent="0.2">
      <c r="A150" s="98" t="str">
        <f t="shared" si="2"/>
        <v>__</v>
      </c>
      <c r="B150" s="107"/>
      <c r="C150" s="107"/>
      <c r="D150" s="108"/>
      <c r="E150" s="109"/>
      <c r="F150" s="97" t="str">
        <f>IF(ISERROR(HLOOKUP(D150,Data!$1:$1,1,FALSE)),"PROBLEM - Scheduled time not found.","")</f>
        <v/>
      </c>
    </row>
    <row r="151" spans="1:6" x14ac:dyDescent="0.2">
      <c r="A151" s="98" t="str">
        <f t="shared" si="2"/>
        <v>__</v>
      </c>
      <c r="B151" s="107"/>
      <c r="C151" s="107"/>
      <c r="D151" s="108"/>
      <c r="E151" s="109"/>
      <c r="F151" s="97" t="str">
        <f>IF(ISERROR(HLOOKUP(D151,Data!$1:$1,1,FALSE)),"PROBLEM - Scheduled time not found.","")</f>
        <v/>
      </c>
    </row>
    <row r="152" spans="1:6" x14ac:dyDescent="0.2">
      <c r="A152" s="98" t="str">
        <f t="shared" si="2"/>
        <v>__</v>
      </c>
      <c r="B152" s="107"/>
      <c r="C152" s="107"/>
      <c r="D152" s="108"/>
      <c r="E152" s="109"/>
      <c r="F152" s="97" t="str">
        <f>IF(ISERROR(HLOOKUP(D152,Data!$1:$1,1,FALSE)),"PROBLEM - Scheduled time not found.","")</f>
        <v/>
      </c>
    </row>
    <row r="153" spans="1:6" x14ac:dyDescent="0.2">
      <c r="A153" s="98" t="str">
        <f t="shared" si="2"/>
        <v>__</v>
      </c>
      <c r="B153" s="107"/>
      <c r="C153" s="107"/>
      <c r="D153" s="108"/>
      <c r="E153" s="109"/>
      <c r="F153" s="97" t="str">
        <f>IF(ISERROR(HLOOKUP(D153,Data!$1:$1,1,FALSE)),"PROBLEM - Scheduled time not found.","")</f>
        <v/>
      </c>
    </row>
    <row r="154" spans="1:6" x14ac:dyDescent="0.2">
      <c r="A154" s="98" t="str">
        <f t="shared" si="2"/>
        <v>__</v>
      </c>
      <c r="B154" s="107"/>
      <c r="C154" s="107"/>
      <c r="D154" s="108"/>
      <c r="E154" s="109"/>
      <c r="F154" s="97" t="str">
        <f>IF(ISERROR(HLOOKUP(D154,Data!$1:$1,1,FALSE)),"PROBLEM - Scheduled time not found.","")</f>
        <v/>
      </c>
    </row>
    <row r="155" spans="1:6" x14ac:dyDescent="0.2">
      <c r="A155" s="98" t="str">
        <f t="shared" si="2"/>
        <v>__</v>
      </c>
      <c r="B155" s="107"/>
      <c r="C155" s="107"/>
      <c r="D155" s="108"/>
      <c r="E155" s="109"/>
      <c r="F155" s="97" t="str">
        <f>IF(ISERROR(HLOOKUP(D155,Data!$1:$1,1,FALSE)),"PROBLEM - Scheduled time not found.","")</f>
        <v/>
      </c>
    </row>
    <row r="156" spans="1:6" x14ac:dyDescent="0.2">
      <c r="A156" s="98" t="str">
        <f t="shared" si="2"/>
        <v>__</v>
      </c>
      <c r="B156" s="107"/>
      <c r="C156" s="107"/>
      <c r="D156" s="108"/>
      <c r="E156" s="109"/>
      <c r="F156" s="97" t="str">
        <f>IF(ISERROR(HLOOKUP(D156,Data!$1:$1,1,FALSE)),"PROBLEM - Scheduled time not found.","")</f>
        <v/>
      </c>
    </row>
    <row r="157" spans="1:6" x14ac:dyDescent="0.2">
      <c r="A157" s="98" t="str">
        <f t="shared" si="2"/>
        <v>__</v>
      </c>
      <c r="B157" s="107"/>
      <c r="C157" s="107"/>
      <c r="D157" s="108"/>
      <c r="E157" s="109"/>
      <c r="F157" s="97" t="str">
        <f>IF(ISERROR(HLOOKUP(D157,Data!$1:$1,1,FALSE)),"PROBLEM - Scheduled time not found.","")</f>
        <v/>
      </c>
    </row>
    <row r="158" spans="1:6" x14ac:dyDescent="0.2">
      <c r="A158" s="98" t="str">
        <f t="shared" si="2"/>
        <v>__</v>
      </c>
      <c r="B158" s="107"/>
      <c r="C158" s="107"/>
      <c r="D158" s="108"/>
      <c r="E158" s="109"/>
      <c r="F158" s="97" t="str">
        <f>IF(ISERROR(HLOOKUP(D158,Data!$1:$1,1,FALSE)),"PROBLEM - Scheduled time not found.","")</f>
        <v/>
      </c>
    </row>
    <row r="159" spans="1:6" x14ac:dyDescent="0.2">
      <c r="A159" s="98" t="str">
        <f t="shared" si="2"/>
        <v>__</v>
      </c>
      <c r="B159" s="107"/>
      <c r="C159" s="107"/>
      <c r="D159" s="108"/>
      <c r="E159" s="109"/>
      <c r="F159" s="97" t="str">
        <f>IF(ISERROR(HLOOKUP(D159,Data!$1:$1,1,FALSE)),"PROBLEM - Scheduled time not found.","")</f>
        <v/>
      </c>
    </row>
    <row r="160" spans="1:6" x14ac:dyDescent="0.2">
      <c r="A160" s="98" t="str">
        <f t="shared" si="2"/>
        <v>__</v>
      </c>
      <c r="B160" s="107"/>
      <c r="C160" s="107"/>
      <c r="D160" s="108"/>
      <c r="E160" s="109"/>
      <c r="F160" s="97" t="str">
        <f>IF(ISERROR(HLOOKUP(D160,Data!$1:$1,1,FALSE)),"PROBLEM - Scheduled time not found.","")</f>
        <v/>
      </c>
    </row>
    <row r="161" spans="1:6" x14ac:dyDescent="0.2">
      <c r="A161" s="98" t="str">
        <f t="shared" si="2"/>
        <v>__</v>
      </c>
      <c r="B161" s="107"/>
      <c r="C161" s="107"/>
      <c r="D161" s="108"/>
      <c r="E161" s="109"/>
      <c r="F161" s="97" t="str">
        <f>IF(ISERROR(HLOOKUP(D161,Data!$1:$1,1,FALSE)),"PROBLEM - Scheduled time not found.","")</f>
        <v/>
      </c>
    </row>
    <row r="162" spans="1:6" x14ac:dyDescent="0.2">
      <c r="A162" s="98" t="str">
        <f t="shared" si="2"/>
        <v>__</v>
      </c>
      <c r="B162" s="107"/>
      <c r="C162" s="107"/>
      <c r="D162" s="108"/>
      <c r="E162" s="109"/>
      <c r="F162" s="97" t="str">
        <f>IF(ISERROR(HLOOKUP(D162,Data!$1:$1,1,FALSE)),"PROBLEM - Scheduled time not found.","")</f>
        <v/>
      </c>
    </row>
    <row r="163" spans="1:6" x14ac:dyDescent="0.2">
      <c r="A163" s="98" t="str">
        <f t="shared" si="2"/>
        <v>__</v>
      </c>
      <c r="B163" s="107"/>
      <c r="C163" s="107"/>
      <c r="D163" s="108"/>
      <c r="E163" s="109"/>
      <c r="F163" s="97" t="str">
        <f>IF(ISERROR(HLOOKUP(D163,Data!$1:$1,1,FALSE)),"PROBLEM - Scheduled time not found.","")</f>
        <v/>
      </c>
    </row>
    <row r="164" spans="1:6" x14ac:dyDescent="0.2">
      <c r="A164" s="98" t="str">
        <f t="shared" si="2"/>
        <v>__</v>
      </c>
      <c r="B164" s="107"/>
      <c r="C164" s="107"/>
      <c r="D164" s="108"/>
      <c r="E164" s="109"/>
      <c r="F164" s="97" t="str">
        <f>IF(ISERROR(HLOOKUP(D164,Data!$1:$1,1,FALSE)),"PROBLEM - Scheduled time not found.","")</f>
        <v/>
      </c>
    </row>
    <row r="165" spans="1:6" x14ac:dyDescent="0.2">
      <c r="A165" s="98" t="str">
        <f t="shared" si="2"/>
        <v>__</v>
      </c>
      <c r="B165" s="107"/>
      <c r="C165" s="107"/>
      <c r="D165" s="108"/>
      <c r="E165" s="109"/>
      <c r="F165" s="97" t="str">
        <f>IF(ISERROR(HLOOKUP(D165,Data!$1:$1,1,FALSE)),"PROBLEM - Scheduled time not found.","")</f>
        <v/>
      </c>
    </row>
    <row r="166" spans="1:6" x14ac:dyDescent="0.2">
      <c r="A166" s="98" t="str">
        <f t="shared" si="2"/>
        <v>__</v>
      </c>
      <c r="B166" s="107"/>
      <c r="C166" s="107"/>
      <c r="D166" s="108"/>
      <c r="E166" s="109"/>
      <c r="F166" s="97" t="str">
        <f>IF(ISERROR(HLOOKUP(D166,Data!$1:$1,1,FALSE)),"PROBLEM - Scheduled time not found.","")</f>
        <v/>
      </c>
    </row>
    <row r="167" spans="1:6" x14ac:dyDescent="0.2">
      <c r="A167" s="98" t="str">
        <f t="shared" si="2"/>
        <v>__</v>
      </c>
      <c r="B167" s="107"/>
      <c r="C167" s="107"/>
      <c r="D167" s="108"/>
      <c r="E167" s="109"/>
      <c r="F167" s="97" t="str">
        <f>IF(ISERROR(HLOOKUP(D167,Data!$1:$1,1,FALSE)),"PROBLEM - Scheduled time not found.","")</f>
        <v/>
      </c>
    </row>
    <row r="168" spans="1:6" x14ac:dyDescent="0.2">
      <c r="A168" s="98" t="str">
        <f t="shared" si="2"/>
        <v>__</v>
      </c>
      <c r="B168" s="107"/>
      <c r="C168" s="107"/>
      <c r="D168" s="108"/>
      <c r="E168" s="109"/>
      <c r="F168" s="97" t="str">
        <f>IF(ISERROR(HLOOKUP(D168,Data!$1:$1,1,FALSE)),"PROBLEM - Scheduled time not found.","")</f>
        <v/>
      </c>
    </row>
    <row r="169" spans="1:6" x14ac:dyDescent="0.2">
      <c r="A169" s="98" t="str">
        <f t="shared" si="2"/>
        <v>__</v>
      </c>
      <c r="B169" s="107"/>
      <c r="C169" s="107"/>
      <c r="D169" s="108"/>
      <c r="E169" s="109"/>
      <c r="F169" s="97" t="str">
        <f>IF(ISERROR(HLOOKUP(D169,Data!$1:$1,1,FALSE)),"PROBLEM - Scheduled time not found.","")</f>
        <v/>
      </c>
    </row>
    <row r="170" spans="1:6" x14ac:dyDescent="0.2">
      <c r="A170" s="98" t="str">
        <f t="shared" si="2"/>
        <v>__</v>
      </c>
      <c r="B170" s="107"/>
      <c r="C170" s="107"/>
      <c r="D170" s="108"/>
      <c r="E170" s="109"/>
      <c r="F170" s="97" t="str">
        <f>IF(ISERROR(HLOOKUP(D170,Data!$1:$1,1,FALSE)),"PROBLEM - Scheduled time not found.","")</f>
        <v/>
      </c>
    </row>
    <row r="171" spans="1:6" x14ac:dyDescent="0.2">
      <c r="A171" s="98" t="str">
        <f t="shared" si="2"/>
        <v>__</v>
      </c>
      <c r="B171" s="107"/>
      <c r="C171" s="107"/>
      <c r="D171" s="108"/>
      <c r="E171" s="109"/>
      <c r="F171" s="97" t="str">
        <f>IF(ISERROR(HLOOKUP(D171,Data!$1:$1,1,FALSE)),"PROBLEM - Scheduled time not found.","")</f>
        <v/>
      </c>
    </row>
    <row r="172" spans="1:6" x14ac:dyDescent="0.2">
      <c r="A172" s="98" t="str">
        <f t="shared" si="2"/>
        <v>__</v>
      </c>
      <c r="B172" s="107"/>
      <c r="C172" s="107"/>
      <c r="D172" s="108"/>
      <c r="E172" s="109"/>
      <c r="F172" s="97" t="str">
        <f>IF(ISERROR(HLOOKUP(D172,Data!$1:$1,1,FALSE)),"PROBLEM - Scheduled time not found.","")</f>
        <v/>
      </c>
    </row>
    <row r="173" spans="1:6" x14ac:dyDescent="0.2">
      <c r="A173" s="98" t="str">
        <f t="shared" si="2"/>
        <v>__</v>
      </c>
      <c r="B173" s="107"/>
      <c r="C173" s="107"/>
      <c r="D173" s="108"/>
      <c r="E173" s="109"/>
      <c r="F173" s="97" t="str">
        <f>IF(ISERROR(HLOOKUP(D173,Data!$1:$1,1,FALSE)),"PROBLEM - Scheduled time not found.","")</f>
        <v/>
      </c>
    </row>
    <row r="174" spans="1:6" x14ac:dyDescent="0.2">
      <c r="A174" s="98" t="str">
        <f t="shared" si="2"/>
        <v>__</v>
      </c>
      <c r="B174" s="107"/>
      <c r="C174" s="107"/>
      <c r="D174" s="108"/>
      <c r="E174" s="109"/>
      <c r="F174" s="97" t="str">
        <f>IF(ISERROR(HLOOKUP(D174,Data!$1:$1,1,FALSE)),"PROBLEM - Scheduled time not found.","")</f>
        <v/>
      </c>
    </row>
    <row r="175" spans="1:6" x14ac:dyDescent="0.2">
      <c r="A175" s="98" t="str">
        <f t="shared" si="2"/>
        <v>__</v>
      </c>
      <c r="B175" s="107"/>
      <c r="C175" s="107"/>
      <c r="D175" s="108"/>
      <c r="E175" s="109"/>
      <c r="F175" s="97" t="str">
        <f>IF(ISERROR(HLOOKUP(D175,Data!$1:$1,1,FALSE)),"PROBLEM - Scheduled time not found.","")</f>
        <v/>
      </c>
    </row>
    <row r="176" spans="1:6" x14ac:dyDescent="0.2">
      <c r="A176" s="98" t="str">
        <f t="shared" si="2"/>
        <v>__</v>
      </c>
      <c r="B176" s="107"/>
      <c r="C176" s="107"/>
      <c r="D176" s="108"/>
      <c r="E176" s="109"/>
      <c r="F176" s="97" t="str">
        <f>IF(ISERROR(HLOOKUP(D176,Data!$1:$1,1,FALSE)),"PROBLEM - Scheduled time not found.","")</f>
        <v/>
      </c>
    </row>
    <row r="177" spans="1:6" x14ac:dyDescent="0.2">
      <c r="A177" s="98" t="str">
        <f t="shared" si="2"/>
        <v>__</v>
      </c>
      <c r="B177" s="107"/>
      <c r="C177" s="107"/>
      <c r="D177" s="108"/>
      <c r="E177" s="109"/>
      <c r="F177" s="97" t="str">
        <f>IF(ISERROR(HLOOKUP(D177,Data!$1:$1,1,FALSE)),"PROBLEM - Scheduled time not found.","")</f>
        <v/>
      </c>
    </row>
    <row r="178" spans="1:6" x14ac:dyDescent="0.2">
      <c r="A178" s="98" t="str">
        <f t="shared" si="2"/>
        <v>__</v>
      </c>
      <c r="B178" s="107"/>
      <c r="C178" s="107"/>
      <c r="D178" s="108"/>
      <c r="E178" s="109"/>
      <c r="F178" s="97" t="str">
        <f>IF(ISERROR(HLOOKUP(D178,Data!$1:$1,1,FALSE)),"PROBLEM - Scheduled time not found.","")</f>
        <v/>
      </c>
    </row>
    <row r="179" spans="1:6" x14ac:dyDescent="0.2">
      <c r="A179" s="98" t="str">
        <f t="shared" si="2"/>
        <v>__</v>
      </c>
      <c r="B179" s="107"/>
      <c r="C179" s="107"/>
      <c r="D179" s="108"/>
      <c r="E179" s="109"/>
      <c r="F179" s="97" t="str">
        <f>IF(ISERROR(HLOOKUP(D179,Data!$1:$1,1,FALSE)),"PROBLEM - Scheduled time not found.","")</f>
        <v/>
      </c>
    </row>
    <row r="180" spans="1:6" x14ac:dyDescent="0.2">
      <c r="A180" s="98" t="str">
        <f t="shared" si="2"/>
        <v>__</v>
      </c>
      <c r="B180" s="107"/>
      <c r="C180" s="107"/>
      <c r="D180" s="108"/>
      <c r="E180" s="109"/>
      <c r="F180" s="97" t="str">
        <f>IF(ISERROR(HLOOKUP(D180,Data!$1:$1,1,FALSE)),"PROBLEM - Scheduled time not found.","")</f>
        <v/>
      </c>
    </row>
    <row r="181" spans="1:6" x14ac:dyDescent="0.2">
      <c r="A181" s="98" t="str">
        <f t="shared" si="2"/>
        <v>__</v>
      </c>
      <c r="B181" s="107"/>
      <c r="C181" s="107"/>
      <c r="D181" s="108"/>
      <c r="E181" s="109"/>
      <c r="F181" s="97" t="str">
        <f>IF(ISERROR(HLOOKUP(D181,Data!$1:$1,1,FALSE)),"PROBLEM - Scheduled time not found.","")</f>
        <v/>
      </c>
    </row>
    <row r="182" spans="1:6" x14ac:dyDescent="0.2">
      <c r="A182" s="98" t="str">
        <f t="shared" si="2"/>
        <v>__</v>
      </c>
      <c r="B182" s="107"/>
      <c r="C182" s="107"/>
      <c r="D182" s="108"/>
      <c r="E182" s="109"/>
      <c r="F182" s="97" t="str">
        <f>IF(ISERROR(HLOOKUP(D182,Data!$1:$1,1,FALSE)),"PROBLEM - Scheduled time not found.","")</f>
        <v/>
      </c>
    </row>
    <row r="183" spans="1:6" x14ac:dyDescent="0.2">
      <c r="A183" s="98" t="str">
        <f t="shared" si="2"/>
        <v>__</v>
      </c>
      <c r="B183" s="107"/>
      <c r="C183" s="107"/>
      <c r="D183" s="108"/>
      <c r="E183" s="109"/>
      <c r="F183" s="97" t="str">
        <f>IF(ISERROR(HLOOKUP(D183,Data!$1:$1,1,FALSE)),"PROBLEM - Scheduled time not found.","")</f>
        <v/>
      </c>
    </row>
    <row r="184" spans="1:6" x14ac:dyDescent="0.2">
      <c r="A184" s="98" t="str">
        <f t="shared" si="2"/>
        <v>__</v>
      </c>
      <c r="B184" s="107"/>
      <c r="C184" s="107"/>
      <c r="D184" s="108"/>
      <c r="E184" s="109"/>
      <c r="F184" s="97" t="str">
        <f>IF(ISERROR(HLOOKUP(D184,Data!$1:$1,1,FALSE)),"PROBLEM - Scheduled time not found.","")</f>
        <v/>
      </c>
    </row>
    <row r="185" spans="1:6" x14ac:dyDescent="0.2">
      <c r="A185" s="98" t="str">
        <f t="shared" si="2"/>
        <v>__</v>
      </c>
      <c r="B185" s="107"/>
      <c r="C185" s="107"/>
      <c r="D185" s="108"/>
      <c r="E185" s="109"/>
      <c r="F185" s="97" t="str">
        <f>IF(ISERROR(HLOOKUP(D185,Data!$1:$1,1,FALSE)),"PROBLEM - Scheduled time not found.","")</f>
        <v/>
      </c>
    </row>
    <row r="186" spans="1:6" x14ac:dyDescent="0.2">
      <c r="A186" s="98" t="str">
        <f t="shared" si="2"/>
        <v>__</v>
      </c>
      <c r="B186" s="107"/>
      <c r="C186" s="107"/>
      <c r="D186" s="108"/>
      <c r="E186" s="109"/>
      <c r="F186" s="97" t="str">
        <f>IF(ISERROR(HLOOKUP(D186,Data!$1:$1,1,FALSE)),"PROBLEM - Scheduled time not found.","")</f>
        <v/>
      </c>
    </row>
    <row r="187" spans="1:6" x14ac:dyDescent="0.2">
      <c r="A187" s="98" t="str">
        <f t="shared" si="2"/>
        <v>__</v>
      </c>
      <c r="B187" s="107"/>
      <c r="C187" s="107"/>
      <c r="D187" s="108"/>
      <c r="E187" s="109"/>
      <c r="F187" s="97" t="str">
        <f>IF(ISERROR(HLOOKUP(D187,Data!$1:$1,1,FALSE)),"PROBLEM - Scheduled time not found.","")</f>
        <v/>
      </c>
    </row>
    <row r="188" spans="1:6" x14ac:dyDescent="0.2">
      <c r="A188" s="98" t="str">
        <f t="shared" si="2"/>
        <v>__</v>
      </c>
      <c r="B188" s="107"/>
      <c r="C188" s="107"/>
      <c r="D188" s="108"/>
      <c r="E188" s="109"/>
      <c r="F188" s="97" t="str">
        <f>IF(ISERROR(HLOOKUP(D188,Data!$1:$1,1,FALSE)),"PROBLEM - Scheduled time not found.","")</f>
        <v/>
      </c>
    </row>
    <row r="189" spans="1:6" x14ac:dyDescent="0.2">
      <c r="A189" s="98" t="str">
        <f t="shared" si="2"/>
        <v>__</v>
      </c>
      <c r="B189" s="107"/>
      <c r="C189" s="107"/>
      <c r="D189" s="108"/>
      <c r="E189" s="109"/>
      <c r="F189" s="97" t="str">
        <f>IF(ISERROR(HLOOKUP(D189,Data!$1:$1,1,FALSE)),"PROBLEM - Scheduled time not found.","")</f>
        <v/>
      </c>
    </row>
    <row r="190" spans="1:6" x14ac:dyDescent="0.2">
      <c r="A190" s="98" t="str">
        <f t="shared" si="2"/>
        <v>__</v>
      </c>
      <c r="B190" s="107"/>
      <c r="C190" s="107"/>
      <c r="D190" s="108"/>
      <c r="E190" s="109"/>
      <c r="F190" s="97" t="str">
        <f>IF(ISERROR(HLOOKUP(D190,Data!$1:$1,1,FALSE)),"PROBLEM - Scheduled time not found.","")</f>
        <v/>
      </c>
    </row>
    <row r="191" spans="1:6" x14ac:dyDescent="0.2">
      <c r="A191" s="98" t="str">
        <f t="shared" si="2"/>
        <v>__</v>
      </c>
      <c r="B191" s="107"/>
      <c r="C191" s="107"/>
      <c r="D191" s="108"/>
      <c r="E191" s="109"/>
      <c r="F191" s="97" t="str">
        <f>IF(ISERROR(HLOOKUP(D191,Data!$1:$1,1,FALSE)),"PROBLEM - Scheduled time not found.","")</f>
        <v/>
      </c>
    </row>
    <row r="192" spans="1:6" x14ac:dyDescent="0.2">
      <c r="A192" s="98" t="str">
        <f t="shared" si="2"/>
        <v>__</v>
      </c>
      <c r="B192" s="107"/>
      <c r="C192" s="107"/>
      <c r="D192" s="108"/>
      <c r="E192" s="109"/>
      <c r="F192" s="97" t="str">
        <f>IF(ISERROR(HLOOKUP(D192,Data!$1:$1,1,FALSE)),"PROBLEM - Scheduled time not found.","")</f>
        <v/>
      </c>
    </row>
    <row r="193" spans="1:6" x14ac:dyDescent="0.2">
      <c r="A193" s="98" t="str">
        <f t="shared" si="2"/>
        <v>__</v>
      </c>
      <c r="B193" s="107"/>
      <c r="C193" s="107"/>
      <c r="D193" s="108"/>
      <c r="E193" s="109"/>
      <c r="F193" s="97" t="str">
        <f>IF(ISERROR(HLOOKUP(D193,Data!$1:$1,1,FALSE)),"PROBLEM - Scheduled time not found.","")</f>
        <v/>
      </c>
    </row>
    <row r="194" spans="1:6" x14ac:dyDescent="0.2">
      <c r="A194" s="98" t="str">
        <f t="shared" si="2"/>
        <v>__</v>
      </c>
      <c r="B194" s="107"/>
      <c r="C194" s="107"/>
      <c r="D194" s="108"/>
      <c r="E194" s="109"/>
      <c r="F194" s="97" t="str">
        <f>IF(ISERROR(HLOOKUP(D194,Data!$1:$1,1,FALSE)),"PROBLEM - Scheduled time not found.","")</f>
        <v/>
      </c>
    </row>
    <row r="195" spans="1:6" x14ac:dyDescent="0.2">
      <c r="A195" s="98" t="str">
        <f t="shared" ref="A195:A258" si="3">B195&amp;"_"&amp;C195&amp;"_"&amp;D195</f>
        <v>__</v>
      </c>
      <c r="B195" s="107"/>
      <c r="C195" s="107"/>
      <c r="D195" s="108"/>
      <c r="E195" s="109"/>
      <c r="F195" s="97" t="str">
        <f>IF(ISERROR(HLOOKUP(D195,Data!$1:$1,1,FALSE)),"PROBLEM - Scheduled time not found.","")</f>
        <v/>
      </c>
    </row>
    <row r="196" spans="1:6" x14ac:dyDescent="0.2">
      <c r="A196" s="98" t="str">
        <f t="shared" si="3"/>
        <v>__</v>
      </c>
      <c r="B196" s="107"/>
      <c r="C196" s="107"/>
      <c r="D196" s="108"/>
      <c r="E196" s="109"/>
      <c r="F196" s="97" t="str">
        <f>IF(ISERROR(HLOOKUP(D196,Data!$1:$1,1,FALSE)),"PROBLEM - Scheduled time not found.","")</f>
        <v/>
      </c>
    </row>
    <row r="197" spans="1:6" x14ac:dyDescent="0.2">
      <c r="A197" s="98" t="str">
        <f t="shared" si="3"/>
        <v>__</v>
      </c>
      <c r="B197" s="107"/>
      <c r="C197" s="107"/>
      <c r="D197" s="108"/>
      <c r="E197" s="109"/>
      <c r="F197" s="97" t="str">
        <f>IF(ISERROR(HLOOKUP(D197,Data!$1:$1,1,FALSE)),"PROBLEM - Scheduled time not found.","")</f>
        <v/>
      </c>
    </row>
    <row r="198" spans="1:6" x14ac:dyDescent="0.2">
      <c r="A198" s="98" t="str">
        <f t="shared" si="3"/>
        <v>__</v>
      </c>
      <c r="B198" s="107"/>
      <c r="C198" s="107"/>
      <c r="D198" s="108"/>
      <c r="E198" s="109"/>
      <c r="F198" s="97" t="str">
        <f>IF(ISERROR(HLOOKUP(D198,Data!$1:$1,1,FALSE)),"PROBLEM - Scheduled time not found.","")</f>
        <v/>
      </c>
    </row>
    <row r="199" spans="1:6" x14ac:dyDescent="0.2">
      <c r="A199" s="98" t="str">
        <f t="shared" si="3"/>
        <v>__</v>
      </c>
      <c r="B199" s="107"/>
      <c r="C199" s="107"/>
      <c r="D199" s="108"/>
      <c r="E199" s="109"/>
      <c r="F199" s="97" t="str">
        <f>IF(ISERROR(HLOOKUP(D199,Data!$1:$1,1,FALSE)),"PROBLEM - Scheduled time not found.","")</f>
        <v/>
      </c>
    </row>
    <row r="200" spans="1:6" x14ac:dyDescent="0.2">
      <c r="A200" s="98" t="str">
        <f t="shared" si="3"/>
        <v>__</v>
      </c>
      <c r="B200" s="107"/>
      <c r="C200" s="107"/>
      <c r="D200" s="108"/>
      <c r="E200" s="109"/>
      <c r="F200" s="97" t="str">
        <f>IF(ISERROR(HLOOKUP(D200,Data!$1:$1,1,FALSE)),"PROBLEM - Scheduled time not found.","")</f>
        <v/>
      </c>
    </row>
    <row r="201" spans="1:6" x14ac:dyDescent="0.2">
      <c r="A201" s="98" t="str">
        <f t="shared" si="3"/>
        <v>__</v>
      </c>
      <c r="B201" s="107"/>
      <c r="C201" s="107"/>
      <c r="D201" s="108"/>
      <c r="E201" s="109"/>
      <c r="F201" s="97" t="str">
        <f>IF(ISERROR(HLOOKUP(D201,Data!$1:$1,1,FALSE)),"PROBLEM - Scheduled time not found.","")</f>
        <v/>
      </c>
    </row>
    <row r="202" spans="1:6" x14ac:dyDescent="0.2">
      <c r="A202" s="98" t="str">
        <f t="shared" si="3"/>
        <v>__</v>
      </c>
      <c r="B202" s="107"/>
      <c r="C202" s="107"/>
      <c r="D202" s="108"/>
      <c r="E202" s="109"/>
      <c r="F202" s="97" t="str">
        <f>IF(ISERROR(HLOOKUP(D202,Data!$1:$1,1,FALSE)),"PROBLEM - Scheduled time not found.","")</f>
        <v/>
      </c>
    </row>
    <row r="203" spans="1:6" x14ac:dyDescent="0.2">
      <c r="A203" s="98" t="str">
        <f t="shared" si="3"/>
        <v>__</v>
      </c>
      <c r="B203" s="107"/>
      <c r="C203" s="107"/>
      <c r="D203" s="108"/>
      <c r="E203" s="109"/>
      <c r="F203" s="97" t="str">
        <f>IF(ISERROR(HLOOKUP(D203,Data!$1:$1,1,FALSE)),"PROBLEM - Scheduled time not found.","")</f>
        <v/>
      </c>
    </row>
    <row r="204" spans="1:6" x14ac:dyDescent="0.2">
      <c r="A204" s="98" t="str">
        <f t="shared" si="3"/>
        <v>__</v>
      </c>
      <c r="B204" s="107"/>
      <c r="C204" s="107"/>
      <c r="D204" s="108"/>
      <c r="E204" s="109"/>
      <c r="F204" s="97" t="str">
        <f>IF(ISERROR(HLOOKUP(D204,Data!$1:$1,1,FALSE)),"PROBLEM - Scheduled time not found.","")</f>
        <v/>
      </c>
    </row>
    <row r="205" spans="1:6" x14ac:dyDescent="0.2">
      <c r="A205" s="98" t="str">
        <f t="shared" si="3"/>
        <v>__</v>
      </c>
      <c r="B205" s="107"/>
      <c r="C205" s="107"/>
      <c r="D205" s="108"/>
      <c r="E205" s="109"/>
      <c r="F205" s="97" t="str">
        <f>IF(ISERROR(HLOOKUP(D205,Data!$1:$1,1,FALSE)),"PROBLEM - Scheduled time not found.","")</f>
        <v/>
      </c>
    </row>
    <row r="206" spans="1:6" x14ac:dyDescent="0.2">
      <c r="A206" s="98" t="str">
        <f t="shared" si="3"/>
        <v>__</v>
      </c>
      <c r="B206" s="107"/>
      <c r="C206" s="107"/>
      <c r="D206" s="108"/>
      <c r="E206" s="109"/>
      <c r="F206" s="97" t="str">
        <f>IF(ISERROR(HLOOKUP(D206,Data!$1:$1,1,FALSE)),"PROBLEM - Scheduled time not found.","")</f>
        <v/>
      </c>
    </row>
    <row r="207" spans="1:6" x14ac:dyDescent="0.2">
      <c r="A207" s="98" t="str">
        <f t="shared" si="3"/>
        <v>__</v>
      </c>
      <c r="B207" s="107"/>
      <c r="C207" s="107"/>
      <c r="D207" s="108"/>
      <c r="E207" s="109"/>
      <c r="F207" s="97" t="str">
        <f>IF(ISERROR(HLOOKUP(D207,Data!$1:$1,1,FALSE)),"PROBLEM - Scheduled time not found.","")</f>
        <v/>
      </c>
    </row>
    <row r="208" spans="1:6" x14ac:dyDescent="0.2">
      <c r="A208" s="98" t="str">
        <f t="shared" si="3"/>
        <v>__</v>
      </c>
      <c r="B208" s="107"/>
      <c r="C208" s="107"/>
      <c r="D208" s="108"/>
      <c r="E208" s="109"/>
      <c r="F208" s="97" t="str">
        <f>IF(ISERROR(HLOOKUP(D208,Data!$1:$1,1,FALSE)),"PROBLEM - Scheduled time not found.","")</f>
        <v/>
      </c>
    </row>
    <row r="209" spans="1:6" x14ac:dyDescent="0.2">
      <c r="A209" s="98" t="str">
        <f t="shared" si="3"/>
        <v>__</v>
      </c>
      <c r="B209" s="107"/>
      <c r="C209" s="107"/>
      <c r="D209" s="108"/>
      <c r="E209" s="109"/>
      <c r="F209" s="97" t="str">
        <f>IF(ISERROR(HLOOKUP(D209,Data!$1:$1,1,FALSE)),"PROBLEM - Scheduled time not found.","")</f>
        <v/>
      </c>
    </row>
    <row r="210" spans="1:6" x14ac:dyDescent="0.2">
      <c r="A210" s="98" t="str">
        <f t="shared" si="3"/>
        <v>__</v>
      </c>
      <c r="B210" s="107"/>
      <c r="C210" s="107"/>
      <c r="D210" s="108"/>
      <c r="E210" s="109"/>
      <c r="F210" s="97" t="str">
        <f>IF(ISERROR(HLOOKUP(D210,Data!$1:$1,1,FALSE)),"PROBLEM - Scheduled time not found.","")</f>
        <v/>
      </c>
    </row>
    <row r="211" spans="1:6" x14ac:dyDescent="0.2">
      <c r="A211" s="98" t="str">
        <f t="shared" si="3"/>
        <v>__</v>
      </c>
      <c r="B211" s="107"/>
      <c r="C211" s="107"/>
      <c r="D211" s="108"/>
      <c r="E211" s="109"/>
      <c r="F211" s="97" t="str">
        <f>IF(ISERROR(HLOOKUP(D211,Data!$1:$1,1,FALSE)),"PROBLEM - Scheduled time not found.","")</f>
        <v/>
      </c>
    </row>
    <row r="212" spans="1:6" x14ac:dyDescent="0.2">
      <c r="A212" s="98" t="str">
        <f t="shared" si="3"/>
        <v>__</v>
      </c>
      <c r="B212" s="107"/>
      <c r="C212" s="107"/>
      <c r="D212" s="108"/>
      <c r="E212" s="109"/>
      <c r="F212" s="97" t="str">
        <f>IF(ISERROR(HLOOKUP(D212,Data!$1:$1,1,FALSE)),"PROBLEM - Scheduled time not found.","")</f>
        <v/>
      </c>
    </row>
    <row r="213" spans="1:6" x14ac:dyDescent="0.2">
      <c r="A213" s="98" t="str">
        <f t="shared" si="3"/>
        <v>__</v>
      </c>
      <c r="B213" s="107"/>
      <c r="C213" s="107"/>
      <c r="D213" s="108"/>
      <c r="E213" s="109"/>
      <c r="F213" s="97" t="str">
        <f>IF(ISERROR(HLOOKUP(D213,Data!$1:$1,1,FALSE)),"PROBLEM - Scheduled time not found.","")</f>
        <v/>
      </c>
    </row>
    <row r="214" spans="1:6" x14ac:dyDescent="0.2">
      <c r="A214" s="98" t="str">
        <f t="shared" si="3"/>
        <v>__</v>
      </c>
      <c r="B214" s="107"/>
      <c r="C214" s="107"/>
      <c r="D214" s="108"/>
      <c r="E214" s="109"/>
      <c r="F214" s="97" t="str">
        <f>IF(ISERROR(HLOOKUP(D214,Data!$1:$1,1,FALSE)),"PROBLEM - Scheduled time not found.","")</f>
        <v/>
      </c>
    </row>
    <row r="215" spans="1:6" x14ac:dyDescent="0.2">
      <c r="A215" s="98" t="str">
        <f t="shared" si="3"/>
        <v>__</v>
      </c>
      <c r="B215" s="107"/>
      <c r="C215" s="107"/>
      <c r="D215" s="108"/>
      <c r="E215" s="109"/>
      <c r="F215" s="97" t="str">
        <f>IF(ISERROR(HLOOKUP(D215,Data!$1:$1,1,FALSE)),"PROBLEM - Scheduled time not found.","")</f>
        <v/>
      </c>
    </row>
    <row r="216" spans="1:6" x14ac:dyDescent="0.2">
      <c r="A216" s="98" t="str">
        <f t="shared" si="3"/>
        <v>__</v>
      </c>
      <c r="B216" s="107"/>
      <c r="C216" s="107"/>
      <c r="D216" s="108"/>
      <c r="E216" s="109"/>
      <c r="F216" s="97" t="str">
        <f>IF(ISERROR(HLOOKUP(D216,Data!$1:$1,1,FALSE)),"PROBLEM - Scheduled time not found.","")</f>
        <v/>
      </c>
    </row>
    <row r="217" spans="1:6" x14ac:dyDescent="0.2">
      <c r="A217" s="98" t="str">
        <f t="shared" si="3"/>
        <v>__</v>
      </c>
      <c r="B217" s="107"/>
      <c r="C217" s="107"/>
      <c r="D217" s="108"/>
      <c r="E217" s="109"/>
      <c r="F217" s="97" t="str">
        <f>IF(ISERROR(HLOOKUP(D217,Data!$1:$1,1,FALSE)),"PROBLEM - Scheduled time not found.","")</f>
        <v/>
      </c>
    </row>
    <row r="218" spans="1:6" x14ac:dyDescent="0.2">
      <c r="A218" s="98" t="str">
        <f t="shared" si="3"/>
        <v>__</v>
      </c>
      <c r="B218" s="107"/>
      <c r="C218" s="107"/>
      <c r="D218" s="108"/>
      <c r="E218" s="109"/>
      <c r="F218" s="97" t="str">
        <f>IF(ISERROR(HLOOKUP(D218,Data!$1:$1,1,FALSE)),"PROBLEM - Scheduled time not found.","")</f>
        <v/>
      </c>
    </row>
    <row r="219" spans="1:6" x14ac:dyDescent="0.2">
      <c r="A219" s="98" t="str">
        <f t="shared" si="3"/>
        <v>__</v>
      </c>
      <c r="B219" s="107"/>
      <c r="C219" s="107"/>
      <c r="D219" s="108"/>
      <c r="E219" s="109"/>
      <c r="F219" s="97" t="str">
        <f>IF(ISERROR(HLOOKUP(D219,Data!$1:$1,1,FALSE)),"PROBLEM - Scheduled time not found.","")</f>
        <v/>
      </c>
    </row>
    <row r="220" spans="1:6" x14ac:dyDescent="0.2">
      <c r="A220" s="98" t="str">
        <f t="shared" si="3"/>
        <v>__</v>
      </c>
      <c r="B220" s="107"/>
      <c r="C220" s="107"/>
      <c r="D220" s="108"/>
      <c r="E220" s="109"/>
      <c r="F220" s="97" t="str">
        <f>IF(ISERROR(HLOOKUP(D220,Data!$1:$1,1,FALSE)),"PROBLEM - Scheduled time not found.","")</f>
        <v/>
      </c>
    </row>
    <row r="221" spans="1:6" x14ac:dyDescent="0.2">
      <c r="A221" s="98" t="str">
        <f t="shared" si="3"/>
        <v>__</v>
      </c>
      <c r="B221" s="107"/>
      <c r="C221" s="107"/>
      <c r="D221" s="108"/>
      <c r="E221" s="109"/>
      <c r="F221" s="97" t="str">
        <f>IF(ISERROR(HLOOKUP(D221,Data!$1:$1,1,FALSE)),"PROBLEM - Scheduled time not found.","")</f>
        <v/>
      </c>
    </row>
    <row r="222" spans="1:6" x14ac:dyDescent="0.2">
      <c r="A222" s="98" t="str">
        <f t="shared" si="3"/>
        <v>__</v>
      </c>
      <c r="B222" s="107"/>
      <c r="C222" s="107"/>
      <c r="D222" s="108"/>
      <c r="E222" s="109"/>
      <c r="F222" s="97" t="str">
        <f>IF(ISERROR(HLOOKUP(D222,Data!$1:$1,1,FALSE)),"PROBLEM - Scheduled time not found.","")</f>
        <v/>
      </c>
    </row>
    <row r="223" spans="1:6" x14ac:dyDescent="0.2">
      <c r="A223" s="98" t="str">
        <f t="shared" si="3"/>
        <v>__</v>
      </c>
      <c r="B223" s="107"/>
      <c r="C223" s="107"/>
      <c r="D223" s="108"/>
      <c r="E223" s="109"/>
      <c r="F223" s="97" t="str">
        <f>IF(ISERROR(HLOOKUP(D223,Data!$1:$1,1,FALSE)),"PROBLEM - Scheduled time not found.","")</f>
        <v/>
      </c>
    </row>
    <row r="224" spans="1:6" x14ac:dyDescent="0.2">
      <c r="A224" s="98" t="str">
        <f t="shared" si="3"/>
        <v>__</v>
      </c>
      <c r="B224" s="107"/>
      <c r="C224" s="107"/>
      <c r="D224" s="108"/>
      <c r="E224" s="109"/>
      <c r="F224" s="97" t="str">
        <f>IF(ISERROR(HLOOKUP(D224,Data!$1:$1,1,FALSE)),"PROBLEM - Scheduled time not found.","")</f>
        <v/>
      </c>
    </row>
    <row r="225" spans="1:6" x14ac:dyDescent="0.2">
      <c r="A225" s="98" t="str">
        <f t="shared" si="3"/>
        <v>__</v>
      </c>
      <c r="B225" s="107"/>
      <c r="C225" s="107"/>
      <c r="D225" s="108"/>
      <c r="E225" s="109"/>
      <c r="F225" s="97" t="str">
        <f>IF(ISERROR(HLOOKUP(D225,Data!$1:$1,1,FALSE)),"PROBLEM - Scheduled time not found.","")</f>
        <v/>
      </c>
    </row>
    <row r="226" spans="1:6" x14ac:dyDescent="0.2">
      <c r="A226" s="98" t="str">
        <f t="shared" si="3"/>
        <v>__</v>
      </c>
      <c r="B226" s="107"/>
      <c r="C226" s="107"/>
      <c r="D226" s="108"/>
      <c r="E226" s="109"/>
      <c r="F226" s="97" t="str">
        <f>IF(ISERROR(HLOOKUP(D226,Data!$1:$1,1,FALSE)),"PROBLEM - Scheduled time not found.","")</f>
        <v/>
      </c>
    </row>
    <row r="227" spans="1:6" x14ac:dyDescent="0.2">
      <c r="A227" s="98" t="str">
        <f t="shared" si="3"/>
        <v>__</v>
      </c>
      <c r="B227" s="107"/>
      <c r="C227" s="107"/>
      <c r="D227" s="108"/>
      <c r="E227" s="109"/>
      <c r="F227" s="97" t="str">
        <f>IF(ISERROR(HLOOKUP(D227,Data!$1:$1,1,FALSE)),"PROBLEM - Scheduled time not found.","")</f>
        <v/>
      </c>
    </row>
    <row r="228" spans="1:6" x14ac:dyDescent="0.2">
      <c r="A228" s="98" t="str">
        <f t="shared" si="3"/>
        <v>__</v>
      </c>
      <c r="B228" s="107"/>
      <c r="C228" s="107"/>
      <c r="D228" s="108"/>
      <c r="E228" s="109"/>
      <c r="F228" s="97" t="str">
        <f>IF(ISERROR(HLOOKUP(D228,Data!$1:$1,1,FALSE)),"PROBLEM - Scheduled time not found.","")</f>
        <v/>
      </c>
    </row>
    <row r="229" spans="1:6" x14ac:dyDescent="0.2">
      <c r="A229" s="98" t="str">
        <f t="shared" si="3"/>
        <v>__</v>
      </c>
      <c r="B229" s="107"/>
      <c r="C229" s="107"/>
      <c r="D229" s="108"/>
      <c r="E229" s="109"/>
      <c r="F229" s="97" t="str">
        <f>IF(ISERROR(HLOOKUP(D229,Data!$1:$1,1,FALSE)),"PROBLEM - Scheduled time not found.","")</f>
        <v/>
      </c>
    </row>
    <row r="230" spans="1:6" x14ac:dyDescent="0.2">
      <c r="A230" s="98" t="str">
        <f t="shared" si="3"/>
        <v>__</v>
      </c>
      <c r="B230" s="107"/>
      <c r="C230" s="107"/>
      <c r="D230" s="108"/>
      <c r="E230" s="109"/>
      <c r="F230" s="97" t="str">
        <f>IF(ISERROR(HLOOKUP(D230,Data!$1:$1,1,FALSE)),"PROBLEM - Scheduled time not found.","")</f>
        <v/>
      </c>
    </row>
    <row r="231" spans="1:6" x14ac:dyDescent="0.2">
      <c r="A231" s="98" t="str">
        <f t="shared" si="3"/>
        <v>__</v>
      </c>
      <c r="B231" s="107"/>
      <c r="C231" s="107"/>
      <c r="D231" s="108"/>
      <c r="E231" s="109"/>
      <c r="F231" s="97" t="str">
        <f>IF(ISERROR(HLOOKUP(D231,Data!$1:$1,1,FALSE)),"PROBLEM - Scheduled time not found.","")</f>
        <v/>
      </c>
    </row>
    <row r="232" spans="1:6" x14ac:dyDescent="0.2">
      <c r="A232" s="98" t="str">
        <f t="shared" si="3"/>
        <v>__</v>
      </c>
      <c r="B232" s="107"/>
      <c r="C232" s="107"/>
      <c r="D232" s="108"/>
      <c r="E232" s="109"/>
      <c r="F232" s="97" t="str">
        <f>IF(ISERROR(HLOOKUP(D232,Data!$1:$1,1,FALSE)),"PROBLEM - Scheduled time not found.","")</f>
        <v/>
      </c>
    </row>
    <row r="233" spans="1:6" x14ac:dyDescent="0.2">
      <c r="A233" s="98" t="str">
        <f t="shared" si="3"/>
        <v>__</v>
      </c>
      <c r="B233" s="107"/>
      <c r="C233" s="107"/>
      <c r="D233" s="108"/>
      <c r="E233" s="109"/>
      <c r="F233" s="97" t="str">
        <f>IF(ISERROR(HLOOKUP(D233,Data!$1:$1,1,FALSE)),"PROBLEM - Scheduled time not found.","")</f>
        <v/>
      </c>
    </row>
    <row r="234" spans="1:6" x14ac:dyDescent="0.2">
      <c r="A234" s="98" t="str">
        <f t="shared" si="3"/>
        <v>__</v>
      </c>
      <c r="B234" s="107"/>
      <c r="C234" s="107"/>
      <c r="D234" s="108"/>
      <c r="E234" s="109"/>
      <c r="F234" s="97" t="str">
        <f>IF(ISERROR(HLOOKUP(D234,Data!$1:$1,1,FALSE)),"PROBLEM - Scheduled time not found.","")</f>
        <v/>
      </c>
    </row>
    <row r="235" spans="1:6" x14ac:dyDescent="0.2">
      <c r="A235" s="98" t="str">
        <f t="shared" si="3"/>
        <v>__</v>
      </c>
      <c r="B235" s="107"/>
      <c r="C235" s="107"/>
      <c r="D235" s="108"/>
      <c r="E235" s="109"/>
      <c r="F235" s="97" t="str">
        <f>IF(ISERROR(HLOOKUP(D235,Data!$1:$1,1,FALSE)),"PROBLEM - Scheduled time not found.","")</f>
        <v/>
      </c>
    </row>
    <row r="236" spans="1:6" x14ac:dyDescent="0.2">
      <c r="A236" s="98" t="str">
        <f t="shared" si="3"/>
        <v>__</v>
      </c>
      <c r="B236" s="107"/>
      <c r="C236" s="107"/>
      <c r="D236" s="108"/>
      <c r="E236" s="109"/>
      <c r="F236" s="97" t="str">
        <f>IF(ISERROR(HLOOKUP(D236,Data!$1:$1,1,FALSE)),"PROBLEM - Scheduled time not found.","")</f>
        <v/>
      </c>
    </row>
    <row r="237" spans="1:6" x14ac:dyDescent="0.2">
      <c r="A237" s="98" t="str">
        <f t="shared" si="3"/>
        <v>__</v>
      </c>
      <c r="B237" s="107"/>
      <c r="C237" s="107"/>
      <c r="D237" s="108"/>
      <c r="E237" s="109"/>
      <c r="F237" s="97" t="str">
        <f>IF(ISERROR(HLOOKUP(D237,Data!$1:$1,1,FALSE)),"PROBLEM - Scheduled time not found.","")</f>
        <v/>
      </c>
    </row>
    <row r="238" spans="1:6" x14ac:dyDescent="0.2">
      <c r="A238" s="98" t="str">
        <f t="shared" si="3"/>
        <v>__</v>
      </c>
      <c r="B238" s="107"/>
      <c r="C238" s="107"/>
      <c r="D238" s="108"/>
      <c r="E238" s="109"/>
      <c r="F238" s="97" t="str">
        <f>IF(ISERROR(HLOOKUP(D238,Data!$1:$1,1,FALSE)),"PROBLEM - Scheduled time not found.","")</f>
        <v/>
      </c>
    </row>
    <row r="239" spans="1:6" x14ac:dyDescent="0.2">
      <c r="A239" s="98" t="str">
        <f t="shared" si="3"/>
        <v>__</v>
      </c>
      <c r="B239" s="107"/>
      <c r="C239" s="107"/>
      <c r="D239" s="108"/>
      <c r="E239" s="109"/>
      <c r="F239" s="97" t="str">
        <f>IF(ISERROR(HLOOKUP(D239,Data!$1:$1,1,FALSE)),"PROBLEM - Scheduled time not found.","")</f>
        <v/>
      </c>
    </row>
    <row r="240" spans="1:6" x14ac:dyDescent="0.2">
      <c r="A240" s="98" t="str">
        <f t="shared" si="3"/>
        <v>__</v>
      </c>
      <c r="B240" s="107"/>
      <c r="C240" s="107"/>
      <c r="D240" s="108"/>
      <c r="E240" s="109"/>
      <c r="F240" s="97" t="str">
        <f>IF(ISERROR(HLOOKUP(D240,Data!$1:$1,1,FALSE)),"PROBLEM - Scheduled time not found.","")</f>
        <v/>
      </c>
    </row>
    <row r="241" spans="1:6" x14ac:dyDescent="0.2">
      <c r="A241" s="98" t="str">
        <f t="shared" si="3"/>
        <v>__</v>
      </c>
      <c r="B241" s="107"/>
      <c r="C241" s="107"/>
      <c r="D241" s="108"/>
      <c r="E241" s="109"/>
      <c r="F241" s="97" t="str">
        <f>IF(ISERROR(HLOOKUP(D241,Data!$1:$1,1,FALSE)),"PROBLEM - Scheduled time not found.","")</f>
        <v/>
      </c>
    </row>
    <row r="242" spans="1:6" x14ac:dyDescent="0.2">
      <c r="A242" s="98" t="str">
        <f t="shared" si="3"/>
        <v>__</v>
      </c>
      <c r="B242" s="107"/>
      <c r="C242" s="107"/>
      <c r="D242" s="108"/>
      <c r="E242" s="109"/>
      <c r="F242" s="97" t="str">
        <f>IF(ISERROR(HLOOKUP(D242,Data!$1:$1,1,FALSE)),"PROBLEM - Scheduled time not found.","")</f>
        <v/>
      </c>
    </row>
    <row r="243" spans="1:6" x14ac:dyDescent="0.2">
      <c r="A243" s="98" t="str">
        <f t="shared" si="3"/>
        <v>__</v>
      </c>
      <c r="B243" s="107"/>
      <c r="C243" s="107"/>
      <c r="D243" s="108"/>
      <c r="E243" s="109"/>
      <c r="F243" s="97" t="str">
        <f>IF(ISERROR(HLOOKUP(D243,Data!$1:$1,1,FALSE)),"PROBLEM - Scheduled time not found.","")</f>
        <v/>
      </c>
    </row>
    <row r="244" spans="1:6" x14ac:dyDescent="0.2">
      <c r="A244" s="98" t="str">
        <f t="shared" si="3"/>
        <v>__</v>
      </c>
      <c r="B244" s="107"/>
      <c r="C244" s="107"/>
      <c r="D244" s="108"/>
      <c r="E244" s="109"/>
      <c r="F244" s="97" t="str">
        <f>IF(ISERROR(HLOOKUP(D244,Data!$1:$1,1,FALSE)),"PROBLEM - Scheduled time not found.","")</f>
        <v/>
      </c>
    </row>
    <row r="245" spans="1:6" x14ac:dyDescent="0.2">
      <c r="A245" s="98" t="str">
        <f t="shared" si="3"/>
        <v>__</v>
      </c>
      <c r="B245" s="107"/>
      <c r="C245" s="107"/>
      <c r="D245" s="108"/>
      <c r="E245" s="109"/>
      <c r="F245" s="97" t="str">
        <f>IF(ISERROR(HLOOKUP(D245,Data!$1:$1,1,FALSE)),"PROBLEM - Scheduled time not found.","")</f>
        <v/>
      </c>
    </row>
    <row r="246" spans="1:6" x14ac:dyDescent="0.2">
      <c r="A246" s="98" t="str">
        <f t="shared" si="3"/>
        <v>__</v>
      </c>
      <c r="B246" s="107"/>
      <c r="C246" s="107"/>
      <c r="D246" s="108"/>
      <c r="E246" s="109"/>
      <c r="F246" s="97" t="str">
        <f>IF(ISERROR(HLOOKUP(D246,Data!$1:$1,1,FALSE)),"PROBLEM - Scheduled time not found.","")</f>
        <v/>
      </c>
    </row>
    <row r="247" spans="1:6" x14ac:dyDescent="0.2">
      <c r="A247" s="98" t="str">
        <f t="shared" si="3"/>
        <v>__</v>
      </c>
      <c r="B247" s="107"/>
      <c r="C247" s="107"/>
      <c r="D247" s="108"/>
      <c r="E247" s="109"/>
      <c r="F247" s="97" t="str">
        <f>IF(ISERROR(HLOOKUP(D247,Data!$1:$1,1,FALSE)),"PROBLEM - Scheduled time not found.","")</f>
        <v/>
      </c>
    </row>
    <row r="248" spans="1:6" x14ac:dyDescent="0.2">
      <c r="A248" s="98" t="str">
        <f t="shared" si="3"/>
        <v>__</v>
      </c>
      <c r="B248" s="107"/>
      <c r="C248" s="107"/>
      <c r="D248" s="108"/>
      <c r="E248" s="109"/>
      <c r="F248" s="97" t="str">
        <f>IF(ISERROR(HLOOKUP(D248,Data!$1:$1,1,FALSE)),"PROBLEM - Scheduled time not found.","")</f>
        <v/>
      </c>
    </row>
    <row r="249" spans="1:6" x14ac:dyDescent="0.2">
      <c r="A249" s="98" t="str">
        <f t="shared" si="3"/>
        <v>__</v>
      </c>
      <c r="B249" s="107"/>
      <c r="C249" s="107"/>
      <c r="D249" s="108"/>
      <c r="E249" s="109"/>
      <c r="F249" s="97" t="str">
        <f>IF(ISERROR(HLOOKUP(D249,Data!$1:$1,1,FALSE)),"PROBLEM - Scheduled time not found.","")</f>
        <v/>
      </c>
    </row>
    <row r="250" spans="1:6" x14ac:dyDescent="0.2">
      <c r="A250" s="98" t="str">
        <f t="shared" si="3"/>
        <v>__</v>
      </c>
      <c r="B250" s="107"/>
      <c r="C250" s="107"/>
      <c r="D250" s="108"/>
      <c r="E250" s="110"/>
      <c r="F250" s="97" t="str">
        <f>IF(ISERROR(HLOOKUP(D250,Data!$1:$1,1,FALSE)),"PROBLEM - Scheduled time not found.","")</f>
        <v/>
      </c>
    </row>
    <row r="251" spans="1:6" x14ac:dyDescent="0.2">
      <c r="A251" s="98" t="str">
        <f t="shared" si="3"/>
        <v>__</v>
      </c>
      <c r="B251" s="107"/>
      <c r="C251" s="107"/>
      <c r="D251" s="108"/>
      <c r="E251" s="109"/>
      <c r="F251" s="97" t="str">
        <f>IF(ISERROR(HLOOKUP(D251,Data!$1:$1,1,FALSE)),"PROBLEM - Scheduled time not found.","")</f>
        <v/>
      </c>
    </row>
    <row r="252" spans="1:6" x14ac:dyDescent="0.2">
      <c r="A252" s="98" t="str">
        <f t="shared" si="3"/>
        <v>__</v>
      </c>
      <c r="B252" s="107"/>
      <c r="C252" s="107"/>
      <c r="D252" s="108"/>
      <c r="E252" s="109"/>
      <c r="F252" s="97" t="str">
        <f>IF(ISERROR(HLOOKUP(D252,Data!$1:$1,1,FALSE)),"PROBLEM - Scheduled time not found.","")</f>
        <v/>
      </c>
    </row>
    <row r="253" spans="1:6" x14ac:dyDescent="0.2">
      <c r="A253" s="98" t="str">
        <f t="shared" si="3"/>
        <v>__</v>
      </c>
      <c r="B253" s="107"/>
      <c r="C253" s="107"/>
      <c r="D253" s="108"/>
      <c r="E253" s="109"/>
      <c r="F253" s="97" t="str">
        <f>IF(ISERROR(HLOOKUP(D253,Data!$1:$1,1,FALSE)),"PROBLEM - Scheduled time not found.","")</f>
        <v/>
      </c>
    </row>
    <row r="254" spans="1:6" x14ac:dyDescent="0.2">
      <c r="A254" s="98" t="str">
        <f t="shared" si="3"/>
        <v>__</v>
      </c>
      <c r="B254" s="107"/>
      <c r="C254" s="107"/>
      <c r="D254" s="108"/>
      <c r="E254" s="109"/>
      <c r="F254" s="97" t="str">
        <f>IF(ISERROR(HLOOKUP(D254,Data!$1:$1,1,FALSE)),"PROBLEM - Scheduled time not found.","")</f>
        <v/>
      </c>
    </row>
    <row r="255" spans="1:6" x14ac:dyDescent="0.2">
      <c r="A255" s="98" t="str">
        <f t="shared" si="3"/>
        <v>__</v>
      </c>
      <c r="B255" s="107"/>
      <c r="C255" s="107"/>
      <c r="D255" s="108"/>
      <c r="E255" s="109"/>
      <c r="F255" s="97" t="str">
        <f>IF(ISERROR(HLOOKUP(D255,Data!$1:$1,1,FALSE)),"PROBLEM - Scheduled time not found.","")</f>
        <v/>
      </c>
    </row>
    <row r="256" spans="1:6" x14ac:dyDescent="0.2">
      <c r="A256" s="98" t="str">
        <f t="shared" si="3"/>
        <v>__</v>
      </c>
      <c r="B256" s="107"/>
      <c r="C256" s="107"/>
      <c r="D256" s="108"/>
      <c r="E256" s="109"/>
      <c r="F256" s="97" t="str">
        <f>IF(ISERROR(HLOOKUP(D256,Data!$1:$1,1,FALSE)),"PROBLEM - Scheduled time not found.","")</f>
        <v/>
      </c>
    </row>
    <row r="257" spans="1:6" x14ac:dyDescent="0.2">
      <c r="A257" s="98" t="str">
        <f t="shared" si="3"/>
        <v>__</v>
      </c>
      <c r="B257" s="107"/>
      <c r="C257" s="107"/>
      <c r="D257" s="108"/>
      <c r="E257" s="109"/>
      <c r="F257" s="97" t="str">
        <f>IF(ISERROR(HLOOKUP(D257,Data!$1:$1,1,FALSE)),"PROBLEM - Scheduled time not found.","")</f>
        <v/>
      </c>
    </row>
    <row r="258" spans="1:6" x14ac:dyDescent="0.2">
      <c r="A258" s="98" t="str">
        <f t="shared" si="3"/>
        <v>__</v>
      </c>
      <c r="B258" s="107"/>
      <c r="C258" s="107"/>
      <c r="D258" s="108"/>
      <c r="E258" s="109"/>
      <c r="F258" s="97" t="str">
        <f>IF(ISERROR(HLOOKUP(D258,Data!$1:$1,1,FALSE)),"PROBLEM - Scheduled time not found.","")</f>
        <v/>
      </c>
    </row>
    <row r="259" spans="1:6" x14ac:dyDescent="0.2">
      <c r="A259" s="98" t="str">
        <f t="shared" ref="A259:A322" si="4">B259&amp;"_"&amp;C259&amp;"_"&amp;D259</f>
        <v>__</v>
      </c>
      <c r="B259" s="107"/>
      <c r="C259" s="107"/>
      <c r="D259" s="108"/>
      <c r="E259" s="109"/>
      <c r="F259" s="97" t="str">
        <f>IF(ISERROR(HLOOKUP(D259,Data!$1:$1,1,FALSE)),"PROBLEM - Scheduled time not found.","")</f>
        <v/>
      </c>
    </row>
    <row r="260" spans="1:6" x14ac:dyDescent="0.2">
      <c r="A260" s="98" t="str">
        <f t="shared" si="4"/>
        <v>__</v>
      </c>
      <c r="B260" s="107"/>
      <c r="C260" s="107"/>
      <c r="D260" s="108"/>
      <c r="E260" s="109"/>
      <c r="F260" s="97" t="str">
        <f>IF(ISERROR(HLOOKUP(D260,Data!$1:$1,1,FALSE)),"PROBLEM - Scheduled time not found.","")</f>
        <v/>
      </c>
    </row>
    <row r="261" spans="1:6" x14ac:dyDescent="0.2">
      <c r="A261" s="98" t="str">
        <f t="shared" si="4"/>
        <v>__</v>
      </c>
      <c r="B261" s="107"/>
      <c r="C261" s="107"/>
      <c r="D261" s="108"/>
      <c r="E261" s="109"/>
      <c r="F261" s="97" t="str">
        <f>IF(ISERROR(HLOOKUP(D261,Data!$1:$1,1,FALSE)),"PROBLEM - Scheduled time not found.","")</f>
        <v/>
      </c>
    </row>
    <row r="262" spans="1:6" x14ac:dyDescent="0.2">
      <c r="A262" s="98" t="str">
        <f t="shared" si="4"/>
        <v>__</v>
      </c>
      <c r="B262" s="107"/>
      <c r="C262" s="107"/>
      <c r="D262" s="108"/>
      <c r="E262" s="109"/>
      <c r="F262" s="97" t="str">
        <f>IF(ISERROR(HLOOKUP(D262,Data!$1:$1,1,FALSE)),"PROBLEM - Scheduled time not found.","")</f>
        <v/>
      </c>
    </row>
    <row r="263" spans="1:6" x14ac:dyDescent="0.2">
      <c r="A263" s="98" t="str">
        <f t="shared" si="4"/>
        <v>__</v>
      </c>
      <c r="B263" s="107"/>
      <c r="C263" s="107"/>
      <c r="D263" s="108"/>
      <c r="E263" s="109"/>
      <c r="F263" s="97" t="str">
        <f>IF(ISERROR(HLOOKUP(D263,Data!$1:$1,1,FALSE)),"PROBLEM - Scheduled time not found.","")</f>
        <v/>
      </c>
    </row>
    <row r="264" spans="1:6" x14ac:dyDescent="0.2">
      <c r="A264" s="98" t="str">
        <f t="shared" si="4"/>
        <v>__</v>
      </c>
      <c r="B264" s="107"/>
      <c r="C264" s="107"/>
      <c r="D264" s="108"/>
      <c r="E264" s="109"/>
      <c r="F264" s="97" t="str">
        <f>IF(ISERROR(HLOOKUP(D264,Data!$1:$1,1,FALSE)),"PROBLEM - Scheduled time not found.","")</f>
        <v/>
      </c>
    </row>
    <row r="265" spans="1:6" x14ac:dyDescent="0.2">
      <c r="A265" s="98" t="str">
        <f t="shared" si="4"/>
        <v>__</v>
      </c>
      <c r="B265" s="107"/>
      <c r="C265" s="107"/>
      <c r="D265" s="108"/>
      <c r="E265" s="109"/>
      <c r="F265" s="97" t="str">
        <f>IF(ISERROR(HLOOKUP(D265,Data!$1:$1,1,FALSE)),"PROBLEM - Scheduled time not found.","")</f>
        <v/>
      </c>
    </row>
    <row r="266" spans="1:6" x14ac:dyDescent="0.2">
      <c r="A266" s="98" t="str">
        <f t="shared" si="4"/>
        <v>__</v>
      </c>
      <c r="B266" s="107"/>
      <c r="C266" s="107"/>
      <c r="D266" s="108"/>
      <c r="E266" s="109"/>
      <c r="F266" s="97" t="str">
        <f>IF(ISERROR(HLOOKUP(D266,Data!$1:$1,1,FALSE)),"PROBLEM - Scheduled time not found.","")</f>
        <v/>
      </c>
    </row>
    <row r="267" spans="1:6" x14ac:dyDescent="0.2">
      <c r="A267" s="98" t="str">
        <f t="shared" si="4"/>
        <v>__</v>
      </c>
      <c r="B267" s="107"/>
      <c r="C267" s="107"/>
      <c r="D267" s="108"/>
      <c r="E267" s="109"/>
      <c r="F267" s="97" t="str">
        <f>IF(ISERROR(HLOOKUP(D267,Data!$1:$1,1,FALSE)),"PROBLEM - Scheduled time not found.","")</f>
        <v/>
      </c>
    </row>
    <row r="268" spans="1:6" x14ac:dyDescent="0.2">
      <c r="A268" s="98" t="str">
        <f t="shared" si="4"/>
        <v>__</v>
      </c>
      <c r="B268" s="107"/>
      <c r="C268" s="107"/>
      <c r="D268" s="108"/>
      <c r="E268" s="109"/>
      <c r="F268" s="97" t="str">
        <f>IF(ISERROR(HLOOKUP(D268,Data!$1:$1,1,FALSE)),"PROBLEM - Scheduled time not found.","")</f>
        <v/>
      </c>
    </row>
    <row r="269" spans="1:6" x14ac:dyDescent="0.2">
      <c r="A269" s="98" t="str">
        <f t="shared" si="4"/>
        <v>__</v>
      </c>
      <c r="B269" s="107"/>
      <c r="C269" s="107"/>
      <c r="D269" s="108"/>
      <c r="E269" s="109"/>
      <c r="F269" s="97" t="str">
        <f>IF(ISERROR(HLOOKUP(D269,Data!$1:$1,1,FALSE)),"PROBLEM - Scheduled time not found.","")</f>
        <v/>
      </c>
    </row>
    <row r="270" spans="1:6" x14ac:dyDescent="0.2">
      <c r="A270" s="98" t="str">
        <f t="shared" si="4"/>
        <v>__</v>
      </c>
      <c r="B270" s="107"/>
      <c r="C270" s="107"/>
      <c r="D270" s="108"/>
      <c r="E270" s="109"/>
      <c r="F270" s="97" t="str">
        <f>IF(ISERROR(HLOOKUP(D270,Data!$1:$1,1,FALSE)),"PROBLEM - Scheduled time not found.","")</f>
        <v/>
      </c>
    </row>
    <row r="271" spans="1:6" x14ac:dyDescent="0.2">
      <c r="A271" s="98" t="str">
        <f t="shared" si="4"/>
        <v>__</v>
      </c>
      <c r="B271" s="107"/>
      <c r="C271" s="107"/>
      <c r="D271" s="108"/>
      <c r="E271" s="109"/>
      <c r="F271" s="97" t="str">
        <f>IF(ISERROR(HLOOKUP(D271,Data!$1:$1,1,FALSE)),"PROBLEM - Scheduled time not found.","")</f>
        <v/>
      </c>
    </row>
    <row r="272" spans="1:6" x14ac:dyDescent="0.2">
      <c r="A272" s="98" t="str">
        <f t="shared" si="4"/>
        <v>__</v>
      </c>
      <c r="B272" s="107"/>
      <c r="C272" s="107"/>
      <c r="D272" s="108"/>
      <c r="E272" s="109"/>
      <c r="F272" s="97" t="str">
        <f>IF(ISERROR(HLOOKUP(D272,Data!$1:$1,1,FALSE)),"PROBLEM - Scheduled time not found.","")</f>
        <v/>
      </c>
    </row>
    <row r="273" spans="1:6" x14ac:dyDescent="0.2">
      <c r="A273" s="98" t="str">
        <f t="shared" si="4"/>
        <v>__</v>
      </c>
      <c r="B273" s="107"/>
      <c r="C273" s="107"/>
      <c r="D273" s="108"/>
      <c r="E273" s="109"/>
      <c r="F273" s="97" t="str">
        <f>IF(ISERROR(HLOOKUP(D273,Data!$1:$1,1,FALSE)),"PROBLEM - Scheduled time not found.","")</f>
        <v/>
      </c>
    </row>
    <row r="274" spans="1:6" x14ac:dyDescent="0.2">
      <c r="A274" s="98" t="str">
        <f t="shared" si="4"/>
        <v>__</v>
      </c>
      <c r="B274" s="107"/>
      <c r="C274" s="107"/>
      <c r="D274" s="108"/>
      <c r="E274" s="109"/>
      <c r="F274" s="97" t="str">
        <f>IF(ISERROR(HLOOKUP(D274,Data!$1:$1,1,FALSE)),"PROBLEM - Scheduled time not found.","")</f>
        <v/>
      </c>
    </row>
    <row r="275" spans="1:6" x14ac:dyDescent="0.2">
      <c r="A275" s="98" t="str">
        <f t="shared" si="4"/>
        <v>__</v>
      </c>
      <c r="B275" s="107"/>
      <c r="C275" s="107"/>
      <c r="D275" s="108"/>
      <c r="E275" s="109"/>
      <c r="F275" s="97" t="str">
        <f>IF(ISERROR(HLOOKUP(D275,Data!$1:$1,1,FALSE)),"PROBLEM - Scheduled time not found.","")</f>
        <v/>
      </c>
    </row>
    <row r="276" spans="1:6" x14ac:dyDescent="0.2">
      <c r="A276" s="98" t="str">
        <f t="shared" si="4"/>
        <v>__</v>
      </c>
      <c r="B276" s="107"/>
      <c r="C276" s="107"/>
      <c r="D276" s="108"/>
      <c r="E276" s="109"/>
      <c r="F276" s="97" t="str">
        <f>IF(ISERROR(HLOOKUP(D276,Data!$1:$1,1,FALSE)),"PROBLEM - Scheduled time not found.","")</f>
        <v/>
      </c>
    </row>
    <row r="277" spans="1:6" x14ac:dyDescent="0.2">
      <c r="A277" s="98" t="str">
        <f t="shared" si="4"/>
        <v>__</v>
      </c>
      <c r="B277" s="107"/>
      <c r="C277" s="107"/>
      <c r="D277" s="108"/>
      <c r="E277" s="109"/>
      <c r="F277" s="97" t="str">
        <f>IF(ISERROR(HLOOKUP(D277,Data!$1:$1,1,FALSE)),"PROBLEM - Scheduled time not found.","")</f>
        <v/>
      </c>
    </row>
    <row r="278" spans="1:6" x14ac:dyDescent="0.2">
      <c r="A278" s="98" t="str">
        <f t="shared" si="4"/>
        <v>__</v>
      </c>
      <c r="B278" s="107"/>
      <c r="C278" s="107"/>
      <c r="D278" s="108"/>
      <c r="E278" s="109"/>
      <c r="F278" s="97" t="str">
        <f>IF(ISERROR(HLOOKUP(D278,Data!$1:$1,1,FALSE)),"PROBLEM - Scheduled time not found.","")</f>
        <v/>
      </c>
    </row>
    <row r="279" spans="1:6" x14ac:dyDescent="0.2">
      <c r="A279" s="98" t="str">
        <f t="shared" si="4"/>
        <v>__</v>
      </c>
      <c r="B279" s="107"/>
      <c r="C279" s="107"/>
      <c r="D279" s="108"/>
      <c r="E279" s="109"/>
      <c r="F279" s="97" t="str">
        <f>IF(ISERROR(HLOOKUP(D279,Data!$1:$1,1,FALSE)),"PROBLEM - Scheduled time not found.","")</f>
        <v/>
      </c>
    </row>
    <row r="280" spans="1:6" x14ac:dyDescent="0.2">
      <c r="A280" s="98" t="str">
        <f t="shared" si="4"/>
        <v>__</v>
      </c>
      <c r="B280" s="107"/>
      <c r="C280" s="107"/>
      <c r="D280" s="108"/>
      <c r="E280" s="109"/>
      <c r="F280" s="97" t="str">
        <f>IF(ISERROR(HLOOKUP(D280,Data!$1:$1,1,FALSE)),"PROBLEM - Scheduled time not found.","")</f>
        <v/>
      </c>
    </row>
    <row r="281" spans="1:6" x14ac:dyDescent="0.2">
      <c r="A281" s="98" t="str">
        <f t="shared" si="4"/>
        <v>__</v>
      </c>
      <c r="B281" s="107"/>
      <c r="C281" s="107"/>
      <c r="D281" s="108"/>
      <c r="E281" s="109"/>
      <c r="F281" s="97" t="str">
        <f>IF(ISERROR(HLOOKUP(D281,Data!$1:$1,1,FALSE)),"PROBLEM - Scheduled time not found.","")</f>
        <v/>
      </c>
    </row>
    <row r="282" spans="1:6" x14ac:dyDescent="0.2">
      <c r="A282" s="98" t="str">
        <f t="shared" si="4"/>
        <v>__</v>
      </c>
      <c r="B282" s="107"/>
      <c r="C282" s="107"/>
      <c r="D282" s="108"/>
      <c r="E282" s="109"/>
      <c r="F282" s="97" t="str">
        <f>IF(ISERROR(HLOOKUP(D282,Data!$1:$1,1,FALSE)),"PROBLEM - Scheduled time not found.","")</f>
        <v/>
      </c>
    </row>
    <row r="283" spans="1:6" x14ac:dyDescent="0.2">
      <c r="A283" s="98" t="str">
        <f t="shared" si="4"/>
        <v>__</v>
      </c>
      <c r="B283" s="107"/>
      <c r="C283" s="107"/>
      <c r="D283" s="108"/>
      <c r="E283" s="109"/>
      <c r="F283" s="97" t="str">
        <f>IF(ISERROR(HLOOKUP(D283,Data!$1:$1,1,FALSE)),"PROBLEM - Scheduled time not found.","")</f>
        <v/>
      </c>
    </row>
    <row r="284" spans="1:6" x14ac:dyDescent="0.2">
      <c r="A284" s="98" t="str">
        <f t="shared" si="4"/>
        <v>__</v>
      </c>
      <c r="B284" s="107"/>
      <c r="C284" s="107"/>
      <c r="D284" s="108"/>
      <c r="E284" s="109"/>
      <c r="F284" s="97" t="str">
        <f>IF(ISERROR(HLOOKUP(D284,Data!$1:$1,1,FALSE)),"PROBLEM - Scheduled time not found.","")</f>
        <v/>
      </c>
    </row>
    <row r="285" spans="1:6" x14ac:dyDescent="0.2">
      <c r="A285" s="98" t="str">
        <f t="shared" si="4"/>
        <v>__</v>
      </c>
      <c r="B285" s="107"/>
      <c r="C285" s="107"/>
      <c r="D285" s="108"/>
      <c r="E285" s="109"/>
      <c r="F285" s="97" t="str">
        <f>IF(ISERROR(HLOOKUP(D285,Data!$1:$1,1,FALSE)),"PROBLEM - Scheduled time not found.","")</f>
        <v/>
      </c>
    </row>
    <row r="286" spans="1:6" x14ac:dyDescent="0.2">
      <c r="A286" s="98" t="str">
        <f t="shared" si="4"/>
        <v>__</v>
      </c>
      <c r="B286" s="107"/>
      <c r="C286" s="107"/>
      <c r="D286" s="108"/>
      <c r="E286" s="109"/>
      <c r="F286" s="97" t="str">
        <f>IF(ISERROR(HLOOKUP(D286,Data!$1:$1,1,FALSE)),"PROBLEM - Scheduled time not found.","")</f>
        <v/>
      </c>
    </row>
    <row r="287" spans="1:6" x14ac:dyDescent="0.2">
      <c r="A287" s="98" t="str">
        <f t="shared" si="4"/>
        <v>__</v>
      </c>
      <c r="B287" s="107"/>
      <c r="C287" s="107"/>
      <c r="D287" s="108"/>
      <c r="E287" s="109"/>
      <c r="F287" s="97" t="str">
        <f>IF(ISERROR(HLOOKUP(D287,Data!$1:$1,1,FALSE)),"PROBLEM - Scheduled time not found.","")</f>
        <v/>
      </c>
    </row>
    <row r="288" spans="1:6" x14ac:dyDescent="0.2">
      <c r="A288" s="98" t="str">
        <f t="shared" si="4"/>
        <v>__</v>
      </c>
      <c r="B288" s="107"/>
      <c r="C288" s="107"/>
      <c r="D288" s="108"/>
      <c r="E288" s="109"/>
      <c r="F288" s="97" t="str">
        <f>IF(ISERROR(HLOOKUP(D288,Data!$1:$1,1,FALSE)),"PROBLEM - Scheduled time not found.","")</f>
        <v/>
      </c>
    </row>
    <row r="289" spans="1:6" x14ac:dyDescent="0.2">
      <c r="A289" s="98" t="str">
        <f t="shared" si="4"/>
        <v>__</v>
      </c>
      <c r="B289" s="107"/>
      <c r="C289" s="107"/>
      <c r="D289" s="108"/>
      <c r="E289" s="109"/>
      <c r="F289" s="97" t="str">
        <f>IF(ISERROR(HLOOKUP(D289,Data!$1:$1,1,FALSE)),"PROBLEM - Scheduled time not found.","")</f>
        <v/>
      </c>
    </row>
    <row r="290" spans="1:6" x14ac:dyDescent="0.2">
      <c r="A290" s="98" t="str">
        <f t="shared" si="4"/>
        <v>__</v>
      </c>
      <c r="B290" s="107"/>
      <c r="C290" s="107"/>
      <c r="D290" s="108"/>
      <c r="E290" s="109"/>
      <c r="F290" s="97" t="str">
        <f>IF(ISERROR(HLOOKUP(D290,Data!$1:$1,1,FALSE)),"PROBLEM - Scheduled time not found.","")</f>
        <v/>
      </c>
    </row>
    <row r="291" spans="1:6" x14ac:dyDescent="0.2">
      <c r="A291" s="98" t="str">
        <f t="shared" si="4"/>
        <v>__</v>
      </c>
      <c r="B291" s="107"/>
      <c r="C291" s="107"/>
      <c r="D291" s="108"/>
      <c r="E291" s="109"/>
      <c r="F291" s="97" t="str">
        <f>IF(ISERROR(HLOOKUP(D291,Data!$1:$1,1,FALSE)),"PROBLEM - Scheduled time not found.","")</f>
        <v/>
      </c>
    </row>
    <row r="292" spans="1:6" x14ac:dyDescent="0.2">
      <c r="A292" s="98" t="str">
        <f t="shared" si="4"/>
        <v>__</v>
      </c>
      <c r="B292" s="107"/>
      <c r="C292" s="107"/>
      <c r="D292" s="108"/>
      <c r="E292" s="109"/>
      <c r="F292" s="97" t="str">
        <f>IF(ISERROR(HLOOKUP(D292,Data!$1:$1,1,FALSE)),"PROBLEM - Scheduled time not found.","")</f>
        <v/>
      </c>
    </row>
    <row r="293" spans="1:6" x14ac:dyDescent="0.2">
      <c r="A293" s="98" t="str">
        <f t="shared" si="4"/>
        <v>__</v>
      </c>
      <c r="B293" s="107"/>
      <c r="C293" s="107"/>
      <c r="D293" s="108"/>
      <c r="E293" s="109"/>
      <c r="F293" s="97" t="str">
        <f>IF(ISERROR(HLOOKUP(D293,Data!$1:$1,1,FALSE)),"PROBLEM - Scheduled time not found.","")</f>
        <v/>
      </c>
    </row>
    <row r="294" spans="1:6" x14ac:dyDescent="0.2">
      <c r="A294" s="98" t="str">
        <f t="shared" si="4"/>
        <v>__</v>
      </c>
      <c r="B294" s="107"/>
      <c r="C294" s="107"/>
      <c r="D294" s="108"/>
      <c r="E294" s="109"/>
      <c r="F294" s="97" t="str">
        <f>IF(ISERROR(HLOOKUP(D294,Data!$1:$1,1,FALSE)),"PROBLEM - Scheduled time not found.","")</f>
        <v/>
      </c>
    </row>
    <row r="295" spans="1:6" x14ac:dyDescent="0.2">
      <c r="A295" s="98" t="str">
        <f t="shared" si="4"/>
        <v>__</v>
      </c>
      <c r="B295" s="107"/>
      <c r="C295" s="107"/>
      <c r="D295" s="108"/>
      <c r="E295" s="109"/>
      <c r="F295" s="97" t="str">
        <f>IF(ISERROR(HLOOKUP(D295,Data!$1:$1,1,FALSE)),"PROBLEM - Scheduled time not found.","")</f>
        <v/>
      </c>
    </row>
    <row r="296" spans="1:6" x14ac:dyDescent="0.2">
      <c r="A296" s="98" t="str">
        <f t="shared" si="4"/>
        <v>__</v>
      </c>
      <c r="B296" s="107"/>
      <c r="C296" s="107"/>
      <c r="D296" s="108"/>
      <c r="E296" s="109"/>
      <c r="F296" s="97" t="str">
        <f>IF(ISERROR(HLOOKUP(D296,Data!$1:$1,1,FALSE)),"PROBLEM - Scheduled time not found.","")</f>
        <v/>
      </c>
    </row>
    <row r="297" spans="1:6" x14ac:dyDescent="0.2">
      <c r="A297" s="98" t="str">
        <f t="shared" si="4"/>
        <v>__</v>
      </c>
      <c r="B297" s="107"/>
      <c r="C297" s="107"/>
      <c r="D297" s="108"/>
      <c r="E297" s="109"/>
      <c r="F297" s="97" t="str">
        <f>IF(ISERROR(HLOOKUP(D297,Data!$1:$1,1,FALSE)),"PROBLEM - Scheduled time not found.","")</f>
        <v/>
      </c>
    </row>
    <row r="298" spans="1:6" x14ac:dyDescent="0.2">
      <c r="A298" s="98" t="str">
        <f t="shared" si="4"/>
        <v>__</v>
      </c>
      <c r="B298" s="107"/>
      <c r="C298" s="107"/>
      <c r="D298" s="108"/>
      <c r="E298" s="109"/>
      <c r="F298" s="97" t="str">
        <f>IF(ISERROR(HLOOKUP(D298,Data!$1:$1,1,FALSE)),"PROBLEM - Scheduled time not found.","")</f>
        <v/>
      </c>
    </row>
    <row r="299" spans="1:6" x14ac:dyDescent="0.2">
      <c r="A299" s="98" t="str">
        <f t="shared" si="4"/>
        <v>__</v>
      </c>
      <c r="B299" s="107"/>
      <c r="C299" s="107"/>
      <c r="D299" s="108"/>
      <c r="E299" s="109"/>
      <c r="F299" s="97" t="str">
        <f>IF(ISERROR(HLOOKUP(D299,Data!$1:$1,1,FALSE)),"PROBLEM - Scheduled time not found.","")</f>
        <v/>
      </c>
    </row>
    <row r="300" spans="1:6" x14ac:dyDescent="0.2">
      <c r="A300" s="98" t="str">
        <f t="shared" si="4"/>
        <v>__</v>
      </c>
      <c r="B300" s="107"/>
      <c r="C300" s="107"/>
      <c r="D300" s="108"/>
      <c r="E300" s="109"/>
      <c r="F300" s="97" t="str">
        <f>IF(ISERROR(HLOOKUP(D300,Data!$1:$1,1,FALSE)),"PROBLEM - Scheduled time not found.","")</f>
        <v/>
      </c>
    </row>
    <row r="301" spans="1:6" x14ac:dyDescent="0.2">
      <c r="A301" s="98" t="str">
        <f t="shared" si="4"/>
        <v>__</v>
      </c>
      <c r="B301" s="107"/>
      <c r="C301" s="107"/>
      <c r="D301" s="108"/>
      <c r="E301" s="109"/>
      <c r="F301" s="97" t="str">
        <f>IF(ISERROR(HLOOKUP(D301,Data!$1:$1,1,FALSE)),"PROBLEM - Scheduled time not found.","")</f>
        <v/>
      </c>
    </row>
    <row r="302" spans="1:6" x14ac:dyDescent="0.2">
      <c r="A302" s="98" t="str">
        <f t="shared" si="4"/>
        <v>__</v>
      </c>
      <c r="B302" s="107"/>
      <c r="C302" s="107"/>
      <c r="D302" s="108"/>
      <c r="E302" s="109"/>
      <c r="F302" s="97" t="str">
        <f>IF(ISERROR(HLOOKUP(D302,Data!$1:$1,1,FALSE)),"PROBLEM - Scheduled time not found.","")</f>
        <v/>
      </c>
    </row>
    <row r="303" spans="1:6" x14ac:dyDescent="0.2">
      <c r="A303" s="98" t="str">
        <f t="shared" si="4"/>
        <v>__</v>
      </c>
      <c r="B303" s="107"/>
      <c r="C303" s="107"/>
      <c r="D303" s="108"/>
      <c r="E303" s="109"/>
      <c r="F303" s="97" t="str">
        <f>IF(ISERROR(HLOOKUP(D303,Data!$1:$1,1,FALSE)),"PROBLEM - Scheduled time not found.","")</f>
        <v/>
      </c>
    </row>
    <row r="304" spans="1:6" x14ac:dyDescent="0.2">
      <c r="A304" s="98" t="str">
        <f t="shared" si="4"/>
        <v>__</v>
      </c>
      <c r="B304" s="107"/>
      <c r="C304" s="107"/>
      <c r="D304" s="108"/>
      <c r="E304" s="109"/>
      <c r="F304" s="97" t="str">
        <f>IF(ISERROR(HLOOKUP(D304,Data!$1:$1,1,FALSE)),"PROBLEM - Scheduled time not found.","")</f>
        <v/>
      </c>
    </row>
    <row r="305" spans="1:6" x14ac:dyDescent="0.2">
      <c r="A305" s="98" t="str">
        <f t="shared" si="4"/>
        <v>__</v>
      </c>
      <c r="B305" s="107"/>
      <c r="C305" s="107"/>
      <c r="D305" s="108"/>
      <c r="E305" s="109"/>
      <c r="F305" s="97" t="str">
        <f>IF(ISERROR(HLOOKUP(D305,Data!$1:$1,1,FALSE)),"PROBLEM - Scheduled time not found.","")</f>
        <v/>
      </c>
    </row>
    <row r="306" spans="1:6" x14ac:dyDescent="0.2">
      <c r="A306" s="98" t="str">
        <f t="shared" si="4"/>
        <v>__</v>
      </c>
      <c r="B306" s="107"/>
      <c r="C306" s="107"/>
      <c r="D306" s="108"/>
      <c r="E306" s="109"/>
      <c r="F306" s="97" t="str">
        <f>IF(ISERROR(HLOOKUP(D306,Data!$1:$1,1,FALSE)),"PROBLEM - Scheduled time not found.","")</f>
        <v/>
      </c>
    </row>
    <row r="307" spans="1:6" x14ac:dyDescent="0.2">
      <c r="A307" s="98" t="str">
        <f t="shared" si="4"/>
        <v>__</v>
      </c>
      <c r="B307" s="107"/>
      <c r="C307" s="107"/>
      <c r="D307" s="108"/>
      <c r="E307" s="109"/>
      <c r="F307" s="97" t="str">
        <f>IF(ISERROR(HLOOKUP(D307,Data!$1:$1,1,FALSE)),"PROBLEM - Scheduled time not found.","")</f>
        <v/>
      </c>
    </row>
    <row r="308" spans="1:6" x14ac:dyDescent="0.2">
      <c r="A308" s="98" t="str">
        <f t="shared" si="4"/>
        <v>__</v>
      </c>
      <c r="B308" s="107"/>
      <c r="C308" s="107"/>
      <c r="D308" s="108"/>
      <c r="E308" s="109"/>
      <c r="F308" s="97" t="str">
        <f>IF(ISERROR(HLOOKUP(D308,Data!$1:$1,1,FALSE)),"PROBLEM - Scheduled time not found.","")</f>
        <v/>
      </c>
    </row>
    <row r="309" spans="1:6" x14ac:dyDescent="0.2">
      <c r="A309" s="98" t="str">
        <f t="shared" si="4"/>
        <v>__</v>
      </c>
      <c r="B309" s="107"/>
      <c r="C309" s="107"/>
      <c r="D309" s="108"/>
      <c r="E309" s="109"/>
      <c r="F309" s="97" t="str">
        <f>IF(ISERROR(HLOOKUP(D309,Data!$1:$1,1,FALSE)),"PROBLEM - Scheduled time not found.","")</f>
        <v/>
      </c>
    </row>
    <row r="310" spans="1:6" x14ac:dyDescent="0.2">
      <c r="A310" s="98" t="str">
        <f t="shared" si="4"/>
        <v>__</v>
      </c>
      <c r="B310" s="107"/>
      <c r="C310" s="107"/>
      <c r="D310" s="108"/>
      <c r="E310" s="109"/>
      <c r="F310" s="97" t="str">
        <f>IF(ISERROR(HLOOKUP(D310,Data!$1:$1,1,FALSE)),"PROBLEM - Scheduled time not found.","")</f>
        <v/>
      </c>
    </row>
    <row r="311" spans="1:6" x14ac:dyDescent="0.2">
      <c r="A311" s="98" t="str">
        <f t="shared" si="4"/>
        <v>__</v>
      </c>
      <c r="B311" s="107"/>
      <c r="C311" s="107"/>
      <c r="D311" s="108"/>
      <c r="E311" s="109"/>
      <c r="F311" s="97" t="str">
        <f>IF(ISERROR(HLOOKUP(D311,Data!$1:$1,1,FALSE)),"PROBLEM - Scheduled time not found.","")</f>
        <v/>
      </c>
    </row>
    <row r="312" spans="1:6" x14ac:dyDescent="0.2">
      <c r="A312" s="98" t="str">
        <f t="shared" si="4"/>
        <v>__</v>
      </c>
      <c r="B312" s="107"/>
      <c r="C312" s="107"/>
      <c r="D312" s="108"/>
      <c r="E312" s="109"/>
      <c r="F312" s="97" t="str">
        <f>IF(ISERROR(HLOOKUP(D312,Data!$1:$1,1,FALSE)),"PROBLEM - Scheduled time not found.","")</f>
        <v/>
      </c>
    </row>
    <row r="313" spans="1:6" x14ac:dyDescent="0.2">
      <c r="A313" s="98" t="str">
        <f t="shared" si="4"/>
        <v>__</v>
      </c>
      <c r="B313" s="107"/>
      <c r="C313" s="107"/>
      <c r="D313" s="108"/>
      <c r="E313" s="109"/>
      <c r="F313" s="97" t="str">
        <f>IF(ISERROR(HLOOKUP(D313,Data!$1:$1,1,FALSE)),"PROBLEM - Scheduled time not found.","")</f>
        <v/>
      </c>
    </row>
    <row r="314" spans="1:6" x14ac:dyDescent="0.2">
      <c r="A314" s="98" t="str">
        <f t="shared" si="4"/>
        <v>__</v>
      </c>
      <c r="B314" s="107"/>
      <c r="C314" s="107"/>
      <c r="D314" s="108"/>
      <c r="E314" s="109"/>
      <c r="F314" s="97" t="str">
        <f>IF(ISERROR(HLOOKUP(D314,Data!$1:$1,1,FALSE)),"PROBLEM - Scheduled time not found.","")</f>
        <v/>
      </c>
    </row>
    <row r="315" spans="1:6" x14ac:dyDescent="0.2">
      <c r="A315" s="98" t="str">
        <f t="shared" si="4"/>
        <v>__</v>
      </c>
      <c r="B315" s="107"/>
      <c r="C315" s="107"/>
      <c r="D315" s="108"/>
      <c r="E315" s="109"/>
      <c r="F315" s="97" t="str">
        <f>IF(ISERROR(HLOOKUP(D315,Data!$1:$1,1,FALSE)),"PROBLEM - Scheduled time not found.","")</f>
        <v/>
      </c>
    </row>
    <row r="316" spans="1:6" x14ac:dyDescent="0.2">
      <c r="A316" s="98" t="str">
        <f t="shared" si="4"/>
        <v>__</v>
      </c>
      <c r="B316" s="107"/>
      <c r="C316" s="107"/>
      <c r="D316" s="108"/>
      <c r="E316" s="109"/>
      <c r="F316" s="97" t="str">
        <f>IF(ISERROR(HLOOKUP(D316,Data!$1:$1,1,FALSE)),"PROBLEM - Scheduled time not found.","")</f>
        <v/>
      </c>
    </row>
    <row r="317" spans="1:6" x14ac:dyDescent="0.2">
      <c r="A317" s="98" t="str">
        <f t="shared" si="4"/>
        <v>__</v>
      </c>
      <c r="B317" s="107"/>
      <c r="C317" s="107"/>
      <c r="D317" s="108"/>
      <c r="E317" s="109"/>
      <c r="F317" s="97" t="str">
        <f>IF(ISERROR(HLOOKUP(D317,Data!$1:$1,1,FALSE)),"PROBLEM - Scheduled time not found.","")</f>
        <v/>
      </c>
    </row>
    <row r="318" spans="1:6" x14ac:dyDescent="0.2">
      <c r="A318" s="98" t="str">
        <f t="shared" si="4"/>
        <v>__</v>
      </c>
      <c r="B318" s="107"/>
      <c r="C318" s="107"/>
      <c r="D318" s="108"/>
      <c r="E318" s="109"/>
      <c r="F318" s="97" t="str">
        <f>IF(ISERROR(HLOOKUP(D318,Data!$1:$1,1,FALSE)),"PROBLEM - Scheduled time not found.","")</f>
        <v/>
      </c>
    </row>
    <row r="319" spans="1:6" x14ac:dyDescent="0.2">
      <c r="A319" s="98" t="str">
        <f t="shared" si="4"/>
        <v>__</v>
      </c>
      <c r="B319" s="107"/>
      <c r="C319" s="107"/>
      <c r="D319" s="108"/>
      <c r="E319" s="109"/>
      <c r="F319" s="97" t="str">
        <f>IF(ISERROR(HLOOKUP(D319,Data!$1:$1,1,FALSE)),"PROBLEM - Scheduled time not found.","")</f>
        <v/>
      </c>
    </row>
    <row r="320" spans="1:6" x14ac:dyDescent="0.2">
      <c r="A320" s="98" t="str">
        <f t="shared" si="4"/>
        <v>__</v>
      </c>
      <c r="B320" s="107"/>
      <c r="C320" s="107"/>
      <c r="D320" s="108"/>
      <c r="E320" s="109"/>
      <c r="F320" s="97" t="str">
        <f>IF(ISERROR(HLOOKUP(D320,Data!$1:$1,1,FALSE)),"PROBLEM - Scheduled time not found.","")</f>
        <v/>
      </c>
    </row>
    <row r="321" spans="1:6" x14ac:dyDescent="0.2">
      <c r="A321" s="98" t="str">
        <f t="shared" si="4"/>
        <v>__</v>
      </c>
      <c r="B321" s="107"/>
      <c r="C321" s="107"/>
      <c r="D321" s="108"/>
      <c r="E321" s="109"/>
      <c r="F321" s="97" t="str">
        <f>IF(ISERROR(HLOOKUP(D321,Data!$1:$1,1,FALSE)),"PROBLEM - Scheduled time not found.","")</f>
        <v/>
      </c>
    </row>
    <row r="322" spans="1:6" x14ac:dyDescent="0.2">
      <c r="A322" s="98" t="str">
        <f t="shared" si="4"/>
        <v>__</v>
      </c>
      <c r="B322" s="107"/>
      <c r="C322" s="107"/>
      <c r="D322" s="108"/>
      <c r="E322" s="109"/>
      <c r="F322" s="97" t="str">
        <f>IF(ISERROR(HLOOKUP(D322,Data!$1:$1,1,FALSE)),"PROBLEM - Scheduled time not found.","")</f>
        <v/>
      </c>
    </row>
    <row r="323" spans="1:6" x14ac:dyDescent="0.2">
      <c r="A323" s="98" t="str">
        <f t="shared" ref="A323:A386" si="5">B323&amp;"_"&amp;C323&amp;"_"&amp;D323</f>
        <v>__</v>
      </c>
      <c r="B323" s="107"/>
      <c r="C323" s="107"/>
      <c r="D323" s="108"/>
      <c r="E323" s="109"/>
      <c r="F323" s="97" t="str">
        <f>IF(ISERROR(HLOOKUP(D323,Data!$1:$1,1,FALSE)),"PROBLEM - Scheduled time not found.","")</f>
        <v/>
      </c>
    </row>
    <row r="324" spans="1:6" x14ac:dyDescent="0.2">
      <c r="A324" s="98" t="str">
        <f t="shared" si="5"/>
        <v>__</v>
      </c>
      <c r="B324" s="107"/>
      <c r="C324" s="107"/>
      <c r="D324" s="108"/>
      <c r="E324" s="109"/>
      <c r="F324" s="97" t="str">
        <f>IF(ISERROR(HLOOKUP(D324,Data!$1:$1,1,FALSE)),"PROBLEM - Scheduled time not found.","")</f>
        <v/>
      </c>
    </row>
    <row r="325" spans="1:6" x14ac:dyDescent="0.2">
      <c r="A325" s="98" t="str">
        <f t="shared" si="5"/>
        <v>__</v>
      </c>
      <c r="B325" s="107"/>
      <c r="C325" s="107"/>
      <c r="D325" s="108"/>
      <c r="E325" s="109"/>
      <c r="F325" s="97" t="str">
        <f>IF(ISERROR(HLOOKUP(D325,Data!$1:$1,1,FALSE)),"PROBLEM - Scheduled time not found.","")</f>
        <v/>
      </c>
    </row>
    <row r="326" spans="1:6" x14ac:dyDescent="0.2">
      <c r="A326" s="98" t="str">
        <f t="shared" si="5"/>
        <v>__</v>
      </c>
      <c r="B326" s="107"/>
      <c r="C326" s="107"/>
      <c r="D326" s="108"/>
      <c r="E326" s="109"/>
      <c r="F326" s="97" t="str">
        <f>IF(ISERROR(HLOOKUP(D326,Data!$1:$1,1,FALSE)),"PROBLEM - Scheduled time not found.","")</f>
        <v/>
      </c>
    </row>
    <row r="327" spans="1:6" x14ac:dyDescent="0.2">
      <c r="A327" s="98" t="str">
        <f t="shared" si="5"/>
        <v>__</v>
      </c>
      <c r="B327" s="107"/>
      <c r="C327" s="107"/>
      <c r="D327" s="108"/>
      <c r="E327" s="109"/>
      <c r="F327" s="97" t="str">
        <f>IF(ISERROR(HLOOKUP(D327,Data!$1:$1,1,FALSE)),"PROBLEM - Scheduled time not found.","")</f>
        <v/>
      </c>
    </row>
    <row r="328" spans="1:6" x14ac:dyDescent="0.2">
      <c r="A328" s="98" t="str">
        <f t="shared" si="5"/>
        <v>__</v>
      </c>
      <c r="B328" s="107"/>
      <c r="C328" s="107"/>
      <c r="D328" s="108"/>
      <c r="E328" s="109"/>
      <c r="F328" s="97" t="str">
        <f>IF(ISERROR(HLOOKUP(D328,Data!$1:$1,1,FALSE)),"PROBLEM - Scheduled time not found.","")</f>
        <v/>
      </c>
    </row>
    <row r="329" spans="1:6" x14ac:dyDescent="0.2">
      <c r="A329" s="98" t="str">
        <f t="shared" si="5"/>
        <v>__</v>
      </c>
      <c r="B329" s="107"/>
      <c r="C329" s="107"/>
      <c r="D329" s="108"/>
      <c r="E329" s="109"/>
      <c r="F329" s="97" t="str">
        <f>IF(ISERROR(HLOOKUP(D329,Data!$1:$1,1,FALSE)),"PROBLEM - Scheduled time not found.","")</f>
        <v/>
      </c>
    </row>
    <row r="330" spans="1:6" x14ac:dyDescent="0.2">
      <c r="A330" s="98" t="str">
        <f t="shared" si="5"/>
        <v>__</v>
      </c>
      <c r="B330" s="107"/>
      <c r="C330" s="107"/>
      <c r="D330" s="108"/>
      <c r="E330" s="109"/>
      <c r="F330" s="97" t="str">
        <f>IF(ISERROR(HLOOKUP(D330,Data!$1:$1,1,FALSE)),"PROBLEM - Scheduled time not found.","")</f>
        <v/>
      </c>
    </row>
    <row r="331" spans="1:6" x14ac:dyDescent="0.2">
      <c r="A331" s="98" t="str">
        <f t="shared" si="5"/>
        <v>__</v>
      </c>
      <c r="B331" s="107"/>
      <c r="C331" s="107"/>
      <c r="D331" s="108"/>
      <c r="E331" s="109"/>
      <c r="F331" s="97" t="str">
        <f>IF(ISERROR(HLOOKUP(D331,Data!$1:$1,1,FALSE)),"PROBLEM - Scheduled time not found.","")</f>
        <v/>
      </c>
    </row>
    <row r="332" spans="1:6" x14ac:dyDescent="0.2">
      <c r="A332" s="98" t="str">
        <f t="shared" si="5"/>
        <v>__</v>
      </c>
      <c r="B332" s="107"/>
      <c r="C332" s="107"/>
      <c r="D332" s="108"/>
      <c r="E332" s="109"/>
      <c r="F332" s="97" t="str">
        <f>IF(ISERROR(HLOOKUP(D332,Data!$1:$1,1,FALSE)),"PROBLEM - Scheduled time not found.","")</f>
        <v/>
      </c>
    </row>
    <row r="333" spans="1:6" x14ac:dyDescent="0.2">
      <c r="A333" s="98" t="str">
        <f t="shared" si="5"/>
        <v>__</v>
      </c>
      <c r="B333" s="107"/>
      <c r="C333" s="107"/>
      <c r="D333" s="108"/>
      <c r="E333" s="109"/>
      <c r="F333" s="97" t="str">
        <f>IF(ISERROR(HLOOKUP(D333,Data!$1:$1,1,FALSE)),"PROBLEM - Scheduled time not found.","")</f>
        <v/>
      </c>
    </row>
    <row r="334" spans="1:6" x14ac:dyDescent="0.2">
      <c r="A334" s="98" t="str">
        <f t="shared" si="5"/>
        <v>__</v>
      </c>
      <c r="B334" s="107"/>
      <c r="C334" s="107"/>
      <c r="D334" s="108"/>
      <c r="E334" s="109"/>
      <c r="F334" s="97" t="str">
        <f>IF(ISERROR(HLOOKUP(D334,Data!$1:$1,1,FALSE)),"PROBLEM - Scheduled time not found.","")</f>
        <v/>
      </c>
    </row>
    <row r="335" spans="1:6" x14ac:dyDescent="0.2">
      <c r="A335" s="98" t="str">
        <f t="shared" si="5"/>
        <v>__</v>
      </c>
      <c r="B335" s="107"/>
      <c r="C335" s="107"/>
      <c r="D335" s="108"/>
      <c r="E335" s="109"/>
      <c r="F335" s="97" t="str">
        <f>IF(ISERROR(HLOOKUP(D335,Data!$1:$1,1,FALSE)),"PROBLEM - Scheduled time not found.","")</f>
        <v/>
      </c>
    </row>
    <row r="336" spans="1:6" x14ac:dyDescent="0.2">
      <c r="A336" s="98" t="str">
        <f t="shared" si="5"/>
        <v>__</v>
      </c>
      <c r="B336" s="107"/>
      <c r="C336" s="107"/>
      <c r="D336" s="108"/>
      <c r="E336" s="109"/>
      <c r="F336" s="97" t="str">
        <f>IF(ISERROR(HLOOKUP(D336,Data!$1:$1,1,FALSE)),"PROBLEM - Scheduled time not found.","")</f>
        <v/>
      </c>
    </row>
    <row r="337" spans="1:6" x14ac:dyDescent="0.2">
      <c r="A337" s="98" t="str">
        <f t="shared" si="5"/>
        <v>__</v>
      </c>
      <c r="B337" s="107"/>
      <c r="C337" s="107"/>
      <c r="D337" s="108"/>
      <c r="E337" s="109"/>
      <c r="F337" s="97" t="str">
        <f>IF(ISERROR(HLOOKUP(D337,Data!$1:$1,1,FALSE)),"PROBLEM - Scheduled time not found.","")</f>
        <v/>
      </c>
    </row>
    <row r="338" spans="1:6" x14ac:dyDescent="0.2">
      <c r="A338" s="98" t="str">
        <f t="shared" si="5"/>
        <v>__</v>
      </c>
      <c r="B338" s="107"/>
      <c r="C338" s="107"/>
      <c r="D338" s="108"/>
      <c r="E338" s="109"/>
      <c r="F338" s="97" t="str">
        <f>IF(ISERROR(HLOOKUP(D338,Data!$1:$1,1,FALSE)),"PROBLEM - Scheduled time not found.","")</f>
        <v/>
      </c>
    </row>
    <row r="339" spans="1:6" x14ac:dyDescent="0.2">
      <c r="A339" s="98" t="str">
        <f t="shared" si="5"/>
        <v>__</v>
      </c>
      <c r="B339" s="107"/>
      <c r="C339" s="107"/>
      <c r="D339" s="108"/>
      <c r="E339" s="109"/>
      <c r="F339" s="97" t="str">
        <f>IF(ISERROR(HLOOKUP(D339,Data!$1:$1,1,FALSE)),"PROBLEM - Scheduled time not found.","")</f>
        <v/>
      </c>
    </row>
    <row r="340" spans="1:6" x14ac:dyDescent="0.2">
      <c r="A340" s="98" t="str">
        <f t="shared" si="5"/>
        <v>__</v>
      </c>
      <c r="B340" s="107"/>
      <c r="C340" s="107"/>
      <c r="D340" s="108"/>
      <c r="E340" s="109"/>
      <c r="F340" s="97" t="str">
        <f>IF(ISERROR(HLOOKUP(D340,Data!$1:$1,1,FALSE)),"PROBLEM - Scheduled time not found.","")</f>
        <v/>
      </c>
    </row>
    <row r="341" spans="1:6" x14ac:dyDescent="0.2">
      <c r="A341" s="98" t="str">
        <f t="shared" si="5"/>
        <v>__</v>
      </c>
      <c r="B341" s="107"/>
      <c r="C341" s="107"/>
      <c r="D341" s="108"/>
      <c r="E341" s="109"/>
      <c r="F341" s="97" t="str">
        <f>IF(ISERROR(HLOOKUP(D341,Data!$1:$1,1,FALSE)),"PROBLEM - Scheduled time not found.","")</f>
        <v/>
      </c>
    </row>
    <row r="342" spans="1:6" x14ac:dyDescent="0.2">
      <c r="A342" s="98" t="str">
        <f t="shared" si="5"/>
        <v>__</v>
      </c>
      <c r="B342" s="107"/>
      <c r="C342" s="107"/>
      <c r="D342" s="108"/>
      <c r="E342" s="109"/>
      <c r="F342" s="97" t="str">
        <f>IF(ISERROR(HLOOKUP(D342,Data!$1:$1,1,FALSE)),"PROBLEM - Scheduled time not found.","")</f>
        <v/>
      </c>
    </row>
    <row r="343" spans="1:6" x14ac:dyDescent="0.2">
      <c r="A343" s="98" t="str">
        <f t="shared" si="5"/>
        <v>__</v>
      </c>
      <c r="B343" s="107"/>
      <c r="C343" s="107"/>
      <c r="D343" s="108"/>
      <c r="E343" s="109"/>
      <c r="F343" s="97" t="str">
        <f>IF(ISERROR(HLOOKUP(D343,Data!$1:$1,1,FALSE)),"PROBLEM - Scheduled time not found.","")</f>
        <v/>
      </c>
    </row>
    <row r="344" spans="1:6" x14ac:dyDescent="0.2">
      <c r="A344" s="98" t="str">
        <f t="shared" si="5"/>
        <v>__</v>
      </c>
      <c r="B344" s="107"/>
      <c r="C344" s="107"/>
      <c r="D344" s="108"/>
      <c r="E344" s="109"/>
      <c r="F344" s="97" t="str">
        <f>IF(ISERROR(HLOOKUP(D344,Data!$1:$1,1,FALSE)),"PROBLEM - Scheduled time not found.","")</f>
        <v/>
      </c>
    </row>
    <row r="345" spans="1:6" x14ac:dyDescent="0.2">
      <c r="A345" s="98" t="str">
        <f t="shared" si="5"/>
        <v>__</v>
      </c>
      <c r="B345" s="107"/>
      <c r="C345" s="107"/>
      <c r="D345" s="108"/>
      <c r="E345" s="109"/>
      <c r="F345" s="97" t="str">
        <f>IF(ISERROR(HLOOKUP(D345,Data!$1:$1,1,FALSE)),"PROBLEM - Scheduled time not found.","")</f>
        <v/>
      </c>
    </row>
    <row r="346" spans="1:6" x14ac:dyDescent="0.2">
      <c r="A346" s="98" t="str">
        <f t="shared" si="5"/>
        <v>__</v>
      </c>
      <c r="B346" s="107"/>
      <c r="C346" s="107"/>
      <c r="D346" s="108"/>
      <c r="E346" s="109"/>
      <c r="F346" s="97" t="str">
        <f>IF(ISERROR(HLOOKUP(D346,Data!$1:$1,1,FALSE)),"PROBLEM - Scheduled time not found.","")</f>
        <v/>
      </c>
    </row>
    <row r="347" spans="1:6" x14ac:dyDescent="0.2">
      <c r="A347" s="98" t="str">
        <f t="shared" si="5"/>
        <v>__</v>
      </c>
      <c r="B347" s="107"/>
      <c r="C347" s="107"/>
      <c r="D347" s="108"/>
      <c r="E347" s="109"/>
      <c r="F347" s="97" t="str">
        <f>IF(ISERROR(HLOOKUP(D347,Data!$1:$1,1,FALSE)),"PROBLEM - Scheduled time not found.","")</f>
        <v/>
      </c>
    </row>
    <row r="348" spans="1:6" x14ac:dyDescent="0.2">
      <c r="A348" s="98" t="str">
        <f t="shared" si="5"/>
        <v>__</v>
      </c>
      <c r="B348" s="107"/>
      <c r="C348" s="107"/>
      <c r="D348" s="108"/>
      <c r="E348" s="109"/>
      <c r="F348" s="97" t="str">
        <f>IF(ISERROR(HLOOKUP(D348,Data!$1:$1,1,FALSE)),"PROBLEM - Scheduled time not found.","")</f>
        <v/>
      </c>
    </row>
    <row r="349" spans="1:6" x14ac:dyDescent="0.2">
      <c r="A349" s="98" t="str">
        <f t="shared" si="5"/>
        <v>__</v>
      </c>
      <c r="B349" s="107"/>
      <c r="C349" s="107"/>
      <c r="D349" s="108"/>
      <c r="E349" s="109"/>
      <c r="F349" s="97" t="str">
        <f>IF(ISERROR(HLOOKUP(D349,Data!$1:$1,1,FALSE)),"PROBLEM - Scheduled time not found.","")</f>
        <v/>
      </c>
    </row>
    <row r="350" spans="1:6" x14ac:dyDescent="0.2">
      <c r="A350" s="98" t="str">
        <f t="shared" si="5"/>
        <v>__</v>
      </c>
      <c r="B350" s="107"/>
      <c r="C350" s="107"/>
      <c r="D350" s="108"/>
      <c r="E350" s="109"/>
      <c r="F350" s="97" t="str">
        <f>IF(ISERROR(HLOOKUP(D350,Data!$1:$1,1,FALSE)),"PROBLEM - Scheduled time not found.","")</f>
        <v/>
      </c>
    </row>
    <row r="351" spans="1:6" x14ac:dyDescent="0.2">
      <c r="A351" s="98" t="str">
        <f t="shared" si="5"/>
        <v>__</v>
      </c>
      <c r="B351" s="107"/>
      <c r="C351" s="107"/>
      <c r="D351" s="108"/>
      <c r="E351" s="109"/>
      <c r="F351" s="97" t="str">
        <f>IF(ISERROR(HLOOKUP(D351,Data!$1:$1,1,FALSE)),"PROBLEM - Scheduled time not found.","")</f>
        <v/>
      </c>
    </row>
    <row r="352" spans="1:6" x14ac:dyDescent="0.2">
      <c r="A352" s="98" t="str">
        <f t="shared" si="5"/>
        <v>__</v>
      </c>
      <c r="B352" s="107"/>
      <c r="C352" s="107"/>
      <c r="D352" s="108"/>
      <c r="E352" s="109"/>
      <c r="F352" s="97" t="str">
        <f>IF(ISERROR(HLOOKUP(D352,Data!$1:$1,1,FALSE)),"PROBLEM - Scheduled time not found.","")</f>
        <v/>
      </c>
    </row>
    <row r="353" spans="1:6" x14ac:dyDescent="0.2">
      <c r="A353" s="98" t="str">
        <f t="shared" si="5"/>
        <v>__</v>
      </c>
      <c r="B353" s="107"/>
      <c r="C353" s="107"/>
      <c r="D353" s="108"/>
      <c r="E353" s="109"/>
      <c r="F353" s="97" t="str">
        <f>IF(ISERROR(HLOOKUP(D353,Data!$1:$1,1,FALSE)),"PROBLEM - Scheduled time not found.","")</f>
        <v/>
      </c>
    </row>
    <row r="354" spans="1:6" x14ac:dyDescent="0.2">
      <c r="A354" s="98" t="str">
        <f t="shared" si="5"/>
        <v>__</v>
      </c>
      <c r="B354" s="107"/>
      <c r="C354" s="107"/>
      <c r="D354" s="108"/>
      <c r="E354" s="109"/>
      <c r="F354" s="97" t="str">
        <f>IF(ISERROR(HLOOKUP(D354,Data!$1:$1,1,FALSE)),"PROBLEM - Scheduled time not found.","")</f>
        <v/>
      </c>
    </row>
    <row r="355" spans="1:6" x14ac:dyDescent="0.2">
      <c r="A355" s="98" t="str">
        <f t="shared" si="5"/>
        <v>__</v>
      </c>
      <c r="B355" s="107"/>
      <c r="C355" s="107"/>
      <c r="D355" s="108"/>
      <c r="E355" s="109"/>
      <c r="F355" s="97" t="str">
        <f>IF(ISERROR(HLOOKUP(D355,Data!$1:$1,1,FALSE)),"PROBLEM - Scheduled time not found.","")</f>
        <v/>
      </c>
    </row>
    <row r="356" spans="1:6" x14ac:dyDescent="0.2">
      <c r="A356" s="98" t="str">
        <f t="shared" si="5"/>
        <v>__</v>
      </c>
      <c r="B356" s="107"/>
      <c r="C356" s="107"/>
      <c r="D356" s="108"/>
      <c r="E356" s="109"/>
      <c r="F356" s="97" t="str">
        <f>IF(ISERROR(HLOOKUP(D356,Data!$1:$1,1,FALSE)),"PROBLEM - Scheduled time not found.","")</f>
        <v/>
      </c>
    </row>
    <row r="357" spans="1:6" x14ac:dyDescent="0.2">
      <c r="A357" s="98" t="str">
        <f t="shared" si="5"/>
        <v>__</v>
      </c>
      <c r="B357" s="107"/>
      <c r="C357" s="107"/>
      <c r="D357" s="108"/>
      <c r="E357" s="109"/>
      <c r="F357" s="97" t="str">
        <f>IF(ISERROR(HLOOKUP(D357,Data!$1:$1,1,FALSE)),"PROBLEM - Scheduled time not found.","")</f>
        <v/>
      </c>
    </row>
    <row r="358" spans="1:6" x14ac:dyDescent="0.2">
      <c r="A358" s="98" t="str">
        <f t="shared" si="5"/>
        <v>__</v>
      </c>
      <c r="B358" s="107"/>
      <c r="C358" s="107"/>
      <c r="D358" s="108"/>
      <c r="E358" s="109"/>
      <c r="F358" s="97" t="str">
        <f>IF(ISERROR(HLOOKUP(D358,Data!$1:$1,1,FALSE)),"PROBLEM - Scheduled time not found.","")</f>
        <v/>
      </c>
    </row>
    <row r="359" spans="1:6" x14ac:dyDescent="0.2">
      <c r="A359" s="98" t="str">
        <f t="shared" si="5"/>
        <v>__</v>
      </c>
      <c r="B359" s="107"/>
      <c r="C359" s="107"/>
      <c r="D359" s="108"/>
      <c r="E359" s="109"/>
      <c r="F359" s="97" t="str">
        <f>IF(ISERROR(HLOOKUP(D359,Data!$1:$1,1,FALSE)),"PROBLEM - Scheduled time not found.","")</f>
        <v/>
      </c>
    </row>
    <row r="360" spans="1:6" x14ac:dyDescent="0.2">
      <c r="A360" s="98" t="str">
        <f t="shared" si="5"/>
        <v>__</v>
      </c>
      <c r="B360" s="107"/>
      <c r="C360" s="107"/>
      <c r="D360" s="108"/>
      <c r="E360" s="109"/>
      <c r="F360" s="97" t="str">
        <f>IF(ISERROR(HLOOKUP(D360,Data!$1:$1,1,FALSE)),"PROBLEM - Scheduled time not found.","")</f>
        <v/>
      </c>
    </row>
    <row r="361" spans="1:6" x14ac:dyDescent="0.2">
      <c r="A361" s="98" t="str">
        <f t="shared" si="5"/>
        <v>__</v>
      </c>
      <c r="B361" s="107"/>
      <c r="C361" s="107"/>
      <c r="D361" s="108"/>
      <c r="E361" s="109"/>
      <c r="F361" s="97" t="str">
        <f>IF(ISERROR(HLOOKUP(D361,Data!$1:$1,1,FALSE)),"PROBLEM - Scheduled time not found.","")</f>
        <v/>
      </c>
    </row>
    <row r="362" spans="1:6" x14ac:dyDescent="0.2">
      <c r="A362" s="98" t="str">
        <f t="shared" si="5"/>
        <v>__</v>
      </c>
      <c r="B362" s="107"/>
      <c r="C362" s="107"/>
      <c r="D362" s="108"/>
      <c r="E362" s="109"/>
      <c r="F362" s="97" t="str">
        <f>IF(ISERROR(HLOOKUP(D362,Data!$1:$1,1,FALSE)),"PROBLEM - Scheduled time not found.","")</f>
        <v/>
      </c>
    </row>
    <row r="363" spans="1:6" x14ac:dyDescent="0.2">
      <c r="A363" s="98" t="str">
        <f t="shared" si="5"/>
        <v>__</v>
      </c>
      <c r="B363" s="107"/>
      <c r="C363" s="107"/>
      <c r="D363" s="108"/>
      <c r="E363" s="109"/>
      <c r="F363" s="97" t="str">
        <f>IF(ISERROR(HLOOKUP(D363,Data!$1:$1,1,FALSE)),"PROBLEM - Scheduled time not found.","")</f>
        <v/>
      </c>
    </row>
    <row r="364" spans="1:6" x14ac:dyDescent="0.2">
      <c r="A364" s="98" t="str">
        <f t="shared" si="5"/>
        <v>__</v>
      </c>
      <c r="B364" s="107"/>
      <c r="C364" s="107"/>
      <c r="D364" s="108"/>
      <c r="E364" s="109"/>
      <c r="F364" s="97" t="str">
        <f>IF(ISERROR(HLOOKUP(D364,Data!$1:$1,1,FALSE)),"PROBLEM - Scheduled time not found.","")</f>
        <v/>
      </c>
    </row>
    <row r="365" spans="1:6" x14ac:dyDescent="0.2">
      <c r="A365" s="98" t="str">
        <f t="shared" si="5"/>
        <v>__</v>
      </c>
      <c r="B365" s="107"/>
      <c r="C365" s="107"/>
      <c r="D365" s="108"/>
      <c r="E365" s="109"/>
      <c r="F365" s="97" t="str">
        <f>IF(ISERROR(HLOOKUP(D365,Data!$1:$1,1,FALSE)),"PROBLEM - Scheduled time not found.","")</f>
        <v/>
      </c>
    </row>
    <row r="366" spans="1:6" x14ac:dyDescent="0.2">
      <c r="A366" s="98" t="str">
        <f t="shared" si="5"/>
        <v>__</v>
      </c>
      <c r="B366" s="107"/>
      <c r="C366" s="107"/>
      <c r="D366" s="108"/>
      <c r="E366" s="109"/>
      <c r="F366" s="97" t="str">
        <f>IF(ISERROR(HLOOKUP(D366,Data!$1:$1,1,FALSE)),"PROBLEM - Scheduled time not found.","")</f>
        <v/>
      </c>
    </row>
    <row r="367" spans="1:6" x14ac:dyDescent="0.2">
      <c r="A367" s="98" t="str">
        <f t="shared" si="5"/>
        <v>__</v>
      </c>
      <c r="B367" s="107"/>
      <c r="C367" s="107"/>
      <c r="D367" s="108"/>
      <c r="E367" s="109"/>
      <c r="F367" s="97" t="str">
        <f>IF(ISERROR(HLOOKUP(D367,Data!$1:$1,1,FALSE)),"PROBLEM - Scheduled time not found.","")</f>
        <v/>
      </c>
    </row>
    <row r="368" spans="1:6" x14ac:dyDescent="0.2">
      <c r="A368" s="98" t="str">
        <f t="shared" si="5"/>
        <v>__</v>
      </c>
      <c r="B368" s="107"/>
      <c r="C368" s="107"/>
      <c r="D368" s="108"/>
      <c r="E368" s="109"/>
      <c r="F368" s="97" t="str">
        <f>IF(ISERROR(HLOOKUP(D368,Data!$1:$1,1,FALSE)),"PROBLEM - Scheduled time not found.","")</f>
        <v/>
      </c>
    </row>
    <row r="369" spans="1:6" x14ac:dyDescent="0.2">
      <c r="A369" s="98" t="str">
        <f t="shared" si="5"/>
        <v>__</v>
      </c>
      <c r="B369" s="107"/>
      <c r="C369" s="107"/>
      <c r="D369" s="108"/>
      <c r="E369" s="109"/>
      <c r="F369" s="97" t="str">
        <f>IF(ISERROR(HLOOKUP(D369,Data!$1:$1,1,FALSE)),"PROBLEM - Scheduled time not found.","")</f>
        <v/>
      </c>
    </row>
    <row r="370" spans="1:6" x14ac:dyDescent="0.2">
      <c r="A370" s="98" t="str">
        <f t="shared" si="5"/>
        <v>__</v>
      </c>
      <c r="B370" s="107"/>
      <c r="C370" s="107"/>
      <c r="D370" s="108"/>
      <c r="E370" s="109"/>
      <c r="F370" s="97" t="str">
        <f>IF(ISERROR(HLOOKUP(D370,Data!$1:$1,1,FALSE)),"PROBLEM - Scheduled time not found.","")</f>
        <v/>
      </c>
    </row>
    <row r="371" spans="1:6" x14ac:dyDescent="0.2">
      <c r="A371" s="98" t="str">
        <f t="shared" si="5"/>
        <v>__</v>
      </c>
      <c r="B371" s="107"/>
      <c r="C371" s="107"/>
      <c r="D371" s="108"/>
      <c r="E371" s="109"/>
      <c r="F371" s="97" t="str">
        <f>IF(ISERROR(HLOOKUP(D371,Data!$1:$1,1,FALSE)),"PROBLEM - Scheduled time not found.","")</f>
        <v/>
      </c>
    </row>
    <row r="372" spans="1:6" x14ac:dyDescent="0.2">
      <c r="A372" s="98" t="str">
        <f t="shared" si="5"/>
        <v>__</v>
      </c>
      <c r="B372" s="107"/>
      <c r="C372" s="107"/>
      <c r="D372" s="108"/>
      <c r="E372" s="109"/>
      <c r="F372" s="97" t="str">
        <f>IF(ISERROR(HLOOKUP(D372,Data!$1:$1,1,FALSE)),"PROBLEM - Scheduled time not found.","")</f>
        <v/>
      </c>
    </row>
    <row r="373" spans="1:6" x14ac:dyDescent="0.2">
      <c r="A373" s="98" t="str">
        <f t="shared" si="5"/>
        <v>__</v>
      </c>
      <c r="B373" s="107"/>
      <c r="C373" s="107"/>
      <c r="D373" s="108"/>
      <c r="E373" s="109"/>
      <c r="F373" s="97" t="str">
        <f>IF(ISERROR(HLOOKUP(D373,Data!$1:$1,1,FALSE)),"PROBLEM - Scheduled time not found.","")</f>
        <v/>
      </c>
    </row>
    <row r="374" spans="1:6" x14ac:dyDescent="0.2">
      <c r="A374" s="98" t="str">
        <f t="shared" si="5"/>
        <v>__</v>
      </c>
      <c r="B374" s="107"/>
      <c r="C374" s="107"/>
      <c r="D374" s="108"/>
      <c r="E374" s="109"/>
      <c r="F374" s="97" t="str">
        <f>IF(ISERROR(HLOOKUP(D374,Data!$1:$1,1,FALSE)),"PROBLEM - Scheduled time not found.","")</f>
        <v/>
      </c>
    </row>
    <row r="375" spans="1:6" x14ac:dyDescent="0.2">
      <c r="A375" s="98" t="str">
        <f t="shared" si="5"/>
        <v>__</v>
      </c>
      <c r="B375" s="107"/>
      <c r="C375" s="107"/>
      <c r="D375" s="108"/>
      <c r="E375" s="109"/>
      <c r="F375" s="97" t="str">
        <f>IF(ISERROR(HLOOKUP(D375,Data!$1:$1,1,FALSE)),"PROBLEM - Scheduled time not found.","")</f>
        <v/>
      </c>
    </row>
    <row r="376" spans="1:6" x14ac:dyDescent="0.2">
      <c r="A376" s="98" t="str">
        <f t="shared" si="5"/>
        <v>__</v>
      </c>
      <c r="B376" s="107"/>
      <c r="C376" s="107"/>
      <c r="D376" s="108"/>
      <c r="E376" s="109"/>
      <c r="F376" s="97" t="str">
        <f>IF(ISERROR(HLOOKUP(D376,Data!$1:$1,1,FALSE)),"PROBLEM - Scheduled time not found.","")</f>
        <v/>
      </c>
    </row>
    <row r="377" spans="1:6" x14ac:dyDescent="0.2">
      <c r="A377" s="98" t="str">
        <f t="shared" si="5"/>
        <v>__</v>
      </c>
      <c r="B377" s="107"/>
      <c r="C377" s="107"/>
      <c r="D377" s="108"/>
      <c r="E377" s="109"/>
      <c r="F377" s="97" t="str">
        <f>IF(ISERROR(HLOOKUP(D377,Data!$1:$1,1,FALSE)),"PROBLEM - Scheduled time not found.","")</f>
        <v/>
      </c>
    </row>
    <row r="378" spans="1:6" x14ac:dyDescent="0.2">
      <c r="A378" s="98" t="str">
        <f t="shared" si="5"/>
        <v>__</v>
      </c>
      <c r="B378" s="107"/>
      <c r="C378" s="107"/>
      <c r="D378" s="108"/>
      <c r="E378" s="109"/>
      <c r="F378" s="97" t="str">
        <f>IF(ISERROR(HLOOKUP(D378,Data!$1:$1,1,FALSE)),"PROBLEM - Scheduled time not found.","")</f>
        <v/>
      </c>
    </row>
    <row r="379" spans="1:6" x14ac:dyDescent="0.2">
      <c r="A379" s="98" t="str">
        <f t="shared" si="5"/>
        <v>__</v>
      </c>
      <c r="B379" s="107"/>
      <c r="C379" s="107"/>
      <c r="D379" s="108"/>
      <c r="E379" s="109"/>
      <c r="F379" s="97" t="str">
        <f>IF(ISERROR(HLOOKUP(D379,Data!$1:$1,1,FALSE)),"PROBLEM - Scheduled time not found.","")</f>
        <v/>
      </c>
    </row>
    <row r="380" spans="1:6" x14ac:dyDescent="0.2">
      <c r="A380" s="98" t="str">
        <f t="shared" si="5"/>
        <v>__</v>
      </c>
      <c r="B380" s="107"/>
      <c r="C380" s="107"/>
      <c r="D380" s="108"/>
      <c r="E380" s="109"/>
      <c r="F380" s="97" t="str">
        <f>IF(ISERROR(HLOOKUP(D380,Data!$1:$1,1,FALSE)),"PROBLEM - Scheduled time not found.","")</f>
        <v/>
      </c>
    </row>
    <row r="381" spans="1:6" x14ac:dyDescent="0.2">
      <c r="A381" s="98" t="str">
        <f t="shared" si="5"/>
        <v>__</v>
      </c>
      <c r="B381" s="107"/>
      <c r="C381" s="107"/>
      <c r="D381" s="108"/>
      <c r="E381" s="109"/>
      <c r="F381" s="97" t="str">
        <f>IF(ISERROR(HLOOKUP(D381,Data!$1:$1,1,FALSE)),"PROBLEM - Scheduled time not found.","")</f>
        <v/>
      </c>
    </row>
    <row r="382" spans="1:6" x14ac:dyDescent="0.2">
      <c r="A382" s="98" t="str">
        <f t="shared" si="5"/>
        <v>__</v>
      </c>
      <c r="B382" s="107"/>
      <c r="C382" s="107"/>
      <c r="D382" s="108"/>
      <c r="E382" s="109"/>
      <c r="F382" s="97" t="str">
        <f>IF(ISERROR(HLOOKUP(D382,Data!$1:$1,1,FALSE)),"PROBLEM - Scheduled time not found.","")</f>
        <v/>
      </c>
    </row>
    <row r="383" spans="1:6" x14ac:dyDescent="0.2">
      <c r="A383" s="98" t="str">
        <f t="shared" si="5"/>
        <v>__</v>
      </c>
      <c r="B383" s="107"/>
      <c r="C383" s="107"/>
      <c r="D383" s="108"/>
      <c r="E383" s="109"/>
      <c r="F383" s="97" t="str">
        <f>IF(ISERROR(HLOOKUP(D383,Data!$1:$1,1,FALSE)),"PROBLEM - Scheduled time not found.","")</f>
        <v/>
      </c>
    </row>
    <row r="384" spans="1:6" x14ac:dyDescent="0.2">
      <c r="A384" s="98" t="str">
        <f t="shared" si="5"/>
        <v>__</v>
      </c>
      <c r="B384" s="107"/>
      <c r="C384" s="107"/>
      <c r="D384" s="108"/>
      <c r="E384" s="109"/>
      <c r="F384" s="97" t="str">
        <f>IF(ISERROR(HLOOKUP(D384,Data!$1:$1,1,FALSE)),"PROBLEM - Scheduled time not found.","")</f>
        <v/>
      </c>
    </row>
    <row r="385" spans="1:6" x14ac:dyDescent="0.2">
      <c r="A385" s="98" t="str">
        <f t="shared" si="5"/>
        <v>__</v>
      </c>
      <c r="B385" s="107"/>
      <c r="C385" s="107"/>
      <c r="D385" s="108"/>
      <c r="E385" s="109"/>
      <c r="F385" s="97" t="str">
        <f>IF(ISERROR(HLOOKUP(D385,Data!$1:$1,1,FALSE)),"PROBLEM - Scheduled time not found.","")</f>
        <v/>
      </c>
    </row>
    <row r="386" spans="1:6" x14ac:dyDescent="0.2">
      <c r="A386" s="98" t="str">
        <f t="shared" si="5"/>
        <v>__</v>
      </c>
      <c r="B386" s="107"/>
      <c r="C386" s="107"/>
      <c r="D386" s="108"/>
      <c r="E386" s="109"/>
      <c r="F386" s="97" t="str">
        <f>IF(ISERROR(HLOOKUP(D386,Data!$1:$1,1,FALSE)),"PROBLEM - Scheduled time not found.","")</f>
        <v/>
      </c>
    </row>
    <row r="387" spans="1:6" x14ac:dyDescent="0.2">
      <c r="A387" s="98" t="str">
        <f t="shared" ref="A387:A450" si="6">B387&amp;"_"&amp;C387&amp;"_"&amp;D387</f>
        <v>__</v>
      </c>
      <c r="B387" s="107"/>
      <c r="C387" s="107"/>
      <c r="D387" s="108"/>
      <c r="E387" s="109"/>
      <c r="F387" s="97" t="str">
        <f>IF(ISERROR(HLOOKUP(D387,Data!$1:$1,1,FALSE)),"PROBLEM - Scheduled time not found.","")</f>
        <v/>
      </c>
    </row>
    <row r="388" spans="1:6" x14ac:dyDescent="0.2">
      <c r="A388" s="98" t="str">
        <f t="shared" si="6"/>
        <v>__</v>
      </c>
      <c r="B388" s="107"/>
      <c r="C388" s="107"/>
      <c r="D388" s="108"/>
      <c r="E388" s="109"/>
      <c r="F388" s="97" t="str">
        <f>IF(ISERROR(HLOOKUP(D388,Data!$1:$1,1,FALSE)),"PROBLEM - Scheduled time not found.","")</f>
        <v/>
      </c>
    </row>
    <row r="389" spans="1:6" x14ac:dyDescent="0.2">
      <c r="A389" s="98" t="str">
        <f t="shared" si="6"/>
        <v>__</v>
      </c>
      <c r="B389" s="107"/>
      <c r="C389" s="107"/>
      <c r="D389" s="108"/>
      <c r="E389" s="109"/>
      <c r="F389" s="97" t="str">
        <f>IF(ISERROR(HLOOKUP(D389,Data!$1:$1,1,FALSE)),"PROBLEM - Scheduled time not found.","")</f>
        <v/>
      </c>
    </row>
    <row r="390" spans="1:6" x14ac:dyDescent="0.2">
      <c r="A390" s="98" t="str">
        <f t="shared" si="6"/>
        <v>__</v>
      </c>
      <c r="B390" s="107"/>
      <c r="C390" s="107"/>
      <c r="D390" s="108"/>
      <c r="E390" s="109"/>
      <c r="F390" s="97" t="str">
        <f>IF(ISERROR(HLOOKUP(D390,Data!$1:$1,1,FALSE)),"PROBLEM - Scheduled time not found.","")</f>
        <v/>
      </c>
    </row>
    <row r="391" spans="1:6" x14ac:dyDescent="0.2">
      <c r="A391" s="98" t="str">
        <f t="shared" si="6"/>
        <v>__</v>
      </c>
      <c r="B391" s="107"/>
      <c r="C391" s="107"/>
      <c r="D391" s="108"/>
      <c r="E391" s="109"/>
      <c r="F391" s="97" t="str">
        <f>IF(ISERROR(HLOOKUP(D391,Data!$1:$1,1,FALSE)),"PROBLEM - Scheduled time not found.","")</f>
        <v/>
      </c>
    </row>
    <row r="392" spans="1:6" x14ac:dyDescent="0.2">
      <c r="A392" s="98" t="str">
        <f t="shared" si="6"/>
        <v>__</v>
      </c>
      <c r="B392" s="107"/>
      <c r="C392" s="107"/>
      <c r="D392" s="108"/>
      <c r="E392" s="109"/>
      <c r="F392" s="97" t="str">
        <f>IF(ISERROR(HLOOKUP(D392,Data!$1:$1,1,FALSE)),"PROBLEM - Scheduled time not found.","")</f>
        <v/>
      </c>
    </row>
    <row r="393" spans="1:6" x14ac:dyDescent="0.2">
      <c r="A393" s="98" t="str">
        <f t="shared" si="6"/>
        <v>__</v>
      </c>
      <c r="B393" s="107"/>
      <c r="C393" s="107"/>
      <c r="D393" s="108"/>
      <c r="E393" s="109"/>
      <c r="F393" s="97" t="str">
        <f>IF(ISERROR(HLOOKUP(D393,Data!$1:$1,1,FALSE)),"PROBLEM - Scheduled time not found.","")</f>
        <v/>
      </c>
    </row>
    <row r="394" spans="1:6" x14ac:dyDescent="0.2">
      <c r="A394" s="98" t="str">
        <f t="shared" si="6"/>
        <v>__</v>
      </c>
      <c r="B394" s="107"/>
      <c r="C394" s="107"/>
      <c r="D394" s="108"/>
      <c r="E394" s="109"/>
      <c r="F394" s="97" t="str">
        <f>IF(ISERROR(HLOOKUP(D394,Data!$1:$1,1,FALSE)),"PROBLEM - Scheduled time not found.","")</f>
        <v/>
      </c>
    </row>
    <row r="395" spans="1:6" x14ac:dyDescent="0.2">
      <c r="A395" s="98" t="str">
        <f t="shared" si="6"/>
        <v>__</v>
      </c>
      <c r="B395" s="107"/>
      <c r="C395" s="107"/>
      <c r="D395" s="108"/>
      <c r="E395" s="109"/>
      <c r="F395" s="97" t="str">
        <f>IF(ISERROR(HLOOKUP(D395,Data!$1:$1,1,FALSE)),"PROBLEM - Scheduled time not found.","")</f>
        <v/>
      </c>
    </row>
    <row r="396" spans="1:6" x14ac:dyDescent="0.2">
      <c r="A396" s="98" t="str">
        <f t="shared" si="6"/>
        <v>__</v>
      </c>
      <c r="B396" s="107"/>
      <c r="C396" s="107"/>
      <c r="D396" s="108"/>
      <c r="E396" s="109"/>
      <c r="F396" s="97" t="str">
        <f>IF(ISERROR(HLOOKUP(D396,Data!$1:$1,1,FALSE)),"PROBLEM - Scheduled time not found.","")</f>
        <v/>
      </c>
    </row>
    <row r="397" spans="1:6" x14ac:dyDescent="0.2">
      <c r="A397" s="98" t="str">
        <f t="shared" si="6"/>
        <v>__</v>
      </c>
      <c r="B397" s="107"/>
      <c r="C397" s="107"/>
      <c r="D397" s="108"/>
      <c r="E397" s="109"/>
      <c r="F397" s="97" t="str">
        <f>IF(ISERROR(HLOOKUP(D397,Data!$1:$1,1,FALSE)),"PROBLEM - Scheduled time not found.","")</f>
        <v/>
      </c>
    </row>
    <row r="398" spans="1:6" x14ac:dyDescent="0.2">
      <c r="A398" s="98" t="str">
        <f t="shared" si="6"/>
        <v>__</v>
      </c>
      <c r="B398" s="107"/>
      <c r="C398" s="107"/>
      <c r="D398" s="108"/>
      <c r="E398" s="109"/>
      <c r="F398" s="97" t="str">
        <f>IF(ISERROR(HLOOKUP(D398,Data!$1:$1,1,FALSE)),"PROBLEM - Scheduled time not found.","")</f>
        <v/>
      </c>
    </row>
    <row r="399" spans="1:6" x14ac:dyDescent="0.2">
      <c r="A399" s="98" t="str">
        <f t="shared" si="6"/>
        <v>__</v>
      </c>
      <c r="B399" s="107"/>
      <c r="C399" s="107"/>
      <c r="D399" s="108"/>
      <c r="E399" s="109"/>
      <c r="F399" s="97" t="str">
        <f>IF(ISERROR(HLOOKUP(D399,Data!$1:$1,1,FALSE)),"PROBLEM - Scheduled time not found.","")</f>
        <v/>
      </c>
    </row>
    <row r="400" spans="1:6" x14ac:dyDescent="0.2">
      <c r="A400" s="98" t="str">
        <f t="shared" si="6"/>
        <v>__</v>
      </c>
      <c r="B400" s="107"/>
      <c r="C400" s="107"/>
      <c r="D400" s="108"/>
      <c r="E400" s="109"/>
      <c r="F400" s="97" t="str">
        <f>IF(ISERROR(HLOOKUP(D400,Data!$1:$1,1,FALSE)),"PROBLEM - Scheduled time not found.","")</f>
        <v/>
      </c>
    </row>
    <row r="401" spans="1:6" x14ac:dyDescent="0.2">
      <c r="A401" s="98" t="str">
        <f t="shared" si="6"/>
        <v>__</v>
      </c>
      <c r="B401" s="107"/>
      <c r="C401" s="107"/>
      <c r="D401" s="108"/>
      <c r="E401" s="109"/>
      <c r="F401" s="97" t="str">
        <f>IF(ISERROR(HLOOKUP(D401,Data!$1:$1,1,FALSE)),"PROBLEM - Scheduled time not found.","")</f>
        <v/>
      </c>
    </row>
    <row r="402" spans="1:6" x14ac:dyDescent="0.2">
      <c r="A402" s="98" t="str">
        <f t="shared" si="6"/>
        <v>__</v>
      </c>
      <c r="B402" s="107"/>
      <c r="C402" s="107"/>
      <c r="D402" s="108"/>
      <c r="E402" s="109"/>
      <c r="F402" s="97" t="str">
        <f>IF(ISERROR(HLOOKUP(D402,Data!$1:$1,1,FALSE)),"PROBLEM - Scheduled time not found.","")</f>
        <v/>
      </c>
    </row>
    <row r="403" spans="1:6" x14ac:dyDescent="0.2">
      <c r="A403" s="98" t="str">
        <f t="shared" si="6"/>
        <v>__</v>
      </c>
      <c r="B403" s="107"/>
      <c r="C403" s="107"/>
      <c r="D403" s="108"/>
      <c r="E403" s="109"/>
      <c r="F403" s="97" t="str">
        <f>IF(ISERROR(HLOOKUP(D403,Data!$1:$1,1,FALSE)),"PROBLEM - Scheduled time not found.","")</f>
        <v/>
      </c>
    </row>
    <row r="404" spans="1:6" x14ac:dyDescent="0.2">
      <c r="A404" s="98" t="str">
        <f t="shared" si="6"/>
        <v>__</v>
      </c>
      <c r="B404" s="107"/>
      <c r="C404" s="107"/>
      <c r="D404" s="108"/>
      <c r="E404" s="109"/>
      <c r="F404" s="97" t="str">
        <f>IF(ISERROR(HLOOKUP(D404,Data!$1:$1,1,FALSE)),"PROBLEM - Scheduled time not found.","")</f>
        <v/>
      </c>
    </row>
    <row r="405" spans="1:6" x14ac:dyDescent="0.2">
      <c r="A405" s="98" t="str">
        <f t="shared" si="6"/>
        <v>__</v>
      </c>
      <c r="B405" s="107"/>
      <c r="C405" s="107"/>
      <c r="D405" s="108"/>
      <c r="E405" s="109"/>
      <c r="F405" s="97" t="str">
        <f>IF(ISERROR(HLOOKUP(D405,Data!$1:$1,1,FALSE)),"PROBLEM - Scheduled time not found.","")</f>
        <v/>
      </c>
    </row>
    <row r="406" spans="1:6" x14ac:dyDescent="0.2">
      <c r="A406" s="98" t="str">
        <f t="shared" si="6"/>
        <v>__</v>
      </c>
      <c r="B406" s="107"/>
      <c r="C406" s="107"/>
      <c r="D406" s="108"/>
      <c r="E406" s="109"/>
      <c r="F406" s="97" t="str">
        <f>IF(ISERROR(HLOOKUP(D406,Data!$1:$1,1,FALSE)),"PROBLEM - Scheduled time not found.","")</f>
        <v/>
      </c>
    </row>
    <row r="407" spans="1:6" x14ac:dyDescent="0.2">
      <c r="A407" s="98" t="str">
        <f t="shared" si="6"/>
        <v>__</v>
      </c>
      <c r="B407" s="107"/>
      <c r="C407" s="107"/>
      <c r="D407" s="108"/>
      <c r="E407" s="109"/>
      <c r="F407" s="97" t="str">
        <f>IF(ISERROR(HLOOKUP(D407,Data!$1:$1,1,FALSE)),"PROBLEM - Scheduled time not found.","")</f>
        <v/>
      </c>
    </row>
    <row r="408" spans="1:6" x14ac:dyDescent="0.2">
      <c r="A408" s="98" t="str">
        <f t="shared" si="6"/>
        <v>__</v>
      </c>
      <c r="B408" s="107"/>
      <c r="C408" s="107"/>
      <c r="D408" s="108"/>
      <c r="E408" s="109"/>
      <c r="F408" s="97" t="str">
        <f>IF(ISERROR(HLOOKUP(D408,Data!$1:$1,1,FALSE)),"PROBLEM - Scheduled time not found.","")</f>
        <v/>
      </c>
    </row>
    <row r="409" spans="1:6" x14ac:dyDescent="0.2">
      <c r="A409" s="98" t="str">
        <f t="shared" si="6"/>
        <v>__</v>
      </c>
      <c r="B409" s="107"/>
      <c r="C409" s="107"/>
      <c r="D409" s="108"/>
      <c r="E409" s="109"/>
      <c r="F409" s="97" t="str">
        <f>IF(ISERROR(HLOOKUP(D409,Data!$1:$1,1,FALSE)),"PROBLEM - Scheduled time not found.","")</f>
        <v/>
      </c>
    </row>
    <row r="410" spans="1:6" x14ac:dyDescent="0.2">
      <c r="A410" s="98" t="str">
        <f t="shared" si="6"/>
        <v>__</v>
      </c>
      <c r="B410" s="107"/>
      <c r="C410" s="107"/>
      <c r="D410" s="108"/>
      <c r="E410" s="109"/>
      <c r="F410" s="97" t="str">
        <f>IF(ISERROR(HLOOKUP(D410,Data!$1:$1,1,FALSE)),"PROBLEM - Scheduled time not found.","")</f>
        <v/>
      </c>
    </row>
    <row r="411" spans="1:6" x14ac:dyDescent="0.2">
      <c r="A411" s="98" t="str">
        <f t="shared" si="6"/>
        <v>__</v>
      </c>
      <c r="B411" s="107"/>
      <c r="C411" s="107"/>
      <c r="D411" s="108"/>
      <c r="E411" s="109"/>
      <c r="F411" s="97" t="str">
        <f>IF(ISERROR(HLOOKUP(D411,Data!$1:$1,1,FALSE)),"PROBLEM - Scheduled time not found.","")</f>
        <v/>
      </c>
    </row>
    <row r="412" spans="1:6" x14ac:dyDescent="0.2">
      <c r="A412" s="98" t="str">
        <f t="shared" si="6"/>
        <v>__</v>
      </c>
      <c r="B412" s="107"/>
      <c r="C412" s="107"/>
      <c r="D412" s="108"/>
      <c r="E412" s="109"/>
      <c r="F412" s="97" t="str">
        <f>IF(ISERROR(HLOOKUP(D412,Data!$1:$1,1,FALSE)),"PROBLEM - Scheduled time not found.","")</f>
        <v/>
      </c>
    </row>
    <row r="413" spans="1:6" x14ac:dyDescent="0.2">
      <c r="A413" s="98" t="str">
        <f t="shared" si="6"/>
        <v>__</v>
      </c>
      <c r="B413" s="107"/>
      <c r="C413" s="107"/>
      <c r="D413" s="108"/>
      <c r="E413" s="109"/>
      <c r="F413" s="97" t="str">
        <f>IF(ISERROR(HLOOKUP(D413,Data!$1:$1,1,FALSE)),"PROBLEM - Scheduled time not found.","")</f>
        <v/>
      </c>
    </row>
    <row r="414" spans="1:6" x14ac:dyDescent="0.2">
      <c r="A414" s="98" t="str">
        <f t="shared" si="6"/>
        <v>__</v>
      </c>
      <c r="B414" s="107"/>
      <c r="C414" s="107"/>
      <c r="D414" s="108"/>
      <c r="E414" s="109"/>
      <c r="F414" s="97" t="str">
        <f>IF(ISERROR(HLOOKUP(D414,Data!$1:$1,1,FALSE)),"PROBLEM - Scheduled time not found.","")</f>
        <v/>
      </c>
    </row>
    <row r="415" spans="1:6" x14ac:dyDescent="0.2">
      <c r="A415" s="98" t="str">
        <f t="shared" si="6"/>
        <v>__</v>
      </c>
      <c r="B415" s="107"/>
      <c r="C415" s="107"/>
      <c r="D415" s="108"/>
      <c r="E415" s="109"/>
      <c r="F415" s="97" t="str">
        <f>IF(ISERROR(HLOOKUP(D415,Data!$1:$1,1,FALSE)),"PROBLEM - Scheduled time not found.","")</f>
        <v/>
      </c>
    </row>
    <row r="416" spans="1:6" x14ac:dyDescent="0.2">
      <c r="A416" s="98" t="str">
        <f t="shared" si="6"/>
        <v>__</v>
      </c>
      <c r="B416" s="107"/>
      <c r="C416" s="107"/>
      <c r="D416" s="108"/>
      <c r="E416" s="109"/>
      <c r="F416" s="97" t="str">
        <f>IF(ISERROR(HLOOKUP(D416,Data!$1:$1,1,FALSE)),"PROBLEM - Scheduled time not found.","")</f>
        <v/>
      </c>
    </row>
    <row r="417" spans="1:6" x14ac:dyDescent="0.2">
      <c r="A417" s="98" t="str">
        <f t="shared" si="6"/>
        <v>__</v>
      </c>
      <c r="B417" s="107"/>
      <c r="C417" s="107"/>
      <c r="D417" s="108"/>
      <c r="E417" s="109"/>
      <c r="F417" s="97" t="str">
        <f>IF(ISERROR(HLOOKUP(D417,Data!$1:$1,1,FALSE)),"PROBLEM - Scheduled time not found.","")</f>
        <v/>
      </c>
    </row>
    <row r="418" spans="1:6" x14ac:dyDescent="0.2">
      <c r="A418" s="98" t="str">
        <f t="shared" si="6"/>
        <v>__</v>
      </c>
      <c r="B418" s="107"/>
      <c r="C418" s="107"/>
      <c r="D418" s="108"/>
      <c r="E418" s="109"/>
      <c r="F418" s="97" t="str">
        <f>IF(ISERROR(HLOOKUP(D418,Data!$1:$1,1,FALSE)),"PROBLEM - Scheduled time not found.","")</f>
        <v/>
      </c>
    </row>
    <row r="419" spans="1:6" x14ac:dyDescent="0.2">
      <c r="A419" s="98" t="str">
        <f t="shared" si="6"/>
        <v>__</v>
      </c>
      <c r="B419" s="107"/>
      <c r="C419" s="107"/>
      <c r="D419" s="108"/>
      <c r="E419" s="109"/>
      <c r="F419" s="97" t="str">
        <f>IF(ISERROR(HLOOKUP(D419,Data!$1:$1,1,FALSE)),"PROBLEM - Scheduled time not found.","")</f>
        <v/>
      </c>
    </row>
    <row r="420" spans="1:6" x14ac:dyDescent="0.2">
      <c r="A420" s="98" t="str">
        <f t="shared" si="6"/>
        <v>__</v>
      </c>
      <c r="B420" s="107"/>
      <c r="C420" s="107"/>
      <c r="D420" s="108"/>
      <c r="E420" s="109"/>
      <c r="F420" s="97" t="str">
        <f>IF(ISERROR(HLOOKUP(D420,Data!$1:$1,1,FALSE)),"PROBLEM - Scheduled time not found.","")</f>
        <v/>
      </c>
    </row>
    <row r="421" spans="1:6" x14ac:dyDescent="0.2">
      <c r="A421" s="98" t="str">
        <f t="shared" si="6"/>
        <v>__</v>
      </c>
      <c r="B421" s="107"/>
      <c r="C421" s="107"/>
      <c r="D421" s="108"/>
      <c r="E421" s="109"/>
      <c r="F421" s="97" t="str">
        <f>IF(ISERROR(HLOOKUP(D421,Data!$1:$1,1,FALSE)),"PROBLEM - Scheduled time not found.","")</f>
        <v/>
      </c>
    </row>
    <row r="422" spans="1:6" x14ac:dyDescent="0.2">
      <c r="A422" s="98" t="str">
        <f t="shared" si="6"/>
        <v>__</v>
      </c>
      <c r="B422" s="107"/>
      <c r="C422" s="107"/>
      <c r="D422" s="108"/>
      <c r="E422" s="109"/>
      <c r="F422" s="97" t="str">
        <f>IF(ISERROR(HLOOKUP(D422,Data!$1:$1,1,FALSE)),"PROBLEM - Scheduled time not found.","")</f>
        <v/>
      </c>
    </row>
    <row r="423" spans="1:6" x14ac:dyDescent="0.2">
      <c r="A423" s="98" t="str">
        <f t="shared" si="6"/>
        <v>__</v>
      </c>
      <c r="B423" s="107"/>
      <c r="C423" s="107"/>
      <c r="D423" s="108"/>
      <c r="E423" s="109"/>
      <c r="F423" s="97" t="str">
        <f>IF(ISERROR(HLOOKUP(D423,Data!$1:$1,1,FALSE)),"PROBLEM - Scheduled time not found.","")</f>
        <v/>
      </c>
    </row>
    <row r="424" spans="1:6" x14ac:dyDescent="0.2">
      <c r="A424" s="98" t="str">
        <f t="shared" si="6"/>
        <v>__</v>
      </c>
      <c r="B424" s="107"/>
      <c r="C424" s="107"/>
      <c r="D424" s="108"/>
      <c r="E424" s="109"/>
      <c r="F424" s="97" t="str">
        <f>IF(ISERROR(HLOOKUP(D424,Data!$1:$1,1,FALSE)),"PROBLEM - Scheduled time not found.","")</f>
        <v/>
      </c>
    </row>
    <row r="425" spans="1:6" x14ac:dyDescent="0.2">
      <c r="A425" s="98" t="str">
        <f t="shared" si="6"/>
        <v>__</v>
      </c>
      <c r="B425" s="107"/>
      <c r="C425" s="107"/>
      <c r="D425" s="108"/>
      <c r="E425" s="109"/>
      <c r="F425" s="97" t="str">
        <f>IF(ISERROR(HLOOKUP(D425,Data!$1:$1,1,FALSE)),"PROBLEM - Scheduled time not found.","")</f>
        <v/>
      </c>
    </row>
    <row r="426" spans="1:6" x14ac:dyDescent="0.2">
      <c r="A426" s="98" t="str">
        <f t="shared" si="6"/>
        <v>__</v>
      </c>
      <c r="B426" s="107"/>
      <c r="C426" s="107"/>
      <c r="D426" s="108"/>
      <c r="E426" s="109"/>
      <c r="F426" s="97" t="str">
        <f>IF(ISERROR(HLOOKUP(D426,Data!$1:$1,1,FALSE)),"PROBLEM - Scheduled time not found.","")</f>
        <v/>
      </c>
    </row>
    <row r="427" spans="1:6" x14ac:dyDescent="0.2">
      <c r="A427" s="98" t="str">
        <f t="shared" si="6"/>
        <v>__</v>
      </c>
      <c r="B427" s="107"/>
      <c r="C427" s="107"/>
      <c r="D427" s="108"/>
      <c r="E427" s="109"/>
      <c r="F427" s="97" t="str">
        <f>IF(ISERROR(HLOOKUP(D427,Data!$1:$1,1,FALSE)),"PROBLEM - Scheduled time not found.","")</f>
        <v/>
      </c>
    </row>
    <row r="428" spans="1:6" x14ac:dyDescent="0.2">
      <c r="A428" s="98" t="str">
        <f t="shared" si="6"/>
        <v>__</v>
      </c>
      <c r="B428" s="107"/>
      <c r="C428" s="107"/>
      <c r="D428" s="108"/>
      <c r="E428" s="109"/>
      <c r="F428" s="97" t="str">
        <f>IF(ISERROR(HLOOKUP(D428,Data!$1:$1,1,FALSE)),"PROBLEM - Scheduled time not found.","")</f>
        <v/>
      </c>
    </row>
    <row r="429" spans="1:6" x14ac:dyDescent="0.2">
      <c r="A429" s="98" t="str">
        <f t="shared" si="6"/>
        <v>__</v>
      </c>
      <c r="B429" s="107"/>
      <c r="C429" s="107"/>
      <c r="D429" s="108"/>
      <c r="E429" s="109"/>
      <c r="F429" s="97" t="str">
        <f>IF(ISERROR(HLOOKUP(D429,Data!$1:$1,1,FALSE)),"PROBLEM - Scheduled time not found.","")</f>
        <v/>
      </c>
    </row>
    <row r="430" spans="1:6" x14ac:dyDescent="0.2">
      <c r="A430" s="98" t="str">
        <f t="shared" si="6"/>
        <v>__</v>
      </c>
      <c r="B430" s="107"/>
      <c r="C430" s="107"/>
      <c r="D430" s="108"/>
      <c r="E430" s="109"/>
      <c r="F430" s="97" t="str">
        <f>IF(ISERROR(HLOOKUP(D430,Data!$1:$1,1,FALSE)),"PROBLEM - Scheduled time not found.","")</f>
        <v/>
      </c>
    </row>
    <row r="431" spans="1:6" x14ac:dyDescent="0.2">
      <c r="A431" s="98" t="str">
        <f t="shared" si="6"/>
        <v>__</v>
      </c>
      <c r="B431" s="107"/>
      <c r="C431" s="107"/>
      <c r="D431" s="108"/>
      <c r="E431" s="109"/>
      <c r="F431" s="97" t="str">
        <f>IF(ISERROR(HLOOKUP(D431,Data!$1:$1,1,FALSE)),"PROBLEM - Scheduled time not found.","")</f>
        <v/>
      </c>
    </row>
    <row r="432" spans="1:6" x14ac:dyDescent="0.2">
      <c r="A432" s="98" t="str">
        <f t="shared" si="6"/>
        <v>__</v>
      </c>
      <c r="B432" s="107"/>
      <c r="C432" s="107"/>
      <c r="D432" s="108"/>
      <c r="E432" s="109"/>
      <c r="F432" s="97" t="str">
        <f>IF(ISERROR(HLOOKUP(D432,Data!$1:$1,1,FALSE)),"PROBLEM - Scheduled time not found.","")</f>
        <v/>
      </c>
    </row>
    <row r="433" spans="1:6" x14ac:dyDescent="0.2">
      <c r="A433" s="98" t="str">
        <f t="shared" si="6"/>
        <v>__</v>
      </c>
      <c r="B433" s="107"/>
      <c r="C433" s="107"/>
      <c r="D433" s="108"/>
      <c r="E433" s="109"/>
      <c r="F433" s="97" t="str">
        <f>IF(ISERROR(HLOOKUP(D433,Data!$1:$1,1,FALSE)),"PROBLEM - Scheduled time not found.","")</f>
        <v/>
      </c>
    </row>
    <row r="434" spans="1:6" x14ac:dyDescent="0.2">
      <c r="A434" s="98" t="str">
        <f t="shared" si="6"/>
        <v>__</v>
      </c>
      <c r="B434" s="107"/>
      <c r="C434" s="107"/>
      <c r="D434" s="108"/>
      <c r="E434" s="109"/>
      <c r="F434" s="97" t="str">
        <f>IF(ISERROR(HLOOKUP(D434,Data!$1:$1,1,FALSE)),"PROBLEM - Scheduled time not found.","")</f>
        <v/>
      </c>
    </row>
    <row r="435" spans="1:6" x14ac:dyDescent="0.2">
      <c r="A435" s="98" t="str">
        <f t="shared" si="6"/>
        <v>__</v>
      </c>
      <c r="B435" s="107"/>
      <c r="C435" s="107"/>
      <c r="D435" s="108"/>
      <c r="E435" s="109"/>
      <c r="F435" s="97" t="str">
        <f>IF(ISERROR(HLOOKUP(D435,Data!$1:$1,1,FALSE)),"PROBLEM - Scheduled time not found.","")</f>
        <v/>
      </c>
    </row>
    <row r="436" spans="1:6" x14ac:dyDescent="0.2">
      <c r="A436" s="98" t="str">
        <f t="shared" si="6"/>
        <v>__</v>
      </c>
      <c r="B436" s="107"/>
      <c r="C436" s="107"/>
      <c r="D436" s="108"/>
      <c r="E436" s="109"/>
      <c r="F436" s="97" t="str">
        <f>IF(ISERROR(HLOOKUP(D436,Data!$1:$1,1,FALSE)),"PROBLEM - Scheduled time not found.","")</f>
        <v/>
      </c>
    </row>
    <row r="437" spans="1:6" x14ac:dyDescent="0.2">
      <c r="A437" s="98" t="str">
        <f t="shared" si="6"/>
        <v>__</v>
      </c>
      <c r="B437" s="107"/>
      <c r="C437" s="107"/>
      <c r="D437" s="108"/>
      <c r="E437" s="109"/>
      <c r="F437" s="97" t="str">
        <f>IF(ISERROR(HLOOKUP(D437,Data!$1:$1,1,FALSE)),"PROBLEM - Scheduled time not found.","")</f>
        <v/>
      </c>
    </row>
    <row r="438" spans="1:6" x14ac:dyDescent="0.2">
      <c r="A438" s="98" t="str">
        <f t="shared" si="6"/>
        <v>__</v>
      </c>
      <c r="B438" s="107"/>
      <c r="C438" s="107"/>
      <c r="D438" s="108"/>
      <c r="E438" s="109"/>
      <c r="F438" s="97" t="str">
        <f>IF(ISERROR(HLOOKUP(D438,Data!$1:$1,1,FALSE)),"PROBLEM - Scheduled time not found.","")</f>
        <v/>
      </c>
    </row>
    <row r="439" spans="1:6" x14ac:dyDescent="0.2">
      <c r="A439" s="98" t="str">
        <f t="shared" si="6"/>
        <v>__</v>
      </c>
      <c r="B439" s="107"/>
      <c r="C439" s="107"/>
      <c r="D439" s="108"/>
      <c r="E439" s="109"/>
      <c r="F439" s="97" t="str">
        <f>IF(ISERROR(HLOOKUP(D439,Data!$1:$1,1,FALSE)),"PROBLEM - Scheduled time not found.","")</f>
        <v/>
      </c>
    </row>
    <row r="440" spans="1:6" x14ac:dyDescent="0.2">
      <c r="A440" s="98" t="str">
        <f t="shared" si="6"/>
        <v>__</v>
      </c>
      <c r="B440" s="107"/>
      <c r="C440" s="107"/>
      <c r="D440" s="108"/>
      <c r="E440" s="109"/>
      <c r="F440" s="97" t="str">
        <f>IF(ISERROR(HLOOKUP(D440,Data!$1:$1,1,FALSE)),"PROBLEM - Scheduled time not found.","")</f>
        <v/>
      </c>
    </row>
    <row r="441" spans="1:6" x14ac:dyDescent="0.2">
      <c r="A441" s="98" t="str">
        <f t="shared" si="6"/>
        <v>__</v>
      </c>
      <c r="B441" s="107"/>
      <c r="C441" s="107"/>
      <c r="D441" s="108"/>
      <c r="E441" s="109"/>
      <c r="F441" s="97" t="str">
        <f>IF(ISERROR(HLOOKUP(D441,Data!$1:$1,1,FALSE)),"PROBLEM - Scheduled time not found.","")</f>
        <v/>
      </c>
    </row>
    <row r="442" spans="1:6" x14ac:dyDescent="0.2">
      <c r="A442" s="98" t="str">
        <f t="shared" si="6"/>
        <v>__</v>
      </c>
      <c r="B442" s="107"/>
      <c r="C442" s="107"/>
      <c r="D442" s="108"/>
      <c r="E442" s="109"/>
      <c r="F442" s="97" t="str">
        <f>IF(ISERROR(HLOOKUP(D442,Data!$1:$1,1,FALSE)),"PROBLEM - Scheduled time not found.","")</f>
        <v/>
      </c>
    </row>
    <row r="443" spans="1:6" x14ac:dyDescent="0.2">
      <c r="A443" s="98" t="str">
        <f t="shared" si="6"/>
        <v>__</v>
      </c>
      <c r="B443" s="107"/>
      <c r="C443" s="107"/>
      <c r="D443" s="108"/>
      <c r="E443" s="109"/>
      <c r="F443" s="97" t="str">
        <f>IF(ISERROR(HLOOKUP(D443,Data!$1:$1,1,FALSE)),"PROBLEM - Scheduled time not found.","")</f>
        <v/>
      </c>
    </row>
    <row r="444" spans="1:6" x14ac:dyDescent="0.2">
      <c r="A444" s="98" t="str">
        <f t="shared" si="6"/>
        <v>__</v>
      </c>
      <c r="B444" s="107"/>
      <c r="C444" s="107"/>
      <c r="D444" s="108"/>
      <c r="E444" s="109"/>
      <c r="F444" s="97" t="str">
        <f>IF(ISERROR(HLOOKUP(D444,Data!$1:$1,1,FALSE)),"PROBLEM - Scheduled time not found.","")</f>
        <v/>
      </c>
    </row>
    <row r="445" spans="1:6" x14ac:dyDescent="0.2">
      <c r="A445" s="98" t="str">
        <f t="shared" si="6"/>
        <v>__</v>
      </c>
      <c r="B445" s="107"/>
      <c r="C445" s="107"/>
      <c r="D445" s="108"/>
      <c r="E445" s="109"/>
      <c r="F445" s="97" t="str">
        <f>IF(ISERROR(HLOOKUP(D445,Data!$1:$1,1,FALSE)),"PROBLEM - Scheduled time not found.","")</f>
        <v/>
      </c>
    </row>
    <row r="446" spans="1:6" x14ac:dyDescent="0.2">
      <c r="A446" s="98" t="str">
        <f t="shared" si="6"/>
        <v>__</v>
      </c>
      <c r="B446" s="107"/>
      <c r="C446" s="107"/>
      <c r="D446" s="108"/>
      <c r="E446" s="109"/>
      <c r="F446" s="97" t="str">
        <f>IF(ISERROR(HLOOKUP(D446,Data!$1:$1,1,FALSE)),"PROBLEM - Scheduled time not found.","")</f>
        <v/>
      </c>
    </row>
    <row r="447" spans="1:6" x14ac:dyDescent="0.2">
      <c r="A447" s="98" t="str">
        <f t="shared" si="6"/>
        <v>__</v>
      </c>
      <c r="B447" s="107"/>
      <c r="C447" s="107"/>
      <c r="D447" s="108"/>
      <c r="E447" s="109"/>
      <c r="F447" s="97" t="str">
        <f>IF(ISERROR(HLOOKUP(D447,Data!$1:$1,1,FALSE)),"PROBLEM - Scheduled time not found.","")</f>
        <v/>
      </c>
    </row>
    <row r="448" spans="1:6" x14ac:dyDescent="0.2">
      <c r="A448" s="98" t="str">
        <f t="shared" si="6"/>
        <v>__</v>
      </c>
      <c r="B448" s="107"/>
      <c r="C448" s="107"/>
      <c r="D448" s="108"/>
      <c r="E448" s="109"/>
      <c r="F448" s="97" t="str">
        <f>IF(ISERROR(HLOOKUP(D448,Data!$1:$1,1,FALSE)),"PROBLEM - Scheduled time not found.","")</f>
        <v/>
      </c>
    </row>
    <row r="449" spans="1:6" x14ac:dyDescent="0.2">
      <c r="A449" s="98" t="str">
        <f t="shared" si="6"/>
        <v>__</v>
      </c>
      <c r="B449" s="107"/>
      <c r="C449" s="107"/>
      <c r="D449" s="108"/>
      <c r="E449" s="109"/>
      <c r="F449" s="97" t="str">
        <f>IF(ISERROR(HLOOKUP(D449,Data!$1:$1,1,FALSE)),"PROBLEM - Scheduled time not found.","")</f>
        <v/>
      </c>
    </row>
    <row r="450" spans="1:6" x14ac:dyDescent="0.2">
      <c r="A450" s="98" t="str">
        <f t="shared" si="6"/>
        <v>__</v>
      </c>
      <c r="B450" s="107"/>
      <c r="C450" s="107"/>
      <c r="D450" s="108"/>
      <c r="E450" s="109"/>
      <c r="F450" s="97" t="str">
        <f>IF(ISERROR(HLOOKUP(D450,Data!$1:$1,1,FALSE)),"PROBLEM - Scheduled time not found.","")</f>
        <v/>
      </c>
    </row>
    <row r="451" spans="1:6" x14ac:dyDescent="0.2">
      <c r="A451" s="98" t="str">
        <f t="shared" ref="A451:A514" si="7">B451&amp;"_"&amp;C451&amp;"_"&amp;D451</f>
        <v>__</v>
      </c>
      <c r="B451" s="107"/>
      <c r="C451" s="107"/>
      <c r="D451" s="108"/>
      <c r="E451" s="109"/>
      <c r="F451" s="97" t="str">
        <f>IF(ISERROR(HLOOKUP(D451,Data!$1:$1,1,FALSE)),"PROBLEM - Scheduled time not found.","")</f>
        <v/>
      </c>
    </row>
    <row r="452" spans="1:6" x14ac:dyDescent="0.2">
      <c r="A452" s="98" t="str">
        <f t="shared" si="7"/>
        <v>__</v>
      </c>
      <c r="B452" s="107"/>
      <c r="C452" s="107"/>
      <c r="D452" s="108"/>
      <c r="E452" s="109"/>
      <c r="F452" s="97" t="str">
        <f>IF(ISERROR(HLOOKUP(D452,Data!$1:$1,1,FALSE)),"PROBLEM - Scheduled time not found.","")</f>
        <v/>
      </c>
    </row>
    <row r="453" spans="1:6" x14ac:dyDescent="0.2">
      <c r="A453" s="98" t="str">
        <f t="shared" si="7"/>
        <v>__</v>
      </c>
      <c r="B453" s="107"/>
      <c r="C453" s="107"/>
      <c r="D453" s="108"/>
      <c r="E453" s="109"/>
      <c r="F453" s="97" t="str">
        <f>IF(ISERROR(HLOOKUP(D453,Data!$1:$1,1,FALSE)),"PROBLEM - Scheduled time not found.","")</f>
        <v/>
      </c>
    </row>
    <row r="454" spans="1:6" x14ac:dyDescent="0.2">
      <c r="A454" s="98" t="str">
        <f t="shared" si="7"/>
        <v>__</v>
      </c>
      <c r="B454" s="107"/>
      <c r="C454" s="107"/>
      <c r="D454" s="108"/>
      <c r="E454" s="109"/>
      <c r="F454" s="97" t="str">
        <f>IF(ISERROR(HLOOKUP(D454,Data!$1:$1,1,FALSE)),"PROBLEM - Scheduled time not found.","")</f>
        <v/>
      </c>
    </row>
    <row r="455" spans="1:6" x14ac:dyDescent="0.2">
      <c r="A455" s="98" t="str">
        <f t="shared" si="7"/>
        <v>__</v>
      </c>
      <c r="B455" s="107"/>
      <c r="C455" s="107"/>
      <c r="D455" s="108"/>
      <c r="E455" s="109"/>
      <c r="F455" s="97" t="str">
        <f>IF(ISERROR(HLOOKUP(D455,Data!$1:$1,1,FALSE)),"PROBLEM - Scheduled time not found.","")</f>
        <v/>
      </c>
    </row>
    <row r="456" spans="1:6" x14ac:dyDescent="0.2">
      <c r="A456" s="98" t="str">
        <f t="shared" si="7"/>
        <v>__</v>
      </c>
      <c r="B456" s="107"/>
      <c r="C456" s="107"/>
      <c r="D456" s="108"/>
      <c r="E456" s="109"/>
      <c r="F456" s="97" t="str">
        <f>IF(ISERROR(HLOOKUP(D456,Data!$1:$1,1,FALSE)),"PROBLEM - Scheduled time not found.","")</f>
        <v/>
      </c>
    </row>
    <row r="457" spans="1:6" x14ac:dyDescent="0.2">
      <c r="A457" s="98" t="str">
        <f t="shared" si="7"/>
        <v>__</v>
      </c>
      <c r="B457" s="107"/>
      <c r="C457" s="107"/>
      <c r="D457" s="108"/>
      <c r="E457" s="109"/>
      <c r="F457" s="97" t="str">
        <f>IF(ISERROR(HLOOKUP(D457,Data!$1:$1,1,FALSE)),"PROBLEM - Scheduled time not found.","")</f>
        <v/>
      </c>
    </row>
    <row r="458" spans="1:6" x14ac:dyDescent="0.2">
      <c r="A458" s="98" t="str">
        <f t="shared" si="7"/>
        <v>__</v>
      </c>
      <c r="B458" s="107"/>
      <c r="C458" s="107"/>
      <c r="D458" s="108"/>
      <c r="E458" s="109"/>
      <c r="F458" s="97" t="str">
        <f>IF(ISERROR(HLOOKUP(D458,Data!$1:$1,1,FALSE)),"PROBLEM - Scheduled time not found.","")</f>
        <v/>
      </c>
    </row>
    <row r="459" spans="1:6" x14ac:dyDescent="0.2">
      <c r="A459" s="98" t="str">
        <f t="shared" si="7"/>
        <v>__</v>
      </c>
      <c r="B459" s="107"/>
      <c r="C459" s="107"/>
      <c r="D459" s="108"/>
      <c r="E459" s="109"/>
      <c r="F459" s="97" t="str">
        <f>IF(ISERROR(HLOOKUP(D459,Data!$1:$1,1,FALSE)),"PROBLEM - Scheduled time not found.","")</f>
        <v/>
      </c>
    </row>
    <row r="460" spans="1:6" x14ac:dyDescent="0.2">
      <c r="A460" s="98" t="str">
        <f t="shared" si="7"/>
        <v>__</v>
      </c>
      <c r="B460" s="107"/>
      <c r="C460" s="107"/>
      <c r="D460" s="108"/>
      <c r="E460" s="109"/>
      <c r="F460" s="97" t="str">
        <f>IF(ISERROR(HLOOKUP(D460,Data!$1:$1,1,FALSE)),"PROBLEM - Scheduled time not found.","")</f>
        <v/>
      </c>
    </row>
    <row r="461" spans="1:6" x14ac:dyDescent="0.2">
      <c r="A461" s="98" t="str">
        <f t="shared" si="7"/>
        <v>__</v>
      </c>
      <c r="B461" s="107"/>
      <c r="C461" s="107"/>
      <c r="D461" s="108"/>
      <c r="E461" s="109"/>
      <c r="F461" s="97" t="str">
        <f>IF(ISERROR(HLOOKUP(D461,Data!$1:$1,1,FALSE)),"PROBLEM - Scheduled time not found.","")</f>
        <v/>
      </c>
    </row>
    <row r="462" spans="1:6" x14ac:dyDescent="0.2">
      <c r="A462" s="98" t="str">
        <f t="shared" si="7"/>
        <v>__</v>
      </c>
      <c r="B462" s="107"/>
      <c r="C462" s="107"/>
      <c r="D462" s="108"/>
      <c r="E462" s="109"/>
      <c r="F462" s="97" t="str">
        <f>IF(ISERROR(HLOOKUP(D462,Data!$1:$1,1,FALSE)),"PROBLEM - Scheduled time not found.","")</f>
        <v/>
      </c>
    </row>
    <row r="463" spans="1:6" x14ac:dyDescent="0.2">
      <c r="A463" s="98" t="str">
        <f t="shared" si="7"/>
        <v>__</v>
      </c>
      <c r="B463" s="107"/>
      <c r="C463" s="107"/>
      <c r="D463" s="108"/>
      <c r="E463" s="109"/>
      <c r="F463" s="97" t="str">
        <f>IF(ISERROR(HLOOKUP(D463,Data!$1:$1,1,FALSE)),"PROBLEM - Scheduled time not found.","")</f>
        <v/>
      </c>
    </row>
    <row r="464" spans="1:6" x14ac:dyDescent="0.2">
      <c r="A464" s="98" t="str">
        <f t="shared" si="7"/>
        <v>__</v>
      </c>
      <c r="B464" s="107"/>
      <c r="C464" s="107"/>
      <c r="D464" s="108"/>
      <c r="E464" s="109"/>
      <c r="F464" s="97" t="str">
        <f>IF(ISERROR(HLOOKUP(D464,Data!$1:$1,1,FALSE)),"PROBLEM - Scheduled time not found.","")</f>
        <v/>
      </c>
    </row>
    <row r="465" spans="1:6" x14ac:dyDescent="0.2">
      <c r="A465" s="98" t="str">
        <f t="shared" si="7"/>
        <v>__</v>
      </c>
      <c r="B465" s="107"/>
      <c r="C465" s="107"/>
      <c r="D465" s="108"/>
      <c r="E465" s="109"/>
      <c r="F465" s="97" t="str">
        <f>IF(ISERROR(HLOOKUP(D465,Data!$1:$1,1,FALSE)),"PROBLEM - Scheduled time not found.","")</f>
        <v/>
      </c>
    </row>
    <row r="466" spans="1:6" x14ac:dyDescent="0.2">
      <c r="A466" s="98" t="str">
        <f t="shared" si="7"/>
        <v>__</v>
      </c>
      <c r="B466" s="107"/>
      <c r="C466" s="107"/>
      <c r="D466" s="108"/>
      <c r="E466" s="109"/>
      <c r="F466" s="97" t="str">
        <f>IF(ISERROR(HLOOKUP(D466,Data!$1:$1,1,FALSE)),"PROBLEM - Scheduled time not found.","")</f>
        <v/>
      </c>
    </row>
    <row r="467" spans="1:6" x14ac:dyDescent="0.2">
      <c r="A467" s="98" t="str">
        <f t="shared" si="7"/>
        <v>__</v>
      </c>
      <c r="B467" s="107"/>
      <c r="C467" s="107"/>
      <c r="D467" s="108"/>
      <c r="E467" s="109"/>
      <c r="F467" s="97" t="str">
        <f>IF(ISERROR(HLOOKUP(D467,Data!$1:$1,1,FALSE)),"PROBLEM - Scheduled time not found.","")</f>
        <v/>
      </c>
    </row>
    <row r="468" spans="1:6" x14ac:dyDescent="0.2">
      <c r="A468" s="98" t="str">
        <f t="shared" si="7"/>
        <v>__</v>
      </c>
      <c r="B468" s="107"/>
      <c r="C468" s="107"/>
      <c r="D468" s="108"/>
      <c r="E468" s="109"/>
      <c r="F468" s="97" t="str">
        <f>IF(ISERROR(HLOOKUP(D468,Data!$1:$1,1,FALSE)),"PROBLEM - Scheduled time not found.","")</f>
        <v/>
      </c>
    </row>
    <row r="469" spans="1:6" x14ac:dyDescent="0.2">
      <c r="A469" s="98" t="str">
        <f t="shared" si="7"/>
        <v>__</v>
      </c>
      <c r="B469" s="107"/>
      <c r="C469" s="107"/>
      <c r="D469" s="108"/>
      <c r="E469" s="109"/>
      <c r="F469" s="97" t="str">
        <f>IF(ISERROR(HLOOKUP(D469,Data!$1:$1,1,FALSE)),"PROBLEM - Scheduled time not found.","")</f>
        <v/>
      </c>
    </row>
    <row r="470" spans="1:6" x14ac:dyDescent="0.2">
      <c r="A470" s="98" t="str">
        <f t="shared" si="7"/>
        <v>__</v>
      </c>
      <c r="B470" s="107"/>
      <c r="C470" s="107"/>
      <c r="D470" s="108"/>
      <c r="E470" s="109"/>
      <c r="F470" s="97" t="str">
        <f>IF(ISERROR(HLOOKUP(D470,Data!$1:$1,1,FALSE)),"PROBLEM - Scheduled time not found.","")</f>
        <v/>
      </c>
    </row>
    <row r="471" spans="1:6" x14ac:dyDescent="0.2">
      <c r="A471" s="98" t="str">
        <f t="shared" si="7"/>
        <v>__</v>
      </c>
      <c r="B471" s="107"/>
      <c r="C471" s="107"/>
      <c r="D471" s="108"/>
      <c r="E471" s="109"/>
      <c r="F471" s="97" t="str">
        <f>IF(ISERROR(HLOOKUP(D471,Data!$1:$1,1,FALSE)),"PROBLEM - Scheduled time not found.","")</f>
        <v/>
      </c>
    </row>
    <row r="472" spans="1:6" x14ac:dyDescent="0.2">
      <c r="A472" s="98" t="str">
        <f t="shared" si="7"/>
        <v>__</v>
      </c>
      <c r="B472" s="107"/>
      <c r="C472" s="107"/>
      <c r="D472" s="108"/>
      <c r="E472" s="109"/>
      <c r="F472" s="97" t="str">
        <f>IF(ISERROR(HLOOKUP(D472,Data!$1:$1,1,FALSE)),"PROBLEM - Scheduled time not found.","")</f>
        <v/>
      </c>
    </row>
    <row r="473" spans="1:6" x14ac:dyDescent="0.2">
      <c r="A473" s="98" t="str">
        <f t="shared" si="7"/>
        <v>__</v>
      </c>
      <c r="B473" s="107"/>
      <c r="C473" s="107"/>
      <c r="D473" s="108"/>
      <c r="E473" s="109"/>
      <c r="F473" s="97" t="str">
        <f>IF(ISERROR(HLOOKUP(D473,Data!$1:$1,1,FALSE)),"PROBLEM - Scheduled time not found.","")</f>
        <v/>
      </c>
    </row>
    <row r="474" spans="1:6" x14ac:dyDescent="0.2">
      <c r="A474" s="98" t="str">
        <f t="shared" si="7"/>
        <v>__</v>
      </c>
      <c r="B474" s="107"/>
      <c r="C474" s="107"/>
      <c r="D474" s="108"/>
      <c r="E474" s="109"/>
      <c r="F474" s="97" t="str">
        <f>IF(ISERROR(HLOOKUP(D474,Data!$1:$1,1,FALSE)),"PROBLEM - Scheduled time not found.","")</f>
        <v/>
      </c>
    </row>
    <row r="475" spans="1:6" x14ac:dyDescent="0.2">
      <c r="A475" s="98" t="str">
        <f t="shared" si="7"/>
        <v>__</v>
      </c>
      <c r="B475" s="107"/>
      <c r="C475" s="107"/>
      <c r="D475" s="108"/>
      <c r="E475" s="109"/>
      <c r="F475" s="97" t="str">
        <f>IF(ISERROR(HLOOKUP(D475,Data!$1:$1,1,FALSE)),"PROBLEM - Scheduled time not found.","")</f>
        <v/>
      </c>
    </row>
    <row r="476" spans="1:6" x14ac:dyDescent="0.2">
      <c r="A476" s="98" t="str">
        <f t="shared" si="7"/>
        <v>__</v>
      </c>
      <c r="B476" s="107"/>
      <c r="C476" s="107"/>
      <c r="D476" s="108"/>
      <c r="E476" s="109"/>
      <c r="F476" s="97" t="str">
        <f>IF(ISERROR(HLOOKUP(D476,Data!$1:$1,1,FALSE)),"PROBLEM - Scheduled time not found.","")</f>
        <v/>
      </c>
    </row>
    <row r="477" spans="1:6" x14ac:dyDescent="0.2">
      <c r="A477" s="98" t="str">
        <f t="shared" si="7"/>
        <v>__</v>
      </c>
      <c r="B477" s="107"/>
      <c r="C477" s="107"/>
      <c r="D477" s="108"/>
      <c r="E477" s="109"/>
      <c r="F477" s="97" t="str">
        <f>IF(ISERROR(HLOOKUP(D477,Data!$1:$1,1,FALSE)),"PROBLEM - Scheduled time not found.","")</f>
        <v/>
      </c>
    </row>
    <row r="478" spans="1:6" x14ac:dyDescent="0.2">
      <c r="A478" s="98" t="str">
        <f t="shared" si="7"/>
        <v>__</v>
      </c>
      <c r="B478" s="107"/>
      <c r="C478" s="107"/>
      <c r="D478" s="108"/>
      <c r="E478" s="109"/>
      <c r="F478" s="97" t="str">
        <f>IF(ISERROR(HLOOKUP(D478,Data!$1:$1,1,FALSE)),"PROBLEM - Scheduled time not found.","")</f>
        <v/>
      </c>
    </row>
    <row r="479" spans="1:6" x14ac:dyDescent="0.2">
      <c r="A479" s="98" t="str">
        <f t="shared" si="7"/>
        <v>__</v>
      </c>
      <c r="B479" s="107"/>
      <c r="C479" s="107"/>
      <c r="D479" s="108"/>
      <c r="E479" s="109"/>
      <c r="F479" s="97" t="str">
        <f>IF(ISERROR(HLOOKUP(D479,Data!$1:$1,1,FALSE)),"PROBLEM - Scheduled time not found.","")</f>
        <v/>
      </c>
    </row>
    <row r="480" spans="1:6" x14ac:dyDescent="0.2">
      <c r="A480" s="98" t="str">
        <f t="shared" si="7"/>
        <v>__</v>
      </c>
      <c r="B480" s="107"/>
      <c r="C480" s="107"/>
      <c r="D480" s="108"/>
      <c r="E480" s="109"/>
      <c r="F480" s="97" t="str">
        <f>IF(ISERROR(HLOOKUP(D480,Data!$1:$1,1,FALSE)),"PROBLEM - Scheduled time not found.","")</f>
        <v/>
      </c>
    </row>
    <row r="481" spans="1:6" x14ac:dyDescent="0.2">
      <c r="A481" s="98" t="str">
        <f t="shared" si="7"/>
        <v>__</v>
      </c>
      <c r="B481" s="107"/>
      <c r="C481" s="107"/>
      <c r="D481" s="108"/>
      <c r="E481" s="109"/>
      <c r="F481" s="97" t="str">
        <f>IF(ISERROR(HLOOKUP(D481,Data!$1:$1,1,FALSE)),"PROBLEM - Scheduled time not found.","")</f>
        <v/>
      </c>
    </row>
    <row r="482" spans="1:6" x14ac:dyDescent="0.2">
      <c r="A482" s="98" t="str">
        <f t="shared" si="7"/>
        <v>__</v>
      </c>
      <c r="B482" s="107"/>
      <c r="C482" s="107"/>
      <c r="D482" s="108"/>
      <c r="E482" s="109"/>
      <c r="F482" s="97" t="str">
        <f>IF(ISERROR(HLOOKUP(D482,Data!$1:$1,1,FALSE)),"PROBLEM - Scheduled time not found.","")</f>
        <v/>
      </c>
    </row>
    <row r="483" spans="1:6" x14ac:dyDescent="0.2">
      <c r="A483" s="98" t="str">
        <f t="shared" si="7"/>
        <v>__</v>
      </c>
      <c r="B483" s="107"/>
      <c r="C483" s="107"/>
      <c r="D483" s="108"/>
      <c r="E483" s="109"/>
      <c r="F483" s="97" t="str">
        <f>IF(ISERROR(HLOOKUP(D483,Data!$1:$1,1,FALSE)),"PROBLEM - Scheduled time not found.","")</f>
        <v/>
      </c>
    </row>
    <row r="484" spans="1:6" x14ac:dyDescent="0.2">
      <c r="A484" s="98" t="str">
        <f t="shared" si="7"/>
        <v>__</v>
      </c>
      <c r="B484" s="107"/>
      <c r="C484" s="107"/>
      <c r="D484" s="108"/>
      <c r="E484" s="109"/>
      <c r="F484" s="97" t="str">
        <f>IF(ISERROR(HLOOKUP(D484,Data!$1:$1,1,FALSE)),"PROBLEM - Scheduled time not found.","")</f>
        <v/>
      </c>
    </row>
    <row r="485" spans="1:6" x14ac:dyDescent="0.2">
      <c r="A485" s="98" t="str">
        <f t="shared" si="7"/>
        <v>__</v>
      </c>
      <c r="B485" s="107"/>
      <c r="C485" s="107"/>
      <c r="D485" s="108"/>
      <c r="E485" s="109"/>
      <c r="F485" s="97" t="str">
        <f>IF(ISERROR(HLOOKUP(D485,Data!$1:$1,1,FALSE)),"PROBLEM - Scheduled time not found.","")</f>
        <v/>
      </c>
    </row>
    <row r="486" spans="1:6" x14ac:dyDescent="0.2">
      <c r="A486" s="98" t="str">
        <f t="shared" si="7"/>
        <v>__</v>
      </c>
      <c r="B486" s="107"/>
      <c r="C486" s="107"/>
      <c r="D486" s="108"/>
      <c r="E486" s="109"/>
      <c r="F486" s="97" t="str">
        <f>IF(ISERROR(HLOOKUP(D486,Data!$1:$1,1,FALSE)),"PROBLEM - Scheduled time not found.","")</f>
        <v/>
      </c>
    </row>
    <row r="487" spans="1:6" x14ac:dyDescent="0.2">
      <c r="A487" s="98" t="str">
        <f t="shared" si="7"/>
        <v>__</v>
      </c>
      <c r="B487" s="107"/>
      <c r="C487" s="107"/>
      <c r="D487" s="108"/>
      <c r="E487" s="109"/>
      <c r="F487" s="97" t="str">
        <f>IF(ISERROR(HLOOKUP(D487,Data!$1:$1,1,FALSE)),"PROBLEM - Scheduled time not found.","")</f>
        <v/>
      </c>
    </row>
    <row r="488" spans="1:6" x14ac:dyDescent="0.2">
      <c r="A488" s="98" t="str">
        <f t="shared" si="7"/>
        <v>__</v>
      </c>
      <c r="B488" s="107"/>
      <c r="C488" s="107"/>
      <c r="D488" s="108"/>
      <c r="E488" s="109"/>
      <c r="F488" s="97" t="str">
        <f>IF(ISERROR(HLOOKUP(D488,Data!$1:$1,1,FALSE)),"PROBLEM - Scheduled time not found.","")</f>
        <v/>
      </c>
    </row>
    <row r="489" spans="1:6" x14ac:dyDescent="0.2">
      <c r="A489" s="98" t="str">
        <f t="shared" si="7"/>
        <v>__</v>
      </c>
      <c r="B489" s="107"/>
      <c r="C489" s="107"/>
      <c r="D489" s="108"/>
      <c r="E489" s="109"/>
      <c r="F489" s="97" t="str">
        <f>IF(ISERROR(HLOOKUP(D489,Data!$1:$1,1,FALSE)),"PROBLEM - Scheduled time not found.","")</f>
        <v/>
      </c>
    </row>
    <row r="490" spans="1:6" x14ac:dyDescent="0.2">
      <c r="A490" s="98" t="str">
        <f t="shared" si="7"/>
        <v>__</v>
      </c>
      <c r="B490" s="107"/>
      <c r="C490" s="107"/>
      <c r="D490" s="108"/>
      <c r="E490" s="109"/>
      <c r="F490" s="97" t="str">
        <f>IF(ISERROR(HLOOKUP(D490,Data!$1:$1,1,FALSE)),"PROBLEM - Scheduled time not found.","")</f>
        <v/>
      </c>
    </row>
    <row r="491" spans="1:6" x14ac:dyDescent="0.2">
      <c r="A491" s="98" t="str">
        <f t="shared" si="7"/>
        <v>__</v>
      </c>
      <c r="B491" s="107"/>
      <c r="C491" s="107"/>
      <c r="D491" s="108"/>
      <c r="E491" s="109"/>
      <c r="F491" s="97" t="str">
        <f>IF(ISERROR(HLOOKUP(D491,Data!$1:$1,1,FALSE)),"PROBLEM - Scheduled time not found.","")</f>
        <v/>
      </c>
    </row>
    <row r="492" spans="1:6" x14ac:dyDescent="0.2">
      <c r="A492" s="98" t="str">
        <f t="shared" si="7"/>
        <v>__</v>
      </c>
      <c r="B492" s="107"/>
      <c r="C492" s="107"/>
      <c r="D492" s="108"/>
      <c r="E492" s="109"/>
      <c r="F492" s="97" t="str">
        <f>IF(ISERROR(HLOOKUP(D492,Data!$1:$1,1,FALSE)),"PROBLEM - Scheduled time not found.","")</f>
        <v/>
      </c>
    </row>
    <row r="493" spans="1:6" x14ac:dyDescent="0.2">
      <c r="A493" s="98" t="str">
        <f t="shared" si="7"/>
        <v>__</v>
      </c>
      <c r="B493" s="107"/>
      <c r="C493" s="107"/>
      <c r="D493" s="108"/>
      <c r="E493" s="109"/>
      <c r="F493" s="97" t="str">
        <f>IF(ISERROR(HLOOKUP(D493,Data!$1:$1,1,FALSE)),"PROBLEM - Scheduled time not found.","")</f>
        <v/>
      </c>
    </row>
    <row r="494" spans="1:6" x14ac:dyDescent="0.2">
      <c r="A494" s="98" t="str">
        <f t="shared" si="7"/>
        <v>__</v>
      </c>
      <c r="B494" s="107"/>
      <c r="C494" s="107"/>
      <c r="D494" s="108"/>
      <c r="E494" s="109"/>
      <c r="F494" s="97" t="str">
        <f>IF(ISERROR(HLOOKUP(D494,Data!$1:$1,1,FALSE)),"PROBLEM - Scheduled time not found.","")</f>
        <v/>
      </c>
    </row>
    <row r="495" spans="1:6" x14ac:dyDescent="0.2">
      <c r="A495" s="98" t="str">
        <f t="shared" si="7"/>
        <v>__</v>
      </c>
      <c r="B495" s="107"/>
      <c r="C495" s="107"/>
      <c r="D495" s="108"/>
      <c r="E495" s="109"/>
      <c r="F495" s="97" t="str">
        <f>IF(ISERROR(HLOOKUP(D495,Data!$1:$1,1,FALSE)),"PROBLEM - Scheduled time not found.","")</f>
        <v/>
      </c>
    </row>
    <row r="496" spans="1:6" x14ac:dyDescent="0.2">
      <c r="A496" s="98" t="str">
        <f t="shared" si="7"/>
        <v>__</v>
      </c>
      <c r="B496" s="107"/>
      <c r="C496" s="107"/>
      <c r="D496" s="108"/>
      <c r="E496" s="109"/>
      <c r="F496" s="97" t="str">
        <f>IF(ISERROR(HLOOKUP(D496,Data!$1:$1,1,FALSE)),"PROBLEM - Scheduled time not found.","")</f>
        <v/>
      </c>
    </row>
    <row r="497" spans="1:6" x14ac:dyDescent="0.2">
      <c r="A497" s="98" t="str">
        <f t="shared" si="7"/>
        <v>__</v>
      </c>
      <c r="B497" s="107"/>
      <c r="C497" s="107"/>
      <c r="D497" s="108"/>
      <c r="E497" s="109"/>
      <c r="F497" s="97" t="str">
        <f>IF(ISERROR(HLOOKUP(D497,Data!$1:$1,1,FALSE)),"PROBLEM - Scheduled time not found.","")</f>
        <v/>
      </c>
    </row>
    <row r="498" spans="1:6" x14ac:dyDescent="0.2">
      <c r="A498" s="98" t="str">
        <f t="shared" si="7"/>
        <v>__</v>
      </c>
      <c r="B498" s="107"/>
      <c r="C498" s="107"/>
      <c r="D498" s="108"/>
      <c r="E498" s="109"/>
      <c r="F498" s="97" t="str">
        <f>IF(ISERROR(HLOOKUP(D498,Data!$1:$1,1,FALSE)),"PROBLEM - Scheduled time not found.","")</f>
        <v/>
      </c>
    </row>
    <row r="499" spans="1:6" x14ac:dyDescent="0.2">
      <c r="A499" s="98" t="str">
        <f t="shared" si="7"/>
        <v>__</v>
      </c>
      <c r="B499" s="107"/>
      <c r="C499" s="107"/>
      <c r="D499" s="108"/>
      <c r="E499" s="109"/>
      <c r="F499" s="97" t="str">
        <f>IF(ISERROR(HLOOKUP(D499,Data!$1:$1,1,FALSE)),"PROBLEM - Scheduled time not found.","")</f>
        <v/>
      </c>
    </row>
    <row r="500" spans="1:6" x14ac:dyDescent="0.2">
      <c r="A500" s="98" t="str">
        <f t="shared" si="7"/>
        <v>__</v>
      </c>
      <c r="B500" s="107"/>
      <c r="C500" s="107"/>
      <c r="D500" s="108"/>
      <c r="E500" s="109"/>
      <c r="F500" s="97" t="str">
        <f>IF(ISERROR(HLOOKUP(D500,Data!$1:$1,1,FALSE)),"PROBLEM - Scheduled time not found.","")</f>
        <v/>
      </c>
    </row>
    <row r="501" spans="1:6" x14ac:dyDescent="0.2">
      <c r="A501" s="98" t="str">
        <f t="shared" si="7"/>
        <v>__</v>
      </c>
      <c r="B501" s="107"/>
      <c r="C501" s="107"/>
      <c r="D501" s="108"/>
      <c r="E501" s="109"/>
    </row>
    <row r="502" spans="1:6" x14ac:dyDescent="0.2">
      <c r="A502" s="98" t="str">
        <f t="shared" si="7"/>
        <v>__</v>
      </c>
      <c r="B502" s="107"/>
      <c r="C502" s="107"/>
      <c r="D502" s="108"/>
      <c r="E502" s="109"/>
    </row>
    <row r="503" spans="1:6" x14ac:dyDescent="0.2">
      <c r="A503" s="98" t="str">
        <f t="shared" si="7"/>
        <v>__</v>
      </c>
      <c r="B503" s="107"/>
      <c r="C503" s="107"/>
      <c r="D503" s="108"/>
      <c r="E503" s="109"/>
    </row>
    <row r="504" spans="1:6" x14ac:dyDescent="0.2">
      <c r="A504" s="98" t="str">
        <f t="shared" si="7"/>
        <v>__</v>
      </c>
      <c r="B504" s="107"/>
      <c r="C504" s="107"/>
      <c r="D504" s="108"/>
      <c r="E504" s="109"/>
    </row>
    <row r="505" spans="1:6" x14ac:dyDescent="0.2">
      <c r="A505" s="98" t="str">
        <f t="shared" si="7"/>
        <v>__</v>
      </c>
      <c r="B505" s="107"/>
      <c r="C505" s="107"/>
      <c r="D505" s="108"/>
      <c r="E505" s="109"/>
    </row>
    <row r="506" spans="1:6" x14ac:dyDescent="0.2">
      <c r="A506" s="98" t="str">
        <f t="shared" si="7"/>
        <v>__</v>
      </c>
      <c r="B506" s="107"/>
      <c r="C506" s="107"/>
      <c r="D506" s="108"/>
      <c r="E506" s="109"/>
    </row>
    <row r="507" spans="1:6" x14ac:dyDescent="0.2">
      <c r="A507" s="98" t="str">
        <f t="shared" si="7"/>
        <v>__</v>
      </c>
      <c r="B507" s="107"/>
      <c r="C507" s="107"/>
      <c r="D507" s="108"/>
      <c r="E507" s="109"/>
    </row>
    <row r="508" spans="1:6" x14ac:dyDescent="0.2">
      <c r="A508" s="98" t="str">
        <f t="shared" si="7"/>
        <v>__</v>
      </c>
      <c r="B508" s="107"/>
      <c r="C508" s="107"/>
      <c r="D508" s="108"/>
      <c r="E508" s="109"/>
    </row>
    <row r="509" spans="1:6" x14ac:dyDescent="0.2">
      <c r="A509" s="98" t="str">
        <f t="shared" si="7"/>
        <v>__</v>
      </c>
      <c r="B509" s="107"/>
      <c r="C509" s="107"/>
      <c r="D509" s="108"/>
      <c r="E509" s="109"/>
    </row>
    <row r="510" spans="1:6" x14ac:dyDescent="0.2">
      <c r="A510" s="98" t="str">
        <f t="shared" si="7"/>
        <v>__</v>
      </c>
      <c r="B510" s="107"/>
      <c r="C510" s="107"/>
      <c r="D510" s="108"/>
      <c r="E510" s="109"/>
    </row>
    <row r="511" spans="1:6" x14ac:dyDescent="0.2">
      <c r="A511" s="98" t="str">
        <f t="shared" si="7"/>
        <v>__</v>
      </c>
      <c r="B511" s="107"/>
      <c r="C511" s="107"/>
      <c r="D511" s="108"/>
      <c r="E511" s="109"/>
    </row>
    <row r="512" spans="1:6" x14ac:dyDescent="0.2">
      <c r="A512" s="98" t="str">
        <f t="shared" si="7"/>
        <v>__</v>
      </c>
      <c r="B512" s="107"/>
      <c r="C512" s="107"/>
      <c r="D512" s="108"/>
      <c r="E512" s="109"/>
    </row>
    <row r="513" spans="1:5" x14ac:dyDescent="0.2">
      <c r="A513" s="98" t="str">
        <f t="shared" si="7"/>
        <v>__</v>
      </c>
      <c r="B513" s="107"/>
      <c r="C513" s="107"/>
      <c r="D513" s="108"/>
      <c r="E513" s="109"/>
    </row>
    <row r="514" spans="1:5" x14ac:dyDescent="0.2">
      <c r="A514" s="98" t="str">
        <f t="shared" si="7"/>
        <v>__</v>
      </c>
      <c r="B514" s="107"/>
      <c r="C514" s="107"/>
      <c r="D514" s="108"/>
      <c r="E514" s="109"/>
    </row>
    <row r="515" spans="1:5" x14ac:dyDescent="0.2">
      <c r="A515" s="98" t="str">
        <f t="shared" ref="A515:A578" si="8">B515&amp;"_"&amp;C515&amp;"_"&amp;D515</f>
        <v>__</v>
      </c>
      <c r="B515" s="107"/>
      <c r="C515" s="107"/>
      <c r="D515" s="108"/>
      <c r="E515" s="109"/>
    </row>
    <row r="516" spans="1:5" x14ac:dyDescent="0.2">
      <c r="A516" s="98" t="str">
        <f t="shared" si="8"/>
        <v>__</v>
      </c>
      <c r="B516" s="107"/>
      <c r="C516" s="107"/>
      <c r="D516" s="108"/>
      <c r="E516" s="109"/>
    </row>
    <row r="517" spans="1:5" x14ac:dyDescent="0.2">
      <c r="A517" s="98" t="str">
        <f t="shared" si="8"/>
        <v>__</v>
      </c>
      <c r="B517" s="107"/>
      <c r="C517" s="107"/>
      <c r="D517" s="108"/>
      <c r="E517" s="109"/>
    </row>
    <row r="518" spans="1:5" x14ac:dyDescent="0.2">
      <c r="A518" s="98" t="str">
        <f t="shared" si="8"/>
        <v>__</v>
      </c>
      <c r="B518" s="107"/>
      <c r="C518" s="107"/>
      <c r="D518" s="108"/>
      <c r="E518" s="109"/>
    </row>
    <row r="519" spans="1:5" x14ac:dyDescent="0.2">
      <c r="A519" s="98" t="str">
        <f t="shared" si="8"/>
        <v>__</v>
      </c>
      <c r="B519" s="107"/>
      <c r="C519" s="107"/>
      <c r="D519" s="108"/>
      <c r="E519" s="109"/>
    </row>
    <row r="520" spans="1:5" x14ac:dyDescent="0.2">
      <c r="A520" s="98" t="str">
        <f t="shared" si="8"/>
        <v>__</v>
      </c>
      <c r="B520" s="107"/>
      <c r="C520" s="107"/>
      <c r="D520" s="108"/>
      <c r="E520" s="109"/>
    </row>
    <row r="521" spans="1:5" x14ac:dyDescent="0.2">
      <c r="A521" s="98" t="str">
        <f t="shared" si="8"/>
        <v>__</v>
      </c>
      <c r="B521" s="107"/>
      <c r="C521" s="107"/>
      <c r="D521" s="108"/>
      <c r="E521" s="109"/>
    </row>
    <row r="522" spans="1:5" x14ac:dyDescent="0.2">
      <c r="A522" s="98" t="str">
        <f t="shared" si="8"/>
        <v>__</v>
      </c>
      <c r="B522" s="107"/>
      <c r="C522" s="107"/>
      <c r="D522" s="108"/>
      <c r="E522" s="109"/>
    </row>
    <row r="523" spans="1:5" x14ac:dyDescent="0.2">
      <c r="A523" s="98" t="str">
        <f t="shared" si="8"/>
        <v>__</v>
      </c>
      <c r="B523" s="107"/>
      <c r="C523" s="107"/>
      <c r="D523" s="108"/>
      <c r="E523" s="109"/>
    </row>
    <row r="524" spans="1:5" x14ac:dyDescent="0.2">
      <c r="A524" s="98" t="str">
        <f t="shared" si="8"/>
        <v>__</v>
      </c>
      <c r="B524" s="107"/>
      <c r="C524" s="107"/>
      <c r="D524" s="108"/>
      <c r="E524" s="109"/>
    </row>
    <row r="525" spans="1:5" x14ac:dyDescent="0.2">
      <c r="A525" s="98" t="str">
        <f t="shared" si="8"/>
        <v>__</v>
      </c>
      <c r="B525" s="107"/>
      <c r="C525" s="107"/>
      <c r="D525" s="108"/>
      <c r="E525" s="109"/>
    </row>
    <row r="526" spans="1:5" x14ac:dyDescent="0.2">
      <c r="A526" s="98" t="str">
        <f t="shared" si="8"/>
        <v>__</v>
      </c>
      <c r="B526" s="107"/>
      <c r="C526" s="107"/>
      <c r="D526" s="108"/>
      <c r="E526" s="109"/>
    </row>
    <row r="527" spans="1:5" x14ac:dyDescent="0.2">
      <c r="A527" s="98" t="str">
        <f t="shared" si="8"/>
        <v>__</v>
      </c>
      <c r="B527" s="107"/>
      <c r="C527" s="107"/>
      <c r="D527" s="108"/>
      <c r="E527" s="109"/>
    </row>
    <row r="528" spans="1:5" x14ac:dyDescent="0.2">
      <c r="A528" s="98" t="str">
        <f t="shared" si="8"/>
        <v>__</v>
      </c>
      <c r="B528" s="107"/>
      <c r="C528" s="107"/>
      <c r="D528" s="108"/>
      <c r="E528" s="109"/>
    </row>
    <row r="529" spans="1:5" x14ac:dyDescent="0.2">
      <c r="A529" s="98" t="str">
        <f t="shared" si="8"/>
        <v>__</v>
      </c>
      <c r="B529" s="107"/>
      <c r="C529" s="107"/>
      <c r="D529" s="108"/>
      <c r="E529" s="109"/>
    </row>
    <row r="530" spans="1:5" x14ac:dyDescent="0.2">
      <c r="A530" s="98" t="str">
        <f t="shared" si="8"/>
        <v>__</v>
      </c>
      <c r="B530" s="107"/>
      <c r="C530" s="107"/>
      <c r="D530" s="108"/>
      <c r="E530" s="109"/>
    </row>
    <row r="531" spans="1:5" x14ac:dyDescent="0.2">
      <c r="A531" s="98" t="str">
        <f t="shared" si="8"/>
        <v>__</v>
      </c>
      <c r="B531" s="107"/>
      <c r="C531" s="107"/>
      <c r="D531" s="108"/>
      <c r="E531" s="109"/>
    </row>
    <row r="532" spans="1:5" x14ac:dyDescent="0.2">
      <c r="A532" s="98" t="str">
        <f t="shared" si="8"/>
        <v>__</v>
      </c>
      <c r="B532" s="107"/>
      <c r="C532" s="107"/>
      <c r="D532" s="108"/>
      <c r="E532" s="109"/>
    </row>
    <row r="533" spans="1:5" x14ac:dyDescent="0.2">
      <c r="A533" s="98" t="str">
        <f t="shared" si="8"/>
        <v>__</v>
      </c>
      <c r="B533" s="107"/>
      <c r="C533" s="107"/>
      <c r="D533" s="108"/>
      <c r="E533" s="109"/>
    </row>
    <row r="534" spans="1:5" x14ac:dyDescent="0.2">
      <c r="A534" s="98" t="str">
        <f t="shared" si="8"/>
        <v>__</v>
      </c>
      <c r="B534" s="107"/>
      <c r="C534" s="107"/>
      <c r="D534" s="108"/>
      <c r="E534" s="109"/>
    </row>
    <row r="535" spans="1:5" x14ac:dyDescent="0.2">
      <c r="A535" s="98" t="str">
        <f t="shared" si="8"/>
        <v>__</v>
      </c>
      <c r="B535" s="107"/>
      <c r="C535" s="107"/>
      <c r="D535" s="108"/>
      <c r="E535" s="109"/>
    </row>
    <row r="536" spans="1:5" x14ac:dyDescent="0.2">
      <c r="A536" s="98" t="str">
        <f t="shared" si="8"/>
        <v>__</v>
      </c>
      <c r="B536" s="107"/>
      <c r="C536" s="107"/>
      <c r="D536" s="108"/>
      <c r="E536" s="109"/>
    </row>
    <row r="537" spans="1:5" x14ac:dyDescent="0.2">
      <c r="A537" s="98" t="str">
        <f t="shared" si="8"/>
        <v>__</v>
      </c>
      <c r="B537" s="107"/>
      <c r="C537" s="107"/>
      <c r="D537" s="108"/>
      <c r="E537" s="109"/>
    </row>
    <row r="538" spans="1:5" x14ac:dyDescent="0.2">
      <c r="A538" s="98" t="str">
        <f t="shared" si="8"/>
        <v>__</v>
      </c>
      <c r="B538" s="107"/>
      <c r="C538" s="107"/>
      <c r="D538" s="108"/>
      <c r="E538" s="109"/>
    </row>
    <row r="539" spans="1:5" x14ac:dyDescent="0.2">
      <c r="A539" s="98" t="str">
        <f t="shared" si="8"/>
        <v>__</v>
      </c>
      <c r="B539" s="107"/>
      <c r="C539" s="107"/>
      <c r="D539" s="108"/>
      <c r="E539" s="109"/>
    </row>
    <row r="540" spans="1:5" x14ac:dyDescent="0.2">
      <c r="A540" s="98" t="str">
        <f t="shared" si="8"/>
        <v>__</v>
      </c>
      <c r="B540" s="107"/>
      <c r="C540" s="107"/>
      <c r="D540" s="108"/>
      <c r="E540" s="109"/>
    </row>
    <row r="541" spans="1:5" x14ac:dyDescent="0.2">
      <c r="A541" s="98" t="str">
        <f t="shared" si="8"/>
        <v>__</v>
      </c>
      <c r="B541" s="107"/>
      <c r="C541" s="107"/>
      <c r="D541" s="108"/>
      <c r="E541" s="109"/>
    </row>
    <row r="542" spans="1:5" x14ac:dyDescent="0.2">
      <c r="A542" s="98" t="str">
        <f t="shared" si="8"/>
        <v>__</v>
      </c>
      <c r="B542" s="107"/>
      <c r="C542" s="107"/>
      <c r="D542" s="108"/>
      <c r="E542" s="109"/>
    </row>
    <row r="543" spans="1:5" x14ac:dyDescent="0.2">
      <c r="A543" s="98" t="str">
        <f t="shared" si="8"/>
        <v>__</v>
      </c>
      <c r="B543" s="107"/>
      <c r="C543" s="107"/>
      <c r="D543" s="108"/>
      <c r="E543" s="109"/>
    </row>
    <row r="544" spans="1:5" x14ac:dyDescent="0.2">
      <c r="A544" s="98" t="str">
        <f t="shared" si="8"/>
        <v>__</v>
      </c>
      <c r="B544" s="107"/>
      <c r="C544" s="107"/>
      <c r="D544" s="108"/>
      <c r="E544" s="109"/>
    </row>
    <row r="545" spans="1:5" x14ac:dyDescent="0.2">
      <c r="A545" s="98" t="str">
        <f t="shared" si="8"/>
        <v>__</v>
      </c>
      <c r="B545" s="107"/>
      <c r="C545" s="107"/>
      <c r="D545" s="108"/>
      <c r="E545" s="109"/>
    </row>
    <row r="546" spans="1:5" x14ac:dyDescent="0.2">
      <c r="A546" s="98" t="str">
        <f t="shared" si="8"/>
        <v>__</v>
      </c>
      <c r="B546" s="107"/>
      <c r="C546" s="107"/>
      <c r="D546" s="108"/>
      <c r="E546" s="109"/>
    </row>
    <row r="547" spans="1:5" x14ac:dyDescent="0.2">
      <c r="A547" s="98" t="str">
        <f t="shared" si="8"/>
        <v>__</v>
      </c>
      <c r="B547" s="107"/>
      <c r="C547" s="107"/>
      <c r="D547" s="108"/>
      <c r="E547" s="109"/>
    </row>
    <row r="548" spans="1:5" x14ac:dyDescent="0.2">
      <c r="A548" s="98" t="str">
        <f t="shared" si="8"/>
        <v>__</v>
      </c>
      <c r="B548" s="107"/>
      <c r="C548" s="107"/>
      <c r="D548" s="108"/>
      <c r="E548" s="109"/>
    </row>
    <row r="549" spans="1:5" x14ac:dyDescent="0.2">
      <c r="A549" s="98" t="str">
        <f t="shared" si="8"/>
        <v>__</v>
      </c>
      <c r="B549" s="107"/>
      <c r="C549" s="107"/>
      <c r="D549" s="108"/>
      <c r="E549" s="109"/>
    </row>
    <row r="550" spans="1:5" x14ac:dyDescent="0.2">
      <c r="A550" s="98" t="str">
        <f t="shared" si="8"/>
        <v>__</v>
      </c>
      <c r="B550" s="107"/>
      <c r="C550" s="107"/>
      <c r="D550" s="108"/>
      <c r="E550" s="109"/>
    </row>
    <row r="551" spans="1:5" x14ac:dyDescent="0.2">
      <c r="A551" s="98" t="str">
        <f t="shared" si="8"/>
        <v>__</v>
      </c>
      <c r="B551" s="107"/>
      <c r="C551" s="107"/>
      <c r="D551" s="108"/>
      <c r="E551" s="109"/>
    </row>
    <row r="552" spans="1:5" x14ac:dyDescent="0.2">
      <c r="A552" s="98" t="str">
        <f t="shared" si="8"/>
        <v>__</v>
      </c>
      <c r="B552" s="107"/>
      <c r="C552" s="107"/>
      <c r="D552" s="108"/>
      <c r="E552" s="109"/>
    </row>
    <row r="553" spans="1:5" x14ac:dyDescent="0.2">
      <c r="A553" s="98" t="str">
        <f t="shared" si="8"/>
        <v>__</v>
      </c>
      <c r="B553" s="107"/>
      <c r="C553" s="107"/>
      <c r="D553" s="108"/>
      <c r="E553" s="109"/>
    </row>
    <row r="554" spans="1:5" x14ac:dyDescent="0.2">
      <c r="A554" s="98" t="str">
        <f t="shared" si="8"/>
        <v>__</v>
      </c>
      <c r="B554" s="107"/>
      <c r="C554" s="107"/>
      <c r="D554" s="108"/>
      <c r="E554" s="109"/>
    </row>
    <row r="555" spans="1:5" x14ac:dyDescent="0.2">
      <c r="A555" s="98" t="str">
        <f t="shared" si="8"/>
        <v>__</v>
      </c>
      <c r="B555" s="107"/>
      <c r="C555" s="107"/>
      <c r="D555" s="108"/>
      <c r="E555" s="109"/>
    </row>
    <row r="556" spans="1:5" x14ac:dyDescent="0.2">
      <c r="A556" s="98" t="str">
        <f t="shared" si="8"/>
        <v>__</v>
      </c>
      <c r="B556" s="107"/>
      <c r="C556" s="107"/>
      <c r="D556" s="108"/>
      <c r="E556" s="109"/>
    </row>
    <row r="557" spans="1:5" x14ac:dyDescent="0.2">
      <c r="A557" s="98" t="str">
        <f t="shared" si="8"/>
        <v>__</v>
      </c>
      <c r="B557" s="107"/>
      <c r="C557" s="107"/>
      <c r="D557" s="108"/>
      <c r="E557" s="109"/>
    </row>
    <row r="558" spans="1:5" x14ac:dyDescent="0.2">
      <c r="A558" s="98" t="str">
        <f t="shared" si="8"/>
        <v>__</v>
      </c>
      <c r="B558" s="107"/>
      <c r="C558" s="107"/>
      <c r="D558" s="108"/>
      <c r="E558" s="109"/>
    </row>
    <row r="559" spans="1:5" x14ac:dyDescent="0.2">
      <c r="A559" s="98" t="str">
        <f t="shared" si="8"/>
        <v>__</v>
      </c>
      <c r="B559" s="107"/>
      <c r="C559" s="107"/>
      <c r="D559" s="108"/>
      <c r="E559" s="109"/>
    </row>
    <row r="560" spans="1:5" x14ac:dyDescent="0.2">
      <c r="A560" s="98" t="str">
        <f t="shared" si="8"/>
        <v>__</v>
      </c>
      <c r="B560" s="107"/>
      <c r="C560" s="107"/>
      <c r="D560" s="108"/>
      <c r="E560" s="109"/>
    </row>
    <row r="561" spans="1:5" x14ac:dyDescent="0.2">
      <c r="A561" s="98" t="str">
        <f t="shared" si="8"/>
        <v>__</v>
      </c>
      <c r="B561" s="107"/>
      <c r="C561" s="107"/>
      <c r="D561" s="108"/>
      <c r="E561" s="109"/>
    </row>
    <row r="562" spans="1:5" x14ac:dyDescent="0.2">
      <c r="A562" s="98" t="str">
        <f t="shared" si="8"/>
        <v>__</v>
      </c>
      <c r="B562" s="107"/>
      <c r="C562" s="107"/>
      <c r="D562" s="108"/>
      <c r="E562" s="109"/>
    </row>
    <row r="563" spans="1:5" x14ac:dyDescent="0.2">
      <c r="A563" s="98" t="str">
        <f t="shared" si="8"/>
        <v>__</v>
      </c>
      <c r="B563" s="107"/>
      <c r="C563" s="107"/>
      <c r="D563" s="108"/>
      <c r="E563" s="109"/>
    </row>
    <row r="564" spans="1:5" x14ac:dyDescent="0.2">
      <c r="A564" s="98" t="str">
        <f t="shared" si="8"/>
        <v>__</v>
      </c>
      <c r="B564" s="107"/>
      <c r="C564" s="107"/>
      <c r="D564" s="108"/>
      <c r="E564" s="109"/>
    </row>
    <row r="565" spans="1:5" x14ac:dyDescent="0.2">
      <c r="A565" s="98" t="str">
        <f t="shared" si="8"/>
        <v>__</v>
      </c>
      <c r="B565" s="107"/>
      <c r="C565" s="107"/>
      <c r="D565" s="108"/>
      <c r="E565" s="109"/>
    </row>
    <row r="566" spans="1:5" x14ac:dyDescent="0.2">
      <c r="A566" s="98" t="str">
        <f t="shared" si="8"/>
        <v>__</v>
      </c>
      <c r="B566" s="107"/>
      <c r="C566" s="107"/>
      <c r="D566" s="108"/>
      <c r="E566" s="109"/>
    </row>
    <row r="567" spans="1:5" x14ac:dyDescent="0.2">
      <c r="A567" s="98" t="str">
        <f t="shared" si="8"/>
        <v>__</v>
      </c>
      <c r="B567" s="107"/>
      <c r="C567" s="107"/>
      <c r="D567" s="108"/>
      <c r="E567" s="109"/>
    </row>
    <row r="568" spans="1:5" x14ac:dyDescent="0.2">
      <c r="A568" s="98" t="str">
        <f t="shared" si="8"/>
        <v>__</v>
      </c>
      <c r="B568" s="107"/>
      <c r="C568" s="107"/>
      <c r="D568" s="108"/>
      <c r="E568" s="109"/>
    </row>
    <row r="569" spans="1:5" x14ac:dyDescent="0.2">
      <c r="A569" s="98" t="str">
        <f t="shared" si="8"/>
        <v>__</v>
      </c>
      <c r="B569" s="107"/>
      <c r="C569" s="107"/>
      <c r="D569" s="108"/>
      <c r="E569" s="109"/>
    </row>
    <row r="570" spans="1:5" x14ac:dyDescent="0.2">
      <c r="A570" s="98" t="str">
        <f t="shared" si="8"/>
        <v>__</v>
      </c>
      <c r="B570" s="107"/>
      <c r="C570" s="107"/>
      <c r="D570" s="108"/>
      <c r="E570" s="109"/>
    </row>
    <row r="571" spans="1:5" x14ac:dyDescent="0.2">
      <c r="A571" s="98" t="str">
        <f t="shared" si="8"/>
        <v>__</v>
      </c>
      <c r="B571" s="107"/>
      <c r="C571" s="107"/>
      <c r="D571" s="108"/>
      <c r="E571" s="109"/>
    </row>
    <row r="572" spans="1:5" x14ac:dyDescent="0.2">
      <c r="A572" s="98" t="str">
        <f t="shared" si="8"/>
        <v>__</v>
      </c>
      <c r="B572" s="107"/>
      <c r="C572" s="107"/>
      <c r="D572" s="108"/>
      <c r="E572" s="109"/>
    </row>
    <row r="573" spans="1:5" x14ac:dyDescent="0.2">
      <c r="A573" s="98" t="str">
        <f t="shared" si="8"/>
        <v>__</v>
      </c>
      <c r="B573" s="107"/>
      <c r="C573" s="107"/>
      <c r="D573" s="108"/>
      <c r="E573" s="109"/>
    </row>
    <row r="574" spans="1:5" x14ac:dyDescent="0.2">
      <c r="A574" s="98" t="str">
        <f t="shared" si="8"/>
        <v>__</v>
      </c>
      <c r="B574" s="107"/>
      <c r="C574" s="107"/>
      <c r="D574" s="108"/>
      <c r="E574" s="109"/>
    </row>
    <row r="575" spans="1:5" x14ac:dyDescent="0.2">
      <c r="A575" s="98" t="str">
        <f t="shared" si="8"/>
        <v>__</v>
      </c>
      <c r="B575" s="107"/>
      <c r="C575" s="107"/>
      <c r="D575" s="108"/>
      <c r="E575" s="109"/>
    </row>
    <row r="576" spans="1:5" x14ac:dyDescent="0.2">
      <c r="A576" s="98" t="str">
        <f t="shared" si="8"/>
        <v>__</v>
      </c>
      <c r="B576" s="107"/>
      <c r="C576" s="107"/>
      <c r="D576" s="108"/>
      <c r="E576" s="109"/>
    </row>
    <row r="577" spans="1:5" x14ac:dyDescent="0.2">
      <c r="A577" s="98" t="str">
        <f t="shared" si="8"/>
        <v>__</v>
      </c>
      <c r="B577" s="107"/>
      <c r="C577" s="107"/>
      <c r="D577" s="108"/>
      <c r="E577" s="109"/>
    </row>
    <row r="578" spans="1:5" x14ac:dyDescent="0.2">
      <c r="A578" s="98" t="str">
        <f t="shared" si="8"/>
        <v>__</v>
      </c>
      <c r="B578" s="107"/>
      <c r="C578" s="107"/>
      <c r="D578" s="108"/>
      <c r="E578" s="109"/>
    </row>
    <row r="579" spans="1:5" x14ac:dyDescent="0.2">
      <c r="A579" s="98" t="str">
        <f t="shared" ref="A579:A642" si="9">B579&amp;"_"&amp;C579&amp;"_"&amp;D579</f>
        <v>__</v>
      </c>
      <c r="B579" s="107"/>
      <c r="C579" s="107"/>
      <c r="D579" s="108"/>
      <c r="E579" s="109"/>
    </row>
    <row r="580" spans="1:5" x14ac:dyDescent="0.2">
      <c r="A580" s="98" t="str">
        <f t="shared" si="9"/>
        <v>__</v>
      </c>
      <c r="B580" s="107"/>
      <c r="C580" s="107"/>
      <c r="D580" s="108"/>
      <c r="E580" s="109"/>
    </row>
    <row r="581" spans="1:5" x14ac:dyDescent="0.2">
      <c r="A581" s="98" t="str">
        <f t="shared" si="9"/>
        <v>__</v>
      </c>
      <c r="B581" s="107"/>
      <c r="C581" s="107"/>
      <c r="D581" s="108"/>
      <c r="E581" s="109"/>
    </row>
    <row r="582" spans="1:5" x14ac:dyDescent="0.2">
      <c r="A582" s="98" t="str">
        <f t="shared" si="9"/>
        <v>__</v>
      </c>
      <c r="B582" s="107"/>
      <c r="C582" s="107"/>
      <c r="D582" s="108"/>
      <c r="E582" s="109"/>
    </row>
    <row r="583" spans="1:5" x14ac:dyDescent="0.2">
      <c r="A583" s="98" t="str">
        <f t="shared" si="9"/>
        <v>__</v>
      </c>
      <c r="B583" s="107"/>
      <c r="C583" s="107"/>
      <c r="D583" s="108"/>
      <c r="E583" s="109"/>
    </row>
    <row r="584" spans="1:5" x14ac:dyDescent="0.2">
      <c r="A584" s="98" t="str">
        <f t="shared" si="9"/>
        <v>__</v>
      </c>
      <c r="B584" s="107"/>
      <c r="C584" s="107"/>
      <c r="D584" s="108"/>
      <c r="E584" s="109"/>
    </row>
    <row r="585" spans="1:5" x14ac:dyDescent="0.2">
      <c r="A585" s="98" t="str">
        <f t="shared" si="9"/>
        <v>__</v>
      </c>
      <c r="B585" s="107"/>
      <c r="C585" s="107"/>
      <c r="D585" s="108"/>
      <c r="E585" s="109"/>
    </row>
    <row r="586" spans="1:5" x14ac:dyDescent="0.2">
      <c r="A586" s="98" t="str">
        <f t="shared" si="9"/>
        <v>__</v>
      </c>
      <c r="B586" s="107"/>
      <c r="C586" s="107"/>
      <c r="D586" s="108"/>
      <c r="E586" s="109"/>
    </row>
    <row r="587" spans="1:5" x14ac:dyDescent="0.2">
      <c r="A587" s="98" t="str">
        <f t="shared" si="9"/>
        <v>__</v>
      </c>
      <c r="B587" s="107"/>
      <c r="C587" s="107"/>
      <c r="D587" s="108"/>
      <c r="E587" s="109"/>
    </row>
    <row r="588" spans="1:5" x14ac:dyDescent="0.2">
      <c r="A588" s="98" t="str">
        <f t="shared" si="9"/>
        <v>__</v>
      </c>
      <c r="B588" s="107"/>
      <c r="C588" s="107"/>
      <c r="D588" s="108"/>
      <c r="E588" s="109"/>
    </row>
    <row r="589" spans="1:5" x14ac:dyDescent="0.2">
      <c r="A589" s="98" t="str">
        <f t="shared" si="9"/>
        <v>__</v>
      </c>
      <c r="B589" s="107"/>
      <c r="C589" s="107"/>
      <c r="D589" s="108"/>
      <c r="E589" s="109"/>
    </row>
    <row r="590" spans="1:5" x14ac:dyDescent="0.2">
      <c r="A590" s="98" t="str">
        <f t="shared" si="9"/>
        <v>__</v>
      </c>
      <c r="B590" s="107"/>
      <c r="C590" s="107"/>
      <c r="D590" s="108"/>
      <c r="E590" s="109"/>
    </row>
    <row r="591" spans="1:5" x14ac:dyDescent="0.2">
      <c r="A591" s="98" t="str">
        <f t="shared" si="9"/>
        <v>__</v>
      </c>
      <c r="B591" s="107"/>
      <c r="C591" s="107"/>
      <c r="D591" s="108"/>
      <c r="E591" s="109"/>
    </row>
    <row r="592" spans="1:5" x14ac:dyDescent="0.2">
      <c r="A592" s="98" t="str">
        <f t="shared" si="9"/>
        <v>__</v>
      </c>
      <c r="B592" s="107"/>
      <c r="C592" s="107"/>
      <c r="D592" s="108"/>
      <c r="E592" s="109"/>
    </row>
    <row r="593" spans="1:5" x14ac:dyDescent="0.2">
      <c r="A593" s="98" t="str">
        <f t="shared" si="9"/>
        <v>__</v>
      </c>
      <c r="B593" s="107"/>
      <c r="C593" s="107"/>
      <c r="D593" s="108"/>
      <c r="E593" s="109"/>
    </row>
    <row r="594" spans="1:5" x14ac:dyDescent="0.2">
      <c r="A594" s="98" t="str">
        <f t="shared" si="9"/>
        <v>__</v>
      </c>
      <c r="B594" s="107"/>
      <c r="C594" s="107"/>
      <c r="D594" s="108"/>
      <c r="E594" s="109"/>
    </row>
    <row r="595" spans="1:5" x14ac:dyDescent="0.2">
      <c r="A595" s="98" t="str">
        <f t="shared" si="9"/>
        <v>__</v>
      </c>
      <c r="B595" s="107"/>
      <c r="C595" s="107"/>
      <c r="D595" s="108"/>
      <c r="E595" s="109"/>
    </row>
    <row r="596" spans="1:5" x14ac:dyDescent="0.2">
      <c r="A596" s="98" t="str">
        <f t="shared" si="9"/>
        <v>__</v>
      </c>
      <c r="B596" s="107"/>
      <c r="C596" s="107"/>
      <c r="D596" s="108"/>
      <c r="E596" s="109"/>
    </row>
    <row r="597" spans="1:5" x14ac:dyDescent="0.2">
      <c r="A597" s="98" t="str">
        <f t="shared" si="9"/>
        <v>__</v>
      </c>
      <c r="B597" s="107"/>
      <c r="C597" s="107"/>
      <c r="D597" s="108"/>
      <c r="E597" s="109"/>
    </row>
    <row r="598" spans="1:5" x14ac:dyDescent="0.2">
      <c r="A598" s="98" t="str">
        <f t="shared" si="9"/>
        <v>__</v>
      </c>
      <c r="B598" s="107"/>
      <c r="C598" s="107"/>
      <c r="D598" s="108"/>
      <c r="E598" s="109"/>
    </row>
    <row r="599" spans="1:5" x14ac:dyDescent="0.2">
      <c r="A599" s="98" t="str">
        <f t="shared" si="9"/>
        <v>__</v>
      </c>
      <c r="B599" s="107"/>
      <c r="C599" s="107"/>
      <c r="D599" s="108"/>
      <c r="E599" s="109"/>
    </row>
    <row r="600" spans="1:5" x14ac:dyDescent="0.2">
      <c r="A600" s="98" t="str">
        <f t="shared" si="9"/>
        <v>__</v>
      </c>
      <c r="B600" s="107"/>
      <c r="C600" s="107"/>
      <c r="D600" s="108"/>
      <c r="E600" s="109"/>
    </row>
    <row r="601" spans="1:5" x14ac:dyDescent="0.2">
      <c r="A601" s="98" t="str">
        <f t="shared" si="9"/>
        <v>__</v>
      </c>
      <c r="B601" s="107"/>
      <c r="C601" s="107"/>
      <c r="D601" s="108"/>
      <c r="E601" s="109"/>
    </row>
    <row r="602" spans="1:5" x14ac:dyDescent="0.2">
      <c r="A602" s="98" t="str">
        <f t="shared" si="9"/>
        <v>__</v>
      </c>
      <c r="B602" s="107"/>
      <c r="C602" s="107"/>
      <c r="D602" s="108"/>
      <c r="E602" s="109"/>
    </row>
    <row r="603" spans="1:5" x14ac:dyDescent="0.2">
      <c r="A603" s="98" t="str">
        <f t="shared" si="9"/>
        <v>__</v>
      </c>
      <c r="B603" s="107"/>
      <c r="C603" s="107"/>
      <c r="D603" s="108"/>
      <c r="E603" s="109"/>
    </row>
    <row r="604" spans="1:5" x14ac:dyDescent="0.2">
      <c r="A604" s="98" t="str">
        <f t="shared" si="9"/>
        <v>__</v>
      </c>
      <c r="B604" s="107"/>
      <c r="C604" s="107"/>
      <c r="D604" s="108"/>
      <c r="E604" s="109"/>
    </row>
    <row r="605" spans="1:5" x14ac:dyDescent="0.2">
      <c r="A605" s="98" t="str">
        <f t="shared" si="9"/>
        <v>__</v>
      </c>
      <c r="B605" s="107"/>
      <c r="C605" s="107"/>
      <c r="D605" s="108"/>
      <c r="E605" s="109"/>
    </row>
    <row r="606" spans="1:5" x14ac:dyDescent="0.2">
      <c r="A606" s="98" t="str">
        <f t="shared" si="9"/>
        <v>__</v>
      </c>
      <c r="B606" s="107"/>
      <c r="C606" s="107"/>
      <c r="D606" s="108"/>
      <c r="E606" s="109"/>
    </row>
    <row r="607" spans="1:5" x14ac:dyDescent="0.2">
      <c r="A607" s="98" t="str">
        <f t="shared" si="9"/>
        <v>__</v>
      </c>
      <c r="B607" s="107"/>
      <c r="C607" s="107"/>
      <c r="D607" s="108"/>
      <c r="E607" s="109"/>
    </row>
    <row r="608" spans="1:5" x14ac:dyDescent="0.2">
      <c r="A608" s="98" t="str">
        <f t="shared" si="9"/>
        <v>__</v>
      </c>
      <c r="B608" s="107"/>
      <c r="C608" s="107"/>
      <c r="D608" s="108"/>
      <c r="E608" s="109"/>
    </row>
    <row r="609" spans="1:5" x14ac:dyDescent="0.2">
      <c r="A609" s="98" t="str">
        <f t="shared" si="9"/>
        <v>__</v>
      </c>
      <c r="B609" s="107"/>
      <c r="C609" s="107"/>
      <c r="D609" s="108"/>
      <c r="E609" s="109"/>
    </row>
    <row r="610" spans="1:5" x14ac:dyDescent="0.2">
      <c r="A610" s="98" t="str">
        <f t="shared" si="9"/>
        <v>__</v>
      </c>
      <c r="B610" s="107"/>
      <c r="C610" s="107"/>
      <c r="D610" s="108"/>
      <c r="E610" s="109"/>
    </row>
    <row r="611" spans="1:5" x14ac:dyDescent="0.2">
      <c r="A611" s="98" t="str">
        <f t="shared" si="9"/>
        <v>__</v>
      </c>
      <c r="B611" s="107"/>
      <c r="C611" s="107"/>
      <c r="D611" s="108"/>
      <c r="E611" s="109"/>
    </row>
    <row r="612" spans="1:5" x14ac:dyDescent="0.2">
      <c r="A612" s="98" t="str">
        <f t="shared" si="9"/>
        <v>__</v>
      </c>
      <c r="B612" s="107"/>
      <c r="C612" s="107"/>
      <c r="D612" s="108"/>
      <c r="E612" s="109"/>
    </row>
    <row r="613" spans="1:5" x14ac:dyDescent="0.2">
      <c r="A613" s="98" t="str">
        <f t="shared" si="9"/>
        <v>__</v>
      </c>
      <c r="B613" s="107"/>
      <c r="C613" s="107"/>
      <c r="D613" s="108"/>
      <c r="E613" s="109"/>
    </row>
    <row r="614" spans="1:5" x14ac:dyDescent="0.2">
      <c r="A614" s="98" t="str">
        <f t="shared" si="9"/>
        <v>__</v>
      </c>
      <c r="B614" s="107"/>
      <c r="C614" s="107"/>
      <c r="D614" s="108"/>
      <c r="E614" s="109"/>
    </row>
    <row r="615" spans="1:5" x14ac:dyDescent="0.2">
      <c r="A615" s="98" t="str">
        <f t="shared" si="9"/>
        <v>__</v>
      </c>
      <c r="B615" s="107"/>
      <c r="C615" s="107"/>
      <c r="D615" s="108"/>
      <c r="E615" s="109"/>
    </row>
    <row r="616" spans="1:5" x14ac:dyDescent="0.2">
      <c r="A616" s="98" t="str">
        <f t="shared" si="9"/>
        <v>__</v>
      </c>
      <c r="B616" s="107"/>
      <c r="C616" s="107"/>
      <c r="D616" s="108"/>
      <c r="E616" s="109"/>
    </row>
    <row r="617" spans="1:5" x14ac:dyDescent="0.2">
      <c r="A617" s="98" t="str">
        <f t="shared" si="9"/>
        <v>__</v>
      </c>
      <c r="B617" s="107"/>
      <c r="C617" s="107"/>
      <c r="D617" s="108"/>
      <c r="E617" s="109"/>
    </row>
    <row r="618" spans="1:5" x14ac:dyDescent="0.2">
      <c r="A618" s="98" t="str">
        <f t="shared" si="9"/>
        <v>__</v>
      </c>
      <c r="B618" s="107"/>
      <c r="C618" s="107"/>
      <c r="D618" s="108"/>
      <c r="E618" s="109"/>
    </row>
    <row r="619" spans="1:5" x14ac:dyDescent="0.2">
      <c r="A619" s="98" t="str">
        <f t="shared" si="9"/>
        <v>__</v>
      </c>
      <c r="B619" s="107"/>
      <c r="C619" s="107"/>
      <c r="D619" s="108"/>
      <c r="E619" s="109"/>
    </row>
    <row r="620" spans="1:5" x14ac:dyDescent="0.2">
      <c r="A620" s="98" t="str">
        <f t="shared" si="9"/>
        <v>__</v>
      </c>
      <c r="B620" s="107"/>
      <c r="C620" s="107"/>
      <c r="D620" s="108"/>
      <c r="E620" s="109"/>
    </row>
    <row r="621" spans="1:5" x14ac:dyDescent="0.2">
      <c r="A621" s="98" t="str">
        <f t="shared" si="9"/>
        <v>__</v>
      </c>
      <c r="B621" s="107"/>
      <c r="C621" s="107"/>
      <c r="D621" s="108"/>
      <c r="E621" s="109"/>
    </row>
    <row r="622" spans="1:5" x14ac:dyDescent="0.2">
      <c r="A622" s="98" t="str">
        <f t="shared" si="9"/>
        <v>__</v>
      </c>
      <c r="B622" s="107"/>
      <c r="C622" s="107"/>
      <c r="D622" s="108"/>
      <c r="E622" s="109"/>
    </row>
    <row r="623" spans="1:5" x14ac:dyDescent="0.2">
      <c r="A623" s="98" t="str">
        <f t="shared" si="9"/>
        <v>__</v>
      </c>
      <c r="B623" s="107"/>
      <c r="C623" s="107"/>
      <c r="D623" s="108"/>
      <c r="E623" s="109"/>
    </row>
    <row r="624" spans="1:5" x14ac:dyDescent="0.2">
      <c r="A624" s="98" t="str">
        <f t="shared" si="9"/>
        <v>__</v>
      </c>
      <c r="B624" s="107"/>
      <c r="C624" s="107"/>
      <c r="D624" s="108"/>
      <c r="E624" s="109"/>
    </row>
    <row r="625" spans="1:5" x14ac:dyDescent="0.2">
      <c r="A625" s="98" t="str">
        <f t="shared" si="9"/>
        <v>__</v>
      </c>
      <c r="B625" s="107"/>
      <c r="C625" s="107"/>
      <c r="D625" s="108"/>
      <c r="E625" s="109"/>
    </row>
    <row r="626" spans="1:5" x14ac:dyDescent="0.2">
      <c r="A626" s="98" t="str">
        <f t="shared" si="9"/>
        <v>__</v>
      </c>
      <c r="B626" s="107"/>
      <c r="C626" s="107"/>
      <c r="D626" s="108"/>
      <c r="E626" s="109"/>
    </row>
    <row r="627" spans="1:5" x14ac:dyDescent="0.2">
      <c r="A627" s="98" t="str">
        <f t="shared" si="9"/>
        <v>__</v>
      </c>
      <c r="B627" s="107"/>
      <c r="C627" s="107"/>
      <c r="D627" s="108"/>
      <c r="E627" s="109"/>
    </row>
    <row r="628" spans="1:5" x14ac:dyDescent="0.2">
      <c r="A628" s="98" t="str">
        <f t="shared" si="9"/>
        <v>__</v>
      </c>
      <c r="B628" s="107"/>
      <c r="C628" s="107"/>
      <c r="D628" s="108"/>
      <c r="E628" s="109"/>
    </row>
    <row r="629" spans="1:5" x14ac:dyDescent="0.2">
      <c r="A629" s="98" t="str">
        <f t="shared" si="9"/>
        <v>__</v>
      </c>
      <c r="B629" s="107"/>
      <c r="C629" s="107"/>
      <c r="D629" s="108"/>
      <c r="E629" s="109"/>
    </row>
    <row r="630" spans="1:5" x14ac:dyDescent="0.2">
      <c r="A630" s="98" t="str">
        <f t="shared" si="9"/>
        <v>__</v>
      </c>
      <c r="B630" s="107"/>
      <c r="C630" s="107"/>
      <c r="D630" s="108"/>
      <c r="E630" s="109"/>
    </row>
    <row r="631" spans="1:5" x14ac:dyDescent="0.2">
      <c r="A631" s="98" t="str">
        <f t="shared" si="9"/>
        <v>__</v>
      </c>
      <c r="B631" s="107"/>
      <c r="C631" s="107"/>
      <c r="D631" s="108"/>
      <c r="E631" s="109"/>
    </row>
    <row r="632" spans="1:5" x14ac:dyDescent="0.2">
      <c r="A632" s="98" t="str">
        <f t="shared" si="9"/>
        <v>__</v>
      </c>
      <c r="B632" s="107"/>
      <c r="C632" s="107"/>
      <c r="D632" s="108"/>
      <c r="E632" s="109"/>
    </row>
    <row r="633" spans="1:5" x14ac:dyDescent="0.2">
      <c r="A633" s="98" t="str">
        <f t="shared" si="9"/>
        <v>__</v>
      </c>
      <c r="B633" s="107"/>
      <c r="C633" s="107"/>
      <c r="D633" s="108"/>
      <c r="E633" s="109"/>
    </row>
    <row r="634" spans="1:5" x14ac:dyDescent="0.2">
      <c r="A634" s="98" t="str">
        <f t="shared" si="9"/>
        <v>__</v>
      </c>
      <c r="B634" s="107"/>
      <c r="C634" s="107"/>
      <c r="D634" s="108"/>
      <c r="E634" s="109"/>
    </row>
    <row r="635" spans="1:5" x14ac:dyDescent="0.2">
      <c r="A635" s="98" t="str">
        <f t="shared" si="9"/>
        <v>__</v>
      </c>
      <c r="B635" s="107"/>
      <c r="C635" s="107"/>
      <c r="D635" s="108"/>
      <c r="E635" s="109"/>
    </row>
    <row r="636" spans="1:5" x14ac:dyDescent="0.2">
      <c r="A636" s="98" t="str">
        <f t="shared" si="9"/>
        <v>__</v>
      </c>
      <c r="B636" s="107"/>
      <c r="C636" s="107"/>
      <c r="D636" s="108"/>
      <c r="E636" s="109"/>
    </row>
    <row r="637" spans="1:5" x14ac:dyDescent="0.2">
      <c r="A637" s="98" t="str">
        <f t="shared" si="9"/>
        <v>__</v>
      </c>
      <c r="B637" s="107"/>
      <c r="C637" s="107"/>
      <c r="D637" s="108"/>
      <c r="E637" s="109"/>
    </row>
    <row r="638" spans="1:5" x14ac:dyDescent="0.2">
      <c r="A638" s="98" t="str">
        <f t="shared" si="9"/>
        <v>__</v>
      </c>
      <c r="B638" s="107"/>
      <c r="C638" s="107"/>
      <c r="D638" s="108"/>
      <c r="E638" s="109"/>
    </row>
    <row r="639" spans="1:5" x14ac:dyDescent="0.2">
      <c r="A639" s="98" t="str">
        <f t="shared" si="9"/>
        <v>__</v>
      </c>
      <c r="B639" s="107"/>
      <c r="C639" s="107"/>
      <c r="D639" s="108"/>
      <c r="E639" s="109"/>
    </row>
    <row r="640" spans="1:5" x14ac:dyDescent="0.2">
      <c r="A640" s="98" t="str">
        <f t="shared" si="9"/>
        <v>__</v>
      </c>
      <c r="B640" s="107"/>
      <c r="C640" s="107"/>
      <c r="D640" s="108"/>
      <c r="E640" s="109"/>
    </row>
    <row r="641" spans="1:5" x14ac:dyDescent="0.2">
      <c r="A641" s="98" t="str">
        <f t="shared" si="9"/>
        <v>__</v>
      </c>
      <c r="B641" s="107"/>
      <c r="C641" s="107"/>
      <c r="D641" s="108"/>
      <c r="E641" s="109"/>
    </row>
    <row r="642" spans="1:5" x14ac:dyDescent="0.2">
      <c r="A642" s="98" t="str">
        <f t="shared" si="9"/>
        <v>__</v>
      </c>
      <c r="B642" s="107"/>
      <c r="C642" s="107"/>
      <c r="D642" s="108"/>
      <c r="E642" s="109"/>
    </row>
    <row r="643" spans="1:5" x14ac:dyDescent="0.2">
      <c r="A643" s="98" t="str">
        <f t="shared" ref="A643:A706" si="10">B643&amp;"_"&amp;C643&amp;"_"&amp;D643</f>
        <v>__</v>
      </c>
      <c r="B643" s="107"/>
      <c r="C643" s="107"/>
      <c r="D643" s="108"/>
      <c r="E643" s="109"/>
    </row>
    <row r="644" spans="1:5" x14ac:dyDescent="0.2">
      <c r="A644" s="98" t="str">
        <f t="shared" si="10"/>
        <v>__</v>
      </c>
      <c r="B644" s="107"/>
      <c r="C644" s="107"/>
      <c r="D644" s="108"/>
      <c r="E644" s="109"/>
    </row>
    <row r="645" spans="1:5" x14ac:dyDescent="0.2">
      <c r="A645" s="98" t="str">
        <f t="shared" si="10"/>
        <v>__</v>
      </c>
      <c r="B645" s="107"/>
      <c r="C645" s="107"/>
      <c r="D645" s="108"/>
      <c r="E645" s="109"/>
    </row>
    <row r="646" spans="1:5" x14ac:dyDescent="0.2">
      <c r="A646" s="98" t="str">
        <f t="shared" si="10"/>
        <v>__</v>
      </c>
      <c r="B646" s="107"/>
      <c r="C646" s="107"/>
      <c r="D646" s="108"/>
      <c r="E646" s="109"/>
    </row>
    <row r="647" spans="1:5" x14ac:dyDescent="0.2">
      <c r="A647" s="98" t="str">
        <f t="shared" si="10"/>
        <v>__</v>
      </c>
      <c r="B647" s="107"/>
      <c r="C647" s="107"/>
      <c r="D647" s="108"/>
      <c r="E647" s="109"/>
    </row>
    <row r="648" spans="1:5" x14ac:dyDescent="0.2">
      <c r="A648" s="98" t="str">
        <f t="shared" si="10"/>
        <v>__</v>
      </c>
      <c r="B648" s="107"/>
      <c r="C648" s="107"/>
      <c r="D648" s="108"/>
      <c r="E648" s="109"/>
    </row>
    <row r="649" spans="1:5" x14ac:dyDescent="0.2">
      <c r="A649" s="98" t="str">
        <f t="shared" si="10"/>
        <v>__</v>
      </c>
      <c r="B649" s="107"/>
      <c r="C649" s="107"/>
      <c r="D649" s="108"/>
      <c r="E649" s="109"/>
    </row>
    <row r="650" spans="1:5" x14ac:dyDescent="0.2">
      <c r="A650" s="98" t="str">
        <f t="shared" si="10"/>
        <v>__</v>
      </c>
      <c r="B650" s="107"/>
      <c r="C650" s="107"/>
      <c r="D650" s="108"/>
      <c r="E650" s="109"/>
    </row>
    <row r="651" spans="1:5" x14ac:dyDescent="0.2">
      <c r="A651" s="98" t="str">
        <f t="shared" si="10"/>
        <v>__</v>
      </c>
      <c r="B651" s="107"/>
      <c r="C651" s="107"/>
      <c r="D651" s="108"/>
      <c r="E651" s="109"/>
    </row>
    <row r="652" spans="1:5" x14ac:dyDescent="0.2">
      <c r="A652" s="98" t="str">
        <f t="shared" si="10"/>
        <v>__</v>
      </c>
      <c r="B652" s="107"/>
      <c r="C652" s="107"/>
      <c r="D652" s="108"/>
      <c r="E652" s="109"/>
    </row>
    <row r="653" spans="1:5" x14ac:dyDescent="0.2">
      <c r="A653" s="98" t="str">
        <f t="shared" si="10"/>
        <v>__</v>
      </c>
      <c r="B653" s="107"/>
      <c r="C653" s="107"/>
      <c r="D653" s="108"/>
      <c r="E653" s="109"/>
    </row>
    <row r="654" spans="1:5" x14ac:dyDescent="0.2">
      <c r="A654" s="98" t="str">
        <f t="shared" si="10"/>
        <v>__</v>
      </c>
      <c r="B654" s="107"/>
      <c r="C654" s="107"/>
      <c r="D654" s="108"/>
      <c r="E654" s="109"/>
    </row>
    <row r="655" spans="1:5" x14ac:dyDescent="0.2">
      <c r="A655" s="98" t="str">
        <f t="shared" si="10"/>
        <v>__</v>
      </c>
      <c r="B655" s="107"/>
      <c r="C655" s="107"/>
      <c r="D655" s="108"/>
      <c r="E655" s="109"/>
    </row>
    <row r="656" spans="1:5" x14ac:dyDescent="0.2">
      <c r="A656" s="98" t="str">
        <f t="shared" si="10"/>
        <v>__</v>
      </c>
      <c r="B656" s="107"/>
      <c r="C656" s="107"/>
      <c r="D656" s="108"/>
      <c r="E656" s="109"/>
    </row>
    <row r="657" spans="1:5" x14ac:dyDescent="0.2">
      <c r="A657" s="98" t="str">
        <f t="shared" si="10"/>
        <v>__</v>
      </c>
      <c r="B657" s="107"/>
      <c r="C657" s="107"/>
      <c r="D657" s="108"/>
      <c r="E657" s="109"/>
    </row>
    <row r="658" spans="1:5" x14ac:dyDescent="0.2">
      <c r="A658" s="98" t="str">
        <f t="shared" si="10"/>
        <v>__</v>
      </c>
      <c r="B658" s="107"/>
      <c r="C658" s="107"/>
      <c r="D658" s="108"/>
      <c r="E658" s="109"/>
    </row>
    <row r="659" spans="1:5" x14ac:dyDescent="0.2">
      <c r="A659" s="98" t="str">
        <f t="shared" si="10"/>
        <v>__</v>
      </c>
      <c r="B659" s="107"/>
      <c r="C659" s="107"/>
      <c r="D659" s="108"/>
      <c r="E659" s="109"/>
    </row>
    <row r="660" spans="1:5" x14ac:dyDescent="0.2">
      <c r="A660" s="98" t="str">
        <f t="shared" si="10"/>
        <v>__</v>
      </c>
      <c r="B660" s="107"/>
      <c r="C660" s="107"/>
      <c r="D660" s="108"/>
      <c r="E660" s="109"/>
    </row>
    <row r="661" spans="1:5" x14ac:dyDescent="0.2">
      <c r="A661" s="98" t="str">
        <f t="shared" si="10"/>
        <v>__</v>
      </c>
      <c r="B661" s="107"/>
      <c r="C661" s="107"/>
      <c r="D661" s="108"/>
      <c r="E661" s="109"/>
    </row>
    <row r="662" spans="1:5" x14ac:dyDescent="0.2">
      <c r="A662" s="98" t="str">
        <f t="shared" si="10"/>
        <v>__</v>
      </c>
      <c r="B662" s="107"/>
      <c r="C662" s="107"/>
      <c r="D662" s="108"/>
      <c r="E662" s="109"/>
    </row>
    <row r="663" spans="1:5" x14ac:dyDescent="0.2">
      <c r="A663" s="98" t="str">
        <f t="shared" si="10"/>
        <v>__</v>
      </c>
      <c r="B663" s="107"/>
      <c r="C663" s="107"/>
      <c r="D663" s="108"/>
      <c r="E663" s="109"/>
    </row>
    <row r="664" spans="1:5" x14ac:dyDescent="0.2">
      <c r="A664" s="98" t="str">
        <f t="shared" si="10"/>
        <v>__</v>
      </c>
      <c r="B664" s="107"/>
      <c r="C664" s="107"/>
      <c r="D664" s="108"/>
      <c r="E664" s="109"/>
    </row>
    <row r="665" spans="1:5" x14ac:dyDescent="0.2">
      <c r="A665" s="98" t="str">
        <f t="shared" si="10"/>
        <v>__</v>
      </c>
      <c r="B665" s="107"/>
      <c r="C665" s="107"/>
      <c r="D665" s="108"/>
      <c r="E665" s="109"/>
    </row>
    <row r="666" spans="1:5" x14ac:dyDescent="0.2">
      <c r="A666" s="98" t="str">
        <f t="shared" si="10"/>
        <v>__</v>
      </c>
      <c r="B666" s="107"/>
      <c r="C666" s="107"/>
      <c r="D666" s="108"/>
      <c r="E666" s="109"/>
    </row>
    <row r="667" spans="1:5" x14ac:dyDescent="0.2">
      <c r="A667" s="98" t="str">
        <f t="shared" si="10"/>
        <v>__</v>
      </c>
      <c r="B667" s="107"/>
      <c r="C667" s="107"/>
      <c r="D667" s="108"/>
      <c r="E667" s="109"/>
    </row>
    <row r="668" spans="1:5" x14ac:dyDescent="0.2">
      <c r="A668" s="98" t="str">
        <f t="shared" si="10"/>
        <v>__</v>
      </c>
      <c r="B668" s="107"/>
      <c r="C668" s="107"/>
      <c r="D668" s="108"/>
      <c r="E668" s="109"/>
    </row>
    <row r="669" spans="1:5" x14ac:dyDescent="0.2">
      <c r="A669" s="98" t="str">
        <f t="shared" si="10"/>
        <v>__</v>
      </c>
      <c r="B669" s="107"/>
      <c r="C669" s="107"/>
      <c r="D669" s="108"/>
      <c r="E669" s="109"/>
    </row>
    <row r="670" spans="1:5" x14ac:dyDescent="0.2">
      <c r="A670" s="98" t="str">
        <f t="shared" si="10"/>
        <v>__</v>
      </c>
      <c r="B670" s="107"/>
      <c r="C670" s="107"/>
      <c r="D670" s="108"/>
      <c r="E670" s="109"/>
    </row>
    <row r="671" spans="1:5" x14ac:dyDescent="0.2">
      <c r="A671" s="98" t="str">
        <f t="shared" si="10"/>
        <v>__</v>
      </c>
      <c r="B671" s="107"/>
      <c r="C671" s="107"/>
      <c r="D671" s="108"/>
      <c r="E671" s="109"/>
    </row>
    <row r="672" spans="1:5" x14ac:dyDescent="0.2">
      <c r="A672" s="98" t="str">
        <f t="shared" si="10"/>
        <v>__</v>
      </c>
      <c r="B672" s="107"/>
      <c r="C672" s="107"/>
      <c r="D672" s="108"/>
      <c r="E672" s="109"/>
    </row>
    <row r="673" spans="1:5" x14ac:dyDescent="0.2">
      <c r="A673" s="98" t="str">
        <f t="shared" si="10"/>
        <v>__</v>
      </c>
      <c r="B673" s="107"/>
      <c r="C673" s="107"/>
      <c r="D673" s="108"/>
      <c r="E673" s="109"/>
    </row>
    <row r="674" spans="1:5" x14ac:dyDescent="0.2">
      <c r="A674" s="98" t="str">
        <f t="shared" si="10"/>
        <v>__</v>
      </c>
      <c r="B674" s="107"/>
      <c r="C674" s="107"/>
      <c r="D674" s="108"/>
      <c r="E674" s="109"/>
    </row>
    <row r="675" spans="1:5" x14ac:dyDescent="0.2">
      <c r="A675" s="98" t="str">
        <f t="shared" si="10"/>
        <v>__</v>
      </c>
      <c r="B675" s="107"/>
      <c r="C675" s="107"/>
      <c r="D675" s="108"/>
      <c r="E675" s="109"/>
    </row>
    <row r="676" spans="1:5" x14ac:dyDescent="0.2">
      <c r="A676" s="98" t="str">
        <f t="shared" si="10"/>
        <v>__</v>
      </c>
      <c r="B676" s="107"/>
      <c r="C676" s="107"/>
      <c r="D676" s="108"/>
      <c r="E676" s="109"/>
    </row>
    <row r="677" spans="1:5" x14ac:dyDescent="0.2">
      <c r="A677" s="98" t="str">
        <f t="shared" si="10"/>
        <v>__</v>
      </c>
      <c r="B677" s="107"/>
      <c r="C677" s="107"/>
      <c r="D677" s="108"/>
      <c r="E677" s="109"/>
    </row>
    <row r="678" spans="1:5" x14ac:dyDescent="0.2">
      <c r="A678" s="98" t="str">
        <f t="shared" si="10"/>
        <v>__</v>
      </c>
      <c r="B678" s="107"/>
      <c r="C678" s="107"/>
      <c r="D678" s="108"/>
      <c r="E678" s="109"/>
    </row>
    <row r="679" spans="1:5" x14ac:dyDescent="0.2">
      <c r="A679" s="98" t="str">
        <f t="shared" si="10"/>
        <v>__</v>
      </c>
      <c r="B679" s="107"/>
      <c r="C679" s="107"/>
      <c r="D679" s="108"/>
      <c r="E679" s="109"/>
    </row>
    <row r="680" spans="1:5" x14ac:dyDescent="0.2">
      <c r="A680" s="98" t="str">
        <f t="shared" si="10"/>
        <v>__</v>
      </c>
      <c r="B680" s="107"/>
      <c r="C680" s="107"/>
      <c r="D680" s="108"/>
      <c r="E680" s="109"/>
    </row>
    <row r="681" spans="1:5" x14ac:dyDescent="0.2">
      <c r="A681" s="98" t="str">
        <f t="shared" si="10"/>
        <v>__</v>
      </c>
      <c r="B681" s="107"/>
      <c r="C681" s="107"/>
      <c r="D681" s="108"/>
      <c r="E681" s="109"/>
    </row>
    <row r="682" spans="1:5" x14ac:dyDescent="0.2">
      <c r="A682" s="98" t="str">
        <f t="shared" si="10"/>
        <v>__</v>
      </c>
      <c r="B682" s="107"/>
      <c r="C682" s="107"/>
      <c r="D682" s="108"/>
      <c r="E682" s="109"/>
    </row>
    <row r="683" spans="1:5" x14ac:dyDescent="0.2">
      <c r="A683" s="98" t="str">
        <f t="shared" si="10"/>
        <v>__</v>
      </c>
      <c r="B683" s="107"/>
      <c r="C683" s="107"/>
      <c r="D683" s="108"/>
      <c r="E683" s="109"/>
    </row>
    <row r="684" spans="1:5" x14ac:dyDescent="0.2">
      <c r="A684" s="98" t="str">
        <f t="shared" si="10"/>
        <v>__</v>
      </c>
      <c r="B684" s="107"/>
      <c r="C684" s="107"/>
      <c r="D684" s="108"/>
      <c r="E684" s="109"/>
    </row>
    <row r="685" spans="1:5" x14ac:dyDescent="0.2">
      <c r="A685" s="98" t="str">
        <f t="shared" si="10"/>
        <v>__</v>
      </c>
      <c r="B685" s="107"/>
      <c r="C685" s="107"/>
      <c r="D685" s="108"/>
      <c r="E685" s="109"/>
    </row>
    <row r="686" spans="1:5" x14ac:dyDescent="0.2">
      <c r="A686" s="98" t="str">
        <f t="shared" si="10"/>
        <v>__</v>
      </c>
      <c r="B686" s="107"/>
      <c r="C686" s="107"/>
      <c r="D686" s="108"/>
      <c r="E686" s="109"/>
    </row>
    <row r="687" spans="1:5" x14ac:dyDescent="0.2">
      <c r="A687" s="98" t="str">
        <f t="shared" si="10"/>
        <v>__</v>
      </c>
      <c r="B687" s="107"/>
      <c r="C687" s="107"/>
      <c r="D687" s="108"/>
      <c r="E687" s="109"/>
    </row>
    <row r="688" spans="1:5" x14ac:dyDescent="0.2">
      <c r="A688" s="98" t="str">
        <f t="shared" si="10"/>
        <v>__</v>
      </c>
      <c r="B688" s="107"/>
      <c r="C688" s="107"/>
      <c r="D688" s="108"/>
      <c r="E688" s="109"/>
    </row>
    <row r="689" spans="1:5" x14ac:dyDescent="0.2">
      <c r="A689" s="98" t="str">
        <f t="shared" si="10"/>
        <v>__</v>
      </c>
      <c r="B689" s="107"/>
      <c r="C689" s="107"/>
      <c r="D689" s="108"/>
      <c r="E689" s="109"/>
    </row>
    <row r="690" spans="1:5" x14ac:dyDescent="0.2">
      <c r="A690" s="98" t="str">
        <f t="shared" si="10"/>
        <v>__</v>
      </c>
      <c r="B690" s="107"/>
      <c r="C690" s="107"/>
      <c r="D690" s="108"/>
      <c r="E690" s="109"/>
    </row>
    <row r="691" spans="1:5" x14ac:dyDescent="0.2">
      <c r="A691" s="98" t="str">
        <f t="shared" si="10"/>
        <v>__</v>
      </c>
      <c r="B691" s="107"/>
      <c r="C691" s="107"/>
      <c r="D691" s="108"/>
      <c r="E691" s="109"/>
    </row>
    <row r="692" spans="1:5" x14ac:dyDescent="0.2">
      <c r="A692" s="98" t="str">
        <f t="shared" si="10"/>
        <v>__</v>
      </c>
      <c r="B692" s="107"/>
      <c r="C692" s="107"/>
      <c r="D692" s="108"/>
      <c r="E692" s="109"/>
    </row>
    <row r="693" spans="1:5" x14ac:dyDescent="0.2">
      <c r="A693" s="98" t="str">
        <f t="shared" si="10"/>
        <v>__</v>
      </c>
      <c r="B693" s="107"/>
      <c r="C693" s="107"/>
      <c r="D693" s="108"/>
      <c r="E693" s="109"/>
    </row>
    <row r="694" spans="1:5" x14ac:dyDescent="0.2">
      <c r="A694" s="98" t="str">
        <f t="shared" si="10"/>
        <v>__</v>
      </c>
      <c r="B694" s="107"/>
      <c r="C694" s="107"/>
      <c r="D694" s="108"/>
      <c r="E694" s="109"/>
    </row>
    <row r="695" spans="1:5" x14ac:dyDescent="0.2">
      <c r="A695" s="98" t="str">
        <f t="shared" si="10"/>
        <v>__</v>
      </c>
      <c r="B695" s="107"/>
      <c r="C695" s="107"/>
      <c r="D695" s="108"/>
      <c r="E695" s="109"/>
    </row>
    <row r="696" spans="1:5" x14ac:dyDescent="0.2">
      <c r="A696" s="98" t="str">
        <f t="shared" si="10"/>
        <v>__</v>
      </c>
      <c r="B696" s="107"/>
      <c r="C696" s="107"/>
      <c r="D696" s="108"/>
      <c r="E696" s="109"/>
    </row>
    <row r="697" spans="1:5" x14ac:dyDescent="0.2">
      <c r="A697" s="98" t="str">
        <f t="shared" si="10"/>
        <v>__</v>
      </c>
      <c r="B697" s="107"/>
      <c r="C697" s="107"/>
      <c r="D697" s="108"/>
      <c r="E697" s="109"/>
    </row>
    <row r="698" spans="1:5" x14ac:dyDescent="0.2">
      <c r="A698" s="98" t="str">
        <f t="shared" si="10"/>
        <v>__</v>
      </c>
      <c r="B698" s="107"/>
      <c r="C698" s="107"/>
      <c r="D698" s="108"/>
      <c r="E698" s="109"/>
    </row>
    <row r="699" spans="1:5" x14ac:dyDescent="0.2">
      <c r="A699" s="98" t="str">
        <f t="shared" si="10"/>
        <v>__</v>
      </c>
      <c r="B699" s="107"/>
      <c r="C699" s="107"/>
      <c r="D699" s="108"/>
      <c r="E699" s="109"/>
    </row>
    <row r="700" spans="1:5" x14ac:dyDescent="0.2">
      <c r="A700" s="98" t="str">
        <f t="shared" si="10"/>
        <v>__</v>
      </c>
      <c r="B700" s="107"/>
      <c r="C700" s="107"/>
      <c r="D700" s="108"/>
      <c r="E700" s="109"/>
    </row>
    <row r="701" spans="1:5" x14ac:dyDescent="0.2">
      <c r="A701" s="98" t="str">
        <f t="shared" si="10"/>
        <v>__</v>
      </c>
      <c r="B701" s="107"/>
      <c r="C701" s="107"/>
      <c r="D701" s="108"/>
      <c r="E701" s="109"/>
    </row>
    <row r="702" spans="1:5" x14ac:dyDescent="0.2">
      <c r="A702" s="98" t="str">
        <f t="shared" si="10"/>
        <v>__</v>
      </c>
      <c r="B702" s="107"/>
      <c r="C702" s="107"/>
      <c r="D702" s="108"/>
      <c r="E702" s="109"/>
    </row>
    <row r="703" spans="1:5" x14ac:dyDescent="0.2">
      <c r="A703" s="98" t="str">
        <f t="shared" si="10"/>
        <v>__</v>
      </c>
      <c r="B703" s="107"/>
      <c r="C703" s="107"/>
      <c r="D703" s="108"/>
      <c r="E703" s="109"/>
    </row>
    <row r="704" spans="1:5" x14ac:dyDescent="0.2">
      <c r="A704" s="98" t="str">
        <f t="shared" si="10"/>
        <v>__</v>
      </c>
      <c r="B704" s="107"/>
      <c r="C704" s="107"/>
      <c r="D704" s="108"/>
      <c r="E704" s="109"/>
    </row>
    <row r="705" spans="1:5" x14ac:dyDescent="0.2">
      <c r="A705" s="98" t="str">
        <f t="shared" si="10"/>
        <v>__</v>
      </c>
      <c r="B705" s="107"/>
      <c r="C705" s="107"/>
      <c r="D705" s="108"/>
      <c r="E705" s="109"/>
    </row>
    <row r="706" spans="1:5" x14ac:dyDescent="0.2">
      <c r="A706" s="98" t="str">
        <f t="shared" si="10"/>
        <v>__</v>
      </c>
      <c r="B706" s="107"/>
      <c r="C706" s="107"/>
      <c r="D706" s="108"/>
      <c r="E706" s="109"/>
    </row>
    <row r="707" spans="1:5" x14ac:dyDescent="0.2">
      <c r="A707" s="98" t="str">
        <f t="shared" ref="A707:A770" si="11">B707&amp;"_"&amp;C707&amp;"_"&amp;D707</f>
        <v>__</v>
      </c>
      <c r="B707" s="107"/>
      <c r="C707" s="107"/>
      <c r="D707" s="108"/>
      <c r="E707" s="109"/>
    </row>
    <row r="708" spans="1:5" x14ac:dyDescent="0.2">
      <c r="A708" s="98" t="str">
        <f t="shared" si="11"/>
        <v>__</v>
      </c>
      <c r="B708" s="107"/>
      <c r="C708" s="107"/>
      <c r="D708" s="108"/>
      <c r="E708" s="109"/>
    </row>
    <row r="709" spans="1:5" x14ac:dyDescent="0.2">
      <c r="A709" s="98" t="str">
        <f t="shared" si="11"/>
        <v>__</v>
      </c>
      <c r="B709" s="107"/>
      <c r="C709" s="107"/>
      <c r="D709" s="108"/>
      <c r="E709" s="109"/>
    </row>
    <row r="710" spans="1:5" x14ac:dyDescent="0.2">
      <c r="A710" s="98" t="str">
        <f t="shared" si="11"/>
        <v>__</v>
      </c>
      <c r="B710" s="107"/>
      <c r="C710" s="107"/>
      <c r="D710" s="108"/>
      <c r="E710" s="109"/>
    </row>
    <row r="711" spans="1:5" x14ac:dyDescent="0.2">
      <c r="A711" s="98" t="str">
        <f t="shared" si="11"/>
        <v>__</v>
      </c>
      <c r="B711" s="107"/>
      <c r="C711" s="107"/>
      <c r="D711" s="108"/>
      <c r="E711" s="109"/>
    </row>
    <row r="712" spans="1:5" x14ac:dyDescent="0.2">
      <c r="A712" s="98" t="str">
        <f t="shared" si="11"/>
        <v>__</v>
      </c>
      <c r="B712" s="107"/>
      <c r="C712" s="107"/>
      <c r="D712" s="108"/>
      <c r="E712" s="109"/>
    </row>
    <row r="713" spans="1:5" x14ac:dyDescent="0.2">
      <c r="A713" s="98" t="str">
        <f t="shared" si="11"/>
        <v>__</v>
      </c>
      <c r="B713" s="107"/>
      <c r="C713" s="107"/>
      <c r="D713" s="108"/>
      <c r="E713" s="109"/>
    </row>
    <row r="714" spans="1:5" x14ac:dyDescent="0.2">
      <c r="A714" s="98" t="str">
        <f t="shared" si="11"/>
        <v>__</v>
      </c>
      <c r="B714" s="107"/>
      <c r="C714" s="107"/>
      <c r="D714" s="108"/>
      <c r="E714" s="109"/>
    </row>
    <row r="715" spans="1:5" x14ac:dyDescent="0.2">
      <c r="A715" s="98" t="str">
        <f t="shared" si="11"/>
        <v>__</v>
      </c>
      <c r="B715" s="107"/>
      <c r="C715" s="107"/>
      <c r="D715" s="108"/>
      <c r="E715" s="109"/>
    </row>
    <row r="716" spans="1:5" x14ac:dyDescent="0.2">
      <c r="A716" s="98" t="str">
        <f t="shared" si="11"/>
        <v>__</v>
      </c>
      <c r="B716" s="107"/>
      <c r="C716" s="107"/>
      <c r="D716" s="108"/>
      <c r="E716" s="109"/>
    </row>
    <row r="717" spans="1:5" x14ac:dyDescent="0.2">
      <c r="A717" s="98" t="str">
        <f t="shared" si="11"/>
        <v>__</v>
      </c>
      <c r="B717" s="107"/>
      <c r="C717" s="107"/>
      <c r="D717" s="108"/>
      <c r="E717" s="109"/>
    </row>
    <row r="718" spans="1:5" x14ac:dyDescent="0.2">
      <c r="A718" s="98" t="str">
        <f t="shared" si="11"/>
        <v>__</v>
      </c>
      <c r="B718" s="107"/>
      <c r="C718" s="107"/>
      <c r="D718" s="108"/>
      <c r="E718" s="109"/>
    </row>
    <row r="719" spans="1:5" x14ac:dyDescent="0.2">
      <c r="A719" s="98" t="str">
        <f t="shared" si="11"/>
        <v>__</v>
      </c>
      <c r="B719" s="107"/>
      <c r="C719" s="107"/>
      <c r="D719" s="108"/>
      <c r="E719" s="109"/>
    </row>
    <row r="720" spans="1:5" x14ac:dyDescent="0.2">
      <c r="A720" s="98" t="str">
        <f t="shared" si="11"/>
        <v>__</v>
      </c>
      <c r="B720" s="107"/>
      <c r="C720" s="107"/>
      <c r="D720" s="108"/>
      <c r="E720" s="109"/>
    </row>
    <row r="721" spans="1:5" x14ac:dyDescent="0.2">
      <c r="A721" s="98" t="str">
        <f t="shared" si="11"/>
        <v>__</v>
      </c>
      <c r="B721" s="107"/>
      <c r="C721" s="107"/>
      <c r="D721" s="108"/>
      <c r="E721" s="109"/>
    </row>
    <row r="722" spans="1:5" x14ac:dyDescent="0.2">
      <c r="A722" s="98" t="str">
        <f t="shared" si="11"/>
        <v>__</v>
      </c>
      <c r="B722" s="107"/>
      <c r="C722" s="107"/>
      <c r="D722" s="108"/>
      <c r="E722" s="109"/>
    </row>
    <row r="723" spans="1:5" x14ac:dyDescent="0.2">
      <c r="A723" s="98" t="str">
        <f t="shared" si="11"/>
        <v>__</v>
      </c>
      <c r="B723" s="107"/>
      <c r="C723" s="107"/>
      <c r="D723" s="108"/>
      <c r="E723" s="109"/>
    </row>
    <row r="724" spans="1:5" x14ac:dyDescent="0.2">
      <c r="A724" s="98" t="str">
        <f t="shared" si="11"/>
        <v>__</v>
      </c>
      <c r="B724" s="107"/>
      <c r="C724" s="107"/>
      <c r="D724" s="108"/>
      <c r="E724" s="109"/>
    </row>
    <row r="725" spans="1:5" x14ac:dyDescent="0.2">
      <c r="A725" s="98" t="str">
        <f t="shared" si="11"/>
        <v>__</v>
      </c>
      <c r="B725" s="107"/>
      <c r="C725" s="107"/>
      <c r="D725" s="108"/>
      <c r="E725" s="109"/>
    </row>
    <row r="726" spans="1:5" x14ac:dyDescent="0.2">
      <c r="A726" s="98" t="str">
        <f t="shared" si="11"/>
        <v>__</v>
      </c>
      <c r="B726" s="107"/>
      <c r="C726" s="107"/>
      <c r="D726" s="108"/>
      <c r="E726" s="109"/>
    </row>
    <row r="727" spans="1:5" x14ac:dyDescent="0.2">
      <c r="A727" s="98" t="str">
        <f t="shared" si="11"/>
        <v>__</v>
      </c>
      <c r="B727" s="107"/>
      <c r="C727" s="107"/>
      <c r="D727" s="108"/>
      <c r="E727" s="109"/>
    </row>
    <row r="728" spans="1:5" x14ac:dyDescent="0.2">
      <c r="A728" s="98" t="str">
        <f t="shared" si="11"/>
        <v>__</v>
      </c>
      <c r="B728" s="107"/>
      <c r="C728" s="107"/>
      <c r="D728" s="108"/>
      <c r="E728" s="109"/>
    </row>
    <row r="729" spans="1:5" x14ac:dyDescent="0.2">
      <c r="A729" s="98" t="str">
        <f t="shared" si="11"/>
        <v>__</v>
      </c>
      <c r="B729" s="107"/>
      <c r="C729" s="107"/>
      <c r="D729" s="108"/>
      <c r="E729" s="109"/>
    </row>
    <row r="730" spans="1:5" x14ac:dyDescent="0.2">
      <c r="A730" s="98" t="str">
        <f t="shared" si="11"/>
        <v>__</v>
      </c>
      <c r="B730" s="107"/>
      <c r="C730" s="107"/>
      <c r="D730" s="108"/>
      <c r="E730" s="109"/>
    </row>
    <row r="731" spans="1:5" x14ac:dyDescent="0.2">
      <c r="A731" s="98" t="str">
        <f t="shared" si="11"/>
        <v>__</v>
      </c>
      <c r="B731" s="107"/>
      <c r="C731" s="107"/>
      <c r="D731" s="108"/>
      <c r="E731" s="109"/>
    </row>
    <row r="732" spans="1:5" x14ac:dyDescent="0.2">
      <c r="A732" s="98" t="str">
        <f t="shared" si="11"/>
        <v>__</v>
      </c>
      <c r="B732" s="107"/>
      <c r="C732" s="107"/>
      <c r="D732" s="108"/>
      <c r="E732" s="109"/>
    </row>
    <row r="733" spans="1:5" x14ac:dyDescent="0.2">
      <c r="A733" s="98" t="str">
        <f t="shared" si="11"/>
        <v>__</v>
      </c>
      <c r="B733" s="107"/>
      <c r="C733" s="107"/>
      <c r="D733" s="108"/>
      <c r="E733" s="109"/>
    </row>
    <row r="734" spans="1:5" x14ac:dyDescent="0.2">
      <c r="A734" s="98" t="str">
        <f t="shared" si="11"/>
        <v>__</v>
      </c>
      <c r="B734" s="107"/>
      <c r="C734" s="107"/>
      <c r="D734" s="108"/>
      <c r="E734" s="109"/>
    </row>
    <row r="735" spans="1:5" x14ac:dyDescent="0.2">
      <c r="A735" s="98" t="str">
        <f t="shared" si="11"/>
        <v>__</v>
      </c>
      <c r="B735" s="107"/>
      <c r="C735" s="107"/>
      <c r="D735" s="108"/>
      <c r="E735" s="109"/>
    </row>
    <row r="736" spans="1:5" x14ac:dyDescent="0.2">
      <c r="A736" s="98" t="str">
        <f t="shared" si="11"/>
        <v>__</v>
      </c>
      <c r="B736" s="107"/>
      <c r="C736" s="107"/>
      <c r="D736" s="108"/>
      <c r="E736" s="109"/>
    </row>
    <row r="737" spans="1:5" x14ac:dyDescent="0.2">
      <c r="A737" s="98" t="str">
        <f t="shared" si="11"/>
        <v>__</v>
      </c>
      <c r="B737" s="107"/>
      <c r="C737" s="107"/>
      <c r="D737" s="108"/>
      <c r="E737" s="109"/>
    </row>
    <row r="738" spans="1:5" x14ac:dyDescent="0.2">
      <c r="A738" s="98" t="str">
        <f t="shared" si="11"/>
        <v>__</v>
      </c>
      <c r="B738" s="107"/>
      <c r="C738" s="107"/>
      <c r="D738" s="108"/>
      <c r="E738" s="109"/>
    </row>
    <row r="739" spans="1:5" x14ac:dyDescent="0.2">
      <c r="A739" s="98" t="str">
        <f t="shared" si="11"/>
        <v>__</v>
      </c>
      <c r="B739" s="107"/>
      <c r="C739" s="107"/>
      <c r="D739" s="108"/>
      <c r="E739" s="109"/>
    </row>
    <row r="740" spans="1:5" x14ac:dyDescent="0.2">
      <c r="A740" s="98" t="str">
        <f t="shared" si="11"/>
        <v>__</v>
      </c>
      <c r="B740" s="107"/>
      <c r="C740" s="107"/>
      <c r="D740" s="108"/>
      <c r="E740" s="109"/>
    </row>
    <row r="741" spans="1:5" x14ac:dyDescent="0.2">
      <c r="A741" s="98" t="str">
        <f t="shared" si="11"/>
        <v>__</v>
      </c>
      <c r="B741" s="107"/>
      <c r="C741" s="107"/>
      <c r="D741" s="108"/>
      <c r="E741" s="109"/>
    </row>
    <row r="742" spans="1:5" x14ac:dyDescent="0.2">
      <c r="A742" s="98" t="str">
        <f t="shared" si="11"/>
        <v>__</v>
      </c>
      <c r="B742" s="107"/>
      <c r="C742" s="107"/>
      <c r="D742" s="108"/>
      <c r="E742" s="109"/>
    </row>
    <row r="743" spans="1:5" x14ac:dyDescent="0.2">
      <c r="A743" s="98" t="str">
        <f t="shared" si="11"/>
        <v>__</v>
      </c>
      <c r="B743" s="107"/>
      <c r="C743" s="107"/>
      <c r="D743" s="108"/>
      <c r="E743" s="109"/>
    </row>
    <row r="744" spans="1:5" x14ac:dyDescent="0.2">
      <c r="A744" s="98" t="str">
        <f t="shared" si="11"/>
        <v>__</v>
      </c>
      <c r="B744" s="107"/>
      <c r="C744" s="107"/>
      <c r="D744" s="108"/>
      <c r="E744" s="109"/>
    </row>
    <row r="745" spans="1:5" x14ac:dyDescent="0.2">
      <c r="A745" s="98" t="str">
        <f t="shared" si="11"/>
        <v>__</v>
      </c>
      <c r="B745" s="107"/>
      <c r="C745" s="107"/>
      <c r="D745" s="108"/>
      <c r="E745" s="109"/>
    </row>
    <row r="746" spans="1:5" x14ac:dyDescent="0.2">
      <c r="A746" s="98" t="str">
        <f t="shared" si="11"/>
        <v>__</v>
      </c>
      <c r="B746" s="107"/>
      <c r="C746" s="107"/>
      <c r="D746" s="108"/>
      <c r="E746" s="109"/>
    </row>
    <row r="747" spans="1:5" x14ac:dyDescent="0.2">
      <c r="A747" s="98" t="str">
        <f t="shared" si="11"/>
        <v>__</v>
      </c>
      <c r="B747" s="107"/>
      <c r="C747" s="107"/>
      <c r="D747" s="108"/>
      <c r="E747" s="109"/>
    </row>
    <row r="748" spans="1:5" x14ac:dyDescent="0.2">
      <c r="A748" s="98" t="str">
        <f t="shared" si="11"/>
        <v>__</v>
      </c>
      <c r="B748" s="107"/>
      <c r="C748" s="107"/>
      <c r="D748" s="108"/>
      <c r="E748" s="109"/>
    </row>
    <row r="749" spans="1:5" x14ac:dyDescent="0.2">
      <c r="A749" s="98" t="str">
        <f t="shared" si="11"/>
        <v>__</v>
      </c>
      <c r="B749" s="107"/>
      <c r="C749" s="107"/>
      <c r="D749" s="108"/>
      <c r="E749" s="109"/>
    </row>
    <row r="750" spans="1:5" x14ac:dyDescent="0.2">
      <c r="A750" s="98" t="str">
        <f t="shared" si="11"/>
        <v>__</v>
      </c>
      <c r="B750" s="107"/>
      <c r="C750" s="107"/>
      <c r="D750" s="108"/>
      <c r="E750" s="109"/>
    </row>
    <row r="751" spans="1:5" x14ac:dyDescent="0.2">
      <c r="A751" s="98" t="str">
        <f t="shared" si="11"/>
        <v>__</v>
      </c>
      <c r="B751" s="107"/>
      <c r="C751" s="107"/>
      <c r="D751" s="108"/>
      <c r="E751" s="109"/>
    </row>
    <row r="752" spans="1:5" x14ac:dyDescent="0.2">
      <c r="A752" s="98" t="str">
        <f t="shared" si="11"/>
        <v>__</v>
      </c>
      <c r="B752" s="107"/>
      <c r="C752" s="107"/>
      <c r="D752" s="108"/>
      <c r="E752" s="109"/>
    </row>
    <row r="753" spans="1:5" x14ac:dyDescent="0.2">
      <c r="A753" s="98" t="str">
        <f t="shared" si="11"/>
        <v>__</v>
      </c>
      <c r="B753" s="107"/>
      <c r="C753" s="107"/>
      <c r="D753" s="108"/>
      <c r="E753" s="109"/>
    </row>
    <row r="754" spans="1:5" x14ac:dyDescent="0.2">
      <c r="A754" s="98" t="str">
        <f t="shared" si="11"/>
        <v>__</v>
      </c>
      <c r="B754" s="107"/>
      <c r="C754" s="107"/>
      <c r="D754" s="108"/>
      <c r="E754" s="109"/>
    </row>
    <row r="755" spans="1:5" x14ac:dyDescent="0.2">
      <c r="A755" s="98" t="str">
        <f t="shared" si="11"/>
        <v>__</v>
      </c>
      <c r="B755" s="107"/>
      <c r="C755" s="107"/>
      <c r="D755" s="108"/>
      <c r="E755" s="109"/>
    </row>
    <row r="756" spans="1:5" x14ac:dyDescent="0.2">
      <c r="A756" s="98" t="str">
        <f t="shared" si="11"/>
        <v>__</v>
      </c>
      <c r="B756" s="107"/>
      <c r="C756" s="107"/>
      <c r="D756" s="108"/>
      <c r="E756" s="109"/>
    </row>
    <row r="757" spans="1:5" x14ac:dyDescent="0.2">
      <c r="A757" s="98" t="str">
        <f t="shared" si="11"/>
        <v>__</v>
      </c>
      <c r="B757" s="107"/>
      <c r="C757" s="107"/>
      <c r="D757" s="108"/>
      <c r="E757" s="109"/>
    </row>
    <row r="758" spans="1:5" x14ac:dyDescent="0.2">
      <c r="A758" s="98" t="str">
        <f t="shared" si="11"/>
        <v>__</v>
      </c>
      <c r="B758" s="107"/>
      <c r="C758" s="107"/>
      <c r="D758" s="108"/>
      <c r="E758" s="109"/>
    </row>
    <row r="759" spans="1:5" x14ac:dyDescent="0.2">
      <c r="A759" s="98" t="str">
        <f t="shared" si="11"/>
        <v>__</v>
      </c>
      <c r="B759" s="107"/>
      <c r="C759" s="107"/>
      <c r="D759" s="108"/>
      <c r="E759" s="109"/>
    </row>
    <row r="760" spans="1:5" x14ac:dyDescent="0.2">
      <c r="A760" s="98" t="str">
        <f t="shared" si="11"/>
        <v>__</v>
      </c>
      <c r="B760" s="107"/>
      <c r="C760" s="107"/>
      <c r="D760" s="108"/>
      <c r="E760" s="109"/>
    </row>
    <row r="761" spans="1:5" x14ac:dyDescent="0.2">
      <c r="A761" s="98" t="str">
        <f t="shared" si="11"/>
        <v>__</v>
      </c>
      <c r="B761" s="107"/>
      <c r="C761" s="107"/>
      <c r="D761" s="108"/>
      <c r="E761" s="109"/>
    </row>
    <row r="762" spans="1:5" x14ac:dyDescent="0.2">
      <c r="A762" s="98" t="str">
        <f t="shared" si="11"/>
        <v>__</v>
      </c>
      <c r="B762" s="107"/>
      <c r="C762" s="107"/>
      <c r="D762" s="108"/>
      <c r="E762" s="109"/>
    </row>
    <row r="763" spans="1:5" x14ac:dyDescent="0.2">
      <c r="A763" s="98" t="str">
        <f t="shared" si="11"/>
        <v>__</v>
      </c>
      <c r="B763" s="107"/>
      <c r="C763" s="107"/>
      <c r="D763" s="108"/>
      <c r="E763" s="109"/>
    </row>
    <row r="764" spans="1:5" x14ac:dyDescent="0.2">
      <c r="A764" s="98" t="str">
        <f t="shared" si="11"/>
        <v>__</v>
      </c>
      <c r="B764" s="107"/>
      <c r="C764" s="107"/>
      <c r="D764" s="108"/>
      <c r="E764" s="109"/>
    </row>
    <row r="765" spans="1:5" x14ac:dyDescent="0.2">
      <c r="A765" s="98" t="str">
        <f t="shared" si="11"/>
        <v>__</v>
      </c>
      <c r="B765" s="107"/>
      <c r="C765" s="107"/>
      <c r="D765" s="108"/>
      <c r="E765" s="109"/>
    </row>
    <row r="766" spans="1:5" x14ac:dyDescent="0.2">
      <c r="A766" s="98" t="str">
        <f t="shared" si="11"/>
        <v>__</v>
      </c>
      <c r="B766" s="107"/>
      <c r="C766" s="107"/>
      <c r="D766" s="108"/>
      <c r="E766" s="109"/>
    </row>
    <row r="767" spans="1:5" x14ac:dyDescent="0.2">
      <c r="A767" s="98" t="str">
        <f t="shared" si="11"/>
        <v>__</v>
      </c>
      <c r="B767" s="107"/>
      <c r="C767" s="107"/>
      <c r="D767" s="108"/>
      <c r="E767" s="109"/>
    </row>
    <row r="768" spans="1:5" x14ac:dyDescent="0.2">
      <c r="A768" s="98" t="str">
        <f t="shared" si="11"/>
        <v>__</v>
      </c>
      <c r="B768" s="107"/>
      <c r="C768" s="107"/>
      <c r="D768" s="108"/>
      <c r="E768" s="109"/>
    </row>
    <row r="769" spans="1:5" x14ac:dyDescent="0.2">
      <c r="A769" s="98" t="str">
        <f t="shared" si="11"/>
        <v>__</v>
      </c>
      <c r="B769" s="107"/>
      <c r="C769" s="107"/>
      <c r="D769" s="108"/>
      <c r="E769" s="109"/>
    </row>
    <row r="770" spans="1:5" x14ac:dyDescent="0.2">
      <c r="A770" s="98" t="str">
        <f t="shared" si="11"/>
        <v>__</v>
      </c>
      <c r="B770" s="107"/>
      <c r="C770" s="107"/>
      <c r="D770" s="108"/>
      <c r="E770" s="109"/>
    </row>
    <row r="771" spans="1:5" x14ac:dyDescent="0.2">
      <c r="A771" s="98" t="str">
        <f t="shared" ref="A771:A834" si="12">B771&amp;"_"&amp;C771&amp;"_"&amp;D771</f>
        <v>__</v>
      </c>
      <c r="B771" s="107"/>
      <c r="C771" s="107"/>
      <c r="D771" s="108"/>
      <c r="E771" s="109"/>
    </row>
    <row r="772" spans="1:5" x14ac:dyDescent="0.2">
      <c r="A772" s="98" t="str">
        <f t="shared" si="12"/>
        <v>__</v>
      </c>
      <c r="B772" s="107"/>
      <c r="C772" s="107"/>
      <c r="D772" s="108"/>
      <c r="E772" s="109"/>
    </row>
    <row r="773" spans="1:5" x14ac:dyDescent="0.2">
      <c r="A773" s="98" t="str">
        <f t="shared" si="12"/>
        <v>__</v>
      </c>
      <c r="B773" s="107"/>
      <c r="C773" s="107"/>
      <c r="D773" s="108"/>
      <c r="E773" s="109"/>
    </row>
    <row r="774" spans="1:5" x14ac:dyDescent="0.2">
      <c r="A774" s="98" t="str">
        <f t="shared" si="12"/>
        <v>__</v>
      </c>
      <c r="B774" s="107"/>
      <c r="C774" s="107"/>
      <c r="D774" s="108"/>
      <c r="E774" s="109"/>
    </row>
    <row r="775" spans="1:5" x14ac:dyDescent="0.2">
      <c r="A775" s="98" t="str">
        <f t="shared" si="12"/>
        <v>__</v>
      </c>
      <c r="B775" s="107"/>
      <c r="C775" s="107"/>
      <c r="D775" s="108"/>
      <c r="E775" s="109"/>
    </row>
    <row r="776" spans="1:5" x14ac:dyDescent="0.2">
      <c r="A776" s="98" t="str">
        <f t="shared" si="12"/>
        <v>__</v>
      </c>
      <c r="B776" s="107"/>
      <c r="C776" s="107"/>
      <c r="D776" s="108"/>
      <c r="E776" s="109"/>
    </row>
    <row r="777" spans="1:5" x14ac:dyDescent="0.2">
      <c r="A777" s="98" t="str">
        <f t="shared" si="12"/>
        <v>__</v>
      </c>
      <c r="B777" s="107"/>
      <c r="C777" s="107"/>
      <c r="D777" s="108"/>
      <c r="E777" s="109"/>
    </row>
    <row r="778" spans="1:5" x14ac:dyDescent="0.2">
      <c r="A778" s="98" t="str">
        <f t="shared" si="12"/>
        <v>__</v>
      </c>
      <c r="B778" s="107"/>
      <c r="C778" s="107"/>
      <c r="D778" s="108"/>
      <c r="E778" s="109"/>
    </row>
    <row r="779" spans="1:5" x14ac:dyDescent="0.2">
      <c r="A779" s="98" t="str">
        <f t="shared" si="12"/>
        <v>__</v>
      </c>
      <c r="B779" s="107"/>
      <c r="C779" s="107"/>
      <c r="D779" s="108"/>
      <c r="E779" s="109"/>
    </row>
    <row r="780" spans="1:5" x14ac:dyDescent="0.2">
      <c r="A780" s="98" t="str">
        <f t="shared" si="12"/>
        <v>__</v>
      </c>
      <c r="B780" s="107"/>
      <c r="C780" s="107"/>
      <c r="D780" s="108"/>
      <c r="E780" s="109"/>
    </row>
    <row r="781" spans="1:5" x14ac:dyDescent="0.2">
      <c r="A781" s="98" t="str">
        <f t="shared" si="12"/>
        <v>__</v>
      </c>
      <c r="B781" s="107"/>
      <c r="C781" s="107"/>
      <c r="D781" s="108"/>
      <c r="E781" s="109"/>
    </row>
    <row r="782" spans="1:5" x14ac:dyDescent="0.2">
      <c r="A782" s="98" t="str">
        <f t="shared" si="12"/>
        <v>__</v>
      </c>
      <c r="B782" s="107"/>
      <c r="C782" s="107"/>
      <c r="D782" s="108"/>
      <c r="E782" s="109"/>
    </row>
    <row r="783" spans="1:5" x14ac:dyDescent="0.2">
      <c r="A783" s="98" t="str">
        <f t="shared" si="12"/>
        <v>__</v>
      </c>
      <c r="B783" s="107"/>
      <c r="C783" s="107"/>
      <c r="D783" s="108"/>
      <c r="E783" s="109"/>
    </row>
    <row r="784" spans="1:5" x14ac:dyDescent="0.2">
      <c r="A784" s="98" t="str">
        <f t="shared" si="12"/>
        <v>__</v>
      </c>
      <c r="B784" s="107"/>
      <c r="C784" s="107"/>
      <c r="D784" s="108"/>
      <c r="E784" s="109"/>
    </row>
    <row r="785" spans="1:5" x14ac:dyDescent="0.2">
      <c r="A785" s="98" t="str">
        <f t="shared" si="12"/>
        <v>__</v>
      </c>
      <c r="B785" s="107"/>
      <c r="C785" s="107"/>
      <c r="D785" s="108"/>
      <c r="E785" s="109"/>
    </row>
    <row r="786" spans="1:5" x14ac:dyDescent="0.2">
      <c r="A786" s="98" t="str">
        <f t="shared" si="12"/>
        <v>__</v>
      </c>
      <c r="B786" s="107"/>
      <c r="C786" s="107"/>
      <c r="D786" s="108"/>
      <c r="E786" s="109"/>
    </row>
    <row r="787" spans="1:5" x14ac:dyDescent="0.2">
      <c r="A787" s="98" t="str">
        <f t="shared" si="12"/>
        <v>__</v>
      </c>
      <c r="B787" s="107"/>
      <c r="C787" s="107"/>
      <c r="D787" s="108"/>
      <c r="E787" s="109"/>
    </row>
    <row r="788" spans="1:5" x14ac:dyDescent="0.2">
      <c r="A788" s="98" t="str">
        <f t="shared" si="12"/>
        <v>__</v>
      </c>
      <c r="B788" s="107"/>
      <c r="C788" s="107"/>
      <c r="D788" s="108"/>
      <c r="E788" s="109"/>
    </row>
    <row r="789" spans="1:5" x14ac:dyDescent="0.2">
      <c r="A789" s="98" t="str">
        <f t="shared" si="12"/>
        <v>__</v>
      </c>
      <c r="B789" s="107"/>
      <c r="C789" s="107"/>
      <c r="D789" s="108"/>
      <c r="E789" s="109"/>
    </row>
    <row r="790" spans="1:5" x14ac:dyDescent="0.2">
      <c r="A790" s="98" t="str">
        <f t="shared" si="12"/>
        <v>__</v>
      </c>
      <c r="B790" s="107"/>
      <c r="C790" s="107"/>
      <c r="D790" s="108"/>
      <c r="E790" s="109"/>
    </row>
    <row r="791" spans="1:5" x14ac:dyDescent="0.2">
      <c r="A791" s="98" t="str">
        <f t="shared" si="12"/>
        <v>__</v>
      </c>
      <c r="B791" s="107"/>
      <c r="C791" s="107"/>
      <c r="D791" s="108"/>
      <c r="E791" s="109"/>
    </row>
    <row r="792" spans="1:5" x14ac:dyDescent="0.2">
      <c r="A792" s="98" t="str">
        <f t="shared" si="12"/>
        <v>__</v>
      </c>
      <c r="B792" s="107"/>
      <c r="C792" s="107"/>
      <c r="D792" s="108"/>
      <c r="E792" s="109"/>
    </row>
    <row r="793" spans="1:5" x14ac:dyDescent="0.2">
      <c r="A793" s="98" t="str">
        <f t="shared" si="12"/>
        <v>__</v>
      </c>
      <c r="B793" s="107"/>
      <c r="C793" s="107"/>
      <c r="D793" s="108"/>
      <c r="E793" s="109"/>
    </row>
    <row r="794" spans="1:5" x14ac:dyDescent="0.2">
      <c r="A794" s="98" t="str">
        <f t="shared" si="12"/>
        <v>__</v>
      </c>
      <c r="B794" s="107"/>
      <c r="C794" s="107"/>
      <c r="D794" s="108"/>
      <c r="E794" s="109"/>
    </row>
    <row r="795" spans="1:5" x14ac:dyDescent="0.2">
      <c r="A795" s="98" t="str">
        <f t="shared" si="12"/>
        <v>__</v>
      </c>
      <c r="B795" s="107"/>
      <c r="C795" s="107"/>
      <c r="D795" s="108"/>
      <c r="E795" s="109"/>
    </row>
    <row r="796" spans="1:5" x14ac:dyDescent="0.2">
      <c r="A796" s="98" t="str">
        <f t="shared" si="12"/>
        <v>__</v>
      </c>
      <c r="B796" s="107"/>
      <c r="C796" s="107"/>
      <c r="D796" s="108"/>
      <c r="E796" s="109"/>
    </row>
    <row r="797" spans="1:5" x14ac:dyDescent="0.2">
      <c r="A797" s="98" t="str">
        <f t="shared" si="12"/>
        <v>__</v>
      </c>
      <c r="B797" s="107"/>
      <c r="C797" s="107"/>
      <c r="D797" s="108"/>
      <c r="E797" s="109"/>
    </row>
    <row r="798" spans="1:5" x14ac:dyDescent="0.2">
      <c r="A798" s="98" t="str">
        <f t="shared" si="12"/>
        <v>__</v>
      </c>
      <c r="B798" s="107"/>
      <c r="C798" s="107"/>
      <c r="D798" s="108"/>
      <c r="E798" s="109"/>
    </row>
    <row r="799" spans="1:5" x14ac:dyDescent="0.2">
      <c r="A799" s="98" t="str">
        <f t="shared" si="12"/>
        <v>__</v>
      </c>
      <c r="B799" s="107"/>
      <c r="C799" s="107"/>
      <c r="D799" s="108"/>
      <c r="E799" s="109"/>
    </row>
    <row r="800" spans="1:5" x14ac:dyDescent="0.2">
      <c r="A800" s="98" t="str">
        <f t="shared" si="12"/>
        <v>__</v>
      </c>
      <c r="B800" s="107"/>
      <c r="C800" s="107"/>
      <c r="D800" s="108"/>
      <c r="E800" s="109"/>
    </row>
    <row r="801" spans="1:5" x14ac:dyDescent="0.2">
      <c r="A801" s="98" t="str">
        <f t="shared" si="12"/>
        <v>__</v>
      </c>
      <c r="B801" s="107"/>
      <c r="C801" s="107"/>
      <c r="D801" s="108"/>
      <c r="E801" s="109"/>
    </row>
    <row r="802" spans="1:5" x14ac:dyDescent="0.2">
      <c r="A802" s="98" t="str">
        <f t="shared" si="12"/>
        <v>__</v>
      </c>
      <c r="B802" s="107"/>
      <c r="C802" s="107"/>
      <c r="D802" s="108"/>
      <c r="E802" s="109"/>
    </row>
    <row r="803" spans="1:5" x14ac:dyDescent="0.2">
      <c r="A803" s="98" t="str">
        <f t="shared" si="12"/>
        <v>__</v>
      </c>
      <c r="B803" s="107"/>
      <c r="C803" s="107"/>
      <c r="D803" s="108"/>
      <c r="E803" s="109"/>
    </row>
    <row r="804" spans="1:5" x14ac:dyDescent="0.2">
      <c r="A804" s="98" t="str">
        <f t="shared" si="12"/>
        <v>__</v>
      </c>
      <c r="B804" s="107"/>
      <c r="C804" s="107"/>
      <c r="D804" s="108"/>
      <c r="E804" s="109"/>
    </row>
    <row r="805" spans="1:5" x14ac:dyDescent="0.2">
      <c r="A805" s="98" t="str">
        <f t="shared" si="12"/>
        <v>__</v>
      </c>
      <c r="B805" s="107"/>
      <c r="C805" s="107"/>
      <c r="D805" s="108"/>
      <c r="E805" s="109"/>
    </row>
    <row r="806" spans="1:5" x14ac:dyDescent="0.2">
      <c r="A806" s="98" t="str">
        <f t="shared" si="12"/>
        <v>__</v>
      </c>
      <c r="B806" s="107"/>
      <c r="C806" s="107"/>
      <c r="D806" s="108"/>
      <c r="E806" s="109"/>
    </row>
    <row r="807" spans="1:5" x14ac:dyDescent="0.2">
      <c r="A807" s="98" t="str">
        <f t="shared" si="12"/>
        <v>__</v>
      </c>
      <c r="B807" s="107"/>
      <c r="C807" s="107"/>
      <c r="D807" s="108"/>
      <c r="E807" s="109"/>
    </row>
    <row r="808" spans="1:5" x14ac:dyDescent="0.2">
      <c r="A808" s="98" t="str">
        <f t="shared" si="12"/>
        <v>__</v>
      </c>
      <c r="B808" s="107"/>
      <c r="C808" s="107"/>
      <c r="D808" s="108"/>
      <c r="E808" s="109"/>
    </row>
    <row r="809" spans="1:5" x14ac:dyDescent="0.2">
      <c r="A809" s="98" t="str">
        <f t="shared" si="12"/>
        <v>__</v>
      </c>
      <c r="B809" s="107"/>
      <c r="C809" s="107"/>
      <c r="D809" s="108"/>
      <c r="E809" s="109"/>
    </row>
    <row r="810" spans="1:5" x14ac:dyDescent="0.2">
      <c r="A810" s="98" t="str">
        <f t="shared" si="12"/>
        <v>__</v>
      </c>
      <c r="B810" s="107"/>
      <c r="C810" s="107"/>
      <c r="D810" s="108"/>
      <c r="E810" s="109"/>
    </row>
    <row r="811" spans="1:5" x14ac:dyDescent="0.2">
      <c r="A811" s="98" t="str">
        <f t="shared" si="12"/>
        <v>__</v>
      </c>
      <c r="B811" s="107"/>
      <c r="C811" s="107"/>
      <c r="D811" s="108"/>
      <c r="E811" s="109"/>
    </row>
    <row r="812" spans="1:5" x14ac:dyDescent="0.2">
      <c r="A812" s="98" t="str">
        <f t="shared" si="12"/>
        <v>__</v>
      </c>
      <c r="B812" s="107"/>
      <c r="C812" s="107"/>
      <c r="D812" s="108"/>
      <c r="E812" s="109"/>
    </row>
    <row r="813" spans="1:5" x14ac:dyDescent="0.2">
      <c r="A813" s="98" t="str">
        <f t="shared" si="12"/>
        <v>__</v>
      </c>
      <c r="B813" s="107"/>
      <c r="C813" s="107"/>
      <c r="D813" s="108"/>
      <c r="E813" s="109"/>
    </row>
    <row r="814" spans="1:5" x14ac:dyDescent="0.2">
      <c r="A814" s="98" t="str">
        <f t="shared" si="12"/>
        <v>__</v>
      </c>
      <c r="B814" s="107"/>
      <c r="C814" s="107"/>
      <c r="D814" s="108"/>
      <c r="E814" s="109"/>
    </row>
    <row r="815" spans="1:5" x14ac:dyDescent="0.2">
      <c r="A815" s="98" t="str">
        <f t="shared" si="12"/>
        <v>__</v>
      </c>
      <c r="B815" s="107"/>
      <c r="C815" s="107"/>
      <c r="D815" s="108"/>
      <c r="E815" s="109"/>
    </row>
    <row r="816" spans="1:5" x14ac:dyDescent="0.2">
      <c r="A816" s="98" t="str">
        <f t="shared" si="12"/>
        <v>__</v>
      </c>
      <c r="B816" s="107"/>
      <c r="C816" s="107"/>
      <c r="D816" s="108"/>
      <c r="E816" s="109"/>
    </row>
    <row r="817" spans="1:5" x14ac:dyDescent="0.2">
      <c r="A817" s="98" t="str">
        <f t="shared" si="12"/>
        <v>__</v>
      </c>
      <c r="B817" s="107"/>
      <c r="C817" s="107"/>
      <c r="D817" s="108"/>
      <c r="E817" s="109"/>
    </row>
    <row r="818" spans="1:5" x14ac:dyDescent="0.2">
      <c r="A818" s="98" t="str">
        <f t="shared" si="12"/>
        <v>__</v>
      </c>
      <c r="B818" s="107"/>
      <c r="C818" s="107"/>
      <c r="D818" s="108"/>
      <c r="E818" s="109"/>
    </row>
    <row r="819" spans="1:5" x14ac:dyDescent="0.2">
      <c r="A819" s="98" t="str">
        <f t="shared" si="12"/>
        <v>__</v>
      </c>
      <c r="B819" s="107"/>
      <c r="C819" s="107"/>
      <c r="D819" s="108"/>
      <c r="E819" s="109"/>
    </row>
    <row r="820" spans="1:5" x14ac:dyDescent="0.2">
      <c r="A820" s="98" t="str">
        <f t="shared" si="12"/>
        <v>__</v>
      </c>
      <c r="B820" s="107"/>
      <c r="C820" s="107"/>
      <c r="D820" s="108"/>
      <c r="E820" s="109"/>
    </row>
    <row r="821" spans="1:5" x14ac:dyDescent="0.2">
      <c r="A821" s="98" t="str">
        <f t="shared" si="12"/>
        <v>__</v>
      </c>
      <c r="B821" s="107"/>
      <c r="C821" s="107"/>
      <c r="D821" s="108"/>
      <c r="E821" s="109"/>
    </row>
    <row r="822" spans="1:5" x14ac:dyDescent="0.2">
      <c r="A822" s="98" t="str">
        <f t="shared" si="12"/>
        <v>__</v>
      </c>
      <c r="B822" s="107"/>
      <c r="C822" s="107"/>
      <c r="D822" s="108"/>
      <c r="E822" s="109"/>
    </row>
    <row r="823" spans="1:5" x14ac:dyDescent="0.2">
      <c r="A823" s="98" t="str">
        <f t="shared" si="12"/>
        <v>__</v>
      </c>
      <c r="B823" s="107"/>
      <c r="C823" s="107"/>
      <c r="D823" s="108"/>
      <c r="E823" s="109"/>
    </row>
    <row r="824" spans="1:5" x14ac:dyDescent="0.2">
      <c r="A824" s="98" t="str">
        <f t="shared" si="12"/>
        <v>__</v>
      </c>
      <c r="B824" s="107"/>
      <c r="C824" s="107"/>
      <c r="D824" s="108"/>
      <c r="E824" s="109"/>
    </row>
    <row r="825" spans="1:5" x14ac:dyDescent="0.2">
      <c r="A825" s="98" t="str">
        <f t="shared" si="12"/>
        <v>__</v>
      </c>
      <c r="B825" s="107"/>
      <c r="C825" s="107"/>
      <c r="D825" s="108"/>
      <c r="E825" s="109"/>
    </row>
    <row r="826" spans="1:5" x14ac:dyDescent="0.2">
      <c r="A826" s="98" t="str">
        <f t="shared" si="12"/>
        <v>__</v>
      </c>
      <c r="B826" s="107"/>
      <c r="C826" s="107"/>
      <c r="D826" s="108"/>
      <c r="E826" s="109"/>
    </row>
    <row r="827" spans="1:5" x14ac:dyDescent="0.2">
      <c r="A827" s="98" t="str">
        <f t="shared" si="12"/>
        <v>__</v>
      </c>
      <c r="B827" s="107"/>
      <c r="C827" s="107"/>
      <c r="D827" s="108"/>
      <c r="E827" s="109"/>
    </row>
    <row r="828" spans="1:5" x14ac:dyDescent="0.2">
      <c r="A828" s="98" t="str">
        <f t="shared" si="12"/>
        <v>__</v>
      </c>
      <c r="B828" s="107"/>
      <c r="C828" s="107"/>
      <c r="D828" s="108"/>
      <c r="E828" s="109"/>
    </row>
    <row r="829" spans="1:5" x14ac:dyDescent="0.2">
      <c r="A829" s="98" t="str">
        <f t="shared" si="12"/>
        <v>__</v>
      </c>
      <c r="B829" s="107"/>
      <c r="C829" s="107"/>
      <c r="D829" s="108"/>
      <c r="E829" s="109"/>
    </row>
    <row r="830" spans="1:5" x14ac:dyDescent="0.2">
      <c r="A830" s="98" t="str">
        <f t="shared" si="12"/>
        <v>__</v>
      </c>
      <c r="B830" s="107"/>
      <c r="C830" s="107"/>
      <c r="D830" s="108"/>
      <c r="E830" s="109"/>
    </row>
    <row r="831" spans="1:5" x14ac:dyDescent="0.2">
      <c r="A831" s="98" t="str">
        <f t="shared" si="12"/>
        <v>__</v>
      </c>
      <c r="B831" s="107"/>
      <c r="C831" s="107"/>
      <c r="D831" s="108"/>
      <c r="E831" s="109"/>
    </row>
    <row r="832" spans="1:5" x14ac:dyDescent="0.2">
      <c r="A832" s="98" t="str">
        <f t="shared" si="12"/>
        <v>__</v>
      </c>
      <c r="B832" s="107"/>
      <c r="C832" s="107"/>
      <c r="D832" s="108"/>
      <c r="E832" s="109"/>
    </row>
    <row r="833" spans="1:5" x14ac:dyDescent="0.2">
      <c r="A833" s="98" t="str">
        <f t="shared" si="12"/>
        <v>__</v>
      </c>
      <c r="B833" s="107"/>
      <c r="C833" s="107"/>
      <c r="D833" s="108"/>
      <c r="E833" s="109"/>
    </row>
    <row r="834" spans="1:5" x14ac:dyDescent="0.2">
      <c r="A834" s="98" t="str">
        <f t="shared" si="12"/>
        <v>__</v>
      </c>
      <c r="B834" s="107"/>
      <c r="C834" s="107"/>
      <c r="D834" s="108"/>
      <c r="E834" s="109"/>
    </row>
    <row r="835" spans="1:5" x14ac:dyDescent="0.2">
      <c r="A835" s="98" t="str">
        <f t="shared" ref="A835:A898" si="13">B835&amp;"_"&amp;C835&amp;"_"&amp;D835</f>
        <v>__</v>
      </c>
      <c r="B835" s="107"/>
      <c r="C835" s="107"/>
      <c r="D835" s="108"/>
      <c r="E835" s="109"/>
    </row>
    <row r="836" spans="1:5" x14ac:dyDescent="0.2">
      <c r="A836" s="98" t="str">
        <f t="shared" si="13"/>
        <v>__</v>
      </c>
      <c r="B836" s="107"/>
      <c r="C836" s="107"/>
      <c r="D836" s="108"/>
      <c r="E836" s="109"/>
    </row>
    <row r="837" spans="1:5" x14ac:dyDescent="0.2">
      <c r="A837" s="98" t="str">
        <f t="shared" si="13"/>
        <v>__</v>
      </c>
      <c r="B837" s="107"/>
      <c r="C837" s="107"/>
      <c r="D837" s="108"/>
      <c r="E837" s="109"/>
    </row>
    <row r="838" spans="1:5" x14ac:dyDescent="0.2">
      <c r="A838" s="98" t="str">
        <f t="shared" si="13"/>
        <v>__</v>
      </c>
      <c r="B838" s="107"/>
      <c r="C838" s="107"/>
      <c r="D838" s="108"/>
      <c r="E838" s="109"/>
    </row>
    <row r="839" spans="1:5" x14ac:dyDescent="0.2">
      <c r="A839" s="98" t="str">
        <f t="shared" si="13"/>
        <v>__</v>
      </c>
      <c r="B839" s="107"/>
      <c r="C839" s="107"/>
      <c r="D839" s="108"/>
      <c r="E839" s="109"/>
    </row>
    <row r="840" spans="1:5" x14ac:dyDescent="0.2">
      <c r="A840" s="98" t="str">
        <f t="shared" si="13"/>
        <v>__</v>
      </c>
      <c r="B840" s="107"/>
      <c r="C840" s="107"/>
      <c r="D840" s="108"/>
      <c r="E840" s="109"/>
    </row>
    <row r="841" spans="1:5" x14ac:dyDescent="0.2">
      <c r="A841" s="98" t="str">
        <f t="shared" si="13"/>
        <v>__</v>
      </c>
      <c r="B841" s="107"/>
      <c r="C841" s="107"/>
      <c r="D841" s="108"/>
      <c r="E841" s="109"/>
    </row>
    <row r="842" spans="1:5" x14ac:dyDescent="0.2">
      <c r="A842" s="98" t="str">
        <f t="shared" si="13"/>
        <v>__</v>
      </c>
      <c r="B842" s="107"/>
      <c r="C842" s="107"/>
      <c r="D842" s="108"/>
      <c r="E842" s="109"/>
    </row>
    <row r="843" spans="1:5" x14ac:dyDescent="0.2">
      <c r="A843" s="98" t="str">
        <f t="shared" si="13"/>
        <v>__</v>
      </c>
      <c r="B843" s="107"/>
      <c r="C843" s="107"/>
      <c r="D843" s="108"/>
      <c r="E843" s="109"/>
    </row>
    <row r="844" spans="1:5" x14ac:dyDescent="0.2">
      <c r="A844" s="98" t="str">
        <f t="shared" si="13"/>
        <v>__</v>
      </c>
      <c r="B844" s="107"/>
      <c r="C844" s="107"/>
      <c r="D844" s="108"/>
      <c r="E844" s="109"/>
    </row>
    <row r="845" spans="1:5" x14ac:dyDescent="0.2">
      <c r="A845" s="98" t="str">
        <f t="shared" si="13"/>
        <v>__</v>
      </c>
      <c r="B845" s="107"/>
      <c r="C845" s="107"/>
      <c r="D845" s="108"/>
      <c r="E845" s="109"/>
    </row>
    <row r="846" spans="1:5" x14ac:dyDescent="0.2">
      <c r="A846" s="98" t="str">
        <f t="shared" si="13"/>
        <v>__</v>
      </c>
      <c r="B846" s="107"/>
      <c r="C846" s="107"/>
      <c r="D846" s="108"/>
      <c r="E846" s="109"/>
    </row>
    <row r="847" spans="1:5" x14ac:dyDescent="0.2">
      <c r="A847" s="98" t="str">
        <f t="shared" si="13"/>
        <v>__</v>
      </c>
      <c r="B847" s="107"/>
      <c r="C847" s="107"/>
      <c r="D847" s="108"/>
      <c r="E847" s="109"/>
    </row>
    <row r="848" spans="1:5" x14ac:dyDescent="0.2">
      <c r="A848" s="98" t="str">
        <f t="shared" si="13"/>
        <v>__</v>
      </c>
      <c r="B848" s="107"/>
      <c r="C848" s="107"/>
      <c r="D848" s="108"/>
      <c r="E848" s="109"/>
    </row>
    <row r="849" spans="1:5" x14ac:dyDescent="0.2">
      <c r="A849" s="98" t="str">
        <f t="shared" si="13"/>
        <v>__</v>
      </c>
      <c r="B849" s="107"/>
      <c r="C849" s="107"/>
      <c r="D849" s="108"/>
      <c r="E849" s="109"/>
    </row>
    <row r="850" spans="1:5" x14ac:dyDescent="0.2">
      <c r="A850" s="98" t="str">
        <f t="shared" si="13"/>
        <v>__</v>
      </c>
      <c r="B850" s="107"/>
      <c r="C850" s="107"/>
      <c r="D850" s="108"/>
      <c r="E850" s="109"/>
    </row>
    <row r="851" spans="1:5" x14ac:dyDescent="0.2">
      <c r="A851" s="98" t="str">
        <f t="shared" si="13"/>
        <v>__</v>
      </c>
      <c r="B851" s="107"/>
      <c r="C851" s="107"/>
      <c r="D851" s="108"/>
      <c r="E851" s="109"/>
    </row>
    <row r="852" spans="1:5" x14ac:dyDescent="0.2">
      <c r="A852" s="98" t="str">
        <f t="shared" si="13"/>
        <v>__</v>
      </c>
      <c r="B852" s="107"/>
      <c r="C852" s="107"/>
      <c r="D852" s="108"/>
      <c r="E852" s="109"/>
    </row>
    <row r="853" spans="1:5" x14ac:dyDescent="0.2">
      <c r="A853" s="98" t="str">
        <f t="shared" si="13"/>
        <v>__</v>
      </c>
      <c r="B853" s="107"/>
      <c r="C853" s="107"/>
      <c r="D853" s="108"/>
      <c r="E853" s="109"/>
    </row>
    <row r="854" spans="1:5" x14ac:dyDescent="0.2">
      <c r="A854" s="98" t="str">
        <f t="shared" si="13"/>
        <v>__</v>
      </c>
      <c r="B854" s="107"/>
      <c r="C854" s="107"/>
      <c r="D854" s="108"/>
      <c r="E854" s="109"/>
    </row>
    <row r="855" spans="1:5" x14ac:dyDescent="0.2">
      <c r="A855" s="98" t="str">
        <f t="shared" si="13"/>
        <v>__</v>
      </c>
      <c r="B855" s="107"/>
      <c r="C855" s="107"/>
      <c r="D855" s="108"/>
      <c r="E855" s="109"/>
    </row>
    <row r="856" spans="1:5" x14ac:dyDescent="0.2">
      <c r="A856" s="98" t="str">
        <f t="shared" si="13"/>
        <v>__</v>
      </c>
      <c r="B856" s="107"/>
      <c r="C856" s="107"/>
      <c r="D856" s="108"/>
      <c r="E856" s="109"/>
    </row>
    <row r="857" spans="1:5" x14ac:dyDescent="0.2">
      <c r="A857" s="98" t="str">
        <f t="shared" si="13"/>
        <v>__</v>
      </c>
      <c r="B857" s="107"/>
      <c r="C857" s="107"/>
      <c r="D857" s="108"/>
      <c r="E857" s="109"/>
    </row>
    <row r="858" spans="1:5" x14ac:dyDescent="0.2">
      <c r="A858" s="98" t="str">
        <f t="shared" si="13"/>
        <v>__</v>
      </c>
      <c r="B858" s="107"/>
      <c r="C858" s="107"/>
      <c r="D858" s="108"/>
      <c r="E858" s="109"/>
    </row>
    <row r="859" spans="1:5" x14ac:dyDescent="0.2">
      <c r="A859" s="98" t="str">
        <f t="shared" si="13"/>
        <v>__</v>
      </c>
      <c r="B859" s="107"/>
      <c r="C859" s="107"/>
      <c r="D859" s="108"/>
      <c r="E859" s="109"/>
    </row>
    <row r="860" spans="1:5" x14ac:dyDescent="0.2">
      <c r="A860" s="98" t="str">
        <f t="shared" si="13"/>
        <v>__</v>
      </c>
      <c r="B860" s="107"/>
      <c r="C860" s="107"/>
      <c r="D860" s="108"/>
      <c r="E860" s="109"/>
    </row>
    <row r="861" spans="1:5" x14ac:dyDescent="0.2">
      <c r="A861" s="98" t="str">
        <f t="shared" si="13"/>
        <v>__</v>
      </c>
      <c r="B861" s="107"/>
      <c r="C861" s="107"/>
      <c r="D861" s="108"/>
      <c r="E861" s="109"/>
    </row>
    <row r="862" spans="1:5" x14ac:dyDescent="0.2">
      <c r="A862" s="98" t="str">
        <f t="shared" si="13"/>
        <v>__</v>
      </c>
      <c r="B862" s="107"/>
      <c r="C862" s="107"/>
      <c r="D862" s="108"/>
      <c r="E862" s="109"/>
    </row>
    <row r="863" spans="1:5" x14ac:dyDescent="0.2">
      <c r="A863" s="98" t="str">
        <f t="shared" si="13"/>
        <v>__</v>
      </c>
      <c r="B863" s="107"/>
      <c r="C863" s="107"/>
      <c r="D863" s="108"/>
      <c r="E863" s="109"/>
    </row>
    <row r="864" spans="1:5" x14ac:dyDescent="0.2">
      <c r="A864" s="98" t="str">
        <f t="shared" si="13"/>
        <v>__</v>
      </c>
      <c r="B864" s="107"/>
      <c r="C864" s="107"/>
      <c r="D864" s="108"/>
      <c r="E864" s="109"/>
    </row>
    <row r="865" spans="1:5" x14ac:dyDescent="0.2">
      <c r="A865" s="98" t="str">
        <f t="shared" si="13"/>
        <v>__</v>
      </c>
      <c r="B865" s="107"/>
      <c r="C865" s="107"/>
      <c r="D865" s="108"/>
      <c r="E865" s="109"/>
    </row>
    <row r="866" spans="1:5" x14ac:dyDescent="0.2">
      <c r="A866" s="98" t="str">
        <f t="shared" si="13"/>
        <v>__</v>
      </c>
      <c r="B866" s="107"/>
      <c r="C866" s="107"/>
      <c r="D866" s="108"/>
      <c r="E866" s="109"/>
    </row>
    <row r="867" spans="1:5" x14ac:dyDescent="0.2">
      <c r="A867" s="98" t="str">
        <f t="shared" si="13"/>
        <v>__</v>
      </c>
      <c r="B867" s="107"/>
      <c r="C867" s="107"/>
      <c r="D867" s="108"/>
      <c r="E867" s="109"/>
    </row>
    <row r="868" spans="1:5" x14ac:dyDescent="0.2">
      <c r="A868" s="98" t="str">
        <f t="shared" si="13"/>
        <v>__</v>
      </c>
      <c r="B868" s="107"/>
      <c r="C868" s="107"/>
      <c r="D868" s="108"/>
      <c r="E868" s="109"/>
    </row>
    <row r="869" spans="1:5" x14ac:dyDescent="0.2">
      <c r="A869" s="98" t="str">
        <f t="shared" si="13"/>
        <v>__</v>
      </c>
      <c r="B869" s="107"/>
      <c r="C869" s="107"/>
      <c r="D869" s="108"/>
      <c r="E869" s="109"/>
    </row>
    <row r="870" spans="1:5" x14ac:dyDescent="0.2">
      <c r="A870" s="98" t="str">
        <f t="shared" si="13"/>
        <v>__</v>
      </c>
      <c r="B870" s="107"/>
      <c r="C870" s="107"/>
      <c r="D870" s="108"/>
      <c r="E870" s="109"/>
    </row>
    <row r="871" spans="1:5" x14ac:dyDescent="0.2">
      <c r="A871" s="98" t="str">
        <f t="shared" si="13"/>
        <v>__</v>
      </c>
      <c r="B871" s="107"/>
      <c r="C871" s="107"/>
      <c r="D871" s="108"/>
      <c r="E871" s="109"/>
    </row>
    <row r="872" spans="1:5" x14ac:dyDescent="0.2">
      <c r="A872" s="98" t="str">
        <f t="shared" si="13"/>
        <v>__</v>
      </c>
      <c r="B872" s="107"/>
      <c r="C872" s="107"/>
      <c r="D872" s="108"/>
      <c r="E872" s="109"/>
    </row>
    <row r="873" spans="1:5" x14ac:dyDescent="0.2">
      <c r="A873" s="98" t="str">
        <f t="shared" si="13"/>
        <v>__</v>
      </c>
      <c r="B873" s="107"/>
      <c r="C873" s="107"/>
      <c r="D873" s="108"/>
      <c r="E873" s="109"/>
    </row>
    <row r="874" spans="1:5" x14ac:dyDescent="0.2">
      <c r="A874" s="98" t="str">
        <f t="shared" si="13"/>
        <v>__</v>
      </c>
      <c r="B874" s="107"/>
      <c r="C874" s="107"/>
      <c r="D874" s="108"/>
      <c r="E874" s="109"/>
    </row>
    <row r="875" spans="1:5" x14ac:dyDescent="0.2">
      <c r="A875" s="98" t="str">
        <f t="shared" si="13"/>
        <v>__</v>
      </c>
      <c r="B875" s="107"/>
      <c r="C875" s="107"/>
      <c r="D875" s="108"/>
      <c r="E875" s="109"/>
    </row>
    <row r="876" spans="1:5" x14ac:dyDescent="0.2">
      <c r="A876" s="98" t="str">
        <f t="shared" si="13"/>
        <v>__</v>
      </c>
      <c r="B876" s="107"/>
      <c r="C876" s="107"/>
      <c r="D876" s="108"/>
      <c r="E876" s="109"/>
    </row>
    <row r="877" spans="1:5" x14ac:dyDescent="0.2">
      <c r="A877" s="98" t="str">
        <f t="shared" si="13"/>
        <v>__</v>
      </c>
      <c r="B877" s="107"/>
      <c r="C877" s="107"/>
      <c r="D877" s="108"/>
      <c r="E877" s="109"/>
    </row>
    <row r="878" spans="1:5" x14ac:dyDescent="0.2">
      <c r="A878" s="98" t="str">
        <f t="shared" si="13"/>
        <v>__</v>
      </c>
      <c r="B878" s="107"/>
      <c r="C878" s="107"/>
      <c r="D878" s="108"/>
      <c r="E878" s="109"/>
    </row>
    <row r="879" spans="1:5" x14ac:dyDescent="0.2">
      <c r="A879" s="98" t="str">
        <f t="shared" si="13"/>
        <v>__</v>
      </c>
      <c r="B879" s="107"/>
      <c r="C879" s="107"/>
      <c r="D879" s="108"/>
      <c r="E879" s="109"/>
    </row>
    <row r="880" spans="1:5" x14ac:dyDescent="0.2">
      <c r="A880" s="98" t="str">
        <f t="shared" si="13"/>
        <v>__</v>
      </c>
      <c r="B880" s="107"/>
      <c r="C880" s="107"/>
      <c r="D880" s="108"/>
      <c r="E880" s="109"/>
    </row>
    <row r="881" spans="1:5" x14ac:dyDescent="0.2">
      <c r="A881" s="98" t="str">
        <f t="shared" si="13"/>
        <v>__</v>
      </c>
      <c r="B881" s="107"/>
      <c r="C881" s="107"/>
      <c r="D881" s="108"/>
      <c r="E881" s="109"/>
    </row>
    <row r="882" spans="1:5" x14ac:dyDescent="0.2">
      <c r="A882" s="98" t="str">
        <f t="shared" si="13"/>
        <v>__</v>
      </c>
      <c r="B882" s="107"/>
      <c r="C882" s="107"/>
      <c r="D882" s="108"/>
      <c r="E882" s="109"/>
    </row>
    <row r="883" spans="1:5" x14ac:dyDescent="0.2">
      <c r="A883" s="98" t="str">
        <f t="shared" si="13"/>
        <v>__</v>
      </c>
      <c r="B883" s="107"/>
      <c r="C883" s="107"/>
      <c r="D883" s="108"/>
      <c r="E883" s="109"/>
    </row>
    <row r="884" spans="1:5" x14ac:dyDescent="0.2">
      <c r="A884" s="98" t="str">
        <f t="shared" si="13"/>
        <v>__</v>
      </c>
      <c r="B884" s="107"/>
      <c r="C884" s="107"/>
      <c r="D884" s="108"/>
      <c r="E884" s="109"/>
    </row>
    <row r="885" spans="1:5" x14ac:dyDescent="0.2">
      <c r="A885" s="98" t="str">
        <f t="shared" si="13"/>
        <v>__</v>
      </c>
      <c r="B885" s="107"/>
      <c r="C885" s="107"/>
      <c r="D885" s="108"/>
      <c r="E885" s="109"/>
    </row>
    <row r="886" spans="1:5" x14ac:dyDescent="0.2">
      <c r="A886" s="98" t="str">
        <f t="shared" si="13"/>
        <v>__</v>
      </c>
      <c r="B886" s="107"/>
      <c r="C886" s="107"/>
      <c r="D886" s="108"/>
      <c r="E886" s="109"/>
    </row>
    <row r="887" spans="1:5" x14ac:dyDescent="0.2">
      <c r="A887" s="98" t="str">
        <f t="shared" si="13"/>
        <v>__</v>
      </c>
      <c r="B887" s="107"/>
      <c r="C887" s="107"/>
      <c r="D887" s="108"/>
      <c r="E887" s="109"/>
    </row>
    <row r="888" spans="1:5" x14ac:dyDescent="0.2">
      <c r="A888" s="98" t="str">
        <f t="shared" si="13"/>
        <v>__</v>
      </c>
      <c r="B888" s="107"/>
      <c r="C888" s="107"/>
      <c r="D888" s="108"/>
      <c r="E888" s="109"/>
    </row>
    <row r="889" spans="1:5" x14ac:dyDescent="0.2">
      <c r="A889" s="98" t="str">
        <f t="shared" si="13"/>
        <v>__</v>
      </c>
      <c r="B889" s="107"/>
      <c r="C889" s="107"/>
      <c r="D889" s="108"/>
      <c r="E889" s="109"/>
    </row>
    <row r="890" spans="1:5" x14ac:dyDescent="0.2">
      <c r="A890" s="98" t="str">
        <f t="shared" si="13"/>
        <v>__</v>
      </c>
      <c r="B890" s="107"/>
      <c r="C890" s="107"/>
      <c r="D890" s="108"/>
      <c r="E890" s="109"/>
    </row>
    <row r="891" spans="1:5" x14ac:dyDescent="0.2">
      <c r="A891" s="98" t="str">
        <f t="shared" si="13"/>
        <v>__</v>
      </c>
      <c r="B891" s="107"/>
      <c r="C891" s="107"/>
      <c r="D891" s="108"/>
      <c r="E891" s="109"/>
    </row>
    <row r="892" spans="1:5" x14ac:dyDescent="0.2">
      <c r="A892" s="98" t="str">
        <f t="shared" si="13"/>
        <v>__</v>
      </c>
      <c r="B892" s="107"/>
      <c r="C892" s="107"/>
      <c r="D892" s="108"/>
      <c r="E892" s="109"/>
    </row>
    <row r="893" spans="1:5" x14ac:dyDescent="0.2">
      <c r="A893" s="98" t="str">
        <f t="shared" si="13"/>
        <v>__</v>
      </c>
      <c r="B893" s="107"/>
      <c r="C893" s="107"/>
      <c r="D893" s="108"/>
      <c r="E893" s="109"/>
    </row>
    <row r="894" spans="1:5" x14ac:dyDescent="0.2">
      <c r="A894" s="98" t="str">
        <f t="shared" si="13"/>
        <v>__</v>
      </c>
      <c r="B894" s="107"/>
      <c r="C894" s="107"/>
      <c r="D894" s="108"/>
      <c r="E894" s="109"/>
    </row>
    <row r="895" spans="1:5" x14ac:dyDescent="0.2">
      <c r="A895" s="98" t="str">
        <f t="shared" si="13"/>
        <v>__</v>
      </c>
      <c r="B895" s="107"/>
      <c r="C895" s="107"/>
      <c r="D895" s="108"/>
      <c r="E895" s="109"/>
    </row>
    <row r="896" spans="1:5" x14ac:dyDescent="0.2">
      <c r="A896" s="98" t="str">
        <f t="shared" si="13"/>
        <v>__</v>
      </c>
      <c r="B896" s="107"/>
      <c r="C896" s="107"/>
      <c r="D896" s="108"/>
      <c r="E896" s="109"/>
    </row>
    <row r="897" spans="1:5" x14ac:dyDescent="0.2">
      <c r="A897" s="98" t="str">
        <f t="shared" si="13"/>
        <v>__</v>
      </c>
      <c r="B897" s="107"/>
      <c r="C897" s="107"/>
      <c r="D897" s="108"/>
      <c r="E897" s="109"/>
    </row>
    <row r="898" spans="1:5" x14ac:dyDescent="0.2">
      <c r="A898" s="98" t="str">
        <f t="shared" si="13"/>
        <v>__</v>
      </c>
      <c r="B898" s="107"/>
      <c r="C898" s="107"/>
      <c r="D898" s="108"/>
      <c r="E898" s="109"/>
    </row>
    <row r="899" spans="1:5" x14ac:dyDescent="0.2">
      <c r="A899" s="98" t="str">
        <f t="shared" ref="A899:A962" si="14">B899&amp;"_"&amp;C899&amp;"_"&amp;D899</f>
        <v>__</v>
      </c>
      <c r="B899" s="107"/>
      <c r="C899" s="107"/>
      <c r="D899" s="108"/>
      <c r="E899" s="109"/>
    </row>
    <row r="900" spans="1:5" x14ac:dyDescent="0.2">
      <c r="A900" s="98" t="str">
        <f t="shared" si="14"/>
        <v>__</v>
      </c>
      <c r="B900" s="107"/>
      <c r="C900" s="107"/>
      <c r="D900" s="108"/>
      <c r="E900" s="109"/>
    </row>
    <row r="901" spans="1:5" x14ac:dyDescent="0.2">
      <c r="A901" s="98" t="str">
        <f t="shared" si="14"/>
        <v>__</v>
      </c>
      <c r="B901" s="107"/>
      <c r="C901" s="107"/>
      <c r="D901" s="108"/>
      <c r="E901" s="109"/>
    </row>
    <row r="902" spans="1:5" x14ac:dyDescent="0.2">
      <c r="A902" s="98" t="str">
        <f t="shared" si="14"/>
        <v>__</v>
      </c>
      <c r="B902" s="107"/>
      <c r="C902" s="107"/>
      <c r="D902" s="108"/>
      <c r="E902" s="109"/>
    </row>
    <row r="903" spans="1:5" x14ac:dyDescent="0.2">
      <c r="A903" s="98" t="str">
        <f t="shared" si="14"/>
        <v>__</v>
      </c>
      <c r="B903" s="107"/>
      <c r="C903" s="107"/>
      <c r="D903" s="108"/>
      <c r="E903" s="109"/>
    </row>
    <row r="904" spans="1:5" x14ac:dyDescent="0.2">
      <c r="A904" s="98" t="str">
        <f t="shared" si="14"/>
        <v>__</v>
      </c>
      <c r="B904" s="107"/>
      <c r="C904" s="107"/>
      <c r="D904" s="108"/>
      <c r="E904" s="109"/>
    </row>
    <row r="905" spans="1:5" x14ac:dyDescent="0.2">
      <c r="A905" s="98" t="str">
        <f t="shared" si="14"/>
        <v>__</v>
      </c>
      <c r="B905" s="107"/>
      <c r="C905" s="107"/>
      <c r="D905" s="108"/>
      <c r="E905" s="109"/>
    </row>
    <row r="906" spans="1:5" x14ac:dyDescent="0.2">
      <c r="A906" s="98" t="str">
        <f t="shared" si="14"/>
        <v>__</v>
      </c>
      <c r="B906" s="107"/>
      <c r="C906" s="107"/>
      <c r="D906" s="108"/>
      <c r="E906" s="109"/>
    </row>
    <row r="907" spans="1:5" x14ac:dyDescent="0.2">
      <c r="A907" s="98" t="str">
        <f t="shared" si="14"/>
        <v>__</v>
      </c>
      <c r="B907" s="107"/>
      <c r="C907" s="107"/>
      <c r="D907" s="108"/>
      <c r="E907" s="109"/>
    </row>
    <row r="908" spans="1:5" x14ac:dyDescent="0.2">
      <c r="A908" s="98" t="str">
        <f t="shared" si="14"/>
        <v>__</v>
      </c>
      <c r="B908" s="107"/>
      <c r="C908" s="107"/>
      <c r="D908" s="108"/>
      <c r="E908" s="109"/>
    </row>
    <row r="909" spans="1:5" x14ac:dyDescent="0.2">
      <c r="A909" s="98" t="str">
        <f t="shared" si="14"/>
        <v>__</v>
      </c>
      <c r="B909" s="107"/>
      <c r="C909" s="107"/>
      <c r="D909" s="108"/>
      <c r="E909" s="109"/>
    </row>
    <row r="910" spans="1:5" x14ac:dyDescent="0.2">
      <c r="A910" s="98" t="str">
        <f t="shared" si="14"/>
        <v>__</v>
      </c>
      <c r="B910" s="107"/>
      <c r="C910" s="107"/>
      <c r="D910" s="108"/>
      <c r="E910" s="109"/>
    </row>
    <row r="911" spans="1:5" x14ac:dyDescent="0.2">
      <c r="A911" s="98" t="str">
        <f t="shared" si="14"/>
        <v>__</v>
      </c>
      <c r="B911" s="107"/>
      <c r="C911" s="107"/>
      <c r="D911" s="108"/>
      <c r="E911" s="109"/>
    </row>
    <row r="912" spans="1:5" x14ac:dyDescent="0.2">
      <c r="A912" s="98" t="str">
        <f t="shared" si="14"/>
        <v>__</v>
      </c>
      <c r="B912" s="107"/>
      <c r="C912" s="107"/>
      <c r="D912" s="108"/>
      <c r="E912" s="109"/>
    </row>
    <row r="913" spans="1:5" x14ac:dyDescent="0.2">
      <c r="A913" s="98" t="str">
        <f t="shared" si="14"/>
        <v>__</v>
      </c>
      <c r="B913" s="107"/>
      <c r="C913" s="107"/>
      <c r="D913" s="108"/>
      <c r="E913" s="109"/>
    </row>
    <row r="914" spans="1:5" x14ac:dyDescent="0.2">
      <c r="A914" s="98" t="str">
        <f t="shared" si="14"/>
        <v>__</v>
      </c>
      <c r="B914" s="107"/>
      <c r="C914" s="107"/>
      <c r="D914" s="108"/>
      <c r="E914" s="109"/>
    </row>
    <row r="915" spans="1:5" x14ac:dyDescent="0.2">
      <c r="A915" s="98" t="str">
        <f t="shared" si="14"/>
        <v>__</v>
      </c>
      <c r="B915" s="107"/>
      <c r="C915" s="107"/>
      <c r="D915" s="108"/>
      <c r="E915" s="109"/>
    </row>
    <row r="916" spans="1:5" x14ac:dyDescent="0.2">
      <c r="A916" s="98" t="str">
        <f t="shared" si="14"/>
        <v>__</v>
      </c>
      <c r="B916" s="107"/>
      <c r="C916" s="107"/>
      <c r="D916" s="108"/>
      <c r="E916" s="109"/>
    </row>
    <row r="917" spans="1:5" x14ac:dyDescent="0.2">
      <c r="A917" s="98" t="str">
        <f t="shared" si="14"/>
        <v>__</v>
      </c>
      <c r="B917" s="107"/>
      <c r="C917" s="107"/>
      <c r="D917" s="108"/>
      <c r="E917" s="109"/>
    </row>
    <row r="918" spans="1:5" x14ac:dyDescent="0.2">
      <c r="A918" s="98" t="str">
        <f t="shared" si="14"/>
        <v>__</v>
      </c>
      <c r="B918" s="107"/>
      <c r="C918" s="107"/>
      <c r="D918" s="108"/>
      <c r="E918" s="109"/>
    </row>
    <row r="919" spans="1:5" x14ac:dyDescent="0.2">
      <c r="A919" s="98" t="str">
        <f t="shared" si="14"/>
        <v>__</v>
      </c>
      <c r="B919" s="107"/>
      <c r="C919" s="107"/>
      <c r="D919" s="108"/>
      <c r="E919" s="109"/>
    </row>
    <row r="920" spans="1:5" x14ac:dyDescent="0.2">
      <c r="A920" s="98" t="str">
        <f t="shared" si="14"/>
        <v>__</v>
      </c>
      <c r="B920" s="107"/>
      <c r="C920" s="107"/>
      <c r="D920" s="108"/>
      <c r="E920" s="109"/>
    </row>
    <row r="921" spans="1:5" x14ac:dyDescent="0.2">
      <c r="A921" s="98" t="str">
        <f t="shared" si="14"/>
        <v>__</v>
      </c>
      <c r="B921" s="107"/>
      <c r="C921" s="107"/>
      <c r="D921" s="108"/>
      <c r="E921" s="109"/>
    </row>
    <row r="922" spans="1:5" x14ac:dyDescent="0.2">
      <c r="A922" s="98" t="str">
        <f t="shared" si="14"/>
        <v>__</v>
      </c>
      <c r="B922" s="107"/>
      <c r="C922" s="107"/>
      <c r="D922" s="108"/>
      <c r="E922" s="109"/>
    </row>
    <row r="923" spans="1:5" x14ac:dyDescent="0.2">
      <c r="A923" s="98" t="str">
        <f t="shared" si="14"/>
        <v>__</v>
      </c>
      <c r="B923" s="107"/>
      <c r="C923" s="107"/>
      <c r="D923" s="108"/>
      <c r="E923" s="109"/>
    </row>
    <row r="924" spans="1:5" x14ac:dyDescent="0.2">
      <c r="A924" s="98" t="str">
        <f t="shared" si="14"/>
        <v>__</v>
      </c>
      <c r="B924" s="107"/>
      <c r="C924" s="107"/>
      <c r="D924" s="108"/>
      <c r="E924" s="109"/>
    </row>
    <row r="925" spans="1:5" x14ac:dyDescent="0.2">
      <c r="A925" s="98" t="str">
        <f t="shared" si="14"/>
        <v>__</v>
      </c>
      <c r="B925" s="107"/>
      <c r="C925" s="107"/>
      <c r="D925" s="108"/>
      <c r="E925" s="109"/>
    </row>
    <row r="926" spans="1:5" x14ac:dyDescent="0.2">
      <c r="A926" s="98" t="str">
        <f t="shared" si="14"/>
        <v>__</v>
      </c>
      <c r="B926" s="107"/>
      <c r="C926" s="107"/>
      <c r="D926" s="108"/>
      <c r="E926" s="109"/>
    </row>
    <row r="927" spans="1:5" x14ac:dyDescent="0.2">
      <c r="A927" s="98" t="str">
        <f t="shared" si="14"/>
        <v>__</v>
      </c>
      <c r="B927" s="107"/>
      <c r="C927" s="107"/>
      <c r="D927" s="108"/>
      <c r="E927" s="109"/>
    </row>
    <row r="928" spans="1:5" x14ac:dyDescent="0.2">
      <c r="A928" s="98" t="str">
        <f t="shared" si="14"/>
        <v>__</v>
      </c>
      <c r="B928" s="107"/>
      <c r="C928" s="107"/>
      <c r="D928" s="108"/>
      <c r="E928" s="109"/>
    </row>
    <row r="929" spans="1:5" x14ac:dyDescent="0.2">
      <c r="A929" s="98" t="str">
        <f t="shared" si="14"/>
        <v>__</v>
      </c>
      <c r="B929" s="107"/>
      <c r="C929" s="107"/>
      <c r="D929" s="108"/>
      <c r="E929" s="109"/>
    </row>
    <row r="930" spans="1:5" x14ac:dyDescent="0.2">
      <c r="A930" s="98" t="str">
        <f t="shared" si="14"/>
        <v>__</v>
      </c>
      <c r="B930" s="107"/>
      <c r="C930" s="107"/>
      <c r="D930" s="108"/>
      <c r="E930" s="109"/>
    </row>
    <row r="931" spans="1:5" x14ac:dyDescent="0.2">
      <c r="A931" s="98" t="str">
        <f t="shared" si="14"/>
        <v>__</v>
      </c>
      <c r="B931" s="107"/>
      <c r="C931" s="107"/>
      <c r="D931" s="108"/>
      <c r="E931" s="109"/>
    </row>
    <row r="932" spans="1:5" x14ac:dyDescent="0.2">
      <c r="A932" s="98" t="str">
        <f t="shared" si="14"/>
        <v>__</v>
      </c>
      <c r="B932" s="107"/>
      <c r="C932" s="107"/>
      <c r="D932" s="108"/>
      <c r="E932" s="109"/>
    </row>
    <row r="933" spans="1:5" x14ac:dyDescent="0.2">
      <c r="A933" s="98" t="str">
        <f t="shared" si="14"/>
        <v>__</v>
      </c>
      <c r="B933" s="107"/>
      <c r="C933" s="107"/>
      <c r="D933" s="108"/>
      <c r="E933" s="109"/>
    </row>
    <row r="934" spans="1:5" x14ac:dyDescent="0.2">
      <c r="A934" s="98" t="str">
        <f t="shared" si="14"/>
        <v>__</v>
      </c>
      <c r="B934" s="107"/>
      <c r="C934" s="107"/>
      <c r="D934" s="108"/>
      <c r="E934" s="109"/>
    </row>
    <row r="935" spans="1:5" x14ac:dyDescent="0.2">
      <c r="A935" s="98" t="str">
        <f t="shared" si="14"/>
        <v>__</v>
      </c>
      <c r="B935" s="107"/>
      <c r="C935" s="107"/>
      <c r="D935" s="108"/>
      <c r="E935" s="109"/>
    </row>
    <row r="936" spans="1:5" x14ac:dyDescent="0.2">
      <c r="A936" s="98" t="str">
        <f t="shared" si="14"/>
        <v>__</v>
      </c>
      <c r="B936" s="107"/>
      <c r="C936" s="107"/>
      <c r="D936" s="108"/>
      <c r="E936" s="109"/>
    </row>
    <row r="937" spans="1:5" x14ac:dyDescent="0.2">
      <c r="A937" s="98" t="str">
        <f t="shared" si="14"/>
        <v>__</v>
      </c>
      <c r="B937" s="107"/>
      <c r="C937" s="107"/>
      <c r="D937" s="108"/>
      <c r="E937" s="109"/>
    </row>
    <row r="938" spans="1:5" x14ac:dyDescent="0.2">
      <c r="A938" s="98" t="str">
        <f t="shared" si="14"/>
        <v>__</v>
      </c>
      <c r="B938" s="107"/>
      <c r="C938" s="107"/>
      <c r="D938" s="108"/>
      <c r="E938" s="109"/>
    </row>
    <row r="939" spans="1:5" x14ac:dyDescent="0.2">
      <c r="A939" s="98" t="str">
        <f t="shared" si="14"/>
        <v>__</v>
      </c>
      <c r="B939" s="107"/>
      <c r="C939" s="107"/>
      <c r="D939" s="108"/>
      <c r="E939" s="109"/>
    </row>
    <row r="940" spans="1:5" x14ac:dyDescent="0.2">
      <c r="A940" s="98" t="str">
        <f t="shared" si="14"/>
        <v>__</v>
      </c>
      <c r="B940" s="107"/>
      <c r="C940" s="107"/>
      <c r="D940" s="108"/>
      <c r="E940" s="109"/>
    </row>
    <row r="941" spans="1:5" x14ac:dyDescent="0.2">
      <c r="A941" s="98" t="str">
        <f t="shared" si="14"/>
        <v>__</v>
      </c>
      <c r="B941" s="107"/>
      <c r="C941" s="107"/>
      <c r="D941" s="108"/>
      <c r="E941" s="109"/>
    </row>
    <row r="942" spans="1:5" x14ac:dyDescent="0.2">
      <c r="A942" s="98" t="str">
        <f t="shared" si="14"/>
        <v>__</v>
      </c>
      <c r="B942" s="107"/>
      <c r="C942" s="107"/>
      <c r="D942" s="108"/>
      <c r="E942" s="109"/>
    </row>
    <row r="943" spans="1:5" x14ac:dyDescent="0.2">
      <c r="A943" s="98" t="str">
        <f t="shared" si="14"/>
        <v>__</v>
      </c>
      <c r="B943" s="107"/>
      <c r="C943" s="107"/>
      <c r="D943" s="108"/>
      <c r="E943" s="109"/>
    </row>
    <row r="944" spans="1:5" x14ac:dyDescent="0.2">
      <c r="A944" s="98" t="str">
        <f t="shared" si="14"/>
        <v>__</v>
      </c>
      <c r="B944" s="107"/>
      <c r="C944" s="107"/>
      <c r="D944" s="108"/>
      <c r="E944" s="109"/>
    </row>
    <row r="945" spans="1:5" x14ac:dyDescent="0.2">
      <c r="A945" s="98" t="str">
        <f t="shared" si="14"/>
        <v>__</v>
      </c>
      <c r="B945" s="107"/>
      <c r="C945" s="107"/>
      <c r="D945" s="108"/>
      <c r="E945" s="109"/>
    </row>
    <row r="946" spans="1:5" x14ac:dyDescent="0.2">
      <c r="A946" s="98" t="str">
        <f t="shared" si="14"/>
        <v>__</v>
      </c>
      <c r="B946" s="107"/>
      <c r="C946" s="107"/>
      <c r="D946" s="108"/>
      <c r="E946" s="109"/>
    </row>
    <row r="947" spans="1:5" x14ac:dyDescent="0.2">
      <c r="A947" s="98" t="str">
        <f t="shared" si="14"/>
        <v>__</v>
      </c>
      <c r="B947" s="107"/>
      <c r="C947" s="107"/>
      <c r="D947" s="108"/>
      <c r="E947" s="109"/>
    </row>
    <row r="948" spans="1:5" x14ac:dyDescent="0.2">
      <c r="A948" s="98" t="str">
        <f t="shared" si="14"/>
        <v>__</v>
      </c>
      <c r="B948" s="107"/>
      <c r="C948" s="107"/>
      <c r="D948" s="108"/>
      <c r="E948" s="109"/>
    </row>
    <row r="949" spans="1:5" x14ac:dyDescent="0.2">
      <c r="A949" s="98" t="str">
        <f t="shared" si="14"/>
        <v>__</v>
      </c>
      <c r="B949" s="107"/>
      <c r="C949" s="107"/>
      <c r="D949" s="108"/>
      <c r="E949" s="109"/>
    </row>
    <row r="950" spans="1:5" x14ac:dyDescent="0.2">
      <c r="A950" s="98" t="str">
        <f t="shared" si="14"/>
        <v>__</v>
      </c>
      <c r="B950" s="107"/>
      <c r="C950" s="107"/>
      <c r="D950" s="108"/>
      <c r="E950" s="109"/>
    </row>
    <row r="951" spans="1:5" x14ac:dyDescent="0.2">
      <c r="A951" s="98" t="str">
        <f t="shared" si="14"/>
        <v>__</v>
      </c>
      <c r="B951" s="107"/>
      <c r="C951" s="107"/>
      <c r="D951" s="108"/>
      <c r="E951" s="109"/>
    </row>
    <row r="952" spans="1:5" x14ac:dyDescent="0.2">
      <c r="A952" s="98" t="str">
        <f t="shared" si="14"/>
        <v>__</v>
      </c>
      <c r="B952" s="107"/>
      <c r="C952" s="107"/>
      <c r="D952" s="108"/>
      <c r="E952" s="109"/>
    </row>
    <row r="953" spans="1:5" x14ac:dyDescent="0.2">
      <c r="A953" s="98" t="str">
        <f t="shared" si="14"/>
        <v>__</v>
      </c>
      <c r="B953" s="107"/>
      <c r="C953" s="107"/>
      <c r="D953" s="108"/>
      <c r="E953" s="109"/>
    </row>
    <row r="954" spans="1:5" x14ac:dyDescent="0.2">
      <c r="A954" s="98" t="str">
        <f t="shared" si="14"/>
        <v>__</v>
      </c>
      <c r="B954" s="107"/>
      <c r="C954" s="107"/>
      <c r="D954" s="108"/>
      <c r="E954" s="109"/>
    </row>
    <row r="955" spans="1:5" x14ac:dyDescent="0.2">
      <c r="A955" s="98" t="str">
        <f t="shared" si="14"/>
        <v>__</v>
      </c>
      <c r="B955" s="107"/>
      <c r="C955" s="107"/>
      <c r="D955" s="108"/>
      <c r="E955" s="109"/>
    </row>
    <row r="956" spans="1:5" x14ac:dyDescent="0.2">
      <c r="A956" s="98" t="str">
        <f t="shared" si="14"/>
        <v>__</v>
      </c>
      <c r="B956" s="107"/>
      <c r="C956" s="107"/>
      <c r="D956" s="108"/>
      <c r="E956" s="109"/>
    </row>
    <row r="957" spans="1:5" x14ac:dyDescent="0.2">
      <c r="A957" s="98" t="str">
        <f t="shared" si="14"/>
        <v>__</v>
      </c>
      <c r="B957" s="107"/>
      <c r="C957" s="107"/>
      <c r="D957" s="108"/>
      <c r="E957" s="109"/>
    </row>
    <row r="958" spans="1:5" x14ac:dyDescent="0.2">
      <c r="A958" s="98" t="str">
        <f t="shared" si="14"/>
        <v>__</v>
      </c>
      <c r="B958" s="107"/>
      <c r="C958" s="107"/>
      <c r="D958" s="108"/>
      <c r="E958" s="109"/>
    </row>
    <row r="959" spans="1:5" x14ac:dyDescent="0.2">
      <c r="A959" s="98" t="str">
        <f t="shared" si="14"/>
        <v>__</v>
      </c>
      <c r="B959" s="107"/>
      <c r="C959" s="107"/>
      <c r="D959" s="108"/>
      <c r="E959" s="109"/>
    </row>
    <row r="960" spans="1:5" x14ac:dyDescent="0.2">
      <c r="A960" s="98" t="str">
        <f t="shared" si="14"/>
        <v>__</v>
      </c>
      <c r="B960" s="107"/>
      <c r="C960" s="107"/>
      <c r="D960" s="108"/>
      <c r="E960" s="109"/>
    </row>
    <row r="961" spans="1:5" x14ac:dyDescent="0.2">
      <c r="A961" s="98" t="str">
        <f t="shared" si="14"/>
        <v>__</v>
      </c>
      <c r="B961" s="107"/>
      <c r="C961" s="107"/>
      <c r="D961" s="108"/>
      <c r="E961" s="109"/>
    </row>
    <row r="962" spans="1:5" x14ac:dyDescent="0.2">
      <c r="A962" s="98" t="str">
        <f t="shared" si="14"/>
        <v>__</v>
      </c>
      <c r="B962" s="107"/>
      <c r="C962" s="107"/>
      <c r="D962" s="108"/>
      <c r="E962" s="109"/>
    </row>
    <row r="963" spans="1:5" x14ac:dyDescent="0.2">
      <c r="A963" s="98" t="str">
        <f t="shared" ref="A963:A1000" si="15">B963&amp;"_"&amp;C963&amp;"_"&amp;D963</f>
        <v>__</v>
      </c>
      <c r="B963" s="107"/>
      <c r="C963" s="107"/>
      <c r="D963" s="108"/>
      <c r="E963" s="109"/>
    </row>
    <row r="964" spans="1:5" x14ac:dyDescent="0.2">
      <c r="A964" s="98" t="str">
        <f t="shared" si="15"/>
        <v>__</v>
      </c>
      <c r="B964" s="107"/>
      <c r="C964" s="107"/>
      <c r="D964" s="108"/>
      <c r="E964" s="109"/>
    </row>
    <row r="965" spans="1:5" x14ac:dyDescent="0.2">
      <c r="A965" s="98" t="str">
        <f t="shared" si="15"/>
        <v>__</v>
      </c>
      <c r="B965" s="107"/>
      <c r="C965" s="107"/>
      <c r="D965" s="108"/>
      <c r="E965" s="109"/>
    </row>
    <row r="966" spans="1:5" x14ac:dyDescent="0.2">
      <c r="A966" s="98" t="str">
        <f t="shared" si="15"/>
        <v>__</v>
      </c>
      <c r="B966" s="107"/>
      <c r="C966" s="107"/>
      <c r="D966" s="108"/>
      <c r="E966" s="109"/>
    </row>
    <row r="967" spans="1:5" x14ac:dyDescent="0.2">
      <c r="A967" s="98" t="str">
        <f t="shared" si="15"/>
        <v>__</v>
      </c>
      <c r="B967" s="107"/>
      <c r="C967" s="107"/>
      <c r="D967" s="108"/>
      <c r="E967" s="109"/>
    </row>
    <row r="968" spans="1:5" x14ac:dyDescent="0.2">
      <c r="A968" s="98" t="str">
        <f t="shared" si="15"/>
        <v>__</v>
      </c>
      <c r="B968" s="107"/>
      <c r="C968" s="107"/>
      <c r="D968" s="108"/>
      <c r="E968" s="109"/>
    </row>
    <row r="969" spans="1:5" x14ac:dyDescent="0.2">
      <c r="A969" s="98" t="str">
        <f t="shared" si="15"/>
        <v>__</v>
      </c>
      <c r="B969" s="107"/>
      <c r="C969" s="107"/>
      <c r="D969" s="108"/>
      <c r="E969" s="109"/>
    </row>
    <row r="970" spans="1:5" x14ac:dyDescent="0.2">
      <c r="A970" s="98" t="str">
        <f t="shared" si="15"/>
        <v>__</v>
      </c>
      <c r="B970" s="107"/>
      <c r="C970" s="107"/>
      <c r="D970" s="108"/>
      <c r="E970" s="109"/>
    </row>
    <row r="971" spans="1:5" x14ac:dyDescent="0.2">
      <c r="A971" s="98" t="str">
        <f t="shared" si="15"/>
        <v>__</v>
      </c>
      <c r="B971" s="107"/>
      <c r="C971" s="107"/>
      <c r="D971" s="108"/>
      <c r="E971" s="109"/>
    </row>
    <row r="972" spans="1:5" x14ac:dyDescent="0.2">
      <c r="A972" s="98" t="str">
        <f t="shared" si="15"/>
        <v>__</v>
      </c>
      <c r="B972" s="107"/>
      <c r="C972" s="107"/>
      <c r="D972" s="108"/>
      <c r="E972" s="109"/>
    </row>
    <row r="973" spans="1:5" x14ac:dyDescent="0.2">
      <c r="A973" s="98" t="str">
        <f t="shared" si="15"/>
        <v>__</v>
      </c>
      <c r="B973" s="107"/>
      <c r="C973" s="107"/>
      <c r="D973" s="108"/>
      <c r="E973" s="109"/>
    </row>
    <row r="974" spans="1:5" x14ac:dyDescent="0.2">
      <c r="A974" s="98" t="str">
        <f t="shared" si="15"/>
        <v>__</v>
      </c>
      <c r="B974" s="107"/>
      <c r="C974" s="107"/>
      <c r="D974" s="108"/>
      <c r="E974" s="109"/>
    </row>
    <row r="975" spans="1:5" x14ac:dyDescent="0.2">
      <c r="A975" s="98" t="str">
        <f t="shared" si="15"/>
        <v>__</v>
      </c>
      <c r="B975" s="107"/>
      <c r="C975" s="107"/>
      <c r="D975" s="108"/>
      <c r="E975" s="109"/>
    </row>
    <row r="976" spans="1:5" x14ac:dyDescent="0.2">
      <c r="A976" s="98" t="str">
        <f t="shared" si="15"/>
        <v>__</v>
      </c>
      <c r="B976" s="107"/>
      <c r="C976" s="107"/>
      <c r="D976" s="108"/>
      <c r="E976" s="109"/>
    </row>
    <row r="977" spans="1:5" x14ac:dyDescent="0.2">
      <c r="A977" s="98" t="str">
        <f t="shared" si="15"/>
        <v>__</v>
      </c>
      <c r="B977" s="107"/>
      <c r="C977" s="107"/>
      <c r="D977" s="108"/>
      <c r="E977" s="109"/>
    </row>
    <row r="978" spans="1:5" x14ac:dyDescent="0.2">
      <c r="A978" s="98" t="str">
        <f t="shared" si="15"/>
        <v>__</v>
      </c>
      <c r="B978" s="107"/>
      <c r="C978" s="107"/>
      <c r="D978" s="108"/>
      <c r="E978" s="109"/>
    </row>
    <row r="979" spans="1:5" x14ac:dyDescent="0.2">
      <c r="A979" s="98" t="str">
        <f t="shared" si="15"/>
        <v>__</v>
      </c>
      <c r="B979" s="107"/>
      <c r="C979" s="107"/>
      <c r="D979" s="108"/>
      <c r="E979" s="109"/>
    </row>
    <row r="980" spans="1:5" x14ac:dyDescent="0.2">
      <c r="A980" s="98" t="str">
        <f t="shared" si="15"/>
        <v>__</v>
      </c>
      <c r="B980" s="107"/>
      <c r="C980" s="107"/>
      <c r="D980" s="108"/>
      <c r="E980" s="109"/>
    </row>
    <row r="981" spans="1:5" x14ac:dyDescent="0.2">
      <c r="A981" s="98" t="str">
        <f t="shared" si="15"/>
        <v>__</v>
      </c>
      <c r="B981" s="107"/>
      <c r="C981" s="107"/>
      <c r="D981" s="108"/>
      <c r="E981" s="109"/>
    </row>
    <row r="982" spans="1:5" x14ac:dyDescent="0.2">
      <c r="A982" s="98" t="str">
        <f t="shared" si="15"/>
        <v>__</v>
      </c>
      <c r="B982" s="107"/>
      <c r="C982" s="107"/>
      <c r="D982" s="108"/>
      <c r="E982" s="109"/>
    </row>
    <row r="983" spans="1:5" x14ac:dyDescent="0.2">
      <c r="A983" s="98" t="str">
        <f t="shared" si="15"/>
        <v>__</v>
      </c>
      <c r="B983" s="107"/>
      <c r="C983" s="107"/>
      <c r="D983" s="108"/>
      <c r="E983" s="109"/>
    </row>
    <row r="984" spans="1:5" x14ac:dyDescent="0.2">
      <c r="A984" s="98" t="str">
        <f t="shared" si="15"/>
        <v>__</v>
      </c>
      <c r="B984" s="107"/>
      <c r="C984" s="107"/>
      <c r="D984" s="108"/>
      <c r="E984" s="109"/>
    </row>
    <row r="985" spans="1:5" x14ac:dyDescent="0.2">
      <c r="A985" s="98" t="str">
        <f t="shared" si="15"/>
        <v>__</v>
      </c>
      <c r="B985" s="107"/>
      <c r="C985" s="107"/>
      <c r="D985" s="108"/>
      <c r="E985" s="109"/>
    </row>
    <row r="986" spans="1:5" x14ac:dyDescent="0.2">
      <c r="A986" s="98" t="str">
        <f t="shared" si="15"/>
        <v>__</v>
      </c>
      <c r="B986" s="107"/>
      <c r="C986" s="107"/>
      <c r="D986" s="108"/>
      <c r="E986" s="109"/>
    </row>
    <row r="987" spans="1:5" x14ac:dyDescent="0.2">
      <c r="A987" s="98" t="str">
        <f t="shared" si="15"/>
        <v>__</v>
      </c>
      <c r="B987" s="107"/>
      <c r="C987" s="107"/>
      <c r="D987" s="108"/>
      <c r="E987" s="109"/>
    </row>
    <row r="988" spans="1:5" x14ac:dyDescent="0.2">
      <c r="A988" s="98" t="str">
        <f t="shared" si="15"/>
        <v>__</v>
      </c>
      <c r="B988" s="107"/>
      <c r="C988" s="107"/>
      <c r="D988" s="108"/>
      <c r="E988" s="109"/>
    </row>
    <row r="989" spans="1:5" x14ac:dyDescent="0.2">
      <c r="A989" s="98" t="str">
        <f t="shared" si="15"/>
        <v>__</v>
      </c>
      <c r="B989" s="107"/>
      <c r="C989" s="107"/>
      <c r="D989" s="108"/>
      <c r="E989" s="109"/>
    </row>
    <row r="990" spans="1:5" x14ac:dyDescent="0.2">
      <c r="A990" s="98" t="str">
        <f t="shared" si="15"/>
        <v>__</v>
      </c>
      <c r="B990" s="107"/>
      <c r="C990" s="107"/>
      <c r="D990" s="108"/>
      <c r="E990" s="109"/>
    </row>
    <row r="991" spans="1:5" x14ac:dyDescent="0.2">
      <c r="A991" s="98" t="str">
        <f t="shared" si="15"/>
        <v>__</v>
      </c>
      <c r="B991" s="107"/>
      <c r="C991" s="107"/>
      <c r="D991" s="108"/>
      <c r="E991" s="109"/>
    </row>
    <row r="992" spans="1:5" x14ac:dyDescent="0.2">
      <c r="A992" s="98" t="str">
        <f t="shared" si="15"/>
        <v>__</v>
      </c>
      <c r="B992" s="107"/>
      <c r="C992" s="107"/>
      <c r="D992" s="108"/>
      <c r="E992" s="109"/>
    </row>
    <row r="993" spans="1:5" x14ac:dyDescent="0.2">
      <c r="A993" s="98" t="str">
        <f t="shared" si="15"/>
        <v>__</v>
      </c>
      <c r="B993" s="107"/>
      <c r="C993" s="107"/>
      <c r="D993" s="108"/>
      <c r="E993" s="109"/>
    </row>
    <row r="994" spans="1:5" x14ac:dyDescent="0.2">
      <c r="A994" s="98" t="str">
        <f t="shared" si="15"/>
        <v>__</v>
      </c>
      <c r="B994" s="107"/>
      <c r="C994" s="107"/>
      <c r="D994" s="108"/>
      <c r="E994" s="109"/>
    </row>
    <row r="995" spans="1:5" x14ac:dyDescent="0.2">
      <c r="A995" s="98" t="str">
        <f t="shared" si="15"/>
        <v>__</v>
      </c>
      <c r="B995" s="107"/>
      <c r="C995" s="107"/>
      <c r="D995" s="108"/>
      <c r="E995" s="109"/>
    </row>
    <row r="996" spans="1:5" x14ac:dyDescent="0.2">
      <c r="A996" s="98" t="str">
        <f t="shared" si="15"/>
        <v>__</v>
      </c>
      <c r="B996" s="107"/>
      <c r="C996" s="107"/>
      <c r="D996" s="108"/>
      <c r="E996" s="109"/>
    </row>
    <row r="997" spans="1:5" x14ac:dyDescent="0.2">
      <c r="A997" s="98" t="str">
        <f t="shared" si="15"/>
        <v>__</v>
      </c>
      <c r="B997" s="107"/>
      <c r="C997" s="107"/>
      <c r="D997" s="108"/>
      <c r="E997" s="109"/>
    </row>
    <row r="998" spans="1:5" x14ac:dyDescent="0.2">
      <c r="A998" s="98" t="str">
        <f t="shared" si="15"/>
        <v>__</v>
      </c>
      <c r="B998" s="107"/>
      <c r="C998" s="107"/>
      <c r="D998" s="108"/>
      <c r="E998" s="109"/>
    </row>
    <row r="999" spans="1:5" x14ac:dyDescent="0.2">
      <c r="A999" s="98" t="str">
        <f t="shared" si="15"/>
        <v>__</v>
      </c>
      <c r="B999" s="107"/>
      <c r="C999" s="107"/>
      <c r="D999" s="108"/>
      <c r="E999" s="109"/>
    </row>
    <row r="1000" spans="1:5" x14ac:dyDescent="0.2">
      <c r="A1000" s="98" t="str">
        <f t="shared" si="15"/>
        <v>__</v>
      </c>
      <c r="B1000" s="107"/>
      <c r="C1000" s="107"/>
      <c r="D1000" s="108"/>
      <c r="E1000" s="109"/>
    </row>
  </sheetData>
  <sheetProtection sheet="1" objects="1" scenarios="1"/>
  <phoneticPr fontId="4" type="noConversion"/>
  <conditionalFormatting sqref="E4:E1000">
    <cfRule type="cellIs" priority="7" stopIfTrue="1" operator="equal">
      <formula>"Missed Sample"</formula>
    </cfRule>
    <cfRule type="cellIs" dxfId="17" priority="8" stopIfTrue="1" operator="lessThanOrEqual">
      <formula>-400</formula>
    </cfRule>
    <cfRule type="cellIs" dxfId="16" priority="9" stopIfTrue="1" operator="greaterThanOrEqual">
      <formula>400</formula>
    </cfRule>
  </conditionalFormatting>
  <conditionalFormatting sqref="D4:D1000">
    <cfRule type="cellIs" dxfId="15" priority="10" stopIfTrue="1" operator="equal">
      <formula>1.83</formula>
    </cfRule>
    <cfRule type="cellIs" dxfId="14" priority="11" stopIfTrue="1" operator="equal">
      <formula>2.83</formula>
    </cfRule>
    <cfRule type="cellIs" dxfId="13" priority="12" stopIfTrue="1" operator="equal">
      <formula>3.83</formula>
    </cfRule>
  </conditionalFormatting>
  <conditionalFormatting sqref="E2:E3">
    <cfRule type="cellIs" priority="1" stopIfTrue="1" operator="equal">
      <formula>"Missed Sample"</formula>
    </cfRule>
    <cfRule type="cellIs" dxfId="12" priority="2" stopIfTrue="1" operator="lessThanOrEqual">
      <formula>-400</formula>
    </cfRule>
    <cfRule type="cellIs" dxfId="11" priority="3" stopIfTrue="1" operator="greaterThanOrEqual">
      <formula>400</formula>
    </cfRule>
  </conditionalFormatting>
  <conditionalFormatting sqref="D2:D3">
    <cfRule type="cellIs" dxfId="10" priority="4" stopIfTrue="1" operator="equal">
      <formula>1.83</formula>
    </cfRule>
    <cfRule type="cellIs" dxfId="9" priority="5" stopIfTrue="1" operator="equal">
      <formula>2.83</formula>
    </cfRule>
    <cfRule type="cellIs" dxfId="8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/>
  </sheetViews>
  <sheetFormatPr defaultColWidth="9.140625" defaultRowHeight="12.75" x14ac:dyDescent="0.2"/>
  <cols>
    <col min="1" max="1" width="11.140625" style="10" customWidth="1"/>
    <col min="2" max="2" width="12.42578125" style="10" customWidth="1"/>
    <col min="3" max="3" width="8.7109375" style="10" customWidth="1"/>
    <col min="4" max="6" width="9.140625" style="10"/>
    <col min="7" max="7" width="17.140625" style="10" customWidth="1"/>
    <col min="8" max="8" width="9.7109375" style="10" customWidth="1"/>
    <col min="9" max="9" width="10.28515625" style="10" customWidth="1"/>
    <col min="10" max="10" width="11.28515625" style="10" customWidth="1"/>
    <col min="11" max="11" width="9.7109375" style="10" customWidth="1"/>
    <col min="12" max="25" width="9.140625" style="10"/>
    <col min="26" max="26" width="10.140625" style="10" customWidth="1"/>
    <col min="27" max="34" width="9.140625" style="10"/>
    <col min="35" max="35" width="15.140625" style="10" customWidth="1"/>
    <col min="36" max="16384" width="9.140625" style="10"/>
  </cols>
  <sheetData>
    <row r="1" spans="1:104" ht="18.75" customHeight="1" thickBot="1" x14ac:dyDescent="0.25">
      <c r="A1" s="16" t="s">
        <v>39</v>
      </c>
      <c r="C1" s="42">
        <v>1</v>
      </c>
      <c r="G1" s="16" t="s">
        <v>36</v>
      </c>
      <c r="H1" s="49">
        <f>COUNTA(Data!$A:$A)-1</f>
        <v>2</v>
      </c>
      <c r="I1" s="84" t="s">
        <v>70</v>
      </c>
      <c r="AC1" s="10" t="s">
        <v>22</v>
      </c>
      <c r="AD1" s="17" t="s">
        <v>77</v>
      </c>
      <c r="AE1" s="10" t="s">
        <v>35</v>
      </c>
      <c r="AF1" s="10" t="s">
        <v>40</v>
      </c>
      <c r="AG1" s="10" t="s">
        <v>45</v>
      </c>
      <c r="BL1" s="11"/>
    </row>
    <row r="2" spans="1:104" ht="13.5" thickBot="1" x14ac:dyDescent="0.25">
      <c r="A2" s="29" t="s">
        <v>1</v>
      </c>
      <c r="B2" s="30" t="s">
        <v>2</v>
      </c>
      <c r="C2" s="30" t="s">
        <v>3</v>
      </c>
      <c r="D2" s="30" t="s">
        <v>8</v>
      </c>
      <c r="E2" s="31" t="s">
        <v>24</v>
      </c>
      <c r="F2" s="86"/>
      <c r="G2" s="54" t="s">
        <v>28</v>
      </c>
      <c r="H2" s="47">
        <f>50*1000000</f>
        <v>50000000</v>
      </c>
      <c r="I2" s="28" t="s">
        <v>33</v>
      </c>
      <c r="X2" s="29" t="s">
        <v>1</v>
      </c>
      <c r="Y2" s="30" t="s">
        <v>31</v>
      </c>
      <c r="Z2" s="30" t="s">
        <v>32</v>
      </c>
      <c r="AA2" s="31" t="s">
        <v>21</v>
      </c>
      <c r="AB2" s="11"/>
      <c r="AC2" s="11" t="b">
        <f t="shared" ref="AC2:AC66" si="0">IF(AB2&lt;&gt;"",AB2,FALSE)</f>
        <v>0</v>
      </c>
      <c r="AD2" s="11"/>
      <c r="AE2" s="11"/>
      <c r="AF2" s="11"/>
      <c r="AG2" s="11"/>
      <c r="BL2" s="11"/>
      <c r="CY2" s="17" t="s">
        <v>71</v>
      </c>
      <c r="CZ2" s="17"/>
    </row>
    <row r="3" spans="1:104" ht="15" thickBot="1" x14ac:dyDescent="0.25">
      <c r="A3" s="32">
        <f t="shared" ref="A3:A22" si="1">IF(AC3=FALSE,FALSE,INDEX($X$3:$X$70,AC3,1))</f>
        <v>0</v>
      </c>
      <c r="B3" s="11" t="str">
        <f t="shared" ref="B3:B34" si="2">IF(IF(AC3=FALSE,FALSE,INDEX($Y$3:$Y$70,AC3,1))&lt;0,0,IF(AC3=FALSE,FALSE,INDEX($Y$3:$Y$70,AC3,1)))</f>
        <v>BLQ</v>
      </c>
      <c r="C3" s="11"/>
      <c r="D3" s="11" t="b">
        <f>IF(B3=MAX($Y$3:$Y$70),A3,FALSE)</f>
        <v>0</v>
      </c>
      <c r="E3" s="33"/>
      <c r="G3" s="57" t="s">
        <v>48</v>
      </c>
      <c r="H3" s="56">
        <v>0.8</v>
      </c>
      <c r="I3" s="51"/>
      <c r="W3" s="10">
        <v>1</v>
      </c>
      <c r="X3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1" t="str">
        <f>IF(ROW()&lt;=COUNTA(Data!$2:$2),INDEX(Data!$C$2:$AZ$282,Analysis!$C$1,ROW()-2),FALSE)</f>
        <v>BLQ</v>
      </c>
      <c r="Z3" s="34">
        <f>IF(Y3&lt;0,IF(Y3=-999,0,1),0)</f>
        <v>0</v>
      </c>
      <c r="AA3" s="33">
        <f>IF(OR(X3=FALSE,Z3),FALSE,W3)</f>
        <v>1</v>
      </c>
      <c r="AB3" s="11">
        <v>1</v>
      </c>
      <c r="AC3" s="11">
        <f t="shared" si="0"/>
        <v>1</v>
      </c>
      <c r="AD3" s="10">
        <v>17</v>
      </c>
      <c r="AE3" s="11">
        <f t="shared" ref="AE3:AE65" si="3">IF(INDEX($Y$3:$Y$70,W3,1)&lt;0,0,INDEX($X$3:$X$70,W3,1))</f>
        <v>0</v>
      </c>
      <c r="AF3" s="11">
        <f>IF(Y3&lt;0,FALSE,X3)</f>
        <v>0</v>
      </c>
      <c r="AG3" s="55" t="str">
        <f>IF(Y3=MAX($Y$3:$Y$70),ROW()-2,"")</f>
        <v/>
      </c>
      <c r="AH3" s="11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87" t="str">
        <f>IF(ROUND(A3,0)&gt;=ROUND($H$4,0),SUM($C$3:$C3),"")</f>
        <v/>
      </c>
    </row>
    <row r="4" spans="1:104" ht="13.5" thickBot="1" x14ac:dyDescent="0.25">
      <c r="A4" s="32">
        <f t="shared" si="1"/>
        <v>0.33300000000000002</v>
      </c>
      <c r="B4" s="11" t="str">
        <f t="shared" si="2"/>
        <v>BLQ</v>
      </c>
      <c r="C4" s="34" t="e">
        <f>IF(A4&lt;=MAX($AI$41:$AI$70),IF(ROW()&lt;=COUNTA(Data!$2:$2)+2,(B4+B3)*(A4-A3)/2,FALSE),FALSE)</f>
        <v>#VALUE!</v>
      </c>
      <c r="D4" s="11" t="b">
        <f t="shared" ref="D4:D67" si="7">IF(B4=MAX($Y$3:$Y$70),A4,FALSE)</f>
        <v>0</v>
      </c>
      <c r="E4" s="33" t="e">
        <f>IF(A4&lt;=MAX($AI$41:$AI$70),IF(ROW()&lt;=COUNTA(Data!$2:$2)+2,(B4*A4+B3*A3)*(A4-A3)/2,FALSE),FALSE)</f>
        <v>#VALUE!</v>
      </c>
      <c r="G4" s="16" t="s">
        <v>73</v>
      </c>
      <c r="H4" s="47">
        <v>24</v>
      </c>
      <c r="I4" s="10" t="s">
        <v>68</v>
      </c>
      <c r="W4" s="10">
        <v>2</v>
      </c>
      <c r="X4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1" t="str">
        <f>IF(ROW()&lt;=COUNTA(Data!$2:$2),INDEX(Data!$C$2:$AZ$282,Analysis!$C$1,ROW()-2),FALSE)</f>
        <v>BLQ</v>
      </c>
      <c r="Z4" s="34">
        <f>IF(OR(AND(Y4&lt;0,Y4&lt;&gt;-999),NOT(X4),AND(Y4=-999,X4&gt;MAX($AF$3:$AF$70),$G$7),X4&gt;MAX($AE$3:$AE$70)),1,0)</f>
        <v>0</v>
      </c>
      <c r="AA4" s="33">
        <f>IF(OR(X4=FALSE,Z4=1),FALSE,W4)</f>
        <v>2</v>
      </c>
      <c r="AB4" s="11">
        <v>2</v>
      </c>
      <c r="AC4" s="11">
        <f t="shared" si="0"/>
        <v>2</v>
      </c>
      <c r="AD4" s="10">
        <v>16</v>
      </c>
      <c r="AE4" s="11">
        <f t="shared" si="3"/>
        <v>0.33300000000000002</v>
      </c>
      <c r="AF4" s="11">
        <f>IF(NOT(AF3),IF(Y4&gt;=0,X4,FALSE),AF3)</f>
        <v>0.33300000000000002</v>
      </c>
      <c r="AG4" s="14" t="str">
        <f t="shared" ref="AG4:AG67" si="8">IF(Y4=MAX($Y$3:$Y$70),ROW()-2,"")</f>
        <v/>
      </c>
      <c r="AH4" s="11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88" t="str">
        <f>IF(ROUND(A4,0)&gt;=ROUND($H$4,0),SUM($C$3:$C4),"")</f>
        <v/>
      </c>
    </row>
    <row r="5" spans="1:104" ht="13.5" thickBot="1" x14ac:dyDescent="0.25">
      <c r="A5" s="32">
        <f t="shared" si="1"/>
        <v>0.66700000000000004</v>
      </c>
      <c r="B5" s="11">
        <f t="shared" si="2"/>
        <v>2.4</v>
      </c>
      <c r="C5" s="34" t="e">
        <f>IF(A5&lt;=MAX($AI$41:$AI$70),IF(ROW()&lt;=COUNTA(Data!$2:$2)+2,(B5+B4)*(A5-A4)/2,FALSE),FALSE)</f>
        <v>#VALUE!</v>
      </c>
      <c r="D5" s="11" t="b">
        <f t="shared" si="7"/>
        <v>0</v>
      </c>
      <c r="E5" s="33" t="e">
        <f>IF(A5&lt;=MAX($AI$41:$AI$70),IF(ROW()&lt;=COUNTA(Data!$2:$2)+2,(B5*A5+B4*A4)*(A5-A4)/2,FALSE),FALSE)</f>
        <v>#VALUE!</v>
      </c>
      <c r="G5" s="16" t="s">
        <v>79</v>
      </c>
      <c r="H5" s="47">
        <v>3</v>
      </c>
      <c r="I5" s="17" t="s">
        <v>80</v>
      </c>
      <c r="W5" s="10">
        <v>3</v>
      </c>
      <c r="X5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1">
        <f>IF(ROW()&lt;=COUNTA(Data!$2:$2),INDEX(Data!$C$2:$AZ$282,Analysis!$C$1,ROW()-2),FALSE)</f>
        <v>2.4</v>
      </c>
      <c r="Z5" s="34">
        <f t="shared" ref="Z5:Z68" si="10">IF(OR(AND(Y5&lt;0,Y5&lt;&gt;-999),NOT(X5),AND(Y5=-999,X5&gt;MAX($AF$3:$AF$70),$G$7),X5&gt;MAX($AE$3:$AE$70)),1,0)</f>
        <v>0</v>
      </c>
      <c r="AA5" s="33">
        <f t="shared" ref="AA5:AA68" si="11">IF(OR(X5=FALSE,Z5=1),FALSE,W5)</f>
        <v>3</v>
      </c>
      <c r="AB5" s="11">
        <v>3</v>
      </c>
      <c r="AC5" s="11">
        <f t="shared" si="0"/>
        <v>3</v>
      </c>
      <c r="AD5" s="10">
        <v>15</v>
      </c>
      <c r="AE5" s="11">
        <f t="shared" si="3"/>
        <v>0.66700000000000004</v>
      </c>
      <c r="AF5" s="11">
        <f t="shared" ref="AF5:AF68" si="12">IF(NOT(AF4),IF(Y5&gt;=0,X5,FALSE),AF4)</f>
        <v>0.33300000000000002</v>
      </c>
      <c r="AG5" s="14" t="str">
        <f t="shared" si="8"/>
        <v/>
      </c>
      <c r="AH5" s="11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88" t="str">
        <f>IF(ROUND(A5,0)&gt;=ROUND($H$4,0),SUM($C$3:$C5),"")</f>
        <v/>
      </c>
    </row>
    <row r="6" spans="1:104" x14ac:dyDescent="0.2">
      <c r="A6" s="32">
        <f t="shared" si="1"/>
        <v>1</v>
      </c>
      <c r="B6" s="11">
        <f t="shared" si="2"/>
        <v>4.5</v>
      </c>
      <c r="C6" s="34">
        <f>IF(A6&lt;=MAX($AI$41:$AI$70),IF(ROW()&lt;=COUNTA(Data!$2:$2)+2,(B6+B5)*(A6-A5)/2,FALSE),FALSE)</f>
        <v>1.1488499999999999</v>
      </c>
      <c r="D6" s="11" t="b">
        <f t="shared" si="7"/>
        <v>0</v>
      </c>
      <c r="E6" s="33">
        <f>IF(A6&lt;=MAX($AI$41:$AI$70),IF(ROW()&lt;=COUNTA(Data!$2:$2)+2,(B6*A6+B5*A5)*(A6-A5)/2,FALSE),FALSE)</f>
        <v>1.0157831999999998</v>
      </c>
      <c r="G6" s="16"/>
      <c r="T6" s="28"/>
      <c r="U6" s="28"/>
      <c r="V6" s="28"/>
      <c r="W6" s="10">
        <v>4</v>
      </c>
      <c r="X6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</v>
      </c>
      <c r="Y6" s="11">
        <f>IF(ROW()&lt;=COUNTA(Data!$2:$2),INDEX(Data!$C$2:$AZ$282,Analysis!$C$1,ROW()-2),FALSE)</f>
        <v>4.5</v>
      </c>
      <c r="Z6" s="34">
        <f t="shared" si="10"/>
        <v>0</v>
      </c>
      <c r="AA6" s="33">
        <f t="shared" si="11"/>
        <v>4</v>
      </c>
      <c r="AB6" s="11">
        <v>4</v>
      </c>
      <c r="AC6" s="11">
        <f t="shared" si="0"/>
        <v>4</v>
      </c>
      <c r="AD6" s="10">
        <v>14</v>
      </c>
      <c r="AE6" s="11">
        <f t="shared" si="3"/>
        <v>1</v>
      </c>
      <c r="AF6" s="11">
        <f t="shared" si="12"/>
        <v>0.33300000000000002</v>
      </c>
      <c r="AG6" s="14" t="str">
        <f t="shared" si="8"/>
        <v/>
      </c>
      <c r="AH6" s="11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88" t="str">
        <f>IF(ROUND(A6,0)&gt;=ROUND($H$4,0),SUM($C$3:$C6),"")</f>
        <v/>
      </c>
    </row>
    <row r="7" spans="1:104" x14ac:dyDescent="0.2">
      <c r="A7" s="32">
        <f t="shared" si="1"/>
        <v>1.5</v>
      </c>
      <c r="B7" s="11">
        <f t="shared" si="2"/>
        <v>15.4</v>
      </c>
      <c r="C7" s="34">
        <f>IF(A7&lt;=MAX($AI$41:$AI$70),IF(ROW()&lt;=COUNTA(Data!$2:$2)+2,(B7+B6)*(A7-A6)/2,FALSE),FALSE)</f>
        <v>4.9749999999999996</v>
      </c>
      <c r="D7" s="11">
        <f t="shared" si="7"/>
        <v>1.5</v>
      </c>
      <c r="E7" s="33">
        <f>IF(A7&lt;=MAX($AI$41:$AI$70),IF(ROW()&lt;=COUNTA(Data!$2:$2)+2,(B7*A7+B6*A6)*(A7-A6)/2,FALSE),FALSE)</f>
        <v>6.9</v>
      </c>
      <c r="G7" s="42" t="b">
        <v>1</v>
      </c>
      <c r="W7" s="10">
        <v>5</v>
      </c>
      <c r="X7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1">
        <f>IF(ROW()&lt;=COUNTA(Data!$2:$2),INDEX(Data!$C$2:$AZ$282,Analysis!$C$1,ROW()-2),FALSE)</f>
        <v>15.4</v>
      </c>
      <c r="Z7" s="34">
        <f t="shared" si="10"/>
        <v>0</v>
      </c>
      <c r="AA7" s="33">
        <f t="shared" si="11"/>
        <v>5</v>
      </c>
      <c r="AB7" s="11">
        <v>5</v>
      </c>
      <c r="AC7" s="11">
        <f t="shared" si="0"/>
        <v>5</v>
      </c>
      <c r="AD7" s="10">
        <v>13</v>
      </c>
      <c r="AE7" s="11">
        <f t="shared" si="3"/>
        <v>1.5</v>
      </c>
      <c r="AF7" s="11">
        <f t="shared" si="12"/>
        <v>0.33300000000000002</v>
      </c>
      <c r="AG7" s="14">
        <f t="shared" si="8"/>
        <v>5</v>
      </c>
      <c r="AH7" s="11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88" t="str">
        <f>IF(ROUND(A7,0)&gt;=ROUND($H$4,0),SUM($C$3:$C7),"")</f>
        <v/>
      </c>
    </row>
    <row r="8" spans="1:104" x14ac:dyDescent="0.2">
      <c r="A8" s="32">
        <f t="shared" si="1"/>
        <v>2</v>
      </c>
      <c r="B8" s="11">
        <f t="shared" si="2"/>
        <v>13</v>
      </c>
      <c r="C8" s="34">
        <f>IF(A8&lt;=MAX($AI$41:$AI$70),IF(ROW()&lt;=COUNTA(Data!$2:$2)+2,(B8+B7)*(A8-A7)/2,FALSE),FALSE)</f>
        <v>7.1</v>
      </c>
      <c r="D8" s="11" t="b">
        <f t="shared" si="7"/>
        <v>0</v>
      </c>
      <c r="E8" s="33">
        <f>IF(A8&lt;=MAX($AI$41:$AI$70),IF(ROW()&lt;=COUNTA(Data!$2:$2)+2,(B8*A8+B7*A7)*(A8-A7)/2,FALSE),FALSE)</f>
        <v>12.275</v>
      </c>
      <c r="G8" s="100">
        <f>$H$5</f>
        <v>3</v>
      </c>
      <c r="W8" s="10">
        <v>6</v>
      </c>
      <c r="X8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1">
        <f>IF(ROW()&lt;=COUNTA(Data!$2:$2),INDEX(Data!$C$2:$AZ$282,Analysis!$C$1,ROW()-2),FALSE)</f>
        <v>13</v>
      </c>
      <c r="Z8" s="34">
        <f t="shared" si="10"/>
        <v>0</v>
      </c>
      <c r="AA8" s="33">
        <f t="shared" si="11"/>
        <v>6</v>
      </c>
      <c r="AB8" s="11">
        <v>6</v>
      </c>
      <c r="AC8" s="11">
        <f t="shared" si="0"/>
        <v>6</v>
      </c>
      <c r="AD8" s="10">
        <v>12</v>
      </c>
      <c r="AE8" s="11">
        <f t="shared" si="3"/>
        <v>2</v>
      </c>
      <c r="AF8" s="11">
        <f t="shared" si="12"/>
        <v>0.33300000000000002</v>
      </c>
      <c r="AG8" s="14" t="str">
        <f t="shared" si="8"/>
        <v/>
      </c>
      <c r="AH8" s="11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88" t="str">
        <f>IF(ROUND(A8,0)&gt;=ROUND($H$4,0),SUM($C$3:$C8),"")</f>
        <v/>
      </c>
    </row>
    <row r="9" spans="1:104" x14ac:dyDescent="0.2">
      <c r="A9" s="32">
        <f t="shared" si="1"/>
        <v>2.5</v>
      </c>
      <c r="B9" s="11">
        <f t="shared" si="2"/>
        <v>10.32</v>
      </c>
      <c r="C9" s="34">
        <f>IF(A9&lt;=MAX($AI$41:$AI$70),IF(ROW()&lt;=COUNTA(Data!$2:$2)+2,(B9+B8)*(A9-A8)/2,FALSE),FALSE)</f>
        <v>5.83</v>
      </c>
      <c r="D9" s="11" t="b">
        <f t="shared" si="7"/>
        <v>0</v>
      </c>
      <c r="E9" s="33">
        <f>IF(A9&lt;=MAX($AI$41:$AI$70),IF(ROW()&lt;=COUNTA(Data!$2:$2)+2,(B9*A9+B8*A8)*(A9-A8)/2,FALSE),FALSE)</f>
        <v>12.95</v>
      </c>
      <c r="G9" s="42" t="b">
        <v>1</v>
      </c>
      <c r="W9" s="10">
        <v>7</v>
      </c>
      <c r="X9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1">
        <f>IF(ROW()&lt;=COUNTA(Data!$2:$2),INDEX(Data!$C$2:$AZ$282,Analysis!$C$1,ROW()-2),FALSE)</f>
        <v>10.32</v>
      </c>
      <c r="Z9" s="34">
        <f t="shared" si="10"/>
        <v>0</v>
      </c>
      <c r="AA9" s="33">
        <f t="shared" si="11"/>
        <v>7</v>
      </c>
      <c r="AB9" s="11">
        <v>7</v>
      </c>
      <c r="AC9" s="11">
        <f t="shared" si="0"/>
        <v>7</v>
      </c>
      <c r="AD9" s="10">
        <v>11</v>
      </c>
      <c r="AE9" s="11">
        <f t="shared" si="3"/>
        <v>2.5</v>
      </c>
      <c r="AF9" s="11">
        <f t="shared" si="12"/>
        <v>0.33300000000000002</v>
      </c>
      <c r="AG9" s="14" t="str">
        <f t="shared" si="8"/>
        <v/>
      </c>
      <c r="AH9" s="11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88" t="str">
        <f>IF(ROUND(A9,0)&gt;=ROUND($H$4,0),SUM($C$3:$C9),"")</f>
        <v/>
      </c>
    </row>
    <row r="10" spans="1:104" x14ac:dyDescent="0.2">
      <c r="A10" s="32">
        <f t="shared" si="1"/>
        <v>3</v>
      </c>
      <c r="B10" s="11">
        <f t="shared" si="2"/>
        <v>8.4</v>
      </c>
      <c r="C10" s="34">
        <f>IF(A10&lt;=MAX($AI$41:$AI$70),IF(ROW()&lt;=COUNTA(Data!$2:$2)+2,(B10+B9)*(A10-A9)/2,FALSE),FALSE)</f>
        <v>4.68</v>
      </c>
      <c r="D10" s="11" t="b">
        <f t="shared" si="7"/>
        <v>0</v>
      </c>
      <c r="E10" s="33">
        <f>IF(A10&lt;=MAX($AI$41:$AI$70),IF(ROW()&lt;=COUNTA(Data!$2:$2)+2,(B10*A10+B9*A9)*(A10-A9)/2,FALSE),FALSE)</f>
        <v>12.75</v>
      </c>
      <c r="G10" s="42" t="b">
        <v>0</v>
      </c>
      <c r="W10" s="10">
        <v>8</v>
      </c>
      <c r="X10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1">
        <f>IF(ROW()&lt;=COUNTA(Data!$2:$2),INDEX(Data!$C$2:$AZ$282,Analysis!$C$1,ROW()-2),FALSE)</f>
        <v>8.4</v>
      </c>
      <c r="Z10" s="34">
        <f t="shared" si="10"/>
        <v>0</v>
      </c>
      <c r="AA10" s="33">
        <f t="shared" si="11"/>
        <v>8</v>
      </c>
      <c r="AB10" s="11">
        <v>8</v>
      </c>
      <c r="AC10" s="11">
        <f t="shared" si="0"/>
        <v>8</v>
      </c>
      <c r="AD10" s="10">
        <v>10</v>
      </c>
      <c r="AE10" s="11">
        <f t="shared" si="3"/>
        <v>3</v>
      </c>
      <c r="AF10" s="11">
        <f t="shared" si="12"/>
        <v>0.33300000000000002</v>
      </c>
      <c r="AG10" s="14" t="str">
        <f t="shared" si="8"/>
        <v/>
      </c>
      <c r="AH10" s="11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88" t="str">
        <f>IF(ROUND(A10,0)&gt;=ROUND($H$4,0),SUM($C$3:$C10),"")</f>
        <v/>
      </c>
    </row>
    <row r="11" spans="1:104" x14ac:dyDescent="0.2">
      <c r="A11" s="32">
        <f t="shared" si="1"/>
        <v>3.5</v>
      </c>
      <c r="B11" s="11">
        <f t="shared" si="2"/>
        <v>7.53</v>
      </c>
      <c r="C11" s="34">
        <f>IF(A11&lt;=MAX($AI$41:$AI$70),IF(ROW()&lt;=COUNTA(Data!$2:$2)+2,(B11+B10)*(A11-A10)/2,FALSE),FALSE)</f>
        <v>3.9824999999999999</v>
      </c>
      <c r="D11" s="11" t="b">
        <f t="shared" si="7"/>
        <v>0</v>
      </c>
      <c r="E11" s="33">
        <f>IF(A11&lt;=MAX($AI$41:$AI$70),IF(ROW()&lt;=COUNTA(Data!$2:$2)+2,(B11*A11+B10*A10)*(A11-A10)/2,FALSE),FALSE)</f>
        <v>12.888750000000002</v>
      </c>
      <c r="G11" s="42" t="b">
        <v>0</v>
      </c>
      <c r="H11" s="17"/>
      <c r="I11" s="17"/>
      <c r="J11" s="17"/>
      <c r="K11" s="17"/>
      <c r="L11" s="17"/>
      <c r="M11" s="17"/>
      <c r="N11" s="85"/>
      <c r="W11" s="10">
        <v>9</v>
      </c>
      <c r="X11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1">
        <f>IF(ROW()&lt;=COUNTA(Data!$2:$2),INDEX(Data!$C$2:$AZ$282,Analysis!$C$1,ROW()-2),FALSE)</f>
        <v>7.53</v>
      </c>
      <c r="Z11" s="34">
        <f t="shared" si="10"/>
        <v>0</v>
      </c>
      <c r="AA11" s="33">
        <f t="shared" si="11"/>
        <v>9</v>
      </c>
      <c r="AB11" s="11">
        <v>9</v>
      </c>
      <c r="AC11" s="11">
        <f t="shared" si="0"/>
        <v>9</v>
      </c>
      <c r="AD11" s="10">
        <v>9</v>
      </c>
      <c r="AE11" s="11">
        <f t="shared" si="3"/>
        <v>3.5</v>
      </c>
      <c r="AF11" s="11">
        <f t="shared" si="12"/>
        <v>0.33300000000000002</v>
      </c>
      <c r="AG11" s="14" t="str">
        <f t="shared" si="8"/>
        <v/>
      </c>
      <c r="AH11" s="11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88" t="str">
        <f>IF(ROUND(A11,0)&gt;=ROUND($H$4,0),SUM($C$3:$C11),"")</f>
        <v/>
      </c>
    </row>
    <row r="12" spans="1:104" x14ac:dyDescent="0.2">
      <c r="A12" s="32">
        <f t="shared" si="1"/>
        <v>4</v>
      </c>
      <c r="B12" s="11">
        <f t="shared" si="2"/>
        <v>4.34</v>
      </c>
      <c r="C12" s="34">
        <f>IF(A12&lt;=MAX($AI$41:$AI$70),IF(ROW()&lt;=COUNTA(Data!$2:$2)+2,(B12+B11)*(A12-A11)/2,FALSE),FALSE)</f>
        <v>2.9675000000000002</v>
      </c>
      <c r="D12" s="11" t="b">
        <f t="shared" si="7"/>
        <v>0</v>
      </c>
      <c r="E12" s="33">
        <f>IF(A12&lt;=MAX($AI$41:$AI$70),IF(ROW()&lt;=COUNTA(Data!$2:$2)+2,(B12*A12+B11*A11)*(A12-A11)/2,FALSE),FALSE)</f>
        <v>10.928750000000001</v>
      </c>
      <c r="G12" s="42" t="b">
        <v>1</v>
      </c>
      <c r="H12" s="17"/>
      <c r="I12" s="17"/>
      <c r="J12" s="17"/>
      <c r="K12" s="17"/>
      <c r="M12" s="17"/>
      <c r="W12" s="10">
        <v>10</v>
      </c>
      <c r="X12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1">
        <f>IF(ROW()&lt;=COUNTA(Data!$2:$2),INDEX(Data!$C$2:$AZ$282,Analysis!$C$1,ROW()-2),FALSE)</f>
        <v>4.34</v>
      </c>
      <c r="Z12" s="34">
        <f t="shared" si="10"/>
        <v>0</v>
      </c>
      <c r="AA12" s="33">
        <f t="shared" si="11"/>
        <v>10</v>
      </c>
      <c r="AB12" s="11">
        <v>10</v>
      </c>
      <c r="AC12" s="11">
        <f t="shared" si="0"/>
        <v>10</v>
      </c>
      <c r="AD12" s="10">
        <v>8</v>
      </c>
      <c r="AE12" s="11">
        <f t="shared" si="3"/>
        <v>4</v>
      </c>
      <c r="AF12" s="11">
        <f t="shared" si="12"/>
        <v>0.33300000000000002</v>
      </c>
      <c r="AG12" s="14" t="str">
        <f t="shared" si="8"/>
        <v/>
      </c>
      <c r="AH12" s="11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88" t="str">
        <f>IF(ROUND(A12,0)&gt;=ROUND($H$4,0),SUM($C$3:$C12),"")</f>
        <v/>
      </c>
    </row>
    <row r="13" spans="1:104" x14ac:dyDescent="0.2">
      <c r="A13" s="32">
        <f t="shared" si="1"/>
        <v>6</v>
      </c>
      <c r="B13" s="11">
        <f t="shared" si="2"/>
        <v>3.88</v>
      </c>
      <c r="C13" s="34">
        <f>IF(A13&lt;=MAX($AI$41:$AI$70),IF(ROW()&lt;=COUNTA(Data!$2:$2)+2,(B13+B12)*(A13-A12)/2,FALSE),FALSE)</f>
        <v>8.2199999999999989</v>
      </c>
      <c r="D13" s="11" t="b">
        <f t="shared" si="7"/>
        <v>0</v>
      </c>
      <c r="E13" s="33">
        <f>IF(A13&lt;=MAX($AI$41:$AI$70),IF(ROW()&lt;=COUNTA(Data!$2:$2)+2,(B13*A13+B12*A12)*(A13-A12)/2,FALSE),FALSE)</f>
        <v>40.64</v>
      </c>
      <c r="G13" s="58" t="b">
        <v>1</v>
      </c>
      <c r="H13" s="17"/>
      <c r="I13" s="17"/>
      <c r="J13" s="17"/>
      <c r="K13" s="35"/>
      <c r="L13" s="35"/>
      <c r="M13" s="35"/>
      <c r="N13" s="36"/>
      <c r="O13" s="36"/>
      <c r="W13" s="10">
        <v>11</v>
      </c>
      <c r="X13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1">
        <f>IF(ROW()&lt;=COUNTA(Data!$2:$2),INDEX(Data!$C$2:$AZ$282,Analysis!$C$1,ROW()-2),FALSE)</f>
        <v>3.88</v>
      </c>
      <c r="Z13" s="34">
        <f t="shared" si="10"/>
        <v>0</v>
      </c>
      <c r="AA13" s="33">
        <f t="shared" si="11"/>
        <v>11</v>
      </c>
      <c r="AB13" s="11">
        <v>11</v>
      </c>
      <c r="AC13" s="11">
        <f t="shared" si="0"/>
        <v>11</v>
      </c>
      <c r="AD13" s="10">
        <v>7</v>
      </c>
      <c r="AE13" s="11">
        <f t="shared" si="3"/>
        <v>6</v>
      </c>
      <c r="AF13" s="11">
        <f t="shared" si="12"/>
        <v>0.33300000000000002</v>
      </c>
      <c r="AG13" s="14" t="str">
        <f t="shared" si="8"/>
        <v/>
      </c>
      <c r="AH13" s="11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88" t="str">
        <f>IF(ROUND(A13,0)&gt;=ROUND($H$4,0),SUM($C$3:$C13),"")</f>
        <v/>
      </c>
    </row>
    <row r="14" spans="1:104" ht="13.5" thickBot="1" x14ac:dyDescent="0.25">
      <c r="A14" s="32">
        <f t="shared" si="1"/>
        <v>8</v>
      </c>
      <c r="B14" s="11">
        <f t="shared" si="2"/>
        <v>2</v>
      </c>
      <c r="C14" s="34">
        <f>IF(A14&lt;=MAX($AI$41:$AI$70),IF(ROW()&lt;=COUNTA(Data!$2:$2)+2,(B14+B13)*(A14-A13)/2,FALSE),FALSE)</f>
        <v>5.88</v>
      </c>
      <c r="D14" s="11" t="b">
        <f t="shared" si="7"/>
        <v>0</v>
      </c>
      <c r="E14" s="33">
        <f>IF(A14&lt;=MAX($AI$41:$AI$70),IF(ROW()&lt;=COUNTA(Data!$2:$2)+2,(B14*A14+B13*A13)*(A14-A13)/2,FALSE),FALSE)</f>
        <v>39.28</v>
      </c>
      <c r="G14" s="70" t="b">
        <v>0</v>
      </c>
      <c r="H14" s="17"/>
      <c r="I14" s="26"/>
      <c r="J14" s="17"/>
      <c r="K14" s="17"/>
      <c r="L14" s="17"/>
      <c r="M14" s="17"/>
      <c r="W14" s="10">
        <v>12</v>
      </c>
      <c r="X14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1">
        <f>IF(ROW()&lt;=COUNTA(Data!$2:$2),INDEX(Data!$C$2:$AZ$282,Analysis!$C$1,ROW()-2),FALSE)</f>
        <v>2</v>
      </c>
      <c r="Z14" s="34">
        <f t="shared" si="10"/>
        <v>0</v>
      </c>
      <c r="AA14" s="33">
        <f t="shared" si="11"/>
        <v>12</v>
      </c>
      <c r="AB14" s="11">
        <v>12</v>
      </c>
      <c r="AC14" s="11">
        <f t="shared" si="0"/>
        <v>12</v>
      </c>
      <c r="AD14" s="10">
        <v>6</v>
      </c>
      <c r="AE14" s="11">
        <f t="shared" si="3"/>
        <v>8</v>
      </c>
      <c r="AF14" s="11">
        <f t="shared" si="12"/>
        <v>0.33300000000000002</v>
      </c>
      <c r="AG14" s="14" t="str">
        <f t="shared" si="8"/>
        <v/>
      </c>
      <c r="AH14" s="11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88" t="str">
        <f>IF(ROUND(A14,0)&gt;=ROUND($H$4,0),SUM($C$3:$C14),"")</f>
        <v/>
      </c>
    </row>
    <row r="15" spans="1:104" ht="13.5" thickBot="1" x14ac:dyDescent="0.25">
      <c r="A15" s="32">
        <f t="shared" si="1"/>
        <v>12</v>
      </c>
      <c r="B15" s="11">
        <f t="shared" si="2"/>
        <v>1.35</v>
      </c>
      <c r="C15" s="34">
        <f>IF(A15&lt;=MAX($AI$41:$AI$70),IF(ROW()&lt;=COUNTA(Data!$2:$2)+2,(B15+B14)*(A15-A14)/2,FALSE),FALSE)</f>
        <v>6.7</v>
      </c>
      <c r="D15" s="11" t="b">
        <f t="shared" si="7"/>
        <v>0</v>
      </c>
      <c r="E15" s="33">
        <f>IF(A15&lt;=MAX($AI$41:$AI$70),IF(ROW()&lt;=COUNTA(Data!$2:$2)+2,(B15*A15+B14*A14)*(A15-A14)/2,FALSE),FALSE)</f>
        <v>64.400000000000006</v>
      </c>
      <c r="G15" s="37" t="s">
        <v>65</v>
      </c>
      <c r="H15" s="82" t="s">
        <v>76</v>
      </c>
      <c r="I15" s="17" t="s">
        <v>67</v>
      </c>
      <c r="J15" s="17"/>
      <c r="K15" s="17"/>
      <c r="L15" s="17"/>
      <c r="M15" s="17"/>
      <c r="W15" s="10">
        <v>13</v>
      </c>
      <c r="X15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1">
        <f>IF(ROW()&lt;=COUNTA(Data!$2:$2),INDEX(Data!$C$2:$AZ$282,Analysis!$C$1,ROW()-2),FALSE)</f>
        <v>1.35</v>
      </c>
      <c r="Z15" s="34">
        <f t="shared" si="10"/>
        <v>0</v>
      </c>
      <c r="AA15" s="33">
        <f t="shared" si="11"/>
        <v>13</v>
      </c>
      <c r="AB15" s="11">
        <v>13</v>
      </c>
      <c r="AC15" s="11">
        <f t="shared" si="0"/>
        <v>13</v>
      </c>
      <c r="AD15" s="10">
        <v>5</v>
      </c>
      <c r="AE15" s="11">
        <f t="shared" si="3"/>
        <v>12</v>
      </c>
      <c r="AF15" s="11">
        <f t="shared" si="12"/>
        <v>0.33300000000000002</v>
      </c>
      <c r="AG15" s="14" t="str">
        <f t="shared" si="8"/>
        <v/>
      </c>
      <c r="AH15" s="11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88" t="str">
        <f>IF(ROUND(A15,0)&gt;=ROUND($H$4,0),SUM($C$3:$C15),"")</f>
        <v/>
      </c>
    </row>
    <row r="16" spans="1:104" x14ac:dyDescent="0.2">
      <c r="A16" s="32">
        <f t="shared" si="1"/>
        <v>24</v>
      </c>
      <c r="B16" s="11">
        <f t="shared" si="2"/>
        <v>1.23</v>
      </c>
      <c r="C16" s="34">
        <f>IF(A16&lt;=MAX($AI$41:$AI$70),IF(ROW()&lt;=COUNTA(Data!$2:$2)+2,(B16+B15)*(A16-A15)/2,FALSE),FALSE)</f>
        <v>15.48</v>
      </c>
      <c r="D16" s="11" t="b">
        <f t="shared" si="7"/>
        <v>0</v>
      </c>
      <c r="E16" s="33">
        <f>IF(A16&lt;=MAX($AI$41:$AI$70),IF(ROW()&lt;=COUNTA(Data!$2:$2)+2,(B16*A16+B15*A15)*(A16-A15)/2,FALSE),FALSE)</f>
        <v>274.32</v>
      </c>
      <c r="H16" s="17"/>
      <c r="I16" s="17"/>
      <c r="O16" s="17"/>
      <c r="P16" s="17"/>
      <c r="W16" s="10">
        <v>14</v>
      </c>
      <c r="X16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1">
        <f>IF(ROW()&lt;=COUNTA(Data!$2:$2),INDEX(Data!$C$2:$AZ$282,Analysis!$C$1,ROW()-2),FALSE)</f>
        <v>1.23</v>
      </c>
      <c r="Z16" s="34">
        <f t="shared" si="10"/>
        <v>0</v>
      </c>
      <c r="AA16" s="33">
        <f t="shared" si="11"/>
        <v>14</v>
      </c>
      <c r="AB16" s="11">
        <v>14</v>
      </c>
      <c r="AC16" s="11">
        <f t="shared" si="0"/>
        <v>14</v>
      </c>
      <c r="AD16" s="10">
        <v>4</v>
      </c>
      <c r="AE16" s="11">
        <f t="shared" si="3"/>
        <v>24</v>
      </c>
      <c r="AF16" s="11">
        <f t="shared" si="12"/>
        <v>0.33300000000000002</v>
      </c>
      <c r="AG16" s="14" t="str">
        <f t="shared" si="8"/>
        <v/>
      </c>
      <c r="AH16" s="11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88" t="e">
        <f>IF(ROUND(A16,0)&gt;=ROUND($H$4,0),SUM($C$3:$C16),"")</f>
        <v>#VALUE!</v>
      </c>
    </row>
    <row r="17" spans="1:103" ht="13.5" thickBot="1" x14ac:dyDescent="0.25">
      <c r="A17" s="32">
        <f t="shared" si="1"/>
        <v>36</v>
      </c>
      <c r="B17" s="11">
        <f t="shared" si="2"/>
        <v>0.94</v>
      </c>
      <c r="C17" s="34">
        <f>IF(A17&lt;=MAX($AI$41:$AI$70),IF(ROW()&lt;=COUNTA(Data!$2:$2)+2,(B17+B16)*(A17-A16)/2,FALSE),FALSE)</f>
        <v>13.02</v>
      </c>
      <c r="D17" s="11" t="b">
        <f t="shared" si="7"/>
        <v>0</v>
      </c>
      <c r="E17" s="33">
        <f>IF(A17&lt;=MAX($AI$41:$AI$70),IF(ROW()&lt;=COUNTA(Data!$2:$2)+2,(B17*A17+B16*A16)*(A17-A16)/2,FALSE),FALSE)</f>
        <v>380.15999999999997</v>
      </c>
      <c r="G17" s="16" t="s">
        <v>38</v>
      </c>
      <c r="H17" s="17"/>
      <c r="I17" s="17"/>
      <c r="J17" s="16" t="s">
        <v>34</v>
      </c>
      <c r="K17" s="17"/>
      <c r="L17" s="17"/>
      <c r="M17" s="17"/>
      <c r="N17" s="50"/>
      <c r="O17" s="17"/>
      <c r="P17" s="17"/>
      <c r="W17" s="10">
        <v>15</v>
      </c>
      <c r="X17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1">
        <f>IF(ROW()&lt;=COUNTA(Data!$2:$2),INDEX(Data!$C$2:$AZ$282,Analysis!$C$1,ROW()-2),FALSE)</f>
        <v>0.94</v>
      </c>
      <c r="Z17" s="34">
        <f t="shared" si="10"/>
        <v>0</v>
      </c>
      <c r="AA17" s="33">
        <f t="shared" si="11"/>
        <v>15</v>
      </c>
      <c r="AB17" s="11">
        <v>15</v>
      </c>
      <c r="AC17" s="11">
        <f t="shared" si="0"/>
        <v>15</v>
      </c>
      <c r="AD17" s="10">
        <v>3</v>
      </c>
      <c r="AE17" s="11">
        <f t="shared" si="3"/>
        <v>36</v>
      </c>
      <c r="AF17" s="11">
        <f t="shared" si="12"/>
        <v>0.33300000000000002</v>
      </c>
      <c r="AG17" s="14" t="str">
        <f t="shared" si="8"/>
        <v/>
      </c>
      <c r="AH17" s="11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88" t="e">
        <f>IF(ROUND(A17,0)&gt;=ROUND($H$4,0),SUM($C$3:$C17),"")</f>
        <v>#VALUE!</v>
      </c>
    </row>
    <row r="18" spans="1:103" x14ac:dyDescent="0.2">
      <c r="A18" s="32">
        <f t="shared" si="1"/>
        <v>48</v>
      </c>
      <c r="B18" s="11">
        <f t="shared" si="2"/>
        <v>0.21</v>
      </c>
      <c r="C18" s="34">
        <f>IF(A18&lt;=MAX($AI$41:$AI$70),IF(ROW()&lt;=COUNTA(Data!$2:$2)+2,(B18+B17)*(A18-A17)/2,FALSE),FALSE)</f>
        <v>6.8999999999999995</v>
      </c>
      <c r="D18" s="11" t="b">
        <f t="shared" si="7"/>
        <v>0</v>
      </c>
      <c r="E18" s="33">
        <f>IF(A18&lt;=MAX($AI$41:$AI$70),IF(ROW()&lt;=COUNTA(Data!$2:$2)+2,(B18*A18+B17*A17)*(A18-A17)/2,FALSE),FALSE)</f>
        <v>263.52</v>
      </c>
      <c r="G18" s="59" t="s">
        <v>20</v>
      </c>
      <c r="H18" s="60">
        <f>INDEX(Data!$A$2:$A$282,Analysis!C1,1)</f>
        <v>1</v>
      </c>
      <c r="J18" s="17"/>
      <c r="K18" s="17"/>
      <c r="L18" s="17"/>
      <c r="M18" s="17"/>
      <c r="N18" s="50"/>
      <c r="W18" s="10">
        <v>16</v>
      </c>
      <c r="X18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1">
        <f>IF(ROW()&lt;=COUNTA(Data!$2:$2),INDEX(Data!$C$2:$AZ$282,Analysis!$C$1,ROW()-2),FALSE)</f>
        <v>0.21</v>
      </c>
      <c r="Z18" s="34">
        <f t="shared" si="10"/>
        <v>0</v>
      </c>
      <c r="AA18" s="33">
        <f t="shared" si="11"/>
        <v>16</v>
      </c>
      <c r="AB18" s="11">
        <v>16</v>
      </c>
      <c r="AC18" s="11">
        <f t="shared" si="0"/>
        <v>16</v>
      </c>
      <c r="AD18" s="10">
        <v>2</v>
      </c>
      <c r="AE18" s="11">
        <f t="shared" si="3"/>
        <v>48</v>
      </c>
      <c r="AF18" s="11">
        <f t="shared" si="12"/>
        <v>0.33300000000000002</v>
      </c>
      <c r="AG18" s="14" t="str">
        <f t="shared" si="8"/>
        <v/>
      </c>
      <c r="AH18" s="11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88" t="e">
        <f>IF(ROUND(A18,0)&gt;=ROUND($H$4,0),SUM($C$3:$C18),"")</f>
        <v>#VALUE!</v>
      </c>
    </row>
    <row r="19" spans="1:103" x14ac:dyDescent="0.2">
      <c r="A19" s="32">
        <f t="shared" si="1"/>
        <v>72</v>
      </c>
      <c r="B19" s="11">
        <f t="shared" si="2"/>
        <v>0.14000000000000001</v>
      </c>
      <c r="C19" s="34">
        <f>IF(A19&lt;=MAX($AI$41:$AI$70),IF(ROW()&lt;=COUNTA(Data!$2:$2)+2,(B19+B18)*(A19-A18)/2,FALSE),FALSE)</f>
        <v>4.1999999999999993</v>
      </c>
      <c r="D19" s="11" t="b">
        <f t="shared" si="7"/>
        <v>0</v>
      </c>
      <c r="E19" s="33">
        <f>IF(A19&lt;=MAX($AI$41:$AI$70),IF(ROW()&lt;=COUNTA(Data!$2:$2)+2,(B19*A19+B18*A18)*(A19-A18)/2,FALSE),FALSE)</f>
        <v>241.92000000000004</v>
      </c>
      <c r="G19" s="61" t="s">
        <v>26</v>
      </c>
      <c r="H19" s="62" t="str">
        <f>TRIM(VLOOKUP($H$18,Randomization!$A:$E,2,FALSE))&amp;TRIM(VLOOKUP($H$18,Randomization!$A:$E,3,FALSE))&amp;TRIM(VLOOKUP($H$18,Randomization!$A:$E,4,FALSE))&amp;TRIM(VLOOKUP($H$18,Randomization!$A:$E,5,FALSE))</f>
        <v>AB</v>
      </c>
      <c r="M19" s="48" t="s">
        <v>25</v>
      </c>
      <c r="W19" s="10">
        <v>17</v>
      </c>
      <c r="X19" s="7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1">
        <f>IF(ROW()&lt;=COUNTA(Data!$2:$2),INDEX(Data!$C$2:$AZ$282,Analysis!$C$1,ROW()-2),FALSE)</f>
        <v>0.14000000000000001</v>
      </c>
      <c r="Z19" s="34">
        <f t="shared" si="10"/>
        <v>0</v>
      </c>
      <c r="AA19" s="33">
        <f t="shared" si="11"/>
        <v>17</v>
      </c>
      <c r="AB19" s="11">
        <v>17</v>
      </c>
      <c r="AC19" s="11">
        <f t="shared" si="0"/>
        <v>17</v>
      </c>
      <c r="AD19" s="10">
        <v>1</v>
      </c>
      <c r="AE19" s="11">
        <f t="shared" si="3"/>
        <v>72</v>
      </c>
      <c r="AF19" s="11">
        <f t="shared" si="12"/>
        <v>0.33300000000000002</v>
      </c>
      <c r="AG19" s="14" t="str">
        <f t="shared" si="8"/>
        <v/>
      </c>
      <c r="AH19" s="11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88" t="e">
        <f>IF(ROUND(A19,0)&gt;=ROUND($H$4,0),SUM($C$3:$C19),"")</f>
        <v>#VALUE!</v>
      </c>
    </row>
    <row r="20" spans="1:103" x14ac:dyDescent="0.2">
      <c r="A20" s="32" t="b">
        <f t="shared" si="1"/>
        <v>0</v>
      </c>
      <c r="B20" s="11" t="b">
        <f t="shared" si="2"/>
        <v>0</v>
      </c>
      <c r="C20" s="34" t="b">
        <f>IF(A20&lt;=MAX($AI$41:$AI$70),IF(ROW()&lt;=COUNTA(Data!$2:$2)+2,(B20+B19)*(A20-A19)/2,FALSE),FALSE)</f>
        <v>0</v>
      </c>
      <c r="D20" s="11" t="b">
        <f t="shared" si="7"/>
        <v>0</v>
      </c>
      <c r="E20" s="33" t="b">
        <f>IF(A20&lt;=MAX($AI$41:$AI$70),IF(ROW()&lt;=COUNTA(Data!$2:$2)+2,(B20*A20+B19*A19)*(A20-A19)/2,FALSE),FALSE)</f>
        <v>0</v>
      </c>
      <c r="G20" s="61" t="s">
        <v>6</v>
      </c>
      <c r="H20" s="62">
        <f>INDEX(Data!$A$2:$B$501,Analysis!$C$1,2)</f>
        <v>1</v>
      </c>
      <c r="I20" s="17"/>
      <c r="W20" s="10">
        <v>18</v>
      </c>
      <c r="X2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1" t="b">
        <f>IF(ROW()&lt;=COUNTA(Data!$2:$2),INDEX(Data!$C$2:$AZ$282,Analysis!$C$1,ROW()-2),FALSE)</f>
        <v>0</v>
      </c>
      <c r="Z20" s="34">
        <f t="shared" si="10"/>
        <v>1</v>
      </c>
      <c r="AA20" s="33" t="b">
        <f t="shared" si="11"/>
        <v>0</v>
      </c>
      <c r="AB20" s="11"/>
      <c r="AC20" s="11" t="b">
        <f t="shared" si="0"/>
        <v>0</v>
      </c>
      <c r="AE20" s="11" t="b">
        <f t="shared" si="3"/>
        <v>0</v>
      </c>
      <c r="AF20" s="11">
        <f t="shared" si="12"/>
        <v>0.33300000000000002</v>
      </c>
      <c r="AG20" s="14" t="str">
        <f t="shared" si="8"/>
        <v/>
      </c>
      <c r="AH20" s="11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88" t="str">
        <f>IF(ROUND(A20,0)&gt;=ROUND($H$4,0),SUM($C$3:$C20),"")</f>
        <v/>
      </c>
    </row>
    <row r="21" spans="1:103" x14ac:dyDescent="0.2">
      <c r="A21" s="32" t="b">
        <f t="shared" si="1"/>
        <v>0</v>
      </c>
      <c r="B21" s="11" t="b">
        <f t="shared" si="2"/>
        <v>0</v>
      </c>
      <c r="C21" s="34" t="b">
        <f>IF(A21&lt;=MAX($AI$41:$AI$70),IF(ROW()&lt;=COUNTA(Data!$2:$2)+2,(B21+B20)*(A21-A20)/2,FALSE),FALSE)</f>
        <v>0</v>
      </c>
      <c r="D21" s="11" t="b">
        <f t="shared" si="7"/>
        <v>0</v>
      </c>
      <c r="E21" s="33" t="b">
        <f>IF(A21&lt;=MAX($AI$41:$AI$70),IF(ROW()&lt;=COUNTA(Data!$2:$2)+2,(B21*A21+B20*A20)*(A21-A20)/2,FALSE),FALSE)</f>
        <v>0</v>
      </c>
      <c r="G21" s="61" t="s">
        <v>18</v>
      </c>
      <c r="H21" s="62" t="str">
        <f>MID(H19,H20,1)</f>
        <v>A</v>
      </c>
      <c r="W21" s="10">
        <v>19</v>
      </c>
      <c r="X2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1" t="b">
        <f>IF(ROW()&lt;=COUNTA(Data!$2:$2),INDEX(Data!$C$2:$AZ$282,Analysis!$C$1,ROW()-2),FALSE)</f>
        <v>0</v>
      </c>
      <c r="Z21" s="34">
        <f t="shared" si="10"/>
        <v>1</v>
      </c>
      <c r="AA21" s="33" t="b">
        <f t="shared" si="11"/>
        <v>0</v>
      </c>
      <c r="AB21" s="11"/>
      <c r="AC21" s="11" t="b">
        <f t="shared" si="0"/>
        <v>0</v>
      </c>
      <c r="AE21" s="11" t="b">
        <f t="shared" si="3"/>
        <v>0</v>
      </c>
      <c r="AF21" s="11">
        <f t="shared" si="12"/>
        <v>0.33300000000000002</v>
      </c>
      <c r="AG21" s="14" t="str">
        <f t="shared" si="8"/>
        <v/>
      </c>
      <c r="AH21" s="11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88" t="str">
        <f>IF(ROUND(A21,0)&gt;=ROUND($H$4,0),SUM($C$3:$C21),"")</f>
        <v/>
      </c>
    </row>
    <row r="22" spans="1:103" x14ac:dyDescent="0.2">
      <c r="A22" s="32" t="b">
        <f t="shared" si="1"/>
        <v>0</v>
      </c>
      <c r="B22" s="11" t="b">
        <f t="shared" si="2"/>
        <v>0</v>
      </c>
      <c r="C22" s="34" t="b">
        <f>IF(A22&lt;=MAX($AI$41:$AI$70),IF(ROW()&lt;=COUNTA(Data!$2:$2)+2,(B22+B21)*(A22-A21)/2,FALSE),FALSE)</f>
        <v>0</v>
      </c>
      <c r="D22" s="11" t="b">
        <f t="shared" si="7"/>
        <v>0</v>
      </c>
      <c r="E22" s="33" t="b">
        <f>IF(A22&lt;=MAX($AI$41:$AI$70),IF(ROW()&lt;=COUNTA(Data!$2:$2)+2,(B22*A22+B21*A21)*(A22-A21)/2,FALSE),FALSE)</f>
        <v>0</v>
      </c>
      <c r="G22" s="61" t="s">
        <v>11</v>
      </c>
      <c r="H22" s="63" t="e">
        <f>IF(AND(IF(OR(AND(INDEX(Y3:Y70,$AD$3+1,1)&lt;0,INDEX(Y3:Y70,$AD$3+1,1)&lt;&gt;-999),AND(Y3&lt;0,Y3&lt;&gt;-999)),TRUE,FALSE),$G$9),$H$15,SUM($C$4:$C$70))</f>
        <v>#VALUE!</v>
      </c>
      <c r="W22" s="10">
        <v>20</v>
      </c>
      <c r="X2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1" t="b">
        <f>IF(ROW()&lt;=COUNTA(Data!$2:$2),INDEX(Data!$C$2:$AZ$282,Analysis!$C$1,ROW()-2),FALSE)</f>
        <v>0</v>
      </c>
      <c r="Z22" s="34">
        <f t="shared" si="10"/>
        <v>1</v>
      </c>
      <c r="AA22" s="33" t="b">
        <f t="shared" si="11"/>
        <v>0</v>
      </c>
      <c r="AB22" s="11"/>
      <c r="AC22" s="11" t="b">
        <f t="shared" si="0"/>
        <v>0</v>
      </c>
      <c r="AE22" s="11" t="b">
        <f t="shared" si="3"/>
        <v>0</v>
      </c>
      <c r="AF22" s="11">
        <f t="shared" si="12"/>
        <v>0.33300000000000002</v>
      </c>
      <c r="AG22" s="14" t="str">
        <f t="shared" si="8"/>
        <v/>
      </c>
      <c r="AH22" s="11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88" t="str">
        <f>IF(ROUND(A22,0)&gt;=ROUND($H$4,0),SUM($C$3:$C22),"")</f>
        <v/>
      </c>
    </row>
    <row r="23" spans="1:103" x14ac:dyDescent="0.2">
      <c r="A23" s="32" t="b">
        <f t="shared" ref="A23:A67" si="31">IF(AC23=FALSE,FALSE,INDEX($X$3:$X$70,AC23,1))</f>
        <v>0</v>
      </c>
      <c r="B23" s="11" t="b">
        <f t="shared" si="2"/>
        <v>0</v>
      </c>
      <c r="C23" s="34" t="b">
        <f>IF(A23&lt;=MAX($AI$41:$AI$70),IF(ROW()&lt;=COUNTA(Data!$2:$2)+2,(B23+B22)*(A23-A22)/2,FALSE),FALSE)</f>
        <v>0</v>
      </c>
      <c r="D23" s="11" t="b">
        <f t="shared" si="7"/>
        <v>0</v>
      </c>
      <c r="E23" s="33" t="b">
        <f>IF(A23&lt;=MAX($AI$41:$AI$70),IF(ROW()&lt;=COUNTA(Data!$2:$2)+2,(B23*A23+B22*A22)*(A23-A22)/2,FALSE),FALSE)</f>
        <v>0</v>
      </c>
      <c r="G23" s="61" t="s">
        <v>10</v>
      </c>
      <c r="H23" s="63" t="e">
        <f>IF(H25=MAX($A$3:$A$70),"NA",IF(OR($H$26=$H$15,AND($H$22=$H$15,$G$10=FALSE),IF($AJ$81=$H$15,TRUE,AND(SUM($C$4:$C$70)/(SUM($C$4:$C$70)+H30/$AJ$81)&lt;0.8,G14))),$H$15,SUM($C$4:$C$70)+H30/$AJ$81))</f>
        <v>#VALUE!</v>
      </c>
      <c r="W23" s="10">
        <v>21</v>
      </c>
      <c r="X2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1" t="b">
        <f>IF(ROW()&lt;=COUNTA(Data!$2:$2),INDEX(Data!$C$2:$AZ$282,Analysis!$C$1,ROW()-2),FALSE)</f>
        <v>0</v>
      </c>
      <c r="Z23" s="34">
        <f t="shared" si="10"/>
        <v>1</v>
      </c>
      <c r="AA23" s="33" t="b">
        <f t="shared" si="11"/>
        <v>0</v>
      </c>
      <c r="AC23" s="11" t="b">
        <f t="shared" si="0"/>
        <v>0</v>
      </c>
      <c r="AE23" s="11" t="b">
        <f t="shared" si="3"/>
        <v>0</v>
      </c>
      <c r="AF23" s="11">
        <f t="shared" si="12"/>
        <v>0.33300000000000002</v>
      </c>
      <c r="AG23" s="14" t="str">
        <f t="shared" si="8"/>
        <v/>
      </c>
      <c r="AH23" s="11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88" t="str">
        <f>IF(ROUND(A23,0)&gt;=ROUND($H$4,0),SUM($C$3:$C23),"")</f>
        <v/>
      </c>
    </row>
    <row r="24" spans="1:103" x14ac:dyDescent="0.2">
      <c r="A24" s="32" t="b">
        <f t="shared" si="31"/>
        <v>0</v>
      </c>
      <c r="B24" s="11" t="b">
        <f t="shared" si="2"/>
        <v>0</v>
      </c>
      <c r="C24" s="34" t="b">
        <f>IF(A24&lt;=MAX($AI$41:$AI$70),IF(ROW()&lt;=COUNTA(Data!$2:$2)+2,(B24+B23)*(A24-A23)/2,FALSE),FALSE)</f>
        <v>0</v>
      </c>
      <c r="D24" s="11" t="b">
        <f t="shared" si="7"/>
        <v>0</v>
      </c>
      <c r="E24" s="33" t="b">
        <f>IF(A24&lt;=MAX($AI$41:$AI$70),IF(ROW()&lt;=COUNTA(Data!$2:$2)+2,(B24*A24+B23*A23)*(A24-A23)/2,FALSE),FALSE)</f>
        <v>0</v>
      </c>
      <c r="G24" s="61" t="s">
        <v>7</v>
      </c>
      <c r="H24" s="63">
        <f>IF(OR(AND(INDEX($Y$3:$Y$70,MIN($AG$3:$AG$70)-1,1)&lt;0,INDEX($Y$3:$Y$70,MIN($AG$3:$AG$70)-1,1)&lt;&gt;-999,$G$12),AND(INDEX($Y$3:$Y$70,MIN($AG$3:$AG$70)+1,1)&lt;0,INDEX($Y$3:$Y$70,MIN($AG$3:$AG$70)+1,1)&lt;&gt;-999,$G$12)),$H$15,MAX($Y$3:$Y$70))</f>
        <v>15.4</v>
      </c>
      <c r="W24" s="10">
        <v>22</v>
      </c>
      <c r="X2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1" t="b">
        <f>IF(ROW()&lt;=COUNTA(Data!$2:$2),INDEX(Data!$C$2:$AZ$282,Analysis!$C$1,ROW()-2),FALSE)</f>
        <v>0</v>
      </c>
      <c r="Z24" s="34">
        <f t="shared" si="10"/>
        <v>1</v>
      </c>
      <c r="AA24" s="33" t="b">
        <f t="shared" si="11"/>
        <v>0</v>
      </c>
      <c r="AC24" s="11" t="b">
        <f t="shared" si="0"/>
        <v>0</v>
      </c>
      <c r="AE24" s="11" t="b">
        <f t="shared" si="3"/>
        <v>0</v>
      </c>
      <c r="AF24" s="11">
        <f t="shared" si="12"/>
        <v>0.33300000000000002</v>
      </c>
      <c r="AG24" s="14" t="str">
        <f t="shared" si="8"/>
        <v/>
      </c>
      <c r="AH24" s="11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88" t="str">
        <f>IF(ROUND(A24,0)&gt;=ROUND($H$4,0),SUM($C$3:$C24),"")</f>
        <v/>
      </c>
    </row>
    <row r="25" spans="1:103" x14ac:dyDescent="0.2">
      <c r="A25" s="32" t="b">
        <f t="shared" si="31"/>
        <v>0</v>
      </c>
      <c r="B25" s="11" t="b">
        <f t="shared" si="2"/>
        <v>0</v>
      </c>
      <c r="C25" s="34" t="b">
        <f>IF(A25&lt;=MAX($AI$41:$AI$70),IF(ROW()&lt;=COUNTA(Data!$2:$2)+2,(B25+B24)*(A25-A24)/2,FALSE),FALSE)</f>
        <v>0</v>
      </c>
      <c r="D25" s="11" t="b">
        <f t="shared" si="7"/>
        <v>0</v>
      </c>
      <c r="E25" s="33" t="b">
        <f>IF(A25&lt;=MAX($AI$41:$AI$70),IF(ROW()&lt;=COUNTA(Data!$2:$2)+2,(B25*A25+B24*A24)*(A25-A24)/2,FALSE),FALSE)</f>
        <v>0</v>
      </c>
      <c r="G25" s="61" t="s">
        <v>8</v>
      </c>
      <c r="H25" s="62">
        <f>IF(H24=$H$15,$H$15,MIN(D:D))</f>
        <v>1.5</v>
      </c>
      <c r="L25" s="10" t="s">
        <v>41</v>
      </c>
      <c r="W25" s="10">
        <v>23</v>
      </c>
      <c r="X2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1" t="b">
        <f>IF(ROW()&lt;=COUNTA(Data!$2:$2),INDEX(Data!$C$2:$AZ$282,Analysis!$C$1,ROW()-2),FALSE)</f>
        <v>0</v>
      </c>
      <c r="Z25" s="34">
        <f t="shared" si="10"/>
        <v>1</v>
      </c>
      <c r="AA25" s="33" t="b">
        <f t="shared" si="11"/>
        <v>0</v>
      </c>
      <c r="AC25" s="11" t="b">
        <f t="shared" si="0"/>
        <v>0</v>
      </c>
      <c r="AE25" s="11" t="b">
        <f t="shared" si="3"/>
        <v>0</v>
      </c>
      <c r="AF25" s="11">
        <f t="shared" si="12"/>
        <v>0.33300000000000002</v>
      </c>
      <c r="AG25" s="14" t="str">
        <f t="shared" si="8"/>
        <v/>
      </c>
      <c r="AH25" s="11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88" t="str">
        <f>IF(ROUND(A25,0)&gt;=ROUND($H$4,0),SUM($C$3:$C25),"")</f>
        <v/>
      </c>
    </row>
    <row r="26" spans="1:103" x14ac:dyDescent="0.2">
      <c r="A26" s="32" t="b">
        <f t="shared" si="31"/>
        <v>0</v>
      </c>
      <c r="B26" s="11" t="b">
        <f t="shared" si="2"/>
        <v>0</v>
      </c>
      <c r="C26" s="34" t="b">
        <f>IF(A26&lt;=MAX($AI$41:$AI$70),IF(ROW()&lt;=COUNTA(Data!$2:$2)+2,(B26+B25)*(A26-A25)/2,FALSE),FALSE)</f>
        <v>0</v>
      </c>
      <c r="D26" s="11" t="b">
        <f t="shared" si="7"/>
        <v>0</v>
      </c>
      <c r="E26" s="33" t="b">
        <f>IF(A26&lt;=MAX($AI$41:$AI$70),IF(ROW()&lt;=COUNTA(Data!$2:$2)+2,(B26*A26+B25*A25)*(A26-A25)/2,FALSE),FALSE)</f>
        <v>0</v>
      </c>
      <c r="G26" s="61" t="s">
        <v>9</v>
      </c>
      <c r="H26" s="62">
        <f>IF(H25=MAX($A$3:$A$70),"NA",IF(AJ80&gt;=$H$3,$AJ$81,$H$15))</f>
        <v>4.9179576717085199E-2</v>
      </c>
      <c r="W26" s="10">
        <v>24</v>
      </c>
      <c r="X2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1" t="b">
        <f>IF(ROW()&lt;=COUNTA(Data!$2:$2),INDEX(Data!$C$2:$AZ$282,Analysis!$C$1,ROW()-2),FALSE)</f>
        <v>0</v>
      </c>
      <c r="Z26" s="34">
        <f t="shared" si="10"/>
        <v>1</v>
      </c>
      <c r="AA26" s="33" t="b">
        <f t="shared" si="11"/>
        <v>0</v>
      </c>
      <c r="AC26" s="11" t="b">
        <f t="shared" si="0"/>
        <v>0</v>
      </c>
      <c r="AE26" s="11" t="b">
        <f t="shared" si="3"/>
        <v>0</v>
      </c>
      <c r="AF26" s="11">
        <f t="shared" si="12"/>
        <v>0.33300000000000002</v>
      </c>
      <c r="AG26" s="14" t="str">
        <f t="shared" si="8"/>
        <v/>
      </c>
      <c r="AH26" s="11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88" t="str">
        <f>IF(ROUND(A26,0)&gt;=ROUND($H$4,0),SUM($C$3:$C26),"")</f>
        <v/>
      </c>
    </row>
    <row r="27" spans="1:103" x14ac:dyDescent="0.2">
      <c r="A27" s="32" t="b">
        <f t="shared" si="31"/>
        <v>0</v>
      </c>
      <c r="B27" s="11" t="b">
        <f t="shared" si="2"/>
        <v>0</v>
      </c>
      <c r="C27" s="34" t="b">
        <f>IF(A27&lt;=MAX($AI$41:$AI$70),IF(ROW()&lt;=COUNTA(Data!$2:$2)+2,(B27+B26)*(A27-A26)/2,FALSE),FALSE)</f>
        <v>0</v>
      </c>
      <c r="D27" s="11" t="b">
        <f t="shared" si="7"/>
        <v>0</v>
      </c>
      <c r="E27" s="33" t="b">
        <f>IF(A27&lt;=MAX($AI$41:$AI$70),IF(ROW()&lt;=COUNTA(Data!$2:$2)+2,(B27*A27+B26*A26)*(A27-A26)/2,FALSE),FALSE)</f>
        <v>0</v>
      </c>
      <c r="G27" s="61" t="s">
        <v>17</v>
      </c>
      <c r="H27" s="62">
        <f>IF($H$26=$H$15,$H$15,LN(2)/$AJ$81)</f>
        <v>14.094207938132637</v>
      </c>
      <c r="W27" s="10">
        <v>25</v>
      </c>
      <c r="X2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1" t="b">
        <f>IF(ROW()&lt;=COUNTA(Data!$2:$2),INDEX(Data!$C$2:$AZ$282,Analysis!$C$1,ROW()-2),FALSE)</f>
        <v>0</v>
      </c>
      <c r="Z27" s="34">
        <f t="shared" si="10"/>
        <v>1</v>
      </c>
      <c r="AA27" s="33" t="b">
        <f t="shared" si="11"/>
        <v>0</v>
      </c>
      <c r="AC27" s="11" t="b">
        <f t="shared" si="0"/>
        <v>0</v>
      </c>
      <c r="AE27" s="11" t="b">
        <f t="shared" si="3"/>
        <v>0</v>
      </c>
      <c r="AF27" s="11">
        <f t="shared" si="12"/>
        <v>0.33300000000000002</v>
      </c>
      <c r="AG27" s="14" t="str">
        <f t="shared" si="8"/>
        <v/>
      </c>
      <c r="AH27" s="11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88" t="str">
        <f>IF(ROUND(A27,0)&gt;=ROUND($H$4,0),SUM($C$3:$C27),"")</f>
        <v/>
      </c>
    </row>
    <row r="28" spans="1:103" x14ac:dyDescent="0.2">
      <c r="A28" s="32" t="b">
        <f t="shared" si="31"/>
        <v>0</v>
      </c>
      <c r="B28" s="11" t="b">
        <f t="shared" si="2"/>
        <v>0</v>
      </c>
      <c r="C28" s="34" t="b">
        <f>IF(A28&lt;=MAX($AI$41:$AI$70),IF(ROW()&lt;=COUNTA(Data!$2:$2)+2,(B28+B27)*(A28-A27)/2,FALSE),FALSE)</f>
        <v>0</v>
      </c>
      <c r="D28" s="11" t="b">
        <f t="shared" si="7"/>
        <v>0</v>
      </c>
      <c r="E28" s="33" t="b">
        <f>IF(A28&lt;=MAX($AI$41:$AI$70),IF(ROW()&lt;=COUNTA(Data!$2:$2)+2,(B28*A28+B27*A27)*(A28-A27)/2,FALSE),FALSE)</f>
        <v>0</v>
      </c>
      <c r="G28" s="61" t="s">
        <v>27</v>
      </c>
      <c r="H28" s="62" t="e">
        <f>IF(AND(H22&lt;&gt;$H$15,H23&lt;&gt;$H$15),SUM($C$4:$C$70)/(SUM($C$4:$C$70)+H30/$AJ$81),$H$15)</f>
        <v>#VALUE!</v>
      </c>
      <c r="W28" s="10">
        <v>26</v>
      </c>
      <c r="X2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1" t="b">
        <f>IF(ROW()&lt;=COUNTA(Data!$2:$2),INDEX(Data!$C$2:$AZ$282,Analysis!$C$1,ROW()-2),FALSE)</f>
        <v>0</v>
      </c>
      <c r="Z28" s="34">
        <f t="shared" si="10"/>
        <v>1</v>
      </c>
      <c r="AA28" s="33" t="b">
        <f t="shared" si="11"/>
        <v>0</v>
      </c>
      <c r="AC28" s="11" t="b">
        <f t="shared" si="0"/>
        <v>0</v>
      </c>
      <c r="AE28" s="11" t="b">
        <f t="shared" si="3"/>
        <v>0</v>
      </c>
      <c r="AF28" s="11">
        <f t="shared" si="12"/>
        <v>0.33300000000000002</v>
      </c>
      <c r="AG28" s="14" t="str">
        <f t="shared" si="8"/>
        <v/>
      </c>
      <c r="AH28" s="11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88" t="str">
        <f>IF(ROUND(A28,0)&gt;=ROUND($H$4,0),SUM($C$3:$C28),"")</f>
        <v/>
      </c>
    </row>
    <row r="29" spans="1:103" x14ac:dyDescent="0.2">
      <c r="A29" s="32" t="b">
        <f t="shared" si="31"/>
        <v>0</v>
      </c>
      <c r="B29" s="11" t="b">
        <f t="shared" si="2"/>
        <v>0</v>
      </c>
      <c r="C29" s="34" t="b">
        <f>IF(A29&lt;=MAX($AI$41:$AI$70),IF(ROW()&lt;=COUNTA(Data!$2:$2)+2,(B29+B28)*(A29-A28)/2,FALSE),FALSE)</f>
        <v>0</v>
      </c>
      <c r="D29" s="11" t="b">
        <f t="shared" si="7"/>
        <v>0</v>
      </c>
      <c r="E29" s="33" t="b">
        <f>IF(A29&lt;=MAX($AI$41:$AI$70),IF(ROW()&lt;=COUNTA(Data!$2:$2)+2,(B29*A29+B28*A28)*(A29-A28)/2,FALSE),FALSE)</f>
        <v>0</v>
      </c>
      <c r="G29" s="65" t="s">
        <v>62</v>
      </c>
      <c r="H29" s="62">
        <f>IF(H25=MAX($A$3:$A$70),"NA",$AJ$80)</f>
        <v>0.89786555351450859</v>
      </c>
      <c r="W29" s="10">
        <v>27</v>
      </c>
      <c r="X2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1" t="b">
        <f>IF(ROW()&lt;=COUNTA(Data!$2:$2),INDEX(Data!$C$2:$AZ$282,Analysis!$C$1,ROW()-2),FALSE)</f>
        <v>0</v>
      </c>
      <c r="Z29" s="34">
        <f t="shared" si="10"/>
        <v>1</v>
      </c>
      <c r="AA29" s="33" t="b">
        <f t="shared" si="11"/>
        <v>0</v>
      </c>
      <c r="AC29" s="11" t="b">
        <f t="shared" si="0"/>
        <v>0</v>
      </c>
      <c r="AE29" s="11" t="b">
        <f t="shared" si="3"/>
        <v>0</v>
      </c>
      <c r="AF29" s="11">
        <f t="shared" si="12"/>
        <v>0.33300000000000002</v>
      </c>
      <c r="AG29" s="14" t="str">
        <f t="shared" si="8"/>
        <v/>
      </c>
      <c r="AH29" s="11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88" t="str">
        <f>IF(ROUND(A29,0)&gt;=ROUND($H$4,0),SUM($C$3:$C29),"")</f>
        <v/>
      </c>
    </row>
    <row r="30" spans="1:103" x14ac:dyDescent="0.2">
      <c r="A30" s="32" t="b">
        <f t="shared" si="31"/>
        <v>0</v>
      </c>
      <c r="B30" s="11" t="b">
        <f t="shared" si="2"/>
        <v>0</v>
      </c>
      <c r="C30" s="34" t="b">
        <f>IF(A30&lt;=MAX($AI$41:$AI$70),IF(ROW()&lt;=COUNTA(Data!$2:$2)+2,(B30+B29)*(A30-A29)/2,FALSE),FALSE)</f>
        <v>0</v>
      </c>
      <c r="D30" s="11" t="b">
        <f t="shared" si="7"/>
        <v>0</v>
      </c>
      <c r="E30" s="33" t="b">
        <f>IF(A30&lt;=MAX($AI$41:$AI$70),IF(ROW()&lt;=COUNTA(Data!$2:$2)+2,(B30*A30+B29*A29)*(A30-A29)/2,FALSE),FALSE)</f>
        <v>0</v>
      </c>
      <c r="G30" s="64" t="s">
        <v>37</v>
      </c>
      <c r="H30" s="62">
        <f>EXP($AJ$70)</f>
        <v>0.14000000000000001</v>
      </c>
      <c r="W30" s="10">
        <v>28</v>
      </c>
      <c r="X3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1" t="b">
        <f>IF(ROW()&lt;=COUNTA(Data!$2:$2),INDEX(Data!$C$2:$AZ$282,Analysis!$C$1,ROW()-2),FALSE)</f>
        <v>0</v>
      </c>
      <c r="Z30" s="34">
        <f t="shared" si="10"/>
        <v>1</v>
      </c>
      <c r="AA30" s="33" t="b">
        <f t="shared" si="11"/>
        <v>0</v>
      </c>
      <c r="AC30" s="11" t="b">
        <f t="shared" si="0"/>
        <v>0</v>
      </c>
      <c r="AE30" s="11" t="b">
        <f t="shared" si="3"/>
        <v>0</v>
      </c>
      <c r="AF30" s="11">
        <f t="shared" si="12"/>
        <v>0.33300000000000002</v>
      </c>
      <c r="AG30" s="14" t="str">
        <f t="shared" si="8"/>
        <v/>
      </c>
      <c r="AH30" s="11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88" t="str">
        <f>IF(ROUND(A30,0)&gt;=ROUND($H$4,0),SUM($C$3:$C30),"")</f>
        <v/>
      </c>
    </row>
    <row r="31" spans="1:103" x14ac:dyDescent="0.2">
      <c r="A31" s="32" t="b">
        <f t="shared" si="31"/>
        <v>0</v>
      </c>
      <c r="B31" s="11" t="b">
        <f t="shared" si="2"/>
        <v>0</v>
      </c>
      <c r="C31" s="34" t="b">
        <f>IF(A31&lt;=MAX($AI$41:$AI$70),IF(ROW()&lt;=COUNTA(Data!$2:$2)+2,(B31+B30)*(A31-A30)/2,FALSE),FALSE)</f>
        <v>0</v>
      </c>
      <c r="D31" s="11" t="b">
        <f t="shared" si="7"/>
        <v>0</v>
      </c>
      <c r="E31" s="33" t="b">
        <f>IF(A31&lt;=MAX($AI$41:$AI$70),IF(ROW()&lt;=COUNTA(Data!$2:$2)+2,(B31*A31+B30*A30)*(A31-A30)/2,FALSE),FALSE)</f>
        <v>0</v>
      </c>
      <c r="G31" s="65" t="s">
        <v>59</v>
      </c>
      <c r="H31" s="91">
        <f>IF(H26=$H$15,$H$15,MAX($AJ$79:$CW$79))</f>
        <v>4</v>
      </c>
      <c r="W31" s="10">
        <v>29</v>
      </c>
      <c r="X3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1" t="b">
        <f>IF(ROW()&lt;=COUNTA(Data!$2:$2),INDEX(Data!$C$2:$AZ$282,Analysis!$C$1,ROW()-2),FALSE)</f>
        <v>0</v>
      </c>
      <c r="Z31" s="34">
        <f t="shared" si="10"/>
        <v>1</v>
      </c>
      <c r="AA31" s="33" t="b">
        <f t="shared" si="11"/>
        <v>0</v>
      </c>
      <c r="AC31" s="11" t="b">
        <f t="shared" si="0"/>
        <v>0</v>
      </c>
      <c r="AE31" s="11" t="b">
        <f t="shared" si="3"/>
        <v>0</v>
      </c>
      <c r="AF31" s="11">
        <f t="shared" si="12"/>
        <v>0.33300000000000002</v>
      </c>
      <c r="AG31" s="14" t="str">
        <f t="shared" si="8"/>
        <v/>
      </c>
      <c r="AH31" s="11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88" t="str">
        <f>IF(ROUND(A31,0)&gt;=ROUND($H$4,0),SUM($C$3:$C31),"")</f>
        <v/>
      </c>
    </row>
    <row r="32" spans="1:103" x14ac:dyDescent="0.2">
      <c r="A32" s="32" t="b">
        <f t="shared" si="31"/>
        <v>0</v>
      </c>
      <c r="B32" s="11" t="b">
        <f t="shared" si="2"/>
        <v>0</v>
      </c>
      <c r="C32" s="34" t="b">
        <f>IF(A32&lt;=MAX($AI$41:$AI$70),IF(ROW()&lt;=COUNTA(Data!$2:$2)+2,(B32+B31)*(A32-A31)/2,FALSE),FALSE)</f>
        <v>0</v>
      </c>
      <c r="D32" s="11" t="b">
        <f t="shared" si="7"/>
        <v>0</v>
      </c>
      <c r="E32" s="33" t="b">
        <f>IF(A32&lt;=MAX($AI$41:$AI$70),IF(ROW()&lt;=COUNTA(Data!$2:$2)+2,(B32*A32+B31*A31)*(A32-A31)/2,FALSE),FALSE)</f>
        <v>0</v>
      </c>
      <c r="G32" s="65" t="s">
        <v>60</v>
      </c>
      <c r="H32" s="92">
        <f>IF(H26=$H$15,$H$15,MAX($A$3:$A$70))</f>
        <v>72</v>
      </c>
      <c r="L32" s="10" t="s">
        <v>43</v>
      </c>
      <c r="W32" s="10">
        <v>30</v>
      </c>
      <c r="X3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1" t="b">
        <f>IF(ROW()&lt;=COUNTA(Data!$2:$2),INDEX(Data!$C$2:$AZ$282,Analysis!$C$1,ROW()-2),FALSE)</f>
        <v>0</v>
      </c>
      <c r="Z32" s="34">
        <f t="shared" si="10"/>
        <v>1</v>
      </c>
      <c r="AA32" s="33" t="b">
        <f t="shared" si="11"/>
        <v>0</v>
      </c>
      <c r="AC32" s="11" t="b">
        <f t="shared" si="0"/>
        <v>0</v>
      </c>
      <c r="AE32" s="11" t="b">
        <f t="shared" si="3"/>
        <v>0</v>
      </c>
      <c r="AF32" s="11">
        <f t="shared" si="12"/>
        <v>0.33300000000000002</v>
      </c>
      <c r="AG32" s="14" t="str">
        <f t="shared" si="8"/>
        <v/>
      </c>
      <c r="AH32" s="11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88" t="str">
        <f>IF(ROUND(A32,0)&gt;=ROUND($H$4,0),SUM($C$3:$C32),"")</f>
        <v/>
      </c>
    </row>
    <row r="33" spans="1:103" x14ac:dyDescent="0.2">
      <c r="A33" s="32" t="b">
        <f t="shared" si="31"/>
        <v>0</v>
      </c>
      <c r="B33" s="11" t="b">
        <f t="shared" si="2"/>
        <v>0</v>
      </c>
      <c r="C33" s="34" t="b">
        <f>IF(A33&lt;=MAX($AI$41:$AI$70),IF(ROW()&lt;=COUNTA(Data!$2:$2)+2,(B33+B32)*(A33-A32)/2,FALSE),FALSE)</f>
        <v>0</v>
      </c>
      <c r="D33" s="11" t="b">
        <f t="shared" si="7"/>
        <v>0</v>
      </c>
      <c r="E33" s="33" t="b">
        <f>IF(A33&lt;=MAX($AI$41:$AI$70),IF(ROW()&lt;=COUNTA(Data!$2:$2)+2,(B33*A33+B32*A32)*(A33-A32)/2,FALSE),FALSE)</f>
        <v>0</v>
      </c>
      <c r="G33" s="65" t="s">
        <v>58</v>
      </c>
      <c r="H33" s="62" t="e">
        <f>IF($B$3=0,$H$15,100*$B$3/$H$24)</f>
        <v>#VALUE!</v>
      </c>
      <c r="W33" s="10">
        <v>31</v>
      </c>
      <c r="X3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1" t="b">
        <f>IF(ROW()&lt;=COUNTA(Data!$2:$2),INDEX(Data!$C$2:$AZ$282,Analysis!$C$1,ROW()-2),FALSE)</f>
        <v>0</v>
      </c>
      <c r="Z33" s="34">
        <f t="shared" si="10"/>
        <v>1</v>
      </c>
      <c r="AA33" s="33" t="b">
        <f t="shared" si="11"/>
        <v>0</v>
      </c>
      <c r="AC33" s="11" t="b">
        <f t="shared" si="0"/>
        <v>0</v>
      </c>
      <c r="AE33" s="11" t="b">
        <f t="shared" si="3"/>
        <v>0</v>
      </c>
      <c r="AF33" s="11">
        <f t="shared" si="12"/>
        <v>0.33300000000000002</v>
      </c>
      <c r="AG33" s="14" t="str">
        <f t="shared" si="8"/>
        <v/>
      </c>
      <c r="AH33" s="11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88" t="str">
        <f>IF(ROUND(A33,0)&gt;=ROUND($H$4,0),SUM($C$3:$C33),"")</f>
        <v/>
      </c>
    </row>
    <row r="34" spans="1:103" x14ac:dyDescent="0.2">
      <c r="A34" s="32" t="b">
        <f t="shared" si="31"/>
        <v>0</v>
      </c>
      <c r="B34" s="11" t="b">
        <f t="shared" si="2"/>
        <v>0</v>
      </c>
      <c r="C34" s="34" t="b">
        <f>IF(A34&lt;=MAX($AI$41:$AI$70),IF(ROW()&lt;=COUNTA(Data!$2:$2)+2,(B34+B33)*(A34-A33)/2,FALSE),FALSE)</f>
        <v>0</v>
      </c>
      <c r="D34" s="11" t="b">
        <f t="shared" si="7"/>
        <v>0</v>
      </c>
      <c r="E34" s="33" t="b">
        <f>IF(A34&lt;=MAX($AI$41:$AI$70),IF(ROW()&lt;=COUNTA(Data!$2:$2)+2,(B34*A34+B33*A33)*(A34-A33)/2,FALSE),FALSE)</f>
        <v>0</v>
      </c>
      <c r="G34" s="83" t="s">
        <v>69</v>
      </c>
      <c r="H34" s="90" t="e">
        <f>IF(OR(ISERROR(MIN($CY$3:$CY$70)/$H$23),MIN($CY$3:$CY$70)=0),$H$15,MIN($CY$3:$CY$70)/$H$23)</f>
        <v>#VALUE!</v>
      </c>
      <c r="W34" s="10">
        <v>32</v>
      </c>
      <c r="X3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1" t="b">
        <f>IF(ROW()&lt;=COUNTA(Data!$2:$2),INDEX(Data!$C$2:$AZ$282,Analysis!$C$1,ROW()-2),FALSE)</f>
        <v>0</v>
      </c>
      <c r="Z34" s="34">
        <f t="shared" si="10"/>
        <v>1</v>
      </c>
      <c r="AA34" s="33" t="b">
        <f t="shared" si="11"/>
        <v>0</v>
      </c>
      <c r="AC34" s="11" t="b">
        <f t="shared" si="0"/>
        <v>0</v>
      </c>
      <c r="AE34" s="11" t="b">
        <f t="shared" si="3"/>
        <v>0</v>
      </c>
      <c r="AF34" s="11">
        <f t="shared" si="12"/>
        <v>0.33300000000000002</v>
      </c>
      <c r="AG34" s="14" t="str">
        <f t="shared" si="8"/>
        <v/>
      </c>
      <c r="AH34" s="11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88" t="str">
        <f>IF(ROUND(A34,0)&gt;=ROUND($H$4,0),SUM($C$3:$C34),"")</f>
        <v/>
      </c>
    </row>
    <row r="35" spans="1:103" x14ac:dyDescent="0.2">
      <c r="A35" s="32" t="b">
        <f t="shared" si="31"/>
        <v>0</v>
      </c>
      <c r="B35" s="11" t="b">
        <f t="shared" ref="B35:B70" si="44">IF(IF(AC35=FALSE,FALSE,INDEX($Y$3:$Y$70,AC35,1))&lt;0,0,IF(AC35=FALSE,FALSE,INDEX($Y$3:$Y$70,AC35,1)))</f>
        <v>0</v>
      </c>
      <c r="C35" s="34" t="b">
        <f>IF(A35&lt;=MAX($AI$41:$AI$70),IF(ROW()&lt;=COUNTA(Data!$2:$2)+2,(B35+B34)*(A35-A34)/2,FALSE),FALSE)</f>
        <v>0</v>
      </c>
      <c r="D35" s="11" t="b">
        <f t="shared" si="7"/>
        <v>0</v>
      </c>
      <c r="E35" s="33" t="b">
        <f>IF(A35&lt;=MAX($AI$41:$AI$70),IF(ROW()&lt;=COUNTA(Data!$2:$2)+2,(B35*A35+B34*A34)*(A35-A34)/2,FALSE),FALSE)</f>
        <v>0</v>
      </c>
      <c r="G35" s="83" t="s">
        <v>72</v>
      </c>
      <c r="H35" s="90">
        <f>IF(ISERROR(MIN($AF$3:$AF$70)),$H$15,MIN($AF$3:$AF$70))</f>
        <v>0</v>
      </c>
      <c r="W35" s="10">
        <v>33</v>
      </c>
      <c r="X3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1" t="b">
        <f>IF(ROW()&lt;=COUNTA(Data!$2:$2),INDEX(Data!$C$2:$AZ$282,Analysis!$C$1,ROW()-2),FALSE)</f>
        <v>0</v>
      </c>
      <c r="Z35" s="34">
        <f t="shared" si="10"/>
        <v>1</v>
      </c>
      <c r="AA35" s="33" t="b">
        <f t="shared" si="11"/>
        <v>0</v>
      </c>
      <c r="AC35" s="11" t="b">
        <f t="shared" si="0"/>
        <v>0</v>
      </c>
      <c r="AE35" s="11" t="b">
        <f t="shared" si="3"/>
        <v>0</v>
      </c>
      <c r="AF35" s="11">
        <f t="shared" si="12"/>
        <v>0.33300000000000002</v>
      </c>
      <c r="AG35" s="14" t="str">
        <f t="shared" si="8"/>
        <v/>
      </c>
      <c r="AH35" s="11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88" t="str">
        <f>IF(ROUND(A35,0)&gt;=ROUND($H$4,0),SUM($C$3:$C35),"")</f>
        <v/>
      </c>
    </row>
    <row r="36" spans="1:103" x14ac:dyDescent="0.2">
      <c r="A36" s="32" t="b">
        <f t="shared" si="31"/>
        <v>0</v>
      </c>
      <c r="B36" s="11" t="b">
        <f t="shared" si="44"/>
        <v>0</v>
      </c>
      <c r="C36" s="34" t="b">
        <f>IF(A36&lt;=MAX($AI$41:$AI$70),IF(ROW()&lt;=COUNTA(Data!$2:$2)+2,(B36+B35)*(A36-A35)/2,FALSE),FALSE)</f>
        <v>0</v>
      </c>
      <c r="D36" s="11" t="b">
        <f t="shared" si="7"/>
        <v>0</v>
      </c>
      <c r="E36" s="33" t="b">
        <f>IF(A36&lt;=MAX($AI$41:$AI$70),IF(ROW()&lt;=COUNTA(Data!$2:$2)+2,(B36*A36+B35*A35)*(A36-A35)/2,FALSE),FALSE)</f>
        <v>0</v>
      </c>
      <c r="G36" s="61" t="s">
        <v>23</v>
      </c>
      <c r="H36" s="62" t="e">
        <f>IF(H26=$H$15,$H$15,(SUM($E$3:$E$70)+($H$30*$AI$70/$AJ$81)+$H$30/($AJ$81^2))/(SUM($C$4:$C$70)+H30/$AJ$81))</f>
        <v>#VALUE!</v>
      </c>
      <c r="W36" s="10">
        <v>34</v>
      </c>
      <c r="X3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1" t="b">
        <f>IF(ROW()&lt;=COUNTA(Data!$2:$2),INDEX(Data!$C$2:$AZ$282,Analysis!$C$1,ROW()-2),FALSE)</f>
        <v>0</v>
      </c>
      <c r="Z36" s="34">
        <f t="shared" si="10"/>
        <v>1</v>
      </c>
      <c r="AA36" s="33" t="b">
        <f t="shared" si="11"/>
        <v>0</v>
      </c>
      <c r="AC36" s="11" t="b">
        <f t="shared" si="0"/>
        <v>0</v>
      </c>
      <c r="AE36" s="11" t="b">
        <f t="shared" si="3"/>
        <v>0</v>
      </c>
      <c r="AF36" s="11">
        <f t="shared" si="12"/>
        <v>0.33300000000000002</v>
      </c>
      <c r="AG36" s="14" t="str">
        <f t="shared" si="8"/>
        <v/>
      </c>
      <c r="AH36" s="11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88" t="str">
        <f>IF(ROUND(A36,0)&gt;=ROUND($H$4,0),SUM($C$3:$C36),"")</f>
        <v/>
      </c>
    </row>
    <row r="37" spans="1:103" x14ac:dyDescent="0.2">
      <c r="A37" s="32" t="b">
        <f t="shared" si="31"/>
        <v>0</v>
      </c>
      <c r="B37" s="11" t="b">
        <f t="shared" si="44"/>
        <v>0</v>
      </c>
      <c r="C37" s="34" t="b">
        <f>IF(A37&lt;=MAX($AI$41:$AI$70),IF(ROW()&lt;=COUNTA(Data!$2:$2)+2,(B37+B36)*(A37-A36)/2,FALSE),FALSE)</f>
        <v>0</v>
      </c>
      <c r="D37" s="11" t="b">
        <f t="shared" si="7"/>
        <v>0</v>
      </c>
      <c r="E37" s="33" t="b">
        <f>IF(A37&lt;=MAX($AI$41:$AI$70),IF(ROW()&lt;=COUNTA(Data!$2:$2)+2,(B37*A37+B36*A36)*(A37-A36)/2,FALSE),FALSE)</f>
        <v>0</v>
      </c>
      <c r="G37" s="61" t="s">
        <v>42</v>
      </c>
      <c r="H37" s="62" t="e">
        <f>IF(H26=$H$15,$H$15,H2/(1000*((SUM($C$4:$C$70)+H30/$AJ$81)*$AJ$81)))</f>
        <v>#VALUE!</v>
      </c>
      <c r="W37" s="10">
        <v>35</v>
      </c>
      <c r="X3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1" t="b">
        <f>IF(ROW()&lt;=COUNTA(Data!$2:$2),INDEX(Data!$C$2:$AZ$282,Analysis!$C$1,ROW()-2),FALSE)</f>
        <v>0</v>
      </c>
      <c r="Z37" s="34">
        <f t="shared" si="10"/>
        <v>1</v>
      </c>
      <c r="AA37" s="33" t="b">
        <f t="shared" si="11"/>
        <v>0</v>
      </c>
      <c r="AC37" s="11" t="b">
        <f t="shared" si="0"/>
        <v>0</v>
      </c>
      <c r="AE37" s="11" t="b">
        <f t="shared" si="3"/>
        <v>0</v>
      </c>
      <c r="AF37" s="11">
        <f t="shared" si="12"/>
        <v>0.33300000000000002</v>
      </c>
      <c r="AG37" s="14" t="str">
        <f t="shared" si="8"/>
        <v/>
      </c>
      <c r="AH37" s="11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88" t="str">
        <f>IF(ROUND(A37,0)&gt;=ROUND($H$4,0),SUM($C$3:$C37),"")</f>
        <v/>
      </c>
    </row>
    <row r="38" spans="1:103" x14ac:dyDescent="0.2">
      <c r="A38" s="32" t="b">
        <f t="shared" si="31"/>
        <v>0</v>
      </c>
      <c r="B38" s="11" t="b">
        <f t="shared" si="44"/>
        <v>0</v>
      </c>
      <c r="C38" s="34" t="b">
        <f>IF(A38&lt;=MAX($AI$41:$AI$70),IF(ROW()&lt;=COUNTA(Data!$2:$2)+2,(B38+B37)*(A38-A37)/2,FALSE),FALSE)</f>
        <v>0</v>
      </c>
      <c r="D38" s="11" t="b">
        <f t="shared" si="7"/>
        <v>0</v>
      </c>
      <c r="E38" s="33" t="b">
        <f>IF(A38&lt;=MAX($AI$41:$AI$70),IF(ROW()&lt;=COUNTA(Data!$2:$2)+2,(B38*A38+B37*A37)*(A38-A37)/2,FALSE),FALSE)</f>
        <v>0</v>
      </c>
      <c r="G38" s="61" t="s">
        <v>44</v>
      </c>
      <c r="H38" s="62" t="e">
        <f>IF(H26=$H$15,$H$15,H2/(1000*(SUM($C$4:$C$70)+H30/$AJ$81)))</f>
        <v>#VALUE!</v>
      </c>
      <c r="W38" s="10">
        <v>36</v>
      </c>
      <c r="X3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1" t="b">
        <f>IF(ROW()&lt;=COUNTA(Data!$2:$2),INDEX(Data!$C$2:$AZ$282,Analysis!$C$1,ROW()-2),FALSE)</f>
        <v>0</v>
      </c>
      <c r="Z38" s="34">
        <f t="shared" si="10"/>
        <v>1</v>
      </c>
      <c r="AA38" s="33" t="b">
        <f t="shared" si="11"/>
        <v>0</v>
      </c>
      <c r="AC38" s="11" t="b">
        <f t="shared" si="0"/>
        <v>0</v>
      </c>
      <c r="AE38" s="11" t="b">
        <f t="shared" si="3"/>
        <v>0</v>
      </c>
      <c r="AF38" s="11">
        <f t="shared" si="12"/>
        <v>0.33300000000000002</v>
      </c>
      <c r="AG38" s="14" t="str">
        <f t="shared" si="8"/>
        <v/>
      </c>
      <c r="AH38" s="11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88" t="str">
        <f>IF(ROUND(A38,0)&gt;=ROUND($H$4,0),SUM($C$3:$C38),"")</f>
        <v/>
      </c>
    </row>
    <row r="39" spans="1:103" x14ac:dyDescent="0.2">
      <c r="A39" s="32" t="b">
        <f t="shared" si="31"/>
        <v>0</v>
      </c>
      <c r="B39" s="11" t="b">
        <f t="shared" si="44"/>
        <v>0</v>
      </c>
      <c r="C39" s="34" t="b">
        <f>IF(A39&lt;=MAX($AI$41:$AI$70),IF(ROW()&lt;=COUNTA(Data!$2:$2)+2,(B39+B38)*(A39-A38)/2,FALSE),FALSE)</f>
        <v>0</v>
      </c>
      <c r="D39" s="11" t="b">
        <f t="shared" si="7"/>
        <v>0</v>
      </c>
      <c r="E39" s="33" t="b">
        <f>IF(A39&lt;=MAX($AI$41:$AI$70),IF(ROW()&lt;=COUNTA(Data!$2:$2)+2,(B39*A39+B38*A38)*(A39-A38)/2,FALSE),FALSE)</f>
        <v>0</v>
      </c>
      <c r="G39" s="65" t="s">
        <v>50</v>
      </c>
      <c r="H39" s="62" t="str">
        <f>IF(H25=MAX($A$3:$A$70),"Last point Cmax.",IF($AJ$80&lt;$H$3,"Adjusted coefficient of variation did not meet the minimum requirement of " &amp; $H$3 &amp; ".",$H$15))</f>
        <v>NA</v>
      </c>
      <c r="W39" s="10">
        <v>37</v>
      </c>
      <c r="X3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1" t="b">
        <f>IF(ROW()&lt;=COUNTA(Data!$2:$2),INDEX(Data!$C$2:$AZ$282,Analysis!$C$1,ROW()-2),FALSE)</f>
        <v>0</v>
      </c>
      <c r="Z39" s="34">
        <f t="shared" si="10"/>
        <v>1</v>
      </c>
      <c r="AA39" s="33" t="b">
        <f t="shared" si="11"/>
        <v>0</v>
      </c>
      <c r="AC39" s="11" t="b">
        <f t="shared" si="0"/>
        <v>0</v>
      </c>
      <c r="AE39" s="11" t="b">
        <f t="shared" si="3"/>
        <v>0</v>
      </c>
      <c r="AF39" s="11">
        <f t="shared" si="12"/>
        <v>0.33300000000000002</v>
      </c>
      <c r="AG39" s="14" t="str">
        <f t="shared" si="8"/>
        <v/>
      </c>
      <c r="AH39" s="11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88" t="str">
        <f>IF(ROUND(A39,0)&gt;=ROUND($H$4,0),SUM($C$3:$C39),"")</f>
        <v/>
      </c>
    </row>
    <row r="40" spans="1:103" x14ac:dyDescent="0.2">
      <c r="A40" s="32" t="b">
        <f t="shared" si="31"/>
        <v>0</v>
      </c>
      <c r="B40" s="11" t="b">
        <f t="shared" si="44"/>
        <v>0</v>
      </c>
      <c r="C40" s="34" t="b">
        <f>IF(A40&lt;=MAX($AI$41:$AI$70),IF(ROW()&lt;=COUNTA(Data!$2:$2)+2,(B40+B39)*(A40-A39)/2,FALSE),FALSE)</f>
        <v>0</v>
      </c>
      <c r="D40" s="11" t="b">
        <f t="shared" si="7"/>
        <v>0</v>
      </c>
      <c r="E40" s="33" t="b">
        <f>IF(A40&lt;=MAX($AI$41:$AI$70),IF(ROW()&lt;=COUNTA(Data!$2:$2)+2,(B40*A40+B39*A39)*(A40-A39)/2,FALSE),FALSE)</f>
        <v>0</v>
      </c>
      <c r="G40" s="65" t="s">
        <v>51</v>
      </c>
      <c r="H40" s="62" t="str">
        <f>IF($AJ$81&lt;0,"Lambda must be positive (a positive slope was not found).",$H$15)</f>
        <v>NA</v>
      </c>
      <c r="W40" s="10">
        <v>38</v>
      </c>
      <c r="X4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1" t="b">
        <f>IF(ROW()&lt;=COUNTA(Data!$2:$2),INDEX(Data!$C$2:$AZ$282,Analysis!$C$1,ROW()-2),FALSE)</f>
        <v>0</v>
      </c>
      <c r="Z40" s="34">
        <f t="shared" si="10"/>
        <v>1</v>
      </c>
      <c r="AA40" s="33" t="b">
        <f t="shared" si="11"/>
        <v>0</v>
      </c>
      <c r="AC40" s="11" t="b">
        <f t="shared" si="0"/>
        <v>0</v>
      </c>
      <c r="AE40" s="11" t="b">
        <f t="shared" si="3"/>
        <v>0</v>
      </c>
      <c r="AF40" s="11">
        <f t="shared" si="12"/>
        <v>0.33300000000000002</v>
      </c>
      <c r="AG40" s="14" t="str">
        <f t="shared" si="8"/>
        <v/>
      </c>
      <c r="AH40" s="11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88" t="str">
        <f>IF(ROUND(A40,0)&gt;=ROUND($H$4,0),SUM($C$3:$C40),"")</f>
        <v/>
      </c>
    </row>
    <row r="41" spans="1:103" x14ac:dyDescent="0.2">
      <c r="A41" s="32" t="b">
        <f t="shared" si="31"/>
        <v>0</v>
      </c>
      <c r="B41" s="11" t="b">
        <f t="shared" si="44"/>
        <v>0</v>
      </c>
      <c r="C41" s="34" t="b">
        <f>IF(A41&lt;=MAX($AI$41:$AI$70),IF(ROW()&lt;=COUNTA(Data!$2:$2)+2,(B41+B40)*(A41-A40)/2,FALSE),FALSE)</f>
        <v>0</v>
      </c>
      <c r="D41" s="11" t="b">
        <f t="shared" si="7"/>
        <v>0</v>
      </c>
      <c r="E41" s="33" t="b">
        <f>IF(A41&lt;=MAX($AI$41:$AI$70),IF(ROW()&lt;=COUNTA(Data!$2:$2)+2,(B41*A41+B40*A40)*(A41-A40)/2,FALSE),FALSE)</f>
        <v>0</v>
      </c>
      <c r="G41" s="65" t="s">
        <v>52</v>
      </c>
      <c r="H41" s="62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1" t="b">
        <f>IF(ROW()&lt;=COUNTA(Data!$2:$2),INDEX(Data!$C$2:$AZ$282,Analysis!$C$1,ROW()-2),FALSE)</f>
        <v>0</v>
      </c>
      <c r="Z41" s="34">
        <f t="shared" si="10"/>
        <v>1</v>
      </c>
      <c r="AA41" s="33" t="b">
        <f t="shared" si="11"/>
        <v>0</v>
      </c>
      <c r="AC41" s="11" t="b">
        <f t="shared" si="0"/>
        <v>0</v>
      </c>
      <c r="AE41" s="11" t="b">
        <f t="shared" si="3"/>
        <v>0</v>
      </c>
      <c r="AF41" s="11">
        <f t="shared" si="12"/>
        <v>0.33300000000000002</v>
      </c>
      <c r="AG41" s="14" t="str">
        <f t="shared" si="8"/>
        <v/>
      </c>
      <c r="AH41" s="11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88" t="str">
        <f>IF(ROUND(A41,0)&gt;=ROUND($H$4,0),SUM($C$3:$C41),"")</f>
        <v/>
      </c>
    </row>
    <row r="42" spans="1:103" x14ac:dyDescent="0.2">
      <c r="A42" s="32" t="b">
        <f t="shared" si="31"/>
        <v>0</v>
      </c>
      <c r="B42" s="11" t="b">
        <f t="shared" si="44"/>
        <v>0</v>
      </c>
      <c r="C42" s="34" t="b">
        <f>IF(A42&lt;=MAX($AI$41:$AI$70),IF(ROW()&lt;=COUNTA(Data!$2:$2)+2,(B42+B41)*(A42-A41)/2,FALSE),FALSE)</f>
        <v>0</v>
      </c>
      <c r="D42" s="11" t="b">
        <f t="shared" si="7"/>
        <v>0</v>
      </c>
      <c r="E42" s="33" t="b">
        <f>IF(A42&lt;=MAX($AI$41:$AI$70),IF(ROW()&lt;=COUNTA(Data!$2:$2)+2,(B42*A42+B41*A41)*(A42-A41)/2,FALSE),FALSE)</f>
        <v>0</v>
      </c>
      <c r="G42" s="65" t="s">
        <v>53</v>
      </c>
      <c r="H42" s="62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1" t="b">
        <f>IF(ROW()&lt;=COUNTA(Data!$2:$2),INDEX(Data!$C$2:$AZ$282,Analysis!$C$1,ROW()-2),FALSE)</f>
        <v>0</v>
      </c>
      <c r="Z42" s="34">
        <f t="shared" si="10"/>
        <v>1</v>
      </c>
      <c r="AA42" s="33" t="b">
        <f t="shared" si="11"/>
        <v>0</v>
      </c>
      <c r="AC42" s="11" t="b">
        <f t="shared" si="0"/>
        <v>0</v>
      </c>
      <c r="AE42" s="11" t="b">
        <f t="shared" si="3"/>
        <v>0</v>
      </c>
      <c r="AF42" s="11">
        <f t="shared" si="12"/>
        <v>0.33300000000000002</v>
      </c>
      <c r="AG42" s="14" t="str">
        <f t="shared" si="8"/>
        <v/>
      </c>
      <c r="AH42" s="11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88" t="str">
        <f>IF(ROUND(A42,0)&gt;=ROUND($H$4,0),SUM($C$3:$C42),"")</f>
        <v/>
      </c>
    </row>
    <row r="43" spans="1:103" x14ac:dyDescent="0.2">
      <c r="A43" s="32" t="b">
        <f t="shared" si="31"/>
        <v>0</v>
      </c>
      <c r="B43" s="11" t="b">
        <f t="shared" si="44"/>
        <v>0</v>
      </c>
      <c r="C43" s="34" t="b">
        <f>IF(A43&lt;=MAX($AI$41:$AI$70),IF(ROW()&lt;=COUNTA(Data!$2:$2)+2,(B43+B42)*(A43-A42)/2,FALSE),FALSE)</f>
        <v>0</v>
      </c>
      <c r="D43" s="11" t="b">
        <f t="shared" si="7"/>
        <v>0</v>
      </c>
      <c r="E43" s="33" t="b">
        <f>IF(A43&lt;=MAX($AI$41:$AI$70),IF(ROW()&lt;=COUNTA(Data!$2:$2)+2,(B43*A43+B42*A42)*(A43-A42)/2,FALSE),FALSE)</f>
        <v>0</v>
      </c>
      <c r="G43" s="65" t="s">
        <v>54</v>
      </c>
      <c r="H43" s="62" t="str">
        <f>IF(MAX(AJ71:CW71)&lt;$H$5,"Insufficient points in elimination phase.",IF(AND($G$13,$H$26=$H$15,OR($AJ$75:$CW$75)),"Time span for lambda estimation inadequate. Check individual regressions.",$H$15))</f>
        <v>NA</v>
      </c>
      <c r="W43" s="10">
        <v>41</v>
      </c>
      <c r="X4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1" t="b">
        <f>IF(ROW()&lt;=COUNTA(Data!$2:$2),INDEX(Data!$C$2:$AZ$282,Analysis!$C$1,ROW()-2),FALSE)</f>
        <v>0</v>
      </c>
      <c r="Z43" s="34">
        <f t="shared" si="10"/>
        <v>1</v>
      </c>
      <c r="AA43" s="33" t="b">
        <f t="shared" si="11"/>
        <v>0</v>
      </c>
      <c r="AC43" s="11" t="b">
        <f t="shared" si="0"/>
        <v>0</v>
      </c>
      <c r="AE43" s="11" t="b">
        <f t="shared" si="3"/>
        <v>0</v>
      </c>
      <c r="AF43" s="11">
        <f t="shared" si="12"/>
        <v>0.33300000000000002</v>
      </c>
      <c r="AG43" s="14" t="str">
        <f t="shared" si="8"/>
        <v/>
      </c>
      <c r="AH43" s="11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88" t="str">
        <f>IF(ROUND(A43,0)&gt;=ROUND($H$4,0),SUM($C$3:$C43),"")</f>
        <v/>
      </c>
    </row>
    <row r="44" spans="1:103" ht="13.5" thickBot="1" x14ac:dyDescent="0.25">
      <c r="A44" s="32" t="b">
        <f t="shared" si="31"/>
        <v>0</v>
      </c>
      <c r="B44" s="11" t="b">
        <f t="shared" si="44"/>
        <v>0</v>
      </c>
      <c r="C44" s="34" t="b">
        <f>IF(A44&lt;=MAX($AI$41:$AI$70),IF(ROW()&lt;=COUNTA(Data!$2:$2)+2,(B44+B43)*(A44-A43)/2,FALSE),FALSE)</f>
        <v>0</v>
      </c>
      <c r="D44" s="11" t="b">
        <f t="shared" si="7"/>
        <v>0</v>
      </c>
      <c r="E44" s="33" t="b">
        <f>IF(A44&lt;=MAX($AI$41:$AI$70),IF(ROW()&lt;=COUNTA(Data!$2:$2)+2,(B44*A44+B43*A43)*(A44-A43)/2,FALSE),FALSE)</f>
        <v>0</v>
      </c>
      <c r="G44" s="66" t="s">
        <v>66</v>
      </c>
      <c r="H44" s="93" t="e">
        <f>IF($AJ$81=$H$15,$H$15,IF(AND(SUM($C$4:$C$70)/(SUM($C$4:$C$70)+H29/$AJ$81)&lt;0.8,$G$14),"80% coverage of AUC not reached by tlast. AUCinf not estimated.",$H$15))</f>
        <v>#VALUE!</v>
      </c>
      <c r="J44" s="11"/>
      <c r="K44" s="76"/>
      <c r="W44" s="10">
        <v>42</v>
      </c>
      <c r="X4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1" t="b">
        <f>IF(ROW()&lt;=COUNTA(Data!$2:$2),INDEX(Data!$C$2:$AZ$282,Analysis!$C$1,ROW()-2),FALSE)</f>
        <v>0</v>
      </c>
      <c r="Z44" s="34">
        <f t="shared" si="10"/>
        <v>1</v>
      </c>
      <c r="AA44" s="33" t="b">
        <f t="shared" si="11"/>
        <v>0</v>
      </c>
      <c r="AC44" s="11" t="b">
        <f t="shared" si="0"/>
        <v>0</v>
      </c>
      <c r="AE44" s="11" t="b">
        <f t="shared" si="3"/>
        <v>0</v>
      </c>
      <c r="AF44" s="11">
        <f t="shared" si="12"/>
        <v>0.33300000000000002</v>
      </c>
      <c r="AG44" s="14" t="str">
        <f t="shared" si="8"/>
        <v/>
      </c>
      <c r="AH44" s="11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88" t="str">
        <f>IF(ROUND(A44,0)&gt;=ROUND($H$4,0),SUM($C$3:$C44),"")</f>
        <v/>
      </c>
    </row>
    <row r="45" spans="1:103" x14ac:dyDescent="0.2">
      <c r="A45" s="32" t="b">
        <f t="shared" si="31"/>
        <v>0</v>
      </c>
      <c r="B45" s="11" t="b">
        <f t="shared" si="44"/>
        <v>0</v>
      </c>
      <c r="C45" s="34" t="b">
        <f>IF(A45&lt;=MAX($AI$41:$AI$70),IF(ROW()&lt;=COUNTA(Data!$2:$2)+2,(B45+B44)*(A45-A44)/2,FALSE),FALSE)</f>
        <v>0</v>
      </c>
      <c r="D45" s="11" t="b">
        <f t="shared" si="7"/>
        <v>0</v>
      </c>
      <c r="E45" s="33" t="b">
        <f>IF(A45&lt;=MAX($AI$41:$AI$70),IF(ROW()&lt;=COUNTA(Data!$2:$2)+2,(B45*A45+B44*A44)*(A45-A44)/2,FALSE),FALSE)</f>
        <v>0</v>
      </c>
      <c r="J45" s="11"/>
      <c r="K45" s="11"/>
      <c r="W45" s="10">
        <v>43</v>
      </c>
      <c r="X4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1" t="b">
        <f>IF(ROW()&lt;=COUNTA(Data!$2:$2),INDEX(Data!$C$2:$AZ$282,Analysis!$C$1,ROW()-2),FALSE)</f>
        <v>0</v>
      </c>
      <c r="Z45" s="34">
        <f t="shared" si="10"/>
        <v>1</v>
      </c>
      <c r="AA45" s="33" t="b">
        <f t="shared" si="11"/>
        <v>0</v>
      </c>
      <c r="AC45" s="11" t="b">
        <f t="shared" si="0"/>
        <v>0</v>
      </c>
      <c r="AE45" s="11" t="b">
        <f t="shared" si="3"/>
        <v>0</v>
      </c>
      <c r="AF45" s="11">
        <f t="shared" si="12"/>
        <v>0.33300000000000002</v>
      </c>
      <c r="AG45" s="14" t="str">
        <f t="shared" si="8"/>
        <v/>
      </c>
      <c r="AH45" s="11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88" t="str">
        <f>IF(ROUND(A45,0)&gt;=ROUND($H$4,0),SUM($C$3:$C45),"")</f>
        <v/>
      </c>
    </row>
    <row r="46" spans="1:103" x14ac:dyDescent="0.2">
      <c r="A46" s="32" t="b">
        <f t="shared" si="31"/>
        <v>0</v>
      </c>
      <c r="B46" s="11" t="b">
        <f t="shared" si="44"/>
        <v>0</v>
      </c>
      <c r="C46" s="34" t="b">
        <f>IF(A46&lt;=MAX($AI$41:$AI$70),IF(ROW()&lt;=COUNTA(Data!$2:$2)+2,(B46+B45)*(A46-A45)/2,FALSE),FALSE)</f>
        <v>0</v>
      </c>
      <c r="D46" s="11" t="b">
        <f t="shared" si="7"/>
        <v>0</v>
      </c>
      <c r="E46" s="33" t="b">
        <f>IF(A46&lt;=MAX($AI$41:$AI$70),IF(ROW()&lt;=COUNTA(Data!$2:$2)+2,(B46*A46+B45*A45)*(A46-A45)/2,FALSE),FALSE)</f>
        <v>0</v>
      </c>
      <c r="W46" s="10">
        <v>44</v>
      </c>
      <c r="X4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1" t="b">
        <f>IF(ROW()&lt;=COUNTA(Data!$2:$2),INDEX(Data!$C$2:$AZ$282,Analysis!$C$1,ROW()-2),FALSE)</f>
        <v>0</v>
      </c>
      <c r="Z46" s="34">
        <f t="shared" si="10"/>
        <v>1</v>
      </c>
      <c r="AA46" s="33" t="b">
        <f t="shared" si="11"/>
        <v>0</v>
      </c>
      <c r="AC46" s="11" t="b">
        <f t="shared" si="0"/>
        <v>0</v>
      </c>
      <c r="AE46" s="11" t="b">
        <f t="shared" si="3"/>
        <v>0</v>
      </c>
      <c r="AF46" s="11">
        <f t="shared" si="12"/>
        <v>0.33300000000000002</v>
      </c>
      <c r="AG46" s="14" t="str">
        <f t="shared" si="8"/>
        <v/>
      </c>
      <c r="AH46" s="11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88" t="str">
        <f>IF(ROUND(A46,0)&gt;=ROUND($H$4,0),SUM($C$3:$C46),"")</f>
        <v/>
      </c>
    </row>
    <row r="47" spans="1:103" x14ac:dyDescent="0.2">
      <c r="A47" s="32" t="b">
        <f t="shared" si="31"/>
        <v>0</v>
      </c>
      <c r="B47" s="11" t="b">
        <f t="shared" si="44"/>
        <v>0</v>
      </c>
      <c r="C47" s="34" t="b">
        <f>IF(A47&lt;=MAX($AI$41:$AI$70),IF(ROW()&lt;=COUNTA(Data!$2:$2)+2,(B47+B46)*(A47-A46)/2,FALSE),FALSE)</f>
        <v>0</v>
      </c>
      <c r="D47" s="11" t="b">
        <f t="shared" si="7"/>
        <v>0</v>
      </c>
      <c r="E47" s="33" t="b">
        <f>IF(A47&lt;=MAX($AI$41:$AI$70),IF(ROW()&lt;=COUNTA(Data!$2:$2)+2,(B47*A47+B46*A46)*(A47-A46)/2,FALSE),FALSE)</f>
        <v>0</v>
      </c>
      <c r="W47" s="10">
        <v>45</v>
      </c>
      <c r="X4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1" t="b">
        <f>IF(ROW()&lt;=COUNTA(Data!$2:$2),INDEX(Data!$C$2:$AZ$282,Analysis!$C$1,ROW()-2),FALSE)</f>
        <v>0</v>
      </c>
      <c r="Z47" s="34">
        <f t="shared" si="10"/>
        <v>1</v>
      </c>
      <c r="AA47" s="33" t="b">
        <f t="shared" si="11"/>
        <v>0</v>
      </c>
      <c r="AC47" s="11" t="b">
        <f t="shared" si="0"/>
        <v>0</v>
      </c>
      <c r="AE47" s="11" t="b">
        <f t="shared" si="3"/>
        <v>0</v>
      </c>
      <c r="AF47" s="11">
        <f t="shared" si="12"/>
        <v>0.33300000000000002</v>
      </c>
      <c r="AG47" s="14" t="str">
        <f t="shared" si="8"/>
        <v/>
      </c>
      <c r="AH47" s="11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88" t="str">
        <f>IF(ROUND(A47,0)&gt;=ROUND($H$4,0),SUM($C$3:$C47),"")</f>
        <v/>
      </c>
    </row>
    <row r="48" spans="1:103" x14ac:dyDescent="0.2">
      <c r="A48" s="32" t="b">
        <f t="shared" si="31"/>
        <v>0</v>
      </c>
      <c r="B48" s="11" t="b">
        <f t="shared" si="44"/>
        <v>0</v>
      </c>
      <c r="C48" s="34" t="b">
        <f>IF(A48&lt;=MAX($AI$41:$AI$70),IF(ROW()&lt;=COUNTA(Data!$2:$2)+2,(B48+B47)*(A48-A47)/2,FALSE),FALSE)</f>
        <v>0</v>
      </c>
      <c r="D48" s="11" t="b">
        <f t="shared" si="7"/>
        <v>0</v>
      </c>
      <c r="E48" s="33" t="b">
        <f>IF(A48&lt;=MAX($AI$41:$AI$70),IF(ROW()&lt;=COUNTA(Data!$2:$2)+2,(B48*A48+B47*A47)*(A48-A47)/2,FALSE),FALSE)</f>
        <v>0</v>
      </c>
      <c r="W48" s="10">
        <v>46</v>
      </c>
      <c r="X4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1" t="b">
        <f>IF(ROW()&lt;=COUNTA(Data!$2:$2),INDEX(Data!$C$2:$AZ$282,Analysis!$C$1,ROW()-2),FALSE)</f>
        <v>0</v>
      </c>
      <c r="Z48" s="34">
        <f t="shared" si="10"/>
        <v>1</v>
      </c>
      <c r="AA48" s="33" t="b">
        <f t="shared" si="11"/>
        <v>0</v>
      </c>
      <c r="AC48" s="11" t="b">
        <f t="shared" si="0"/>
        <v>0</v>
      </c>
      <c r="AE48" s="11" t="b">
        <f t="shared" si="3"/>
        <v>0</v>
      </c>
      <c r="AF48" s="11">
        <f t="shared" si="12"/>
        <v>0.33300000000000002</v>
      </c>
      <c r="AG48" s="14" t="str">
        <f t="shared" si="8"/>
        <v/>
      </c>
      <c r="AH48" s="11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88" t="str">
        <f>IF(ROUND(A48,0)&gt;=ROUND($H$4,0),SUM($C$3:$C48),"")</f>
        <v/>
      </c>
    </row>
    <row r="49" spans="1:103" x14ac:dyDescent="0.2">
      <c r="A49" s="32" t="b">
        <f t="shared" si="31"/>
        <v>0</v>
      </c>
      <c r="B49" s="11" t="b">
        <f t="shared" si="44"/>
        <v>0</v>
      </c>
      <c r="C49" s="34" t="b">
        <f>IF(A49&lt;=MAX($AI$41:$AI$70),IF(ROW()&lt;=COUNTA(Data!$2:$2)+2,(B49+B48)*(A49-A48)/2,FALSE),FALSE)</f>
        <v>0</v>
      </c>
      <c r="D49" s="11" t="b">
        <f t="shared" si="7"/>
        <v>0</v>
      </c>
      <c r="E49" s="33" t="b">
        <f>IF(A49&lt;=MAX($AI$41:$AI$70),IF(ROW()&lt;=COUNTA(Data!$2:$2)+2,(B49*A49+B48*A48)*(A49-A48)/2,FALSE),FALSE)</f>
        <v>0</v>
      </c>
      <c r="W49" s="10">
        <v>47</v>
      </c>
      <c r="X4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1" t="b">
        <f>IF(ROW()&lt;=COUNTA(Data!$2:$2),INDEX(Data!$C$2:$AZ$282,Analysis!$C$1,ROW()-2),FALSE)</f>
        <v>0</v>
      </c>
      <c r="Z49" s="34">
        <f t="shared" si="10"/>
        <v>1</v>
      </c>
      <c r="AA49" s="33" t="b">
        <f t="shared" si="11"/>
        <v>0</v>
      </c>
      <c r="AC49" s="11" t="b">
        <f t="shared" si="0"/>
        <v>0</v>
      </c>
      <c r="AE49" s="11" t="b">
        <f t="shared" si="3"/>
        <v>0</v>
      </c>
      <c r="AF49" s="11">
        <f t="shared" si="12"/>
        <v>0.33300000000000002</v>
      </c>
      <c r="AG49" s="14" t="str">
        <f t="shared" si="8"/>
        <v/>
      </c>
      <c r="AH49" s="11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88" t="str">
        <f>IF(ROUND(A49,0)&gt;=ROUND($H$4,0),SUM($C$3:$C49),"")</f>
        <v/>
      </c>
    </row>
    <row r="50" spans="1:103" x14ac:dyDescent="0.2">
      <c r="A50" s="32" t="b">
        <f t="shared" si="31"/>
        <v>0</v>
      </c>
      <c r="B50" s="11" t="b">
        <f t="shared" si="44"/>
        <v>0</v>
      </c>
      <c r="C50" s="34" t="b">
        <f>IF(A50&lt;=MAX($AI$41:$AI$70),IF(ROW()&lt;=COUNTA(Data!$2:$2)+2,(B50+B49)*(A50-A49)/2,FALSE),FALSE)</f>
        <v>0</v>
      </c>
      <c r="D50" s="11" t="b">
        <f t="shared" si="7"/>
        <v>0</v>
      </c>
      <c r="E50" s="33" t="b">
        <f>IF(A50&lt;=MAX($AI$41:$AI$70),IF(ROW()&lt;=COUNTA(Data!$2:$2)+2,(B50*A50+B49*A49)*(A50-A49)/2,FALSE),FALSE)</f>
        <v>0</v>
      </c>
      <c r="W50" s="10">
        <v>48</v>
      </c>
      <c r="X5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1" t="b">
        <f>IF(ROW()&lt;=COUNTA(Data!$2:$2),INDEX(Data!$C$2:$AZ$282,Analysis!$C$1,ROW()-2),FALSE)</f>
        <v>0</v>
      </c>
      <c r="Z50" s="34">
        <f t="shared" si="10"/>
        <v>1</v>
      </c>
      <c r="AA50" s="33" t="b">
        <f t="shared" si="11"/>
        <v>0</v>
      </c>
      <c r="AC50" s="11" t="b">
        <f t="shared" si="0"/>
        <v>0</v>
      </c>
      <c r="AE50" s="11" t="b">
        <f t="shared" si="3"/>
        <v>0</v>
      </c>
      <c r="AF50" s="11">
        <f t="shared" si="12"/>
        <v>0.33300000000000002</v>
      </c>
      <c r="AG50" s="14" t="str">
        <f t="shared" si="8"/>
        <v/>
      </c>
      <c r="AH50" s="11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88" t="str">
        <f>IF(ROUND(A50,0)&gt;=ROUND($H$4,0),SUM($C$3:$C50),"")</f>
        <v/>
      </c>
    </row>
    <row r="51" spans="1:103" x14ac:dyDescent="0.2">
      <c r="A51" s="32" t="b">
        <f t="shared" si="31"/>
        <v>0</v>
      </c>
      <c r="B51" s="11" t="b">
        <f t="shared" si="44"/>
        <v>0</v>
      </c>
      <c r="C51" s="34" t="b">
        <f>IF(A51&lt;=MAX($AI$41:$AI$70),IF(ROW()&lt;=COUNTA(Data!$2:$2)+2,(B51+B50)*(A51-A50)/2,FALSE),FALSE)</f>
        <v>0</v>
      </c>
      <c r="D51" s="11" t="b">
        <f t="shared" si="7"/>
        <v>0</v>
      </c>
      <c r="E51" s="33" t="b">
        <f>IF(A51&lt;=MAX($AI$41:$AI$70),IF(ROW()&lt;=COUNTA(Data!$2:$2)+2,(B51*A51+B50*A50)*(A51-A50)/2,FALSE),FALSE)</f>
        <v>0</v>
      </c>
      <c r="W51" s="10">
        <v>49</v>
      </c>
      <c r="X5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1" t="b">
        <f>IF(ROW()&lt;=COUNTA(Data!$2:$2),INDEX(Data!$C$2:$AZ$282,Analysis!$C$1,ROW()-2),FALSE)</f>
        <v>0</v>
      </c>
      <c r="Z51" s="34">
        <f t="shared" si="10"/>
        <v>1</v>
      </c>
      <c r="AA51" s="33" t="b">
        <f t="shared" si="11"/>
        <v>0</v>
      </c>
      <c r="AC51" s="11" t="b">
        <f t="shared" si="0"/>
        <v>0</v>
      </c>
      <c r="AE51" s="11" t="b">
        <f t="shared" si="3"/>
        <v>0</v>
      </c>
      <c r="AF51" s="11">
        <f t="shared" si="12"/>
        <v>0.33300000000000002</v>
      </c>
      <c r="AG51" s="14" t="str">
        <f t="shared" si="8"/>
        <v/>
      </c>
      <c r="AH51" s="11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88" t="str">
        <f>IF(ROUND(A51,0)&gt;=ROUND($H$4,0),SUM($C$3:$C51),"")</f>
        <v/>
      </c>
    </row>
    <row r="52" spans="1:103" x14ac:dyDescent="0.2">
      <c r="A52" s="32" t="b">
        <f t="shared" si="31"/>
        <v>0</v>
      </c>
      <c r="B52" s="11" t="b">
        <f t="shared" si="44"/>
        <v>0</v>
      </c>
      <c r="C52" s="34" t="b">
        <f>IF(A52&lt;=MAX($AI$41:$AI$70),IF(ROW()&lt;=COUNTA(Data!$2:$2)+2,(B52+B51)*(A52-A51)/2,FALSE),FALSE)</f>
        <v>0</v>
      </c>
      <c r="D52" s="11" t="b">
        <f t="shared" si="7"/>
        <v>0</v>
      </c>
      <c r="E52" s="33" t="b">
        <f>IF(A52&lt;=MAX($AI$41:$AI$70),IF(ROW()&lt;=COUNTA(Data!$2:$2)+2,(B52*A52+B51*A51)*(A52-A51)/2,FALSE),FALSE)</f>
        <v>0</v>
      </c>
      <c r="W52" s="10">
        <v>50</v>
      </c>
      <c r="X5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1" t="b">
        <f>IF(ROW()&lt;=COUNTA(Data!$2:$2),INDEX(Data!$C$2:$AZ$282,Analysis!$C$1,ROW()-2),FALSE)</f>
        <v>0</v>
      </c>
      <c r="Z52" s="34">
        <f t="shared" si="10"/>
        <v>1</v>
      </c>
      <c r="AA52" s="33" t="b">
        <f t="shared" si="11"/>
        <v>0</v>
      </c>
      <c r="AC52" s="11" t="b">
        <f t="shared" si="0"/>
        <v>0</v>
      </c>
      <c r="AE52" s="11" t="b">
        <f t="shared" si="3"/>
        <v>0</v>
      </c>
      <c r="AF52" s="11">
        <f t="shared" si="12"/>
        <v>0.33300000000000002</v>
      </c>
      <c r="AG52" s="14" t="str">
        <f t="shared" si="8"/>
        <v/>
      </c>
      <c r="AH52" s="11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88" t="str">
        <f>IF(ROUND(A52,0)&gt;=ROUND($H$4,0),SUM($C$3:$C52),"")</f>
        <v/>
      </c>
    </row>
    <row r="53" spans="1:103" x14ac:dyDescent="0.2">
      <c r="A53" s="32" t="b">
        <f t="shared" si="31"/>
        <v>0</v>
      </c>
      <c r="B53" s="11" t="b">
        <f t="shared" si="44"/>
        <v>0</v>
      </c>
      <c r="C53" s="34" t="b">
        <f>IF(A53&lt;=MAX($AI$41:$AI$70),IF(ROW()&lt;=COUNTA(Data!$2:$2)+2,(B53+B52)*(A53-A52)/2,FALSE),FALSE)</f>
        <v>0</v>
      </c>
      <c r="D53" s="11" t="b">
        <f t="shared" si="7"/>
        <v>0</v>
      </c>
      <c r="E53" s="33" t="b">
        <f>IF(A53&lt;=MAX($AI$41:$AI$70),IF(ROW()&lt;=COUNTA(Data!$2:$2)+2,(B53*A53+B52*A52)*(A53-A52)/2,FALSE),FALSE)</f>
        <v>0</v>
      </c>
      <c r="W53" s="10">
        <v>51</v>
      </c>
      <c r="X5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1" t="b">
        <f>IF(ROW()&lt;=COUNTA(Data!$2:$2),INDEX(Data!$C$2:$AZ$282,Analysis!$C$1,ROW()-2),FALSE)</f>
        <v>0</v>
      </c>
      <c r="Z53" s="34">
        <f t="shared" si="10"/>
        <v>1</v>
      </c>
      <c r="AA53" s="33" t="b">
        <f t="shared" si="11"/>
        <v>0</v>
      </c>
      <c r="AC53" s="11" t="b">
        <f t="shared" si="0"/>
        <v>0</v>
      </c>
      <c r="AE53" s="11" t="b">
        <f t="shared" si="3"/>
        <v>0</v>
      </c>
      <c r="AF53" s="11">
        <f t="shared" si="12"/>
        <v>0.33300000000000002</v>
      </c>
      <c r="AG53" s="14" t="str">
        <f t="shared" si="8"/>
        <v/>
      </c>
      <c r="AH53" s="11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88" t="str">
        <f>IF(ROUND(A53,0)&gt;=ROUND($H$4,0),SUM($C$3:$C53),"")</f>
        <v/>
      </c>
    </row>
    <row r="54" spans="1:103" x14ac:dyDescent="0.2">
      <c r="A54" s="32" t="b">
        <f t="shared" si="31"/>
        <v>0</v>
      </c>
      <c r="B54" s="11" t="b">
        <f t="shared" si="44"/>
        <v>0</v>
      </c>
      <c r="C54" s="34" t="b">
        <f>IF(A54&lt;=MAX($AI$41:$AI$70),IF(ROW()&lt;=COUNTA(Data!$2:$2)+2,(B54+B53)*(A54-A53)/2,FALSE),FALSE)</f>
        <v>0</v>
      </c>
      <c r="D54" s="11" t="b">
        <f t="shared" si="7"/>
        <v>0</v>
      </c>
      <c r="E54" s="33" t="b">
        <f>IF(A54&lt;=MAX($AI$41:$AI$70),IF(ROW()&lt;=COUNTA(Data!$2:$2)+2,(B54*A54+B53*A53)*(A54-A53)/2,FALSE),FALSE)</f>
        <v>0</v>
      </c>
      <c r="W54" s="10">
        <v>52</v>
      </c>
      <c r="X5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1" t="b">
        <f>IF(ROW()&lt;=COUNTA(Data!$2:$2),INDEX(Data!$C$2:$AZ$282,Analysis!$C$1,ROW()-2),FALSE)</f>
        <v>0</v>
      </c>
      <c r="Z54" s="34">
        <f t="shared" si="10"/>
        <v>1</v>
      </c>
      <c r="AA54" s="33" t="b">
        <f t="shared" si="11"/>
        <v>0</v>
      </c>
      <c r="AC54" s="11" t="b">
        <f t="shared" si="0"/>
        <v>0</v>
      </c>
      <c r="AE54" s="11" t="b">
        <f t="shared" si="3"/>
        <v>0</v>
      </c>
      <c r="AF54" s="11">
        <f t="shared" si="12"/>
        <v>0.33300000000000002</v>
      </c>
      <c r="AG54" s="14" t="str">
        <f t="shared" si="8"/>
        <v/>
      </c>
      <c r="AH54" s="11">
        <f t="shared" si="45"/>
        <v>1</v>
      </c>
      <c r="AI54" s="4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88" t="str">
        <f>IF(ROUND(A54,0)&gt;=ROUND($H$4,0),SUM($C$3:$C54),"")</f>
        <v/>
      </c>
    </row>
    <row r="55" spans="1:103" x14ac:dyDescent="0.2">
      <c r="A55" s="32" t="b">
        <f t="shared" si="31"/>
        <v>0</v>
      </c>
      <c r="B55" s="11" t="b">
        <f t="shared" si="44"/>
        <v>0</v>
      </c>
      <c r="C55" s="34" t="b">
        <f>IF(A55&lt;=MAX($AI$41:$AI$70),IF(ROW()&lt;=COUNTA(Data!$2:$2)+2,(B55+B54)*(A55-A54)/2,FALSE),FALSE)</f>
        <v>0</v>
      </c>
      <c r="D55" s="11" t="b">
        <f t="shared" si="7"/>
        <v>0</v>
      </c>
      <c r="E55" s="33" t="b">
        <f>IF(A55&lt;=MAX($AI$41:$AI$70),IF(ROW()&lt;=COUNTA(Data!$2:$2)+2,(B55*A55+B54*A54)*(A55-A54)/2,FALSE),FALSE)</f>
        <v>0</v>
      </c>
      <c r="W55" s="10">
        <v>53</v>
      </c>
      <c r="X5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1" t="b">
        <f>IF(ROW()&lt;=COUNTA(Data!$2:$2),INDEX(Data!$C$2:$AZ$282,Analysis!$C$1,ROW()-2),FALSE)</f>
        <v>0</v>
      </c>
      <c r="Z55" s="34">
        <f t="shared" si="10"/>
        <v>1</v>
      </c>
      <c r="AA55" s="33" t="b">
        <f t="shared" si="11"/>
        <v>0</v>
      </c>
      <c r="AC55" s="11" t="b">
        <f t="shared" si="0"/>
        <v>0</v>
      </c>
      <c r="AE55" s="11" t="b">
        <f t="shared" si="3"/>
        <v>0</v>
      </c>
      <c r="AF55" s="11">
        <f t="shared" si="12"/>
        <v>0.33300000000000002</v>
      </c>
      <c r="AG55" s="14" t="str">
        <f t="shared" si="8"/>
        <v/>
      </c>
      <c r="AH55" s="11">
        <f t="shared" si="45"/>
        <v>2</v>
      </c>
      <c r="AI55" s="4">
        <f t="shared" si="58"/>
        <v>0.33300000000000002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88" t="str">
        <f>IF(ROUND(A55,0)&gt;=ROUND($H$4,0),SUM($C$3:$C55),"")</f>
        <v/>
      </c>
    </row>
    <row r="56" spans="1:103" x14ac:dyDescent="0.2">
      <c r="A56" s="32" t="b">
        <f t="shared" si="31"/>
        <v>0</v>
      </c>
      <c r="B56" s="11" t="b">
        <f t="shared" si="44"/>
        <v>0</v>
      </c>
      <c r="C56" s="34" t="b">
        <f>IF(A56&lt;=MAX($AI$41:$AI$70),IF(ROW()&lt;=COUNTA(Data!$2:$2)+2,(B56+B55)*(A56-A55)/2,FALSE),FALSE)</f>
        <v>0</v>
      </c>
      <c r="D56" s="11" t="b">
        <f t="shared" si="7"/>
        <v>0</v>
      </c>
      <c r="E56" s="33" t="b">
        <f>IF(A56&lt;=MAX($AI$41:$AI$70),IF(ROW()&lt;=COUNTA(Data!$2:$2)+2,(B56*A56+B55*A55)*(A56-A55)/2,FALSE),FALSE)</f>
        <v>0</v>
      </c>
      <c r="W56" s="10">
        <v>54</v>
      </c>
      <c r="X5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1" t="b">
        <f>IF(ROW()&lt;=COUNTA(Data!$2:$2),INDEX(Data!$C$2:$AZ$282,Analysis!$C$1,ROW()-2),FALSE)</f>
        <v>0</v>
      </c>
      <c r="Z56" s="34">
        <f t="shared" si="10"/>
        <v>1</v>
      </c>
      <c r="AA56" s="33" t="b">
        <f t="shared" si="11"/>
        <v>0</v>
      </c>
      <c r="AC56" s="11" t="b">
        <f t="shared" si="0"/>
        <v>0</v>
      </c>
      <c r="AE56" s="11" t="b">
        <f t="shared" si="3"/>
        <v>0</v>
      </c>
      <c r="AF56" s="11">
        <f t="shared" si="12"/>
        <v>0.33300000000000002</v>
      </c>
      <c r="AG56" s="14" t="str">
        <f t="shared" si="8"/>
        <v/>
      </c>
      <c r="AH56" s="11">
        <f t="shared" si="45"/>
        <v>3</v>
      </c>
      <c r="AI56" s="4">
        <f t="shared" si="58"/>
        <v>0.66700000000000004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88" t="str">
        <f>IF(ROUND(A56,0)&gt;=ROUND($H$4,0),SUM($C$3:$C56),"")</f>
        <v/>
      </c>
    </row>
    <row r="57" spans="1:103" x14ac:dyDescent="0.2">
      <c r="A57" s="32" t="b">
        <f t="shared" si="31"/>
        <v>0</v>
      </c>
      <c r="B57" s="11" t="b">
        <f t="shared" si="44"/>
        <v>0</v>
      </c>
      <c r="C57" s="34" t="b">
        <f>IF(A57&lt;=MAX($AI$41:$AI$70),IF(ROW()&lt;=COUNTA(Data!$2:$2)+2,(B57+B56)*(A57-A56)/2,FALSE),FALSE)</f>
        <v>0</v>
      </c>
      <c r="D57" s="11" t="b">
        <f t="shared" si="7"/>
        <v>0</v>
      </c>
      <c r="E57" s="33" t="b">
        <f>IF(A57&lt;=MAX($AI$41:$AI$70),IF(ROW()&lt;=COUNTA(Data!$2:$2)+2,(B57*A57+B56*A56)*(A57-A56)/2,FALSE),FALSE)</f>
        <v>0</v>
      </c>
      <c r="W57" s="10">
        <v>55</v>
      </c>
      <c r="X5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1" t="b">
        <f>IF(ROW()&lt;=COUNTA(Data!$2:$2),INDEX(Data!$C$2:$AZ$282,Analysis!$C$1,ROW()-2),FALSE)</f>
        <v>0</v>
      </c>
      <c r="Z57" s="34">
        <f t="shared" si="10"/>
        <v>1</v>
      </c>
      <c r="AA57" s="33" t="b">
        <f t="shared" si="11"/>
        <v>0</v>
      </c>
      <c r="AC57" s="11" t="b">
        <f t="shared" si="0"/>
        <v>0</v>
      </c>
      <c r="AE57" s="11" t="b">
        <f t="shared" si="3"/>
        <v>0</v>
      </c>
      <c r="AF57" s="11">
        <f t="shared" si="12"/>
        <v>0.33300000000000002</v>
      </c>
      <c r="AG57" s="14" t="str">
        <f t="shared" si="8"/>
        <v/>
      </c>
      <c r="AH57" s="11">
        <f t="shared" si="45"/>
        <v>4</v>
      </c>
      <c r="AI57" s="4">
        <f t="shared" si="58"/>
        <v>1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88" t="str">
        <f>IF(ROUND(A57,0)&gt;=ROUND($H$4,0),SUM($C$3:$C57),"")</f>
        <v/>
      </c>
    </row>
    <row r="58" spans="1:103" x14ac:dyDescent="0.2">
      <c r="A58" s="32" t="b">
        <f t="shared" si="31"/>
        <v>0</v>
      </c>
      <c r="B58" s="11" t="b">
        <f t="shared" si="44"/>
        <v>0</v>
      </c>
      <c r="C58" s="34" t="b">
        <f>IF(A58&lt;=MAX($AI$41:$AI$70),IF(ROW()&lt;=COUNTA(Data!$2:$2)+2,(B58+B57)*(A58-A57)/2,FALSE),FALSE)</f>
        <v>0</v>
      </c>
      <c r="D58" s="11" t="b">
        <f t="shared" si="7"/>
        <v>0</v>
      </c>
      <c r="E58" s="33" t="b">
        <f>IF(A58&lt;=MAX($AI$41:$AI$70),IF(ROW()&lt;=COUNTA(Data!$2:$2)+2,(B58*A58+B57*A57)*(A58-A57)/2,FALSE),FALSE)</f>
        <v>0</v>
      </c>
      <c r="W58" s="10">
        <v>56</v>
      </c>
      <c r="X5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1" t="b">
        <f>IF(ROW()&lt;=COUNTA(Data!$2:$2),INDEX(Data!$C$2:$AZ$282,Analysis!$C$1,ROW()-2),FALSE)</f>
        <v>0</v>
      </c>
      <c r="Z58" s="34">
        <f t="shared" si="10"/>
        <v>1</v>
      </c>
      <c r="AA58" s="33" t="b">
        <f t="shared" si="11"/>
        <v>0</v>
      </c>
      <c r="AC58" s="11" t="b">
        <f t="shared" si="0"/>
        <v>0</v>
      </c>
      <c r="AE58" s="11" t="b">
        <f t="shared" si="3"/>
        <v>0</v>
      </c>
      <c r="AF58" s="11">
        <f t="shared" si="12"/>
        <v>0.33300000000000002</v>
      </c>
      <c r="AG58" s="14" t="str">
        <f t="shared" si="8"/>
        <v/>
      </c>
      <c r="AH58" s="11">
        <f t="shared" si="45"/>
        <v>5</v>
      </c>
      <c r="AI58" s="4">
        <f t="shared" si="58"/>
        <v>1.5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88" t="str">
        <f>IF(ROUND(A58,0)&gt;=ROUND($H$4,0),SUM($C$3:$C58),"")</f>
        <v/>
      </c>
    </row>
    <row r="59" spans="1:103" x14ac:dyDescent="0.2">
      <c r="A59" s="32" t="b">
        <f t="shared" si="31"/>
        <v>0</v>
      </c>
      <c r="B59" s="11" t="b">
        <f t="shared" si="44"/>
        <v>0</v>
      </c>
      <c r="C59" s="34" t="b">
        <f>IF(A59&lt;=MAX($AI$41:$AI$70),IF(ROW()&lt;=COUNTA(Data!$2:$2)+2,(B59+B58)*(A59-A58)/2,FALSE),FALSE)</f>
        <v>0</v>
      </c>
      <c r="D59" s="11" t="b">
        <f t="shared" si="7"/>
        <v>0</v>
      </c>
      <c r="E59" s="33" t="b">
        <f>IF(A59&lt;=MAX($AI$41:$AI$70),IF(ROW()&lt;=COUNTA(Data!$2:$2)+2,(B59*A59+B58*A58)*(A59-A58)/2,FALSE),FALSE)</f>
        <v>0</v>
      </c>
      <c r="W59" s="10">
        <v>57</v>
      </c>
      <c r="X5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1" t="b">
        <f>IF(ROW()&lt;=COUNTA(Data!$2:$2),INDEX(Data!$C$2:$AZ$282,Analysis!$C$1,ROW()-2),FALSE)</f>
        <v>0</v>
      </c>
      <c r="Z59" s="34">
        <f t="shared" si="10"/>
        <v>1</v>
      </c>
      <c r="AA59" s="33" t="b">
        <f t="shared" si="11"/>
        <v>0</v>
      </c>
      <c r="AC59" s="11" t="b">
        <f t="shared" si="0"/>
        <v>0</v>
      </c>
      <c r="AE59" s="11" t="b">
        <f t="shared" si="3"/>
        <v>0</v>
      </c>
      <c r="AF59" s="11">
        <f t="shared" si="12"/>
        <v>0.33300000000000002</v>
      </c>
      <c r="AG59" s="14" t="str">
        <f t="shared" si="8"/>
        <v/>
      </c>
      <c r="AH59" s="11">
        <f t="shared" si="45"/>
        <v>6</v>
      </c>
      <c r="AI59" s="4">
        <f t="shared" si="58"/>
        <v>2</v>
      </c>
      <c r="AJ59" s="5"/>
      <c r="AK59" s="5"/>
      <c r="AL59" s="5"/>
      <c r="AM59" s="5"/>
      <c r="AN59" s="5"/>
      <c r="AO59" s="5"/>
      <c r="AP59" s="5"/>
      <c r="AQ59" s="5"/>
      <c r="AR59" s="5"/>
      <c r="AS59" s="5">
        <f t="shared" ref="AS59:AS70" si="91">IF(OR(ISERR(LN(INDEX($Y$3:$Y$70,INDEX($AD$3:$AD$70,71-ROW(),1),1))),$AI59&lt;=MIN($D:$D),$AI59=FALSE),FALSE,LN(INDEX($Y$3:$Y$70,INDEX($AD$3:$AD$70,71-ROW(),1),1)))</f>
        <v>2.5649493574615367</v>
      </c>
      <c r="AT59" s="5">
        <f t="shared" si="90"/>
        <v>2.5649493574615367</v>
      </c>
      <c r="AU59" s="5">
        <f t="shared" si="89"/>
        <v>2.5649493574615367</v>
      </c>
      <c r="AV59" s="5">
        <f t="shared" si="88"/>
        <v>2.5649493574615367</v>
      </c>
      <c r="AW59" s="5">
        <f t="shared" si="87"/>
        <v>2.5649493574615367</v>
      </c>
      <c r="AX59" s="5">
        <f t="shared" si="85"/>
        <v>2.5649493574615367</v>
      </c>
      <c r="AY59" s="5">
        <f t="shared" si="83"/>
        <v>2.5649493574615367</v>
      </c>
      <c r="AZ59" s="5">
        <f t="shared" si="81"/>
        <v>2.5649493574615367</v>
      </c>
      <c r="BA59" s="5">
        <f t="shared" si="79"/>
        <v>2.5649493574615367</v>
      </c>
      <c r="BB59" s="5">
        <f t="shared" si="77"/>
        <v>2.5649493574615367</v>
      </c>
      <c r="BC59" s="5">
        <f t="shared" si="75"/>
        <v>2.5649493574615367</v>
      </c>
      <c r="BD59" s="5">
        <f t="shared" si="73"/>
        <v>2.5649493574615367</v>
      </c>
      <c r="BE59" s="5">
        <f t="shared" si="71"/>
        <v>2.5649493574615367</v>
      </c>
      <c r="BF59" s="5">
        <f t="shared" si="69"/>
        <v>2.5649493574615367</v>
      </c>
      <c r="BG59" s="5">
        <f t="shared" si="67"/>
        <v>2.5649493574615367</v>
      </c>
      <c r="BH59" s="5">
        <f t="shared" si="65"/>
        <v>2.5649493574615367</v>
      </c>
      <c r="BI59" s="5">
        <f t="shared" si="63"/>
        <v>2.5649493574615367</v>
      </c>
      <c r="BJ59" s="5">
        <f t="shared" si="61"/>
        <v>2.5649493574615367</v>
      </c>
      <c r="BK59" s="5">
        <f t="shared" si="59"/>
        <v>2.5649493574615367</v>
      </c>
      <c r="BL59" s="5">
        <f t="shared" si="56"/>
        <v>2.5649493574615367</v>
      </c>
      <c r="BM59" s="5">
        <f t="shared" si="54"/>
        <v>2.5649493574615367</v>
      </c>
      <c r="BN59" s="5">
        <f t="shared" si="52"/>
        <v>2.5649493574615367</v>
      </c>
      <c r="BO59" s="5">
        <f t="shared" si="50"/>
        <v>2.5649493574615367</v>
      </c>
      <c r="BP59" s="5">
        <f t="shared" si="48"/>
        <v>2.5649493574615367</v>
      </c>
      <c r="BQ59" s="5">
        <f t="shared" si="46"/>
        <v>2.5649493574615367</v>
      </c>
      <c r="BR59" s="5">
        <f t="shared" si="43"/>
        <v>2.5649493574615367</v>
      </c>
      <c r="BS59" s="5">
        <f t="shared" si="42"/>
        <v>2.5649493574615367</v>
      </c>
      <c r="BT59" s="5">
        <f t="shared" si="41"/>
        <v>2.5649493574615367</v>
      </c>
      <c r="BU59" s="5">
        <f t="shared" si="40"/>
        <v>2.5649493574615367</v>
      </c>
      <c r="BV59" s="5">
        <f t="shared" si="39"/>
        <v>2.5649493574615367</v>
      </c>
      <c r="BW59" s="5">
        <f t="shared" si="38"/>
        <v>2.5649493574615367</v>
      </c>
      <c r="BX59" s="5">
        <f t="shared" si="37"/>
        <v>2.5649493574615367</v>
      </c>
      <c r="BY59" s="5">
        <f t="shared" si="36"/>
        <v>2.5649493574615367</v>
      </c>
      <c r="BZ59" s="5">
        <f t="shared" si="35"/>
        <v>2.5649493574615367</v>
      </c>
      <c r="CA59" s="5">
        <f t="shared" si="34"/>
        <v>2.5649493574615367</v>
      </c>
      <c r="CB59" s="5">
        <f t="shared" si="33"/>
        <v>2.5649493574615367</v>
      </c>
      <c r="CC59" s="5">
        <f t="shared" si="32"/>
        <v>2.5649493574615367</v>
      </c>
      <c r="CD59" s="5">
        <f t="shared" si="86"/>
        <v>2.5649493574615367</v>
      </c>
      <c r="CE59" s="5">
        <f t="shared" si="84"/>
        <v>2.5649493574615367</v>
      </c>
      <c r="CF59" s="5">
        <f t="shared" si="82"/>
        <v>2.5649493574615367</v>
      </c>
      <c r="CG59" s="5">
        <f t="shared" si="80"/>
        <v>2.5649493574615367</v>
      </c>
      <c r="CH59" s="5">
        <f t="shared" si="78"/>
        <v>2.5649493574615367</v>
      </c>
      <c r="CI59" s="5">
        <f t="shared" si="76"/>
        <v>2.5649493574615367</v>
      </c>
      <c r="CJ59" s="5">
        <f t="shared" si="74"/>
        <v>2.5649493574615367</v>
      </c>
      <c r="CK59" s="5">
        <f t="shared" si="72"/>
        <v>2.5649493574615367</v>
      </c>
      <c r="CL59" s="5">
        <f t="shared" si="70"/>
        <v>2.5649493574615367</v>
      </c>
      <c r="CM59" s="5">
        <f t="shared" si="68"/>
        <v>2.5649493574615367</v>
      </c>
      <c r="CN59" s="5">
        <f t="shared" si="66"/>
        <v>2.5649493574615367</v>
      </c>
      <c r="CO59" s="5">
        <f t="shared" si="64"/>
        <v>2.5649493574615367</v>
      </c>
      <c r="CP59" s="5">
        <f t="shared" si="62"/>
        <v>2.5649493574615367</v>
      </c>
      <c r="CQ59" s="5">
        <f t="shared" si="60"/>
        <v>2.5649493574615367</v>
      </c>
      <c r="CR59" s="5">
        <f t="shared" si="57"/>
        <v>2.5649493574615367</v>
      </c>
      <c r="CS59" s="5">
        <f t="shared" si="55"/>
        <v>2.5649493574615367</v>
      </c>
      <c r="CT59" s="5">
        <f t="shared" si="53"/>
        <v>2.5649493574615367</v>
      </c>
      <c r="CU59" s="5">
        <f t="shared" si="51"/>
        <v>2.5649493574615367</v>
      </c>
      <c r="CV59" s="5">
        <f t="shared" si="49"/>
        <v>2.5649493574615367</v>
      </c>
      <c r="CW59" s="6">
        <f t="shared" si="47"/>
        <v>2.5649493574615367</v>
      </c>
      <c r="CY59" s="88" t="str">
        <f>IF(ROUND(A59,0)&gt;=ROUND($H$4,0),SUM($C$3:$C59),"")</f>
        <v/>
      </c>
    </row>
    <row r="60" spans="1:103" x14ac:dyDescent="0.2">
      <c r="A60" s="32" t="b">
        <f t="shared" si="31"/>
        <v>0</v>
      </c>
      <c r="B60" s="11" t="b">
        <f t="shared" si="44"/>
        <v>0</v>
      </c>
      <c r="C60" s="34" t="b">
        <f>IF(A60&lt;=MAX($AI$41:$AI$70),IF(ROW()&lt;=COUNTA(Data!$2:$2)+2,(B60+B59)*(A60-A59)/2,FALSE),FALSE)</f>
        <v>0</v>
      </c>
      <c r="D60" s="11" t="b">
        <f t="shared" si="7"/>
        <v>0</v>
      </c>
      <c r="E60" s="33" t="b">
        <f>IF(A60&lt;=MAX($AI$41:$AI$70),IF(ROW()&lt;=COUNTA(Data!$2:$2)+2,(B60*A60+B59*A59)*(A60-A59)/2,FALSE),FALSE)</f>
        <v>0</v>
      </c>
      <c r="W60" s="10">
        <v>58</v>
      </c>
      <c r="X60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1" t="b">
        <f>IF(ROW()&lt;=COUNTA(Data!$2:$2),INDEX(Data!$C$2:$AZ$282,Analysis!$C$1,ROW()-2),FALSE)</f>
        <v>0</v>
      </c>
      <c r="Z60" s="34">
        <f t="shared" si="10"/>
        <v>1</v>
      </c>
      <c r="AA60" s="33" t="b">
        <f t="shared" si="11"/>
        <v>0</v>
      </c>
      <c r="AC60" s="11" t="b">
        <f t="shared" si="0"/>
        <v>0</v>
      </c>
      <c r="AE60" s="11" t="b">
        <f t="shared" si="3"/>
        <v>0</v>
      </c>
      <c r="AF60" s="11">
        <f t="shared" si="12"/>
        <v>0.33300000000000002</v>
      </c>
      <c r="AG60" s="14" t="str">
        <f t="shared" si="8"/>
        <v/>
      </c>
      <c r="AH60" s="11">
        <f t="shared" si="45"/>
        <v>7</v>
      </c>
      <c r="AI60" s="4">
        <f t="shared" si="58"/>
        <v>2.5</v>
      </c>
      <c r="AJ60" s="5"/>
      <c r="AK60" s="5"/>
      <c r="AL60" s="5"/>
      <c r="AM60" s="5"/>
      <c r="AN60" s="5"/>
      <c r="AO60" s="5"/>
      <c r="AP60" s="5"/>
      <c r="AQ60" s="5"/>
      <c r="AR60" s="5">
        <f t="shared" ref="AR60:AR70" si="92">IF(OR(ISERR(LN(INDEX($Y$3:$Y$70,INDEX($AD$3:$AD$70,71-ROW(),1),1))),$AI60&lt;=MIN($D:$D),$AI60=FALSE),FALSE,LN(INDEX($Y$3:$Y$70,INDEX($AD$3:$AD$70,71-ROW(),1),1)))</f>
        <v>2.3340837600534168</v>
      </c>
      <c r="AS60" s="5">
        <f t="shared" si="91"/>
        <v>2.3340837600534168</v>
      </c>
      <c r="AT60" s="5">
        <f t="shared" si="90"/>
        <v>2.3340837600534168</v>
      </c>
      <c r="AU60" s="5">
        <f t="shared" si="89"/>
        <v>2.3340837600534168</v>
      </c>
      <c r="AV60" s="5">
        <f t="shared" si="88"/>
        <v>2.3340837600534168</v>
      </c>
      <c r="AW60" s="5">
        <f t="shared" si="87"/>
        <v>2.3340837600534168</v>
      </c>
      <c r="AX60" s="5">
        <f t="shared" si="85"/>
        <v>2.3340837600534168</v>
      </c>
      <c r="AY60" s="5">
        <f t="shared" si="83"/>
        <v>2.3340837600534168</v>
      </c>
      <c r="AZ60" s="5">
        <f t="shared" si="81"/>
        <v>2.3340837600534168</v>
      </c>
      <c r="BA60" s="5">
        <f t="shared" si="79"/>
        <v>2.3340837600534168</v>
      </c>
      <c r="BB60" s="5">
        <f t="shared" si="77"/>
        <v>2.3340837600534168</v>
      </c>
      <c r="BC60" s="5">
        <f t="shared" si="75"/>
        <v>2.3340837600534168</v>
      </c>
      <c r="BD60" s="5">
        <f t="shared" si="73"/>
        <v>2.3340837600534168</v>
      </c>
      <c r="BE60" s="5">
        <f t="shared" si="71"/>
        <v>2.3340837600534168</v>
      </c>
      <c r="BF60" s="5">
        <f t="shared" si="69"/>
        <v>2.3340837600534168</v>
      </c>
      <c r="BG60" s="5">
        <f t="shared" si="67"/>
        <v>2.3340837600534168</v>
      </c>
      <c r="BH60" s="5">
        <f t="shared" si="65"/>
        <v>2.3340837600534168</v>
      </c>
      <c r="BI60" s="5">
        <f t="shared" si="63"/>
        <v>2.3340837600534168</v>
      </c>
      <c r="BJ60" s="5">
        <f t="shared" si="61"/>
        <v>2.3340837600534168</v>
      </c>
      <c r="BK60" s="5">
        <f t="shared" si="59"/>
        <v>2.3340837600534168</v>
      </c>
      <c r="BL60" s="5">
        <f t="shared" si="56"/>
        <v>2.3340837600534168</v>
      </c>
      <c r="BM60" s="5">
        <f t="shared" si="54"/>
        <v>2.3340837600534168</v>
      </c>
      <c r="BN60" s="5">
        <f t="shared" si="52"/>
        <v>2.3340837600534168</v>
      </c>
      <c r="BO60" s="5">
        <f t="shared" si="50"/>
        <v>2.3340837600534168</v>
      </c>
      <c r="BP60" s="5">
        <f t="shared" si="48"/>
        <v>2.3340837600534168</v>
      </c>
      <c r="BQ60" s="5">
        <f t="shared" si="46"/>
        <v>2.3340837600534168</v>
      </c>
      <c r="BR60" s="5">
        <f t="shared" si="43"/>
        <v>2.3340837600534168</v>
      </c>
      <c r="BS60" s="5">
        <f t="shared" si="42"/>
        <v>2.3340837600534168</v>
      </c>
      <c r="BT60" s="5">
        <f t="shared" si="41"/>
        <v>2.3340837600534168</v>
      </c>
      <c r="BU60" s="5">
        <f t="shared" si="40"/>
        <v>2.3340837600534168</v>
      </c>
      <c r="BV60" s="5">
        <f t="shared" si="39"/>
        <v>2.3340837600534168</v>
      </c>
      <c r="BW60" s="5">
        <f t="shared" si="38"/>
        <v>2.3340837600534168</v>
      </c>
      <c r="BX60" s="5">
        <f t="shared" si="37"/>
        <v>2.3340837600534168</v>
      </c>
      <c r="BY60" s="5">
        <f t="shared" si="36"/>
        <v>2.3340837600534168</v>
      </c>
      <c r="BZ60" s="5">
        <f t="shared" si="35"/>
        <v>2.3340837600534168</v>
      </c>
      <c r="CA60" s="5">
        <f t="shared" si="34"/>
        <v>2.3340837600534168</v>
      </c>
      <c r="CB60" s="5">
        <f t="shared" si="33"/>
        <v>2.3340837600534168</v>
      </c>
      <c r="CC60" s="5">
        <f t="shared" si="32"/>
        <v>2.3340837600534168</v>
      </c>
      <c r="CD60" s="5">
        <f t="shared" si="86"/>
        <v>2.3340837600534168</v>
      </c>
      <c r="CE60" s="5">
        <f t="shared" si="84"/>
        <v>2.3340837600534168</v>
      </c>
      <c r="CF60" s="5">
        <f t="shared" si="82"/>
        <v>2.3340837600534168</v>
      </c>
      <c r="CG60" s="5">
        <f t="shared" si="80"/>
        <v>2.3340837600534168</v>
      </c>
      <c r="CH60" s="5">
        <f t="shared" si="78"/>
        <v>2.3340837600534168</v>
      </c>
      <c r="CI60" s="5">
        <f t="shared" si="76"/>
        <v>2.3340837600534168</v>
      </c>
      <c r="CJ60" s="5">
        <f t="shared" si="74"/>
        <v>2.3340837600534168</v>
      </c>
      <c r="CK60" s="5">
        <f t="shared" si="72"/>
        <v>2.3340837600534168</v>
      </c>
      <c r="CL60" s="5">
        <f t="shared" si="70"/>
        <v>2.3340837600534168</v>
      </c>
      <c r="CM60" s="5">
        <f t="shared" si="68"/>
        <v>2.3340837600534168</v>
      </c>
      <c r="CN60" s="5">
        <f t="shared" si="66"/>
        <v>2.3340837600534168</v>
      </c>
      <c r="CO60" s="5">
        <f t="shared" si="64"/>
        <v>2.3340837600534168</v>
      </c>
      <c r="CP60" s="5">
        <f t="shared" si="62"/>
        <v>2.3340837600534168</v>
      </c>
      <c r="CQ60" s="5">
        <f t="shared" si="60"/>
        <v>2.3340837600534168</v>
      </c>
      <c r="CR60" s="5">
        <f t="shared" si="57"/>
        <v>2.3340837600534168</v>
      </c>
      <c r="CS60" s="5">
        <f t="shared" si="55"/>
        <v>2.3340837600534168</v>
      </c>
      <c r="CT60" s="5">
        <f t="shared" si="53"/>
        <v>2.3340837600534168</v>
      </c>
      <c r="CU60" s="5">
        <f t="shared" si="51"/>
        <v>2.3340837600534168</v>
      </c>
      <c r="CV60" s="5">
        <f t="shared" si="49"/>
        <v>2.3340837600534168</v>
      </c>
      <c r="CW60" s="6">
        <f t="shared" si="47"/>
        <v>2.3340837600534168</v>
      </c>
      <c r="CY60" s="88" t="str">
        <f>IF(ROUND(A60,0)&gt;=ROUND($H$4,0),SUM($C$3:$C60),"")</f>
        <v/>
      </c>
    </row>
    <row r="61" spans="1:103" x14ac:dyDescent="0.2">
      <c r="A61" s="32" t="b">
        <f t="shared" si="31"/>
        <v>0</v>
      </c>
      <c r="B61" s="11" t="b">
        <f t="shared" si="44"/>
        <v>0</v>
      </c>
      <c r="C61" s="34" t="b">
        <f>IF(A61&lt;=MAX($AI$41:$AI$70),IF(ROW()&lt;=COUNTA(Data!$2:$2)+2,(B61+B60)*(A61-A60)/2,FALSE),FALSE)</f>
        <v>0</v>
      </c>
      <c r="D61" s="11" t="b">
        <f t="shared" si="7"/>
        <v>0</v>
      </c>
      <c r="E61" s="33" t="b">
        <f>IF(A61&lt;=MAX($AI$41:$AI$70),IF(ROW()&lt;=COUNTA(Data!$2:$2)+2,(B61*A61+B60*A60)*(A61-A60)/2,FALSE),FALSE)</f>
        <v>0</v>
      </c>
      <c r="W61" s="10">
        <v>59</v>
      </c>
      <c r="X61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1" t="b">
        <f>IF(ROW()&lt;=COUNTA(Data!$2:$2),INDEX(Data!$C$2:$AZ$282,Analysis!$C$1,ROW()-2),FALSE)</f>
        <v>0</v>
      </c>
      <c r="Z61" s="34">
        <f t="shared" si="10"/>
        <v>1</v>
      </c>
      <c r="AA61" s="33" t="b">
        <f t="shared" si="11"/>
        <v>0</v>
      </c>
      <c r="AC61" s="11" t="b">
        <f t="shared" si="0"/>
        <v>0</v>
      </c>
      <c r="AE61" s="11" t="b">
        <f t="shared" si="3"/>
        <v>0</v>
      </c>
      <c r="AF61" s="11">
        <f t="shared" si="12"/>
        <v>0.33300000000000002</v>
      </c>
      <c r="AG61" s="14" t="str">
        <f t="shared" si="8"/>
        <v/>
      </c>
      <c r="AH61" s="11">
        <f t="shared" si="45"/>
        <v>8</v>
      </c>
      <c r="AI61" s="4">
        <f t="shared" si="58"/>
        <v>3</v>
      </c>
      <c r="AJ61" s="5"/>
      <c r="AK61" s="5"/>
      <c r="AL61" s="5"/>
      <c r="AM61" s="5"/>
      <c r="AN61" s="5"/>
      <c r="AO61" s="5"/>
      <c r="AP61" s="5"/>
      <c r="AQ61" s="5">
        <f t="shared" ref="AQ61:AQ70" si="93">IF(OR(ISERR(LN(INDEX($Y$3:$Y$70,INDEX($AD$3:$AD$70,71-ROW(),1),1))),$AI61&lt;=MIN($D:$D),$AI61=FALSE),FALSE,LN(INDEX($Y$3:$Y$70,INDEX($AD$3:$AD$70,71-ROW(),1),1)))</f>
        <v>2.1282317058492679</v>
      </c>
      <c r="AR61" s="5">
        <f t="shared" si="92"/>
        <v>2.1282317058492679</v>
      </c>
      <c r="AS61" s="5">
        <f t="shared" si="91"/>
        <v>2.1282317058492679</v>
      </c>
      <c r="AT61" s="5">
        <f t="shared" si="90"/>
        <v>2.1282317058492679</v>
      </c>
      <c r="AU61" s="5">
        <f t="shared" si="89"/>
        <v>2.1282317058492679</v>
      </c>
      <c r="AV61" s="5">
        <f t="shared" si="88"/>
        <v>2.1282317058492679</v>
      </c>
      <c r="AW61" s="5">
        <f t="shared" si="87"/>
        <v>2.1282317058492679</v>
      </c>
      <c r="AX61" s="5">
        <f t="shared" si="85"/>
        <v>2.1282317058492679</v>
      </c>
      <c r="AY61" s="5">
        <f t="shared" si="83"/>
        <v>2.1282317058492679</v>
      </c>
      <c r="AZ61" s="5">
        <f t="shared" si="81"/>
        <v>2.1282317058492679</v>
      </c>
      <c r="BA61" s="5">
        <f t="shared" si="79"/>
        <v>2.1282317058492679</v>
      </c>
      <c r="BB61" s="5">
        <f t="shared" si="77"/>
        <v>2.1282317058492679</v>
      </c>
      <c r="BC61" s="5">
        <f t="shared" si="75"/>
        <v>2.1282317058492679</v>
      </c>
      <c r="BD61" s="5">
        <f t="shared" si="73"/>
        <v>2.1282317058492679</v>
      </c>
      <c r="BE61" s="5">
        <f t="shared" si="71"/>
        <v>2.1282317058492679</v>
      </c>
      <c r="BF61" s="5">
        <f t="shared" si="69"/>
        <v>2.1282317058492679</v>
      </c>
      <c r="BG61" s="5">
        <f t="shared" si="67"/>
        <v>2.1282317058492679</v>
      </c>
      <c r="BH61" s="5">
        <f t="shared" si="65"/>
        <v>2.1282317058492679</v>
      </c>
      <c r="BI61" s="5">
        <f t="shared" si="63"/>
        <v>2.1282317058492679</v>
      </c>
      <c r="BJ61" s="5">
        <f t="shared" si="61"/>
        <v>2.1282317058492679</v>
      </c>
      <c r="BK61" s="5">
        <f t="shared" si="59"/>
        <v>2.1282317058492679</v>
      </c>
      <c r="BL61" s="5">
        <f t="shared" si="56"/>
        <v>2.1282317058492679</v>
      </c>
      <c r="BM61" s="5">
        <f t="shared" si="54"/>
        <v>2.1282317058492679</v>
      </c>
      <c r="BN61" s="5">
        <f t="shared" si="52"/>
        <v>2.1282317058492679</v>
      </c>
      <c r="BO61" s="5">
        <f t="shared" si="50"/>
        <v>2.1282317058492679</v>
      </c>
      <c r="BP61" s="5">
        <f t="shared" si="48"/>
        <v>2.1282317058492679</v>
      </c>
      <c r="BQ61" s="5">
        <f t="shared" si="46"/>
        <v>2.1282317058492679</v>
      </c>
      <c r="BR61" s="5">
        <f t="shared" si="43"/>
        <v>2.1282317058492679</v>
      </c>
      <c r="BS61" s="5">
        <f t="shared" si="42"/>
        <v>2.1282317058492679</v>
      </c>
      <c r="BT61" s="5">
        <f t="shared" si="41"/>
        <v>2.1282317058492679</v>
      </c>
      <c r="BU61" s="5">
        <f t="shared" si="40"/>
        <v>2.1282317058492679</v>
      </c>
      <c r="BV61" s="5">
        <f t="shared" si="39"/>
        <v>2.1282317058492679</v>
      </c>
      <c r="BW61" s="5">
        <f t="shared" si="38"/>
        <v>2.1282317058492679</v>
      </c>
      <c r="BX61" s="5">
        <f t="shared" si="37"/>
        <v>2.1282317058492679</v>
      </c>
      <c r="BY61" s="5">
        <f t="shared" si="36"/>
        <v>2.1282317058492679</v>
      </c>
      <c r="BZ61" s="5">
        <f t="shared" si="35"/>
        <v>2.1282317058492679</v>
      </c>
      <c r="CA61" s="5">
        <f t="shared" si="34"/>
        <v>2.1282317058492679</v>
      </c>
      <c r="CB61" s="5">
        <f t="shared" si="33"/>
        <v>2.1282317058492679</v>
      </c>
      <c r="CC61" s="5">
        <f t="shared" si="32"/>
        <v>2.1282317058492679</v>
      </c>
      <c r="CD61" s="5">
        <f t="shared" si="86"/>
        <v>2.1282317058492679</v>
      </c>
      <c r="CE61" s="5">
        <f t="shared" si="84"/>
        <v>2.1282317058492679</v>
      </c>
      <c r="CF61" s="5">
        <f t="shared" si="82"/>
        <v>2.1282317058492679</v>
      </c>
      <c r="CG61" s="5">
        <f t="shared" si="80"/>
        <v>2.1282317058492679</v>
      </c>
      <c r="CH61" s="5">
        <f t="shared" si="78"/>
        <v>2.1282317058492679</v>
      </c>
      <c r="CI61" s="5">
        <f t="shared" si="76"/>
        <v>2.1282317058492679</v>
      </c>
      <c r="CJ61" s="5">
        <f t="shared" si="74"/>
        <v>2.1282317058492679</v>
      </c>
      <c r="CK61" s="5">
        <f t="shared" si="72"/>
        <v>2.1282317058492679</v>
      </c>
      <c r="CL61" s="5">
        <f t="shared" si="70"/>
        <v>2.1282317058492679</v>
      </c>
      <c r="CM61" s="5">
        <f t="shared" si="68"/>
        <v>2.1282317058492679</v>
      </c>
      <c r="CN61" s="5">
        <f t="shared" si="66"/>
        <v>2.1282317058492679</v>
      </c>
      <c r="CO61" s="5">
        <f t="shared" si="64"/>
        <v>2.1282317058492679</v>
      </c>
      <c r="CP61" s="5">
        <f t="shared" si="62"/>
        <v>2.1282317058492679</v>
      </c>
      <c r="CQ61" s="5">
        <f t="shared" si="60"/>
        <v>2.1282317058492679</v>
      </c>
      <c r="CR61" s="5">
        <f t="shared" si="57"/>
        <v>2.1282317058492679</v>
      </c>
      <c r="CS61" s="5">
        <f t="shared" si="55"/>
        <v>2.1282317058492679</v>
      </c>
      <c r="CT61" s="5">
        <f t="shared" si="53"/>
        <v>2.1282317058492679</v>
      </c>
      <c r="CU61" s="5">
        <f t="shared" si="51"/>
        <v>2.1282317058492679</v>
      </c>
      <c r="CV61" s="5">
        <f t="shared" si="49"/>
        <v>2.1282317058492679</v>
      </c>
      <c r="CW61" s="6">
        <f t="shared" si="47"/>
        <v>2.1282317058492679</v>
      </c>
      <c r="CY61" s="88" t="str">
        <f>IF(ROUND(A61,0)&gt;=ROUND($H$4,0),SUM($C$3:$C61),"")</f>
        <v/>
      </c>
    </row>
    <row r="62" spans="1:103" x14ac:dyDescent="0.2">
      <c r="A62" s="32" t="b">
        <f t="shared" si="31"/>
        <v>0</v>
      </c>
      <c r="B62" s="11" t="b">
        <f t="shared" si="44"/>
        <v>0</v>
      </c>
      <c r="C62" s="34" t="b">
        <f>IF(A62&lt;=MAX($AI$41:$AI$70),IF(ROW()&lt;=COUNTA(Data!$2:$2)+2,(B62+B61)*(A62-A61)/2,FALSE),FALSE)</f>
        <v>0</v>
      </c>
      <c r="D62" s="11" t="b">
        <f t="shared" si="7"/>
        <v>0</v>
      </c>
      <c r="E62" s="33" t="b">
        <f>IF(A62&lt;=MAX($AI$41:$AI$70),IF(ROW()&lt;=COUNTA(Data!$2:$2)+2,(B62*A62+B61*A61)*(A62-A61)/2,FALSE),FALSE)</f>
        <v>0</v>
      </c>
      <c r="W62" s="10">
        <v>60</v>
      </c>
      <c r="X62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1" t="b">
        <f>IF(ROW()&lt;=COUNTA(Data!$2:$2),INDEX(Data!$C$2:$AZ$282,Analysis!$C$1,ROW()-2),FALSE)</f>
        <v>0</v>
      </c>
      <c r="Z62" s="34">
        <f t="shared" si="10"/>
        <v>1</v>
      </c>
      <c r="AA62" s="33" t="b">
        <f t="shared" si="11"/>
        <v>0</v>
      </c>
      <c r="AC62" s="11" t="b">
        <f t="shared" si="0"/>
        <v>0</v>
      </c>
      <c r="AE62" s="11" t="b">
        <f t="shared" si="3"/>
        <v>0</v>
      </c>
      <c r="AF62" s="11">
        <f t="shared" si="12"/>
        <v>0.33300000000000002</v>
      </c>
      <c r="AG62" s="14" t="str">
        <f t="shared" si="8"/>
        <v/>
      </c>
      <c r="AH62" s="11">
        <f t="shared" si="45"/>
        <v>9</v>
      </c>
      <c r="AI62" s="4">
        <f t="shared" si="58"/>
        <v>3.5</v>
      </c>
      <c r="AJ62" s="5"/>
      <c r="AK62" s="5"/>
      <c r="AL62" s="5"/>
      <c r="AM62" s="5"/>
      <c r="AN62" s="5"/>
      <c r="AO62" s="5"/>
      <c r="AP62" s="5">
        <f t="shared" ref="AP62:AP70" si="94">IF(OR(ISERR(LN(INDEX($Y$3:$Y$70,INDEX($AD$3:$AD$70,71-ROW(),1),1))),$AI62&lt;=MIN($D:$D),$AI62=FALSE),FALSE,LN(INDEX($Y$3:$Y$70,INDEX($AD$3:$AD$70,71-ROW(),1),1)))</f>
        <v>2.0188950418118021</v>
      </c>
      <c r="AQ62" s="5">
        <f t="shared" si="93"/>
        <v>2.0188950418118021</v>
      </c>
      <c r="AR62" s="5">
        <f t="shared" si="92"/>
        <v>2.0188950418118021</v>
      </c>
      <c r="AS62" s="5">
        <f t="shared" si="91"/>
        <v>2.0188950418118021</v>
      </c>
      <c r="AT62" s="5">
        <f t="shared" si="90"/>
        <v>2.0188950418118021</v>
      </c>
      <c r="AU62" s="5">
        <f t="shared" si="89"/>
        <v>2.0188950418118021</v>
      </c>
      <c r="AV62" s="5">
        <f t="shared" si="88"/>
        <v>2.0188950418118021</v>
      </c>
      <c r="AW62" s="5">
        <f t="shared" si="87"/>
        <v>2.0188950418118021</v>
      </c>
      <c r="AX62" s="5">
        <f t="shared" si="85"/>
        <v>2.0188950418118021</v>
      </c>
      <c r="AY62" s="5">
        <f t="shared" si="83"/>
        <v>2.0188950418118021</v>
      </c>
      <c r="AZ62" s="5">
        <f t="shared" si="81"/>
        <v>2.0188950418118021</v>
      </c>
      <c r="BA62" s="5">
        <f t="shared" si="79"/>
        <v>2.0188950418118021</v>
      </c>
      <c r="BB62" s="5">
        <f t="shared" si="77"/>
        <v>2.0188950418118021</v>
      </c>
      <c r="BC62" s="5">
        <f t="shared" si="75"/>
        <v>2.0188950418118021</v>
      </c>
      <c r="BD62" s="5">
        <f t="shared" si="73"/>
        <v>2.0188950418118021</v>
      </c>
      <c r="BE62" s="5">
        <f t="shared" si="71"/>
        <v>2.0188950418118021</v>
      </c>
      <c r="BF62" s="5">
        <f t="shared" si="69"/>
        <v>2.0188950418118021</v>
      </c>
      <c r="BG62" s="5">
        <f t="shared" si="67"/>
        <v>2.0188950418118021</v>
      </c>
      <c r="BH62" s="5">
        <f t="shared" si="65"/>
        <v>2.0188950418118021</v>
      </c>
      <c r="BI62" s="5">
        <f t="shared" si="63"/>
        <v>2.0188950418118021</v>
      </c>
      <c r="BJ62" s="5">
        <f t="shared" si="61"/>
        <v>2.0188950418118021</v>
      </c>
      <c r="BK62" s="5">
        <f t="shared" si="59"/>
        <v>2.0188950418118021</v>
      </c>
      <c r="BL62" s="5">
        <f t="shared" si="56"/>
        <v>2.0188950418118021</v>
      </c>
      <c r="BM62" s="5">
        <f t="shared" si="54"/>
        <v>2.0188950418118021</v>
      </c>
      <c r="BN62" s="5">
        <f t="shared" si="52"/>
        <v>2.0188950418118021</v>
      </c>
      <c r="BO62" s="5">
        <f t="shared" si="50"/>
        <v>2.0188950418118021</v>
      </c>
      <c r="BP62" s="5">
        <f t="shared" si="48"/>
        <v>2.0188950418118021</v>
      </c>
      <c r="BQ62" s="5">
        <f t="shared" si="46"/>
        <v>2.0188950418118021</v>
      </c>
      <c r="BR62" s="5">
        <f t="shared" si="43"/>
        <v>2.0188950418118021</v>
      </c>
      <c r="BS62" s="5">
        <f t="shared" si="42"/>
        <v>2.0188950418118021</v>
      </c>
      <c r="BT62" s="5">
        <f t="shared" si="41"/>
        <v>2.0188950418118021</v>
      </c>
      <c r="BU62" s="5">
        <f t="shared" si="40"/>
        <v>2.0188950418118021</v>
      </c>
      <c r="BV62" s="5">
        <f t="shared" si="39"/>
        <v>2.0188950418118021</v>
      </c>
      <c r="BW62" s="5">
        <f t="shared" si="38"/>
        <v>2.0188950418118021</v>
      </c>
      <c r="BX62" s="5">
        <f t="shared" si="37"/>
        <v>2.0188950418118021</v>
      </c>
      <c r="BY62" s="5">
        <f t="shared" si="36"/>
        <v>2.0188950418118021</v>
      </c>
      <c r="BZ62" s="5">
        <f t="shared" si="35"/>
        <v>2.0188950418118021</v>
      </c>
      <c r="CA62" s="5">
        <f t="shared" si="34"/>
        <v>2.0188950418118021</v>
      </c>
      <c r="CB62" s="5">
        <f t="shared" si="33"/>
        <v>2.0188950418118021</v>
      </c>
      <c r="CC62" s="5">
        <f t="shared" si="32"/>
        <v>2.0188950418118021</v>
      </c>
      <c r="CD62" s="5">
        <f t="shared" si="86"/>
        <v>2.0188950418118021</v>
      </c>
      <c r="CE62" s="5">
        <f t="shared" si="84"/>
        <v>2.0188950418118021</v>
      </c>
      <c r="CF62" s="5">
        <f t="shared" si="82"/>
        <v>2.0188950418118021</v>
      </c>
      <c r="CG62" s="5">
        <f t="shared" si="80"/>
        <v>2.0188950418118021</v>
      </c>
      <c r="CH62" s="5">
        <f t="shared" si="78"/>
        <v>2.0188950418118021</v>
      </c>
      <c r="CI62" s="5">
        <f t="shared" si="76"/>
        <v>2.0188950418118021</v>
      </c>
      <c r="CJ62" s="5">
        <f t="shared" si="74"/>
        <v>2.0188950418118021</v>
      </c>
      <c r="CK62" s="5">
        <f t="shared" si="72"/>
        <v>2.0188950418118021</v>
      </c>
      <c r="CL62" s="5">
        <f t="shared" si="70"/>
        <v>2.0188950418118021</v>
      </c>
      <c r="CM62" s="5">
        <f t="shared" si="68"/>
        <v>2.0188950418118021</v>
      </c>
      <c r="CN62" s="5">
        <f t="shared" si="66"/>
        <v>2.0188950418118021</v>
      </c>
      <c r="CO62" s="5">
        <f t="shared" si="64"/>
        <v>2.0188950418118021</v>
      </c>
      <c r="CP62" s="5">
        <f t="shared" si="62"/>
        <v>2.0188950418118021</v>
      </c>
      <c r="CQ62" s="5">
        <f t="shared" si="60"/>
        <v>2.0188950418118021</v>
      </c>
      <c r="CR62" s="5">
        <f t="shared" si="57"/>
        <v>2.0188950418118021</v>
      </c>
      <c r="CS62" s="5">
        <f t="shared" si="55"/>
        <v>2.0188950418118021</v>
      </c>
      <c r="CT62" s="5">
        <f t="shared" si="53"/>
        <v>2.0188950418118021</v>
      </c>
      <c r="CU62" s="5">
        <f t="shared" si="51"/>
        <v>2.0188950418118021</v>
      </c>
      <c r="CV62" s="5">
        <f t="shared" si="49"/>
        <v>2.0188950418118021</v>
      </c>
      <c r="CW62" s="6">
        <f t="shared" si="47"/>
        <v>2.0188950418118021</v>
      </c>
      <c r="CY62" s="88" t="str">
        <f>IF(ROUND(A62,0)&gt;=ROUND($H$4,0),SUM($C$3:$C62),"")</f>
        <v/>
      </c>
    </row>
    <row r="63" spans="1:103" x14ac:dyDescent="0.2">
      <c r="A63" s="32" t="b">
        <f t="shared" si="31"/>
        <v>0</v>
      </c>
      <c r="B63" s="11" t="b">
        <f t="shared" si="44"/>
        <v>0</v>
      </c>
      <c r="C63" s="34" t="b">
        <f>IF(A63&lt;=MAX($AI$41:$AI$70),IF(ROW()&lt;=COUNTA(Data!$2:$2)+2,(B63+B62)*(A63-A62)/2,FALSE),FALSE)</f>
        <v>0</v>
      </c>
      <c r="D63" s="11" t="b">
        <f t="shared" si="7"/>
        <v>0</v>
      </c>
      <c r="E63" s="33" t="b">
        <f>IF(A63&lt;=MAX($AI$41:$AI$70),IF(ROW()&lt;=COUNTA(Data!$2:$2)+2,(B63*A63+B62*A62)*(A63-A62)/2,FALSE),FALSE)</f>
        <v>0</v>
      </c>
      <c r="W63" s="10">
        <v>61</v>
      </c>
      <c r="X63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1" t="b">
        <f>IF(ROW()&lt;=COUNTA(Data!$2:$2),INDEX(Data!$C$2:$AZ$282,Analysis!$C$1,ROW()-2),FALSE)</f>
        <v>0</v>
      </c>
      <c r="Z63" s="34">
        <f t="shared" si="10"/>
        <v>1</v>
      </c>
      <c r="AA63" s="33" t="b">
        <f t="shared" si="11"/>
        <v>0</v>
      </c>
      <c r="AC63" s="11" t="b">
        <f t="shared" si="0"/>
        <v>0</v>
      </c>
      <c r="AE63" s="11" t="b">
        <f t="shared" si="3"/>
        <v>0</v>
      </c>
      <c r="AF63" s="11">
        <f t="shared" si="12"/>
        <v>0.33300000000000002</v>
      </c>
      <c r="AG63" s="14" t="str">
        <f t="shared" si="8"/>
        <v/>
      </c>
      <c r="AH63" s="11">
        <f t="shared" si="45"/>
        <v>10</v>
      </c>
      <c r="AI63" s="4">
        <f t="shared" si="58"/>
        <v>4</v>
      </c>
      <c r="AJ63" s="5"/>
      <c r="AK63" s="5"/>
      <c r="AL63" s="5"/>
      <c r="AM63" s="5"/>
      <c r="AN63" s="5"/>
      <c r="AO63" s="5">
        <f t="shared" ref="AO63:AO70" si="95">IF(OR(ISERR(LN(INDEX($Y$3:$Y$70,INDEX($AD$3:$AD$70,71-ROW(),1),1))),$AI63&lt;=MIN($D:$D),$AI63=FALSE),FALSE,LN(INDEX($Y$3:$Y$70,INDEX($AD$3:$AD$70,71-ROW(),1),1)))</f>
        <v>1.4678743481123135</v>
      </c>
      <c r="AP63" s="5">
        <f t="shared" si="94"/>
        <v>1.4678743481123135</v>
      </c>
      <c r="AQ63" s="5">
        <f t="shared" si="93"/>
        <v>1.4678743481123135</v>
      </c>
      <c r="AR63" s="5">
        <f t="shared" si="92"/>
        <v>1.4678743481123135</v>
      </c>
      <c r="AS63" s="5">
        <f t="shared" si="91"/>
        <v>1.4678743481123135</v>
      </c>
      <c r="AT63" s="5">
        <f t="shared" si="90"/>
        <v>1.4678743481123135</v>
      </c>
      <c r="AU63" s="5">
        <f t="shared" si="89"/>
        <v>1.4678743481123135</v>
      </c>
      <c r="AV63" s="5">
        <f t="shared" si="88"/>
        <v>1.4678743481123135</v>
      </c>
      <c r="AW63" s="5">
        <f t="shared" si="87"/>
        <v>1.4678743481123135</v>
      </c>
      <c r="AX63" s="5">
        <f t="shared" si="85"/>
        <v>1.4678743481123135</v>
      </c>
      <c r="AY63" s="5">
        <f t="shared" si="83"/>
        <v>1.4678743481123135</v>
      </c>
      <c r="AZ63" s="5">
        <f t="shared" si="81"/>
        <v>1.4678743481123135</v>
      </c>
      <c r="BA63" s="5">
        <f t="shared" si="79"/>
        <v>1.4678743481123135</v>
      </c>
      <c r="BB63" s="5">
        <f t="shared" si="77"/>
        <v>1.4678743481123135</v>
      </c>
      <c r="BC63" s="5">
        <f t="shared" si="75"/>
        <v>1.4678743481123135</v>
      </c>
      <c r="BD63" s="5">
        <f t="shared" si="73"/>
        <v>1.4678743481123135</v>
      </c>
      <c r="BE63" s="5">
        <f t="shared" si="71"/>
        <v>1.4678743481123135</v>
      </c>
      <c r="BF63" s="5">
        <f t="shared" si="69"/>
        <v>1.4678743481123135</v>
      </c>
      <c r="BG63" s="5">
        <f t="shared" si="67"/>
        <v>1.4678743481123135</v>
      </c>
      <c r="BH63" s="5">
        <f t="shared" si="65"/>
        <v>1.4678743481123135</v>
      </c>
      <c r="BI63" s="5">
        <f t="shared" si="63"/>
        <v>1.4678743481123135</v>
      </c>
      <c r="BJ63" s="5">
        <f t="shared" si="61"/>
        <v>1.4678743481123135</v>
      </c>
      <c r="BK63" s="5">
        <f t="shared" si="59"/>
        <v>1.4678743481123135</v>
      </c>
      <c r="BL63" s="5">
        <f t="shared" si="56"/>
        <v>1.4678743481123135</v>
      </c>
      <c r="BM63" s="5">
        <f t="shared" si="54"/>
        <v>1.4678743481123135</v>
      </c>
      <c r="BN63" s="5">
        <f t="shared" si="52"/>
        <v>1.4678743481123135</v>
      </c>
      <c r="BO63" s="5">
        <f t="shared" si="50"/>
        <v>1.4678743481123135</v>
      </c>
      <c r="BP63" s="5">
        <f t="shared" si="48"/>
        <v>1.4678743481123135</v>
      </c>
      <c r="BQ63" s="5">
        <f t="shared" si="46"/>
        <v>1.4678743481123135</v>
      </c>
      <c r="BR63" s="5">
        <f t="shared" si="43"/>
        <v>1.4678743481123135</v>
      </c>
      <c r="BS63" s="5">
        <f t="shared" si="42"/>
        <v>1.4678743481123135</v>
      </c>
      <c r="BT63" s="5">
        <f t="shared" si="41"/>
        <v>1.4678743481123135</v>
      </c>
      <c r="BU63" s="5">
        <f t="shared" si="40"/>
        <v>1.4678743481123135</v>
      </c>
      <c r="BV63" s="5">
        <f t="shared" si="39"/>
        <v>1.4678743481123135</v>
      </c>
      <c r="BW63" s="5">
        <f t="shared" si="38"/>
        <v>1.4678743481123135</v>
      </c>
      <c r="BX63" s="5">
        <f t="shared" si="37"/>
        <v>1.4678743481123135</v>
      </c>
      <c r="BY63" s="5">
        <f t="shared" si="36"/>
        <v>1.4678743481123135</v>
      </c>
      <c r="BZ63" s="5">
        <f t="shared" si="35"/>
        <v>1.4678743481123135</v>
      </c>
      <c r="CA63" s="5">
        <f t="shared" si="34"/>
        <v>1.4678743481123135</v>
      </c>
      <c r="CB63" s="5">
        <f t="shared" si="33"/>
        <v>1.4678743481123135</v>
      </c>
      <c r="CC63" s="5">
        <f t="shared" si="32"/>
        <v>1.4678743481123135</v>
      </c>
      <c r="CD63" s="5">
        <f t="shared" si="86"/>
        <v>1.4678743481123135</v>
      </c>
      <c r="CE63" s="5">
        <f t="shared" si="84"/>
        <v>1.4678743481123135</v>
      </c>
      <c r="CF63" s="5">
        <f t="shared" si="82"/>
        <v>1.4678743481123135</v>
      </c>
      <c r="CG63" s="5">
        <f t="shared" si="80"/>
        <v>1.4678743481123135</v>
      </c>
      <c r="CH63" s="5">
        <f t="shared" si="78"/>
        <v>1.4678743481123135</v>
      </c>
      <c r="CI63" s="5">
        <f t="shared" si="76"/>
        <v>1.4678743481123135</v>
      </c>
      <c r="CJ63" s="5">
        <f t="shared" si="74"/>
        <v>1.4678743481123135</v>
      </c>
      <c r="CK63" s="5">
        <f t="shared" si="72"/>
        <v>1.4678743481123135</v>
      </c>
      <c r="CL63" s="5">
        <f t="shared" si="70"/>
        <v>1.4678743481123135</v>
      </c>
      <c r="CM63" s="5">
        <f t="shared" si="68"/>
        <v>1.4678743481123135</v>
      </c>
      <c r="CN63" s="5">
        <f t="shared" si="66"/>
        <v>1.4678743481123135</v>
      </c>
      <c r="CO63" s="5">
        <f t="shared" si="64"/>
        <v>1.4678743481123135</v>
      </c>
      <c r="CP63" s="5">
        <f t="shared" si="62"/>
        <v>1.4678743481123135</v>
      </c>
      <c r="CQ63" s="5">
        <f t="shared" si="60"/>
        <v>1.4678743481123135</v>
      </c>
      <c r="CR63" s="5">
        <f t="shared" si="57"/>
        <v>1.4678743481123135</v>
      </c>
      <c r="CS63" s="5">
        <f t="shared" si="55"/>
        <v>1.4678743481123135</v>
      </c>
      <c r="CT63" s="5">
        <f t="shared" si="53"/>
        <v>1.4678743481123135</v>
      </c>
      <c r="CU63" s="5">
        <f t="shared" si="51"/>
        <v>1.4678743481123135</v>
      </c>
      <c r="CV63" s="5">
        <f t="shared" si="49"/>
        <v>1.4678743481123135</v>
      </c>
      <c r="CW63" s="6">
        <f t="shared" si="47"/>
        <v>1.4678743481123135</v>
      </c>
      <c r="CY63" s="88" t="str">
        <f>IF(ROUND(A63,0)&gt;=ROUND($H$4,0),SUM($C$3:$C63),"")</f>
        <v/>
      </c>
    </row>
    <row r="64" spans="1:103" x14ac:dyDescent="0.2">
      <c r="A64" s="32" t="b">
        <f t="shared" si="31"/>
        <v>0</v>
      </c>
      <c r="B64" s="11" t="b">
        <f t="shared" si="44"/>
        <v>0</v>
      </c>
      <c r="C64" s="34" t="b">
        <f>IF(A64&lt;=MAX($AI$41:$AI$70),IF(ROW()&lt;=COUNTA(Data!$2:$2)+2,(B64+B63)*(A64-A63)/2,FALSE),FALSE)</f>
        <v>0</v>
      </c>
      <c r="D64" s="11" t="b">
        <f t="shared" si="7"/>
        <v>0</v>
      </c>
      <c r="E64" s="33" t="b">
        <f>IF(A64&lt;=MAX($AI$41:$AI$70),IF(ROW()&lt;=COUNTA(Data!$2:$2)+2,(B64*A64+B63*A63)*(A64-A63)/2,FALSE),FALSE)</f>
        <v>0</v>
      </c>
      <c r="W64" s="10">
        <v>62</v>
      </c>
      <c r="X64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1" t="b">
        <f>IF(ROW()&lt;=COUNTA(Data!$2:$2),INDEX(Data!$C$2:$AZ$282,Analysis!$C$1,ROW()-2),FALSE)</f>
        <v>0</v>
      </c>
      <c r="Z64" s="34">
        <f t="shared" si="10"/>
        <v>1</v>
      </c>
      <c r="AA64" s="33" t="b">
        <f t="shared" si="11"/>
        <v>0</v>
      </c>
      <c r="AC64" s="11" t="b">
        <f t="shared" si="0"/>
        <v>0</v>
      </c>
      <c r="AE64" s="11" t="b">
        <f t="shared" si="3"/>
        <v>0</v>
      </c>
      <c r="AF64" s="11">
        <f t="shared" si="12"/>
        <v>0.33300000000000002</v>
      </c>
      <c r="AG64" s="14" t="str">
        <f t="shared" si="8"/>
        <v/>
      </c>
      <c r="AH64" s="11">
        <f t="shared" si="45"/>
        <v>11</v>
      </c>
      <c r="AI64" s="4">
        <f t="shared" si="58"/>
        <v>6</v>
      </c>
      <c r="AJ64" s="5"/>
      <c r="AK64" s="5"/>
      <c r="AL64" s="5"/>
      <c r="AM64" s="5"/>
      <c r="AN64" s="5">
        <f t="shared" ref="AN64:AN70" si="96">IF(OR(ISERR(LN(INDEX($Y$3:$Y$70,INDEX($AD$3:$AD$70,71-ROW(),1),1))),$AI64&lt;=MIN($D:$D),$AI64=FALSE),FALSE,LN(INDEX($Y$3:$Y$70,INDEX($AD$3:$AD$70,71-ROW(),1),1)))</f>
        <v>1.355835153635182</v>
      </c>
      <c r="AO64" s="5">
        <f t="shared" si="95"/>
        <v>1.355835153635182</v>
      </c>
      <c r="AP64" s="5">
        <f t="shared" si="94"/>
        <v>1.355835153635182</v>
      </c>
      <c r="AQ64" s="5">
        <f t="shared" si="93"/>
        <v>1.355835153635182</v>
      </c>
      <c r="AR64" s="5">
        <f t="shared" si="92"/>
        <v>1.355835153635182</v>
      </c>
      <c r="AS64" s="5">
        <f t="shared" si="91"/>
        <v>1.355835153635182</v>
      </c>
      <c r="AT64" s="5">
        <f t="shared" si="90"/>
        <v>1.355835153635182</v>
      </c>
      <c r="AU64" s="5">
        <f t="shared" si="89"/>
        <v>1.355835153635182</v>
      </c>
      <c r="AV64" s="5">
        <f t="shared" si="88"/>
        <v>1.355835153635182</v>
      </c>
      <c r="AW64" s="5">
        <f t="shared" si="87"/>
        <v>1.355835153635182</v>
      </c>
      <c r="AX64" s="5">
        <f t="shared" si="85"/>
        <v>1.355835153635182</v>
      </c>
      <c r="AY64" s="5">
        <f t="shared" si="83"/>
        <v>1.355835153635182</v>
      </c>
      <c r="AZ64" s="5">
        <f t="shared" si="81"/>
        <v>1.355835153635182</v>
      </c>
      <c r="BA64" s="5">
        <f t="shared" si="79"/>
        <v>1.355835153635182</v>
      </c>
      <c r="BB64" s="5">
        <f t="shared" si="77"/>
        <v>1.355835153635182</v>
      </c>
      <c r="BC64" s="5">
        <f t="shared" si="75"/>
        <v>1.355835153635182</v>
      </c>
      <c r="BD64" s="5">
        <f t="shared" si="73"/>
        <v>1.355835153635182</v>
      </c>
      <c r="BE64" s="5">
        <f t="shared" si="71"/>
        <v>1.355835153635182</v>
      </c>
      <c r="BF64" s="5">
        <f t="shared" si="69"/>
        <v>1.355835153635182</v>
      </c>
      <c r="BG64" s="5">
        <f t="shared" si="67"/>
        <v>1.355835153635182</v>
      </c>
      <c r="BH64" s="5">
        <f t="shared" si="65"/>
        <v>1.355835153635182</v>
      </c>
      <c r="BI64" s="5">
        <f t="shared" si="63"/>
        <v>1.355835153635182</v>
      </c>
      <c r="BJ64" s="5">
        <f t="shared" si="61"/>
        <v>1.355835153635182</v>
      </c>
      <c r="BK64" s="5">
        <f t="shared" si="59"/>
        <v>1.355835153635182</v>
      </c>
      <c r="BL64" s="5">
        <f t="shared" si="56"/>
        <v>1.355835153635182</v>
      </c>
      <c r="BM64" s="5">
        <f t="shared" si="54"/>
        <v>1.355835153635182</v>
      </c>
      <c r="BN64" s="5">
        <f t="shared" si="52"/>
        <v>1.355835153635182</v>
      </c>
      <c r="BO64" s="5">
        <f t="shared" si="50"/>
        <v>1.355835153635182</v>
      </c>
      <c r="BP64" s="5">
        <f t="shared" si="48"/>
        <v>1.355835153635182</v>
      </c>
      <c r="BQ64" s="5">
        <f t="shared" si="46"/>
        <v>1.355835153635182</v>
      </c>
      <c r="BR64" s="5">
        <f t="shared" si="43"/>
        <v>1.355835153635182</v>
      </c>
      <c r="BS64" s="5">
        <f t="shared" si="42"/>
        <v>1.355835153635182</v>
      </c>
      <c r="BT64" s="5">
        <f t="shared" si="41"/>
        <v>1.355835153635182</v>
      </c>
      <c r="BU64" s="5">
        <f t="shared" si="40"/>
        <v>1.355835153635182</v>
      </c>
      <c r="BV64" s="5">
        <f t="shared" si="39"/>
        <v>1.355835153635182</v>
      </c>
      <c r="BW64" s="5">
        <f t="shared" si="38"/>
        <v>1.355835153635182</v>
      </c>
      <c r="BX64" s="5">
        <f t="shared" si="37"/>
        <v>1.355835153635182</v>
      </c>
      <c r="BY64" s="5">
        <f t="shared" si="36"/>
        <v>1.355835153635182</v>
      </c>
      <c r="BZ64" s="5">
        <f t="shared" si="35"/>
        <v>1.355835153635182</v>
      </c>
      <c r="CA64" s="5">
        <f t="shared" si="34"/>
        <v>1.355835153635182</v>
      </c>
      <c r="CB64" s="5">
        <f t="shared" si="33"/>
        <v>1.355835153635182</v>
      </c>
      <c r="CC64" s="5">
        <f t="shared" si="32"/>
        <v>1.355835153635182</v>
      </c>
      <c r="CD64" s="5">
        <f t="shared" si="86"/>
        <v>1.355835153635182</v>
      </c>
      <c r="CE64" s="5">
        <f t="shared" si="84"/>
        <v>1.355835153635182</v>
      </c>
      <c r="CF64" s="5">
        <f t="shared" si="82"/>
        <v>1.355835153635182</v>
      </c>
      <c r="CG64" s="5">
        <f t="shared" si="80"/>
        <v>1.355835153635182</v>
      </c>
      <c r="CH64" s="5">
        <f t="shared" si="78"/>
        <v>1.355835153635182</v>
      </c>
      <c r="CI64" s="5">
        <f t="shared" si="76"/>
        <v>1.355835153635182</v>
      </c>
      <c r="CJ64" s="5">
        <f t="shared" si="74"/>
        <v>1.355835153635182</v>
      </c>
      <c r="CK64" s="5">
        <f t="shared" si="72"/>
        <v>1.355835153635182</v>
      </c>
      <c r="CL64" s="5">
        <f t="shared" si="70"/>
        <v>1.355835153635182</v>
      </c>
      <c r="CM64" s="5">
        <f t="shared" si="68"/>
        <v>1.355835153635182</v>
      </c>
      <c r="CN64" s="5">
        <f t="shared" si="66"/>
        <v>1.355835153635182</v>
      </c>
      <c r="CO64" s="5">
        <f t="shared" si="64"/>
        <v>1.355835153635182</v>
      </c>
      <c r="CP64" s="5">
        <f t="shared" si="62"/>
        <v>1.355835153635182</v>
      </c>
      <c r="CQ64" s="5">
        <f t="shared" si="60"/>
        <v>1.355835153635182</v>
      </c>
      <c r="CR64" s="5">
        <f t="shared" si="57"/>
        <v>1.355835153635182</v>
      </c>
      <c r="CS64" s="5">
        <f t="shared" si="55"/>
        <v>1.355835153635182</v>
      </c>
      <c r="CT64" s="5">
        <f t="shared" si="53"/>
        <v>1.355835153635182</v>
      </c>
      <c r="CU64" s="5">
        <f t="shared" si="51"/>
        <v>1.355835153635182</v>
      </c>
      <c r="CV64" s="5">
        <f t="shared" si="49"/>
        <v>1.355835153635182</v>
      </c>
      <c r="CW64" s="6">
        <f t="shared" si="47"/>
        <v>1.355835153635182</v>
      </c>
      <c r="CY64" s="88" t="str">
        <f>IF(ROUND(A64,0)&gt;=ROUND($H$4,0),SUM($C$3:$C64),"")</f>
        <v/>
      </c>
    </row>
    <row r="65" spans="1:103" x14ac:dyDescent="0.2">
      <c r="A65" s="32" t="b">
        <f t="shared" si="31"/>
        <v>0</v>
      </c>
      <c r="B65" s="11" t="b">
        <f t="shared" si="44"/>
        <v>0</v>
      </c>
      <c r="C65" s="34" t="b">
        <f>IF(A65&lt;=MAX($AI$41:$AI$70),IF(ROW()&lt;=COUNTA(Data!$2:$2)+2,(B65+B64)*(A65-A64)/2,FALSE),FALSE)</f>
        <v>0</v>
      </c>
      <c r="D65" s="11" t="b">
        <f t="shared" si="7"/>
        <v>0</v>
      </c>
      <c r="E65" s="33" t="b">
        <f>IF(A65&lt;=MAX($AI$41:$AI$70),IF(ROW()&lt;=COUNTA(Data!$2:$2)+2,(B65*A65+B64*A64)*(A65-A64)/2,FALSE),FALSE)</f>
        <v>0</v>
      </c>
      <c r="W65" s="10">
        <v>63</v>
      </c>
      <c r="X65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1" t="b">
        <f>IF(ROW()&lt;=COUNTA(Data!$2:$2),INDEX(Data!$C$2:$AZ$282,Analysis!$C$1,ROW()-2),FALSE)</f>
        <v>0</v>
      </c>
      <c r="Z65" s="34">
        <f t="shared" si="10"/>
        <v>1</v>
      </c>
      <c r="AA65" s="33" t="b">
        <f t="shared" si="11"/>
        <v>0</v>
      </c>
      <c r="AC65" s="11" t="b">
        <f t="shared" si="0"/>
        <v>0</v>
      </c>
      <c r="AE65" s="11" t="b">
        <f t="shared" si="3"/>
        <v>0</v>
      </c>
      <c r="AF65" s="11">
        <f t="shared" si="12"/>
        <v>0.33300000000000002</v>
      </c>
      <c r="AG65" s="14" t="str">
        <f t="shared" si="8"/>
        <v/>
      </c>
      <c r="AH65" s="11">
        <f t="shared" si="45"/>
        <v>12</v>
      </c>
      <c r="AI65" s="4">
        <f t="shared" si="58"/>
        <v>8</v>
      </c>
      <c r="AJ65" s="5"/>
      <c r="AK65" s="5"/>
      <c r="AL65" s="5"/>
      <c r="AM65" s="5">
        <f t="shared" ref="AM65:AM70" si="97">IF(OR(ISERR(LN(INDEX($Y$3:$Y$70,INDEX($AD$3:$AD$70,71-ROW(),1),1))),$AI65&lt;=MIN($D:$D),$AI65=FALSE),FALSE,LN(INDEX($Y$3:$Y$70,INDEX($AD$3:$AD$70,71-ROW(),1),1)))</f>
        <v>0.69314718055994529</v>
      </c>
      <c r="AN65" s="5">
        <f t="shared" si="96"/>
        <v>0.69314718055994529</v>
      </c>
      <c r="AO65" s="5">
        <f t="shared" si="95"/>
        <v>0.69314718055994529</v>
      </c>
      <c r="AP65" s="5">
        <f t="shared" si="94"/>
        <v>0.69314718055994529</v>
      </c>
      <c r="AQ65" s="5">
        <f t="shared" si="93"/>
        <v>0.69314718055994529</v>
      </c>
      <c r="AR65" s="5">
        <f t="shared" si="92"/>
        <v>0.69314718055994529</v>
      </c>
      <c r="AS65" s="5">
        <f t="shared" si="91"/>
        <v>0.69314718055994529</v>
      </c>
      <c r="AT65" s="5">
        <f t="shared" si="90"/>
        <v>0.69314718055994529</v>
      </c>
      <c r="AU65" s="5">
        <f t="shared" si="89"/>
        <v>0.69314718055994529</v>
      </c>
      <c r="AV65" s="5">
        <f t="shared" si="88"/>
        <v>0.69314718055994529</v>
      </c>
      <c r="AW65" s="5">
        <f t="shared" si="87"/>
        <v>0.69314718055994529</v>
      </c>
      <c r="AX65" s="5">
        <f t="shared" si="85"/>
        <v>0.69314718055994529</v>
      </c>
      <c r="AY65" s="5">
        <f t="shared" si="83"/>
        <v>0.69314718055994529</v>
      </c>
      <c r="AZ65" s="5">
        <f t="shared" si="81"/>
        <v>0.69314718055994529</v>
      </c>
      <c r="BA65" s="5">
        <f t="shared" si="79"/>
        <v>0.69314718055994529</v>
      </c>
      <c r="BB65" s="5">
        <f t="shared" si="77"/>
        <v>0.69314718055994529</v>
      </c>
      <c r="BC65" s="5">
        <f t="shared" si="75"/>
        <v>0.69314718055994529</v>
      </c>
      <c r="BD65" s="5">
        <f t="shared" si="73"/>
        <v>0.69314718055994529</v>
      </c>
      <c r="BE65" s="5">
        <f t="shared" si="71"/>
        <v>0.69314718055994529</v>
      </c>
      <c r="BF65" s="5">
        <f t="shared" si="69"/>
        <v>0.69314718055994529</v>
      </c>
      <c r="BG65" s="5">
        <f t="shared" si="67"/>
        <v>0.69314718055994529</v>
      </c>
      <c r="BH65" s="5">
        <f t="shared" si="65"/>
        <v>0.69314718055994529</v>
      </c>
      <c r="BI65" s="5">
        <f t="shared" si="63"/>
        <v>0.69314718055994529</v>
      </c>
      <c r="BJ65" s="5">
        <f t="shared" si="61"/>
        <v>0.69314718055994529</v>
      </c>
      <c r="BK65" s="5">
        <f t="shared" si="59"/>
        <v>0.69314718055994529</v>
      </c>
      <c r="BL65" s="5">
        <f t="shared" si="56"/>
        <v>0.69314718055994529</v>
      </c>
      <c r="BM65" s="5">
        <f t="shared" si="54"/>
        <v>0.69314718055994529</v>
      </c>
      <c r="BN65" s="5">
        <f t="shared" si="52"/>
        <v>0.69314718055994529</v>
      </c>
      <c r="BO65" s="5">
        <f t="shared" si="50"/>
        <v>0.69314718055994529</v>
      </c>
      <c r="BP65" s="5">
        <f t="shared" si="48"/>
        <v>0.69314718055994529</v>
      </c>
      <c r="BQ65" s="5">
        <f t="shared" si="46"/>
        <v>0.69314718055994529</v>
      </c>
      <c r="BR65" s="5">
        <f t="shared" si="43"/>
        <v>0.69314718055994529</v>
      </c>
      <c r="BS65" s="5">
        <f t="shared" si="42"/>
        <v>0.69314718055994529</v>
      </c>
      <c r="BT65" s="5">
        <f t="shared" si="41"/>
        <v>0.69314718055994529</v>
      </c>
      <c r="BU65" s="5">
        <f t="shared" si="40"/>
        <v>0.69314718055994529</v>
      </c>
      <c r="BV65" s="5">
        <f t="shared" si="39"/>
        <v>0.69314718055994529</v>
      </c>
      <c r="BW65" s="5">
        <f t="shared" si="38"/>
        <v>0.69314718055994529</v>
      </c>
      <c r="BX65" s="5">
        <f t="shared" si="37"/>
        <v>0.69314718055994529</v>
      </c>
      <c r="BY65" s="5">
        <f t="shared" si="36"/>
        <v>0.69314718055994529</v>
      </c>
      <c r="BZ65" s="5">
        <f t="shared" si="35"/>
        <v>0.69314718055994529</v>
      </c>
      <c r="CA65" s="5">
        <f t="shared" si="34"/>
        <v>0.69314718055994529</v>
      </c>
      <c r="CB65" s="5">
        <f t="shared" si="33"/>
        <v>0.69314718055994529</v>
      </c>
      <c r="CC65" s="5">
        <f t="shared" si="32"/>
        <v>0.69314718055994529</v>
      </c>
      <c r="CD65" s="5">
        <f t="shared" si="86"/>
        <v>0.69314718055994529</v>
      </c>
      <c r="CE65" s="5">
        <f t="shared" si="84"/>
        <v>0.69314718055994529</v>
      </c>
      <c r="CF65" s="5">
        <f t="shared" si="82"/>
        <v>0.69314718055994529</v>
      </c>
      <c r="CG65" s="5">
        <f t="shared" si="80"/>
        <v>0.69314718055994529</v>
      </c>
      <c r="CH65" s="5">
        <f t="shared" si="78"/>
        <v>0.69314718055994529</v>
      </c>
      <c r="CI65" s="5">
        <f t="shared" si="76"/>
        <v>0.69314718055994529</v>
      </c>
      <c r="CJ65" s="5">
        <f t="shared" si="74"/>
        <v>0.69314718055994529</v>
      </c>
      <c r="CK65" s="5">
        <f t="shared" si="72"/>
        <v>0.69314718055994529</v>
      </c>
      <c r="CL65" s="5">
        <f t="shared" si="70"/>
        <v>0.69314718055994529</v>
      </c>
      <c r="CM65" s="5">
        <f t="shared" si="68"/>
        <v>0.69314718055994529</v>
      </c>
      <c r="CN65" s="5">
        <f t="shared" si="66"/>
        <v>0.69314718055994529</v>
      </c>
      <c r="CO65" s="5">
        <f t="shared" si="64"/>
        <v>0.69314718055994529</v>
      </c>
      <c r="CP65" s="5">
        <f t="shared" si="62"/>
        <v>0.69314718055994529</v>
      </c>
      <c r="CQ65" s="5">
        <f t="shared" si="60"/>
        <v>0.69314718055994529</v>
      </c>
      <c r="CR65" s="5">
        <f t="shared" si="57"/>
        <v>0.69314718055994529</v>
      </c>
      <c r="CS65" s="5">
        <f t="shared" si="55"/>
        <v>0.69314718055994529</v>
      </c>
      <c r="CT65" s="5">
        <f t="shared" si="53"/>
        <v>0.69314718055994529</v>
      </c>
      <c r="CU65" s="5">
        <f t="shared" si="51"/>
        <v>0.69314718055994529</v>
      </c>
      <c r="CV65" s="5">
        <f t="shared" si="49"/>
        <v>0.69314718055994529</v>
      </c>
      <c r="CW65" s="6">
        <f t="shared" si="47"/>
        <v>0.69314718055994529</v>
      </c>
      <c r="CY65" s="88" t="str">
        <f>IF(ROUND(A65,0)&gt;=ROUND($H$4,0),SUM($C$3:$C65),"")</f>
        <v/>
      </c>
    </row>
    <row r="66" spans="1:103" x14ac:dyDescent="0.2">
      <c r="A66" s="32" t="b">
        <f t="shared" si="31"/>
        <v>0</v>
      </c>
      <c r="B66" s="11" t="b">
        <f t="shared" si="44"/>
        <v>0</v>
      </c>
      <c r="C66" s="34" t="b">
        <f>IF(A66&lt;=MAX($AI$41:$AI$70),IF(ROW()&lt;=COUNTA(Data!$2:$2)+2,(B66+B65)*(A66-A65)/2,FALSE),FALSE)</f>
        <v>0</v>
      </c>
      <c r="D66" s="11" t="b">
        <f t="shared" si="7"/>
        <v>0</v>
      </c>
      <c r="E66" s="33" t="b">
        <f>IF(A66&lt;=MAX($AI$41:$AI$70),IF(ROW()&lt;=COUNTA(Data!$2:$2)+2,(B66*A66+B65*A65)*(A66-A65)/2,FALSE),FALSE)</f>
        <v>0</v>
      </c>
      <c r="W66" s="10">
        <v>64</v>
      </c>
      <c r="X66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1" t="b">
        <f>IF(ROW()&lt;=COUNTA(Data!$2:$2),INDEX(Data!$C$2:$AZ$282,Analysis!$C$1,ROW()-2),FALSE)</f>
        <v>0</v>
      </c>
      <c r="Z66" s="34">
        <f t="shared" si="10"/>
        <v>1</v>
      </c>
      <c r="AA66" s="33" t="b">
        <f t="shared" si="11"/>
        <v>0</v>
      </c>
      <c r="AC66" s="11" t="b">
        <f t="shared" si="0"/>
        <v>0</v>
      </c>
      <c r="AE66" s="11" t="b">
        <f>IF(INDEX($Y$3:$Y$70,W66,1)&lt;0,0,INDEX($X$3:$X$70,W66,1))</f>
        <v>0</v>
      </c>
      <c r="AF66" s="11">
        <f t="shared" si="12"/>
        <v>0.33300000000000002</v>
      </c>
      <c r="AG66" s="14" t="str">
        <f t="shared" si="8"/>
        <v/>
      </c>
      <c r="AH66" s="11">
        <f t="shared" si="45"/>
        <v>13</v>
      </c>
      <c r="AI66" s="4">
        <f t="shared" si="58"/>
        <v>12</v>
      </c>
      <c r="AJ66" s="5"/>
      <c r="AK66" s="5"/>
      <c r="AL66" s="5">
        <f>IF(OR(ISERR(LN(INDEX($Y$3:$Y$70,INDEX($AD$3:$AD$70,71-ROW(),1),1))),$AI66&lt;=MIN($D:$D),$AI66=FALSE),FALSE,LN(INDEX($Y$3:$Y$70,INDEX($AD$3:$AD$70,71-ROW(),1),1)))</f>
        <v>0.30010459245033816</v>
      </c>
      <c r="AM66" s="5">
        <f t="shared" si="97"/>
        <v>0.30010459245033816</v>
      </c>
      <c r="AN66" s="5">
        <f t="shared" si="96"/>
        <v>0.30010459245033816</v>
      </c>
      <c r="AO66" s="5">
        <f t="shared" si="95"/>
        <v>0.30010459245033816</v>
      </c>
      <c r="AP66" s="5">
        <f t="shared" si="94"/>
        <v>0.30010459245033816</v>
      </c>
      <c r="AQ66" s="5">
        <f t="shared" si="93"/>
        <v>0.30010459245033816</v>
      </c>
      <c r="AR66" s="5">
        <f t="shared" si="92"/>
        <v>0.30010459245033816</v>
      </c>
      <c r="AS66" s="5">
        <f t="shared" si="91"/>
        <v>0.30010459245033816</v>
      </c>
      <c r="AT66" s="5">
        <f t="shared" si="90"/>
        <v>0.30010459245033816</v>
      </c>
      <c r="AU66" s="5">
        <f t="shared" si="89"/>
        <v>0.30010459245033816</v>
      </c>
      <c r="AV66" s="5">
        <f t="shared" si="88"/>
        <v>0.30010459245033816</v>
      </c>
      <c r="AW66" s="5">
        <f t="shared" si="87"/>
        <v>0.30010459245033816</v>
      </c>
      <c r="AX66" s="5">
        <f t="shared" si="85"/>
        <v>0.30010459245033816</v>
      </c>
      <c r="AY66" s="5">
        <f t="shared" si="83"/>
        <v>0.30010459245033816</v>
      </c>
      <c r="AZ66" s="5">
        <f t="shared" si="81"/>
        <v>0.30010459245033816</v>
      </c>
      <c r="BA66" s="5">
        <f t="shared" si="79"/>
        <v>0.30010459245033816</v>
      </c>
      <c r="BB66" s="5">
        <f t="shared" si="77"/>
        <v>0.30010459245033816</v>
      </c>
      <c r="BC66" s="5">
        <f t="shared" si="75"/>
        <v>0.30010459245033816</v>
      </c>
      <c r="BD66" s="5">
        <f t="shared" si="73"/>
        <v>0.30010459245033816</v>
      </c>
      <c r="BE66" s="5">
        <f t="shared" si="71"/>
        <v>0.30010459245033816</v>
      </c>
      <c r="BF66" s="5">
        <f t="shared" si="69"/>
        <v>0.30010459245033816</v>
      </c>
      <c r="BG66" s="5">
        <f t="shared" si="67"/>
        <v>0.30010459245033816</v>
      </c>
      <c r="BH66" s="5">
        <f t="shared" si="65"/>
        <v>0.30010459245033816</v>
      </c>
      <c r="BI66" s="5">
        <f t="shared" si="63"/>
        <v>0.30010459245033816</v>
      </c>
      <c r="BJ66" s="5">
        <f t="shared" si="61"/>
        <v>0.30010459245033816</v>
      </c>
      <c r="BK66" s="5">
        <f t="shared" si="59"/>
        <v>0.30010459245033816</v>
      </c>
      <c r="BL66" s="5">
        <f t="shared" si="56"/>
        <v>0.30010459245033816</v>
      </c>
      <c r="BM66" s="5">
        <f t="shared" si="54"/>
        <v>0.30010459245033816</v>
      </c>
      <c r="BN66" s="5">
        <f t="shared" si="52"/>
        <v>0.30010459245033816</v>
      </c>
      <c r="BO66" s="5">
        <f t="shared" si="50"/>
        <v>0.30010459245033816</v>
      </c>
      <c r="BP66" s="5">
        <f t="shared" si="48"/>
        <v>0.30010459245033816</v>
      </c>
      <c r="BQ66" s="5">
        <f t="shared" si="46"/>
        <v>0.30010459245033816</v>
      </c>
      <c r="BR66" s="5">
        <f t="shared" si="43"/>
        <v>0.30010459245033816</v>
      </c>
      <c r="BS66" s="5">
        <f t="shared" si="42"/>
        <v>0.30010459245033816</v>
      </c>
      <c r="BT66" s="5">
        <f t="shared" si="41"/>
        <v>0.30010459245033816</v>
      </c>
      <c r="BU66" s="5">
        <f t="shared" si="40"/>
        <v>0.30010459245033816</v>
      </c>
      <c r="BV66" s="5">
        <f t="shared" si="39"/>
        <v>0.30010459245033816</v>
      </c>
      <c r="BW66" s="5">
        <f t="shared" si="38"/>
        <v>0.30010459245033816</v>
      </c>
      <c r="BX66" s="5">
        <f t="shared" si="37"/>
        <v>0.30010459245033816</v>
      </c>
      <c r="BY66" s="5">
        <f t="shared" si="36"/>
        <v>0.30010459245033816</v>
      </c>
      <c r="BZ66" s="5">
        <f t="shared" si="35"/>
        <v>0.30010459245033816</v>
      </c>
      <c r="CA66" s="5">
        <f t="shared" si="34"/>
        <v>0.30010459245033816</v>
      </c>
      <c r="CB66" s="5">
        <f t="shared" si="33"/>
        <v>0.30010459245033816</v>
      </c>
      <c r="CC66" s="5">
        <f t="shared" si="32"/>
        <v>0.30010459245033816</v>
      </c>
      <c r="CD66" s="5">
        <f t="shared" si="86"/>
        <v>0.30010459245033816</v>
      </c>
      <c r="CE66" s="5">
        <f t="shared" si="84"/>
        <v>0.30010459245033816</v>
      </c>
      <c r="CF66" s="5">
        <f t="shared" si="82"/>
        <v>0.30010459245033816</v>
      </c>
      <c r="CG66" s="5">
        <f t="shared" si="80"/>
        <v>0.30010459245033816</v>
      </c>
      <c r="CH66" s="5">
        <f t="shared" si="78"/>
        <v>0.30010459245033816</v>
      </c>
      <c r="CI66" s="5">
        <f t="shared" si="76"/>
        <v>0.30010459245033816</v>
      </c>
      <c r="CJ66" s="5">
        <f t="shared" si="74"/>
        <v>0.30010459245033816</v>
      </c>
      <c r="CK66" s="5">
        <f t="shared" si="72"/>
        <v>0.30010459245033816</v>
      </c>
      <c r="CL66" s="5">
        <f t="shared" si="70"/>
        <v>0.30010459245033816</v>
      </c>
      <c r="CM66" s="5">
        <f t="shared" si="68"/>
        <v>0.30010459245033816</v>
      </c>
      <c r="CN66" s="5">
        <f t="shared" si="66"/>
        <v>0.30010459245033816</v>
      </c>
      <c r="CO66" s="5">
        <f t="shared" si="64"/>
        <v>0.30010459245033816</v>
      </c>
      <c r="CP66" s="5">
        <f t="shared" si="62"/>
        <v>0.30010459245033816</v>
      </c>
      <c r="CQ66" s="5">
        <f t="shared" si="60"/>
        <v>0.30010459245033816</v>
      </c>
      <c r="CR66" s="5">
        <f t="shared" si="57"/>
        <v>0.30010459245033816</v>
      </c>
      <c r="CS66" s="5">
        <f t="shared" si="55"/>
        <v>0.30010459245033816</v>
      </c>
      <c r="CT66" s="5">
        <f t="shared" si="53"/>
        <v>0.30010459245033816</v>
      </c>
      <c r="CU66" s="5">
        <f t="shared" si="51"/>
        <v>0.30010459245033816</v>
      </c>
      <c r="CV66" s="5">
        <f t="shared" si="49"/>
        <v>0.30010459245033816</v>
      </c>
      <c r="CW66" s="6">
        <f t="shared" si="47"/>
        <v>0.30010459245033816</v>
      </c>
      <c r="CY66" s="88" t="str">
        <f>IF(ROUND(A66,0)&gt;=ROUND($H$4,0),SUM($C$3:$C66),"")</f>
        <v/>
      </c>
    </row>
    <row r="67" spans="1:103" x14ac:dyDescent="0.2">
      <c r="A67" s="32" t="b">
        <f t="shared" si="31"/>
        <v>0</v>
      </c>
      <c r="B67" s="11" t="b">
        <f t="shared" si="44"/>
        <v>0</v>
      </c>
      <c r="C67" s="34" t="b">
        <f>IF(A67&lt;=MAX($AI$41:$AI$70),IF(ROW()&lt;=COUNTA(Data!$2:$2)+2,(B67+B66)*(A67-A66)/2,FALSE),FALSE)</f>
        <v>0</v>
      </c>
      <c r="D67" s="11" t="b">
        <f t="shared" si="7"/>
        <v>0</v>
      </c>
      <c r="E67" s="33" t="b">
        <f>IF(A67&lt;=MAX($AI$41:$AI$70),IF(ROW()&lt;=COUNTA(Data!$2:$2)+2,(B67*A67+B66*A66)*(A67-A66)/2,FALSE),FALSE)</f>
        <v>0</v>
      </c>
      <c r="W67" s="10">
        <v>65</v>
      </c>
      <c r="X67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1" t="b">
        <f>IF(ROW()&lt;=COUNTA(Data!$2:$2),INDEX(Data!$C$2:$AZ$282,Analysis!$C$1,ROW()-2),FALSE)</f>
        <v>0</v>
      </c>
      <c r="Z67" s="34">
        <f t="shared" si="10"/>
        <v>1</v>
      </c>
      <c r="AA67" s="33" t="b">
        <f t="shared" si="11"/>
        <v>0</v>
      </c>
      <c r="AC67" s="11" t="b">
        <f>IF(AB67&lt;&gt;"",AB67,FALSE)</f>
        <v>0</v>
      </c>
      <c r="AE67" s="11" t="b">
        <f>IF(INDEX($Y$3:$Y$70,W67,1)&lt;0,0,INDEX($X$3:$X$70,W67,1))</f>
        <v>0</v>
      </c>
      <c r="AF67" s="11">
        <f t="shared" si="12"/>
        <v>0.33300000000000002</v>
      </c>
      <c r="AG67" s="14" t="str">
        <f t="shared" si="8"/>
        <v/>
      </c>
      <c r="AH67" s="11">
        <f t="shared" si="45"/>
        <v>14</v>
      </c>
      <c r="AI67" s="4">
        <f t="shared" si="58"/>
        <v>24</v>
      </c>
      <c r="AJ67" s="5"/>
      <c r="AK67" s="5">
        <f>IF(OR(ISERR(LN(INDEX($Y$3:$Y$70,INDEX($AD$3:$AD$70,71-ROW(),1),1))),$AI67&lt;=MIN($D:$D),$AI67=FALSE),FALSE,LN(INDEX($Y$3:$Y$70,INDEX($AD$3:$AD$70,71-ROW(),1),1)))</f>
        <v>0.20701416938432612</v>
      </c>
      <c r="AL67" s="5">
        <f>IF(OR(ISERR(LN(INDEX($Y$3:$Y$70,INDEX($AD$3:$AD$70,71-ROW(),1),1))),$AI67&lt;=MIN($D:$D),$AI67=FALSE),FALSE,LN(INDEX($Y$3:$Y$70,INDEX($AD$3:$AD$70,71-ROW(),1),1)))</f>
        <v>0.20701416938432612</v>
      </c>
      <c r="AM67" s="5">
        <f t="shared" si="97"/>
        <v>0.20701416938432612</v>
      </c>
      <c r="AN67" s="5">
        <f t="shared" si="96"/>
        <v>0.20701416938432612</v>
      </c>
      <c r="AO67" s="5">
        <f t="shared" si="95"/>
        <v>0.20701416938432612</v>
      </c>
      <c r="AP67" s="5">
        <f t="shared" si="94"/>
        <v>0.20701416938432612</v>
      </c>
      <c r="AQ67" s="5">
        <f t="shared" si="93"/>
        <v>0.20701416938432612</v>
      </c>
      <c r="AR67" s="5">
        <f t="shared" si="92"/>
        <v>0.20701416938432612</v>
      </c>
      <c r="AS67" s="5">
        <f t="shared" si="91"/>
        <v>0.20701416938432612</v>
      </c>
      <c r="AT67" s="5">
        <f t="shared" si="90"/>
        <v>0.20701416938432612</v>
      </c>
      <c r="AU67" s="5">
        <f t="shared" si="89"/>
        <v>0.20701416938432612</v>
      </c>
      <c r="AV67" s="5">
        <f t="shared" si="88"/>
        <v>0.20701416938432612</v>
      </c>
      <c r="AW67" s="5">
        <f t="shared" si="87"/>
        <v>0.20701416938432612</v>
      </c>
      <c r="AX67" s="5">
        <f t="shared" si="85"/>
        <v>0.20701416938432612</v>
      </c>
      <c r="AY67" s="5">
        <f t="shared" si="83"/>
        <v>0.20701416938432612</v>
      </c>
      <c r="AZ67" s="5">
        <f t="shared" si="81"/>
        <v>0.20701416938432612</v>
      </c>
      <c r="BA67" s="5">
        <f t="shared" si="79"/>
        <v>0.20701416938432612</v>
      </c>
      <c r="BB67" s="5">
        <f t="shared" si="77"/>
        <v>0.20701416938432612</v>
      </c>
      <c r="BC67" s="5">
        <f t="shared" si="75"/>
        <v>0.20701416938432612</v>
      </c>
      <c r="BD67" s="5">
        <f t="shared" si="73"/>
        <v>0.20701416938432612</v>
      </c>
      <c r="BE67" s="5">
        <f t="shared" si="71"/>
        <v>0.20701416938432612</v>
      </c>
      <c r="BF67" s="5">
        <f t="shared" si="69"/>
        <v>0.20701416938432612</v>
      </c>
      <c r="BG67" s="5">
        <f t="shared" si="67"/>
        <v>0.20701416938432612</v>
      </c>
      <c r="BH67" s="5">
        <f t="shared" si="65"/>
        <v>0.20701416938432612</v>
      </c>
      <c r="BI67" s="5">
        <f t="shared" si="63"/>
        <v>0.20701416938432612</v>
      </c>
      <c r="BJ67" s="5">
        <f t="shared" si="61"/>
        <v>0.20701416938432612</v>
      </c>
      <c r="BK67" s="5">
        <f t="shared" si="59"/>
        <v>0.20701416938432612</v>
      </c>
      <c r="BL67" s="5">
        <f t="shared" si="56"/>
        <v>0.20701416938432612</v>
      </c>
      <c r="BM67" s="5">
        <f t="shared" si="54"/>
        <v>0.20701416938432612</v>
      </c>
      <c r="BN67" s="5">
        <f t="shared" si="52"/>
        <v>0.20701416938432612</v>
      </c>
      <c r="BO67" s="5">
        <f t="shared" si="50"/>
        <v>0.20701416938432612</v>
      </c>
      <c r="BP67" s="5">
        <f t="shared" si="48"/>
        <v>0.20701416938432612</v>
      </c>
      <c r="BQ67" s="5">
        <f t="shared" si="46"/>
        <v>0.20701416938432612</v>
      </c>
      <c r="BR67" s="5">
        <f t="shared" si="43"/>
        <v>0.20701416938432612</v>
      </c>
      <c r="BS67" s="5">
        <f t="shared" si="42"/>
        <v>0.20701416938432612</v>
      </c>
      <c r="BT67" s="5">
        <f t="shared" si="41"/>
        <v>0.20701416938432612</v>
      </c>
      <c r="BU67" s="5">
        <f t="shared" si="40"/>
        <v>0.20701416938432612</v>
      </c>
      <c r="BV67" s="5">
        <f t="shared" si="39"/>
        <v>0.20701416938432612</v>
      </c>
      <c r="BW67" s="5">
        <f t="shared" si="38"/>
        <v>0.20701416938432612</v>
      </c>
      <c r="BX67" s="5">
        <f t="shared" si="37"/>
        <v>0.20701416938432612</v>
      </c>
      <c r="BY67" s="5">
        <f t="shared" si="36"/>
        <v>0.20701416938432612</v>
      </c>
      <c r="BZ67" s="5">
        <f t="shared" si="35"/>
        <v>0.20701416938432612</v>
      </c>
      <c r="CA67" s="5">
        <f t="shared" si="34"/>
        <v>0.20701416938432612</v>
      </c>
      <c r="CB67" s="5">
        <f t="shared" si="33"/>
        <v>0.20701416938432612</v>
      </c>
      <c r="CC67" s="5">
        <f t="shared" si="32"/>
        <v>0.20701416938432612</v>
      </c>
      <c r="CD67" s="5">
        <f t="shared" si="86"/>
        <v>0.20701416938432612</v>
      </c>
      <c r="CE67" s="5">
        <f t="shared" si="84"/>
        <v>0.20701416938432612</v>
      </c>
      <c r="CF67" s="5">
        <f t="shared" si="82"/>
        <v>0.20701416938432612</v>
      </c>
      <c r="CG67" s="5">
        <f t="shared" si="80"/>
        <v>0.20701416938432612</v>
      </c>
      <c r="CH67" s="5">
        <f t="shared" si="78"/>
        <v>0.20701416938432612</v>
      </c>
      <c r="CI67" s="5">
        <f t="shared" si="76"/>
        <v>0.20701416938432612</v>
      </c>
      <c r="CJ67" s="5">
        <f t="shared" si="74"/>
        <v>0.20701416938432612</v>
      </c>
      <c r="CK67" s="5">
        <f t="shared" si="72"/>
        <v>0.20701416938432612</v>
      </c>
      <c r="CL67" s="5">
        <f t="shared" si="70"/>
        <v>0.20701416938432612</v>
      </c>
      <c r="CM67" s="5">
        <f t="shared" si="68"/>
        <v>0.20701416938432612</v>
      </c>
      <c r="CN67" s="5">
        <f t="shared" si="66"/>
        <v>0.20701416938432612</v>
      </c>
      <c r="CO67" s="5">
        <f t="shared" si="64"/>
        <v>0.20701416938432612</v>
      </c>
      <c r="CP67" s="5">
        <f t="shared" si="62"/>
        <v>0.20701416938432612</v>
      </c>
      <c r="CQ67" s="5">
        <f t="shared" si="60"/>
        <v>0.20701416938432612</v>
      </c>
      <c r="CR67" s="5">
        <f t="shared" si="57"/>
        <v>0.20701416938432612</v>
      </c>
      <c r="CS67" s="5">
        <f t="shared" si="55"/>
        <v>0.20701416938432612</v>
      </c>
      <c r="CT67" s="5">
        <f t="shared" si="53"/>
        <v>0.20701416938432612</v>
      </c>
      <c r="CU67" s="5">
        <f t="shared" si="51"/>
        <v>0.20701416938432612</v>
      </c>
      <c r="CV67" s="5">
        <f t="shared" si="49"/>
        <v>0.20701416938432612</v>
      </c>
      <c r="CW67" s="6">
        <f t="shared" si="47"/>
        <v>0.20701416938432612</v>
      </c>
      <c r="CY67" s="88" t="str">
        <f>IF(ROUND(A67,0)&gt;=ROUND($H$4,0),SUM($C$3:$C67),"")</f>
        <v/>
      </c>
    </row>
    <row r="68" spans="1:103" x14ac:dyDescent="0.2">
      <c r="A68" s="32" t="b">
        <f>IF(AC68=FALSE,FALSE,INDEX($X$3:$X$70,AC68,1))</f>
        <v>0</v>
      </c>
      <c r="B68" s="11" t="b">
        <f t="shared" si="44"/>
        <v>0</v>
      </c>
      <c r="C68" s="34" t="b">
        <f>IF(A68&lt;=MAX($AI$41:$AI$70),IF(ROW()&lt;=COUNTA(Data!$2:$2)+2,(B68+B67)*(A68-A67)/2,FALSE),FALSE)</f>
        <v>0</v>
      </c>
      <c r="D68" s="11" t="b">
        <f>IF(B68=MAX($Y$3:$Y$70),A68,FALSE)</f>
        <v>0</v>
      </c>
      <c r="E68" s="33" t="b">
        <f>IF(A68&lt;=MAX($AI$41:$AI$70),IF(ROW()&lt;=COUNTA(Data!$2:$2)+2,(B68*A68+B67*A67)*(A68-A67)/2,FALSE),FALSE)</f>
        <v>0</v>
      </c>
      <c r="W68" s="10">
        <v>66</v>
      </c>
      <c r="X68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1" t="b">
        <f>IF(ROW()&lt;=COUNTA(Data!$2:$2),INDEX(Data!$C$2:$AZ$282,Analysis!$C$1,ROW()-2),FALSE)</f>
        <v>0</v>
      </c>
      <c r="Z68" s="34">
        <f t="shared" si="10"/>
        <v>1</v>
      </c>
      <c r="AA68" s="33" t="b">
        <f t="shared" si="11"/>
        <v>0</v>
      </c>
      <c r="AC68" s="11" t="b">
        <f>IF(AB68&lt;&gt;"",AB68,FALSE)</f>
        <v>0</v>
      </c>
      <c r="AE68" s="11" t="b">
        <f>IF(INDEX($Y$3:$Y$70,W68,1)&lt;0,0,INDEX($X$3:$X$70,W68,1))</f>
        <v>0</v>
      </c>
      <c r="AF68" s="11">
        <f t="shared" si="12"/>
        <v>0.33300000000000002</v>
      </c>
      <c r="AG68" s="14" t="str">
        <f>IF(Y68=MAX($Y$3:$Y$70),ROW()-2,"")</f>
        <v/>
      </c>
      <c r="AH68" s="11">
        <f t="shared" si="45"/>
        <v>15</v>
      </c>
      <c r="AI68" s="4">
        <f t="shared" si="58"/>
        <v>36</v>
      </c>
      <c r="AJ68" s="5">
        <f>IF(OR(ISERR(LN(INDEX($Y$3:$Y$70,INDEX($AD$3:$AD$70,71-ROW(),1),1))),$AI68&lt;=MIN($D:$D),$AI68=FALSE),FALSE,LN(INDEX($Y$3:$Y$70,INDEX($AD$3:$AD$70,71-ROW(),1),1)))</f>
        <v>-6.1875403718087529E-2</v>
      </c>
      <c r="AK68" s="5">
        <f>IF(OR(ISERR(LN(INDEX($Y$3:$Y$70,INDEX($AD$3:$AD$70,71-ROW(),1),1))),$AI68&lt;=MIN($D:$D),$AI68=FALSE),FALSE,LN(INDEX($Y$3:$Y$70,INDEX($AD$3:$AD$70,71-ROW(),1),1)))</f>
        <v>-6.1875403718087529E-2</v>
      </c>
      <c r="AL68" s="5">
        <f>IF(OR(ISERR(LN(INDEX($Y$3:$Y$70,INDEX($AD$3:$AD$70,71-ROW(),1),1))),$AI68&lt;=MIN($D:$D),$AI68=FALSE),FALSE,LN(INDEX($Y$3:$Y$70,INDEX($AD$3:$AD$70,71-ROW(),1),1)))</f>
        <v>-6.1875403718087529E-2</v>
      </c>
      <c r="AM68" s="5">
        <f t="shared" si="97"/>
        <v>-6.1875403718087529E-2</v>
      </c>
      <c r="AN68" s="5">
        <f t="shared" si="96"/>
        <v>-6.1875403718087529E-2</v>
      </c>
      <c r="AO68" s="5">
        <f t="shared" si="95"/>
        <v>-6.1875403718087529E-2</v>
      </c>
      <c r="AP68" s="5">
        <f t="shared" si="94"/>
        <v>-6.1875403718087529E-2</v>
      </c>
      <c r="AQ68" s="5">
        <f t="shared" si="93"/>
        <v>-6.1875403718087529E-2</v>
      </c>
      <c r="AR68" s="5">
        <f t="shared" si="92"/>
        <v>-6.1875403718087529E-2</v>
      </c>
      <c r="AS68" s="5">
        <f t="shared" si="91"/>
        <v>-6.1875403718087529E-2</v>
      </c>
      <c r="AT68" s="5">
        <f t="shared" si="90"/>
        <v>-6.1875403718087529E-2</v>
      </c>
      <c r="AU68" s="5">
        <f t="shared" si="89"/>
        <v>-6.1875403718087529E-2</v>
      </c>
      <c r="AV68" s="5">
        <f t="shared" si="88"/>
        <v>-6.1875403718087529E-2</v>
      </c>
      <c r="AW68" s="5">
        <f t="shared" si="87"/>
        <v>-6.1875403718087529E-2</v>
      </c>
      <c r="AX68" s="5">
        <f t="shared" si="85"/>
        <v>-6.1875403718087529E-2</v>
      </c>
      <c r="AY68" s="5">
        <f t="shared" si="83"/>
        <v>-6.1875403718087529E-2</v>
      </c>
      <c r="AZ68" s="5">
        <f t="shared" si="81"/>
        <v>-6.1875403718087529E-2</v>
      </c>
      <c r="BA68" s="5">
        <f t="shared" si="79"/>
        <v>-6.1875403718087529E-2</v>
      </c>
      <c r="BB68" s="5">
        <f t="shared" si="77"/>
        <v>-6.1875403718087529E-2</v>
      </c>
      <c r="BC68" s="5">
        <f t="shared" si="75"/>
        <v>-6.1875403718087529E-2</v>
      </c>
      <c r="BD68" s="5">
        <f t="shared" si="73"/>
        <v>-6.1875403718087529E-2</v>
      </c>
      <c r="BE68" s="5">
        <f t="shared" si="71"/>
        <v>-6.1875403718087529E-2</v>
      </c>
      <c r="BF68" s="5">
        <f t="shared" si="69"/>
        <v>-6.1875403718087529E-2</v>
      </c>
      <c r="BG68" s="5">
        <f t="shared" si="67"/>
        <v>-6.1875403718087529E-2</v>
      </c>
      <c r="BH68" s="5">
        <f t="shared" si="65"/>
        <v>-6.1875403718087529E-2</v>
      </c>
      <c r="BI68" s="5">
        <f t="shared" si="63"/>
        <v>-6.1875403718087529E-2</v>
      </c>
      <c r="BJ68" s="5">
        <f t="shared" si="61"/>
        <v>-6.1875403718087529E-2</v>
      </c>
      <c r="BK68" s="5">
        <f t="shared" si="59"/>
        <v>-6.1875403718087529E-2</v>
      </c>
      <c r="BL68" s="5">
        <f t="shared" si="56"/>
        <v>-6.1875403718087529E-2</v>
      </c>
      <c r="BM68" s="5">
        <f t="shared" si="54"/>
        <v>-6.1875403718087529E-2</v>
      </c>
      <c r="BN68" s="5">
        <f t="shared" si="52"/>
        <v>-6.1875403718087529E-2</v>
      </c>
      <c r="BO68" s="5">
        <f t="shared" si="50"/>
        <v>-6.1875403718087529E-2</v>
      </c>
      <c r="BP68" s="5">
        <f t="shared" si="48"/>
        <v>-6.1875403718087529E-2</v>
      </c>
      <c r="BQ68" s="5">
        <f t="shared" si="46"/>
        <v>-6.1875403718087529E-2</v>
      </c>
      <c r="BR68" s="5">
        <f t="shared" si="43"/>
        <v>-6.1875403718087529E-2</v>
      </c>
      <c r="BS68" s="5">
        <f t="shared" si="42"/>
        <v>-6.1875403718087529E-2</v>
      </c>
      <c r="BT68" s="5">
        <f t="shared" si="41"/>
        <v>-6.1875403718087529E-2</v>
      </c>
      <c r="BU68" s="5">
        <f t="shared" si="40"/>
        <v>-6.1875403718087529E-2</v>
      </c>
      <c r="BV68" s="5">
        <f t="shared" si="39"/>
        <v>-6.1875403718087529E-2</v>
      </c>
      <c r="BW68" s="5">
        <f t="shared" si="38"/>
        <v>-6.1875403718087529E-2</v>
      </c>
      <c r="BX68" s="5">
        <f t="shared" si="37"/>
        <v>-6.1875403718087529E-2</v>
      </c>
      <c r="BY68" s="5">
        <f t="shared" si="36"/>
        <v>-6.1875403718087529E-2</v>
      </c>
      <c r="BZ68" s="5">
        <f t="shared" si="35"/>
        <v>-6.1875403718087529E-2</v>
      </c>
      <c r="CA68" s="5">
        <f t="shared" si="34"/>
        <v>-6.1875403718087529E-2</v>
      </c>
      <c r="CB68" s="5">
        <f t="shared" si="33"/>
        <v>-6.1875403718087529E-2</v>
      </c>
      <c r="CC68" s="5">
        <f t="shared" si="32"/>
        <v>-6.1875403718087529E-2</v>
      </c>
      <c r="CD68" s="5">
        <f t="shared" si="86"/>
        <v>-6.1875403718087529E-2</v>
      </c>
      <c r="CE68" s="5">
        <f t="shared" si="84"/>
        <v>-6.1875403718087529E-2</v>
      </c>
      <c r="CF68" s="5">
        <f t="shared" si="82"/>
        <v>-6.1875403718087529E-2</v>
      </c>
      <c r="CG68" s="5">
        <f t="shared" si="80"/>
        <v>-6.1875403718087529E-2</v>
      </c>
      <c r="CH68" s="5">
        <f t="shared" si="78"/>
        <v>-6.1875403718087529E-2</v>
      </c>
      <c r="CI68" s="5">
        <f t="shared" si="76"/>
        <v>-6.1875403718087529E-2</v>
      </c>
      <c r="CJ68" s="5">
        <f t="shared" si="74"/>
        <v>-6.1875403718087529E-2</v>
      </c>
      <c r="CK68" s="5">
        <f t="shared" si="72"/>
        <v>-6.1875403718087529E-2</v>
      </c>
      <c r="CL68" s="5">
        <f t="shared" si="70"/>
        <v>-6.1875403718087529E-2</v>
      </c>
      <c r="CM68" s="5">
        <f t="shared" si="68"/>
        <v>-6.1875403718087529E-2</v>
      </c>
      <c r="CN68" s="5">
        <f t="shared" si="66"/>
        <v>-6.1875403718087529E-2</v>
      </c>
      <c r="CO68" s="5">
        <f t="shared" si="64"/>
        <v>-6.1875403718087529E-2</v>
      </c>
      <c r="CP68" s="5">
        <f t="shared" si="62"/>
        <v>-6.1875403718087529E-2</v>
      </c>
      <c r="CQ68" s="5">
        <f t="shared" si="60"/>
        <v>-6.1875403718087529E-2</v>
      </c>
      <c r="CR68" s="5">
        <f t="shared" si="57"/>
        <v>-6.1875403718087529E-2</v>
      </c>
      <c r="CS68" s="5">
        <f t="shared" si="55"/>
        <v>-6.1875403718087529E-2</v>
      </c>
      <c r="CT68" s="5">
        <f t="shared" si="53"/>
        <v>-6.1875403718087529E-2</v>
      </c>
      <c r="CU68" s="5">
        <f t="shared" si="51"/>
        <v>-6.1875403718087529E-2</v>
      </c>
      <c r="CV68" s="5">
        <f t="shared" si="49"/>
        <v>-6.1875403718087529E-2</v>
      </c>
      <c r="CW68" s="6">
        <f t="shared" si="47"/>
        <v>-6.1875403718087529E-2</v>
      </c>
      <c r="CY68" s="88" t="str">
        <f>IF(ROUND(A68,0)&gt;=ROUND($H$4,0),SUM($C$3:$C68),"")</f>
        <v/>
      </c>
    </row>
    <row r="69" spans="1:103" x14ac:dyDescent="0.2">
      <c r="A69" s="32" t="b">
        <f>IF(AC69=FALSE,FALSE,INDEX($X$3:$X$70,AC69,1))</f>
        <v>0</v>
      </c>
      <c r="B69" s="11" t="b">
        <f t="shared" si="44"/>
        <v>0</v>
      </c>
      <c r="C69" s="34" t="b">
        <f>IF(A69&lt;=MAX($AI$41:$AI$70),IF(ROW()&lt;=COUNTA(Data!$2:$2)+2,(B69+B68)*(A69-A68)/2,FALSE),FALSE)</f>
        <v>0</v>
      </c>
      <c r="D69" s="11" t="b">
        <f>IF(B69=MAX($Y$3:$Y$70),A69,FALSE)</f>
        <v>0</v>
      </c>
      <c r="E69" s="33" t="b">
        <f>IF(A69&lt;=MAX($AI$41:$AI$70),IF(ROW()&lt;=COUNTA(Data!$2:$2)+2,(B69*A69+B68*A68)*(A69-A68)/2,FALSE),FALSE)</f>
        <v>0</v>
      </c>
      <c r="W69" s="10">
        <v>67</v>
      </c>
      <c r="X69" s="7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1" t="b">
        <f>IF(ROW()&lt;=COUNTA(Data!$2:$2),INDEX(Data!$C$2:$AZ$282,Analysis!$C$1,ROW()-2),FALSE)</f>
        <v>0</v>
      </c>
      <c r="Z69" s="34">
        <f>IF(OR(AND(Y69&lt;0,Y69&lt;&gt;-999),NOT(X69),AND(Y69=-999,X69&gt;MAX($AF$3:$AF$70),$G$7),X69&gt;MAX($AE$3:$AE$70)),1,0)</f>
        <v>1</v>
      </c>
      <c r="AA69" s="33" t="b">
        <f>IF(OR(X69=FALSE,Z69=1),FALSE,W69)</f>
        <v>0</v>
      </c>
      <c r="AC69" s="11" t="b">
        <f>IF(AB69&lt;&gt;"",AB69,FALSE)</f>
        <v>0</v>
      </c>
      <c r="AE69" s="11" t="b">
        <f>IF(INDEX($Y$3:$Y$70,W69,1)&lt;0,0,INDEX($X$3:$X$70,W69,1))</f>
        <v>0</v>
      </c>
      <c r="AF69" s="11">
        <f>IF(NOT(AF68),IF(Y69&gt;=0,X69,FALSE),AF68)</f>
        <v>0.33300000000000002</v>
      </c>
      <c r="AG69" s="14" t="str">
        <f>IF(Y69=MAX($Y$3:$Y$70),ROW()-2,"")</f>
        <v/>
      </c>
      <c r="AH69" s="11">
        <f t="shared" si="45"/>
        <v>16</v>
      </c>
      <c r="AI69" s="4">
        <f t="shared" si="58"/>
        <v>48</v>
      </c>
      <c r="AJ69" s="5">
        <f>IF(OR(ISERR(LN(INDEX($Y$3:$Y$70,INDEX($AD$3:$AD$70,71-ROW(),1),1))),$AI69&lt;=MIN($D:$D),$AI69=FALSE),FALSE,LN(INDEX($Y$3:$Y$70,INDEX($AD$3:$AD$70,71-ROW(),1),1)))</f>
        <v>-1.5606477482646683</v>
      </c>
      <c r="AK69" s="5">
        <f>IF(OR(ISERR(LN(INDEX($Y$3:$Y$70,INDEX($AD$3:$AD$70,71-ROW(),1),1))),$AI69&lt;=MIN($D:$D),$AI69=FALSE),FALSE,LN(INDEX($Y$3:$Y$70,INDEX($AD$3:$AD$70,71-ROW(),1),1)))</f>
        <v>-1.5606477482646683</v>
      </c>
      <c r="AL69" s="5">
        <f>IF(OR(ISERR(LN(INDEX($Y$3:$Y$70,INDEX($AD$3:$AD$70,71-ROW(),1),1))),$AI69&lt;=MIN($D:$D),$AI69=FALSE),FALSE,LN(INDEX($Y$3:$Y$70,INDEX($AD$3:$AD$70,71-ROW(),1),1)))</f>
        <v>-1.5606477482646683</v>
      </c>
      <c r="AM69" s="5">
        <f t="shared" si="97"/>
        <v>-1.5606477482646683</v>
      </c>
      <c r="AN69" s="5">
        <f t="shared" si="96"/>
        <v>-1.5606477482646683</v>
      </c>
      <c r="AO69" s="5">
        <f t="shared" si="95"/>
        <v>-1.5606477482646683</v>
      </c>
      <c r="AP69" s="5">
        <f t="shared" si="94"/>
        <v>-1.5606477482646683</v>
      </c>
      <c r="AQ69" s="5">
        <f t="shared" si="93"/>
        <v>-1.5606477482646683</v>
      </c>
      <c r="AR69" s="5">
        <f t="shared" si="92"/>
        <v>-1.5606477482646683</v>
      </c>
      <c r="AS69" s="5">
        <f t="shared" si="91"/>
        <v>-1.5606477482646683</v>
      </c>
      <c r="AT69" s="5">
        <f t="shared" si="90"/>
        <v>-1.5606477482646683</v>
      </c>
      <c r="AU69" s="5">
        <f t="shared" si="89"/>
        <v>-1.5606477482646683</v>
      </c>
      <c r="AV69" s="5">
        <f t="shared" si="88"/>
        <v>-1.5606477482646683</v>
      </c>
      <c r="AW69" s="5">
        <f t="shared" si="87"/>
        <v>-1.5606477482646683</v>
      </c>
      <c r="AX69" s="5">
        <f t="shared" si="85"/>
        <v>-1.5606477482646683</v>
      </c>
      <c r="AY69" s="5">
        <f t="shared" si="83"/>
        <v>-1.5606477482646683</v>
      </c>
      <c r="AZ69" s="5">
        <f t="shared" si="81"/>
        <v>-1.5606477482646683</v>
      </c>
      <c r="BA69" s="5">
        <f t="shared" si="79"/>
        <v>-1.5606477482646683</v>
      </c>
      <c r="BB69" s="5">
        <f t="shared" si="77"/>
        <v>-1.5606477482646683</v>
      </c>
      <c r="BC69" s="5">
        <f t="shared" si="75"/>
        <v>-1.5606477482646683</v>
      </c>
      <c r="BD69" s="5">
        <f t="shared" si="73"/>
        <v>-1.5606477482646683</v>
      </c>
      <c r="BE69" s="5">
        <f t="shared" si="71"/>
        <v>-1.5606477482646683</v>
      </c>
      <c r="BF69" s="5">
        <f t="shared" si="69"/>
        <v>-1.5606477482646683</v>
      </c>
      <c r="BG69" s="5">
        <f t="shared" si="67"/>
        <v>-1.5606477482646683</v>
      </c>
      <c r="BH69" s="5">
        <f t="shared" si="65"/>
        <v>-1.5606477482646683</v>
      </c>
      <c r="BI69" s="5">
        <f t="shared" si="63"/>
        <v>-1.5606477482646683</v>
      </c>
      <c r="BJ69" s="5">
        <f t="shared" si="61"/>
        <v>-1.5606477482646683</v>
      </c>
      <c r="BK69" s="5">
        <f t="shared" si="59"/>
        <v>-1.5606477482646683</v>
      </c>
      <c r="BL69" s="5">
        <f t="shared" si="56"/>
        <v>-1.5606477482646683</v>
      </c>
      <c r="BM69" s="5">
        <f t="shared" si="54"/>
        <v>-1.5606477482646683</v>
      </c>
      <c r="BN69" s="5">
        <f t="shared" si="52"/>
        <v>-1.5606477482646683</v>
      </c>
      <c r="BO69" s="5">
        <f t="shared" si="50"/>
        <v>-1.5606477482646683</v>
      </c>
      <c r="BP69" s="5">
        <f t="shared" si="48"/>
        <v>-1.5606477482646683</v>
      </c>
      <c r="BQ69" s="5">
        <f t="shared" si="46"/>
        <v>-1.5606477482646683</v>
      </c>
      <c r="BR69" s="5">
        <f t="shared" si="43"/>
        <v>-1.5606477482646683</v>
      </c>
      <c r="BS69" s="5">
        <f t="shared" si="42"/>
        <v>-1.5606477482646683</v>
      </c>
      <c r="BT69" s="5">
        <f t="shared" si="41"/>
        <v>-1.5606477482646683</v>
      </c>
      <c r="BU69" s="5">
        <f t="shared" si="40"/>
        <v>-1.5606477482646683</v>
      </c>
      <c r="BV69" s="5">
        <f t="shared" si="39"/>
        <v>-1.5606477482646683</v>
      </c>
      <c r="BW69" s="5">
        <f t="shared" si="38"/>
        <v>-1.5606477482646683</v>
      </c>
      <c r="BX69" s="5">
        <f t="shared" si="37"/>
        <v>-1.5606477482646683</v>
      </c>
      <c r="BY69" s="5">
        <f t="shared" si="36"/>
        <v>-1.5606477482646683</v>
      </c>
      <c r="BZ69" s="5">
        <f t="shared" si="35"/>
        <v>-1.5606477482646683</v>
      </c>
      <c r="CA69" s="5">
        <f t="shared" si="34"/>
        <v>-1.5606477482646683</v>
      </c>
      <c r="CB69" s="5">
        <f t="shared" si="33"/>
        <v>-1.5606477482646683</v>
      </c>
      <c r="CC69" s="5">
        <f t="shared" si="32"/>
        <v>-1.5606477482646683</v>
      </c>
      <c r="CD69" s="5">
        <f t="shared" si="86"/>
        <v>-1.5606477482646683</v>
      </c>
      <c r="CE69" s="5">
        <f t="shared" si="84"/>
        <v>-1.5606477482646683</v>
      </c>
      <c r="CF69" s="5">
        <f t="shared" si="82"/>
        <v>-1.5606477482646683</v>
      </c>
      <c r="CG69" s="5">
        <f t="shared" si="80"/>
        <v>-1.5606477482646683</v>
      </c>
      <c r="CH69" s="5">
        <f t="shared" si="78"/>
        <v>-1.5606477482646683</v>
      </c>
      <c r="CI69" s="5">
        <f t="shared" si="76"/>
        <v>-1.5606477482646683</v>
      </c>
      <c r="CJ69" s="5">
        <f t="shared" si="74"/>
        <v>-1.5606477482646683</v>
      </c>
      <c r="CK69" s="5">
        <f t="shared" si="72"/>
        <v>-1.5606477482646683</v>
      </c>
      <c r="CL69" s="5">
        <f t="shared" si="70"/>
        <v>-1.5606477482646683</v>
      </c>
      <c r="CM69" s="5">
        <f t="shared" si="68"/>
        <v>-1.5606477482646683</v>
      </c>
      <c r="CN69" s="5">
        <f t="shared" si="66"/>
        <v>-1.5606477482646683</v>
      </c>
      <c r="CO69" s="5">
        <f t="shared" si="64"/>
        <v>-1.5606477482646683</v>
      </c>
      <c r="CP69" s="5">
        <f t="shared" si="62"/>
        <v>-1.5606477482646683</v>
      </c>
      <c r="CQ69" s="5">
        <f t="shared" si="60"/>
        <v>-1.5606477482646683</v>
      </c>
      <c r="CR69" s="5">
        <f t="shared" si="57"/>
        <v>-1.5606477482646683</v>
      </c>
      <c r="CS69" s="5">
        <f t="shared" si="55"/>
        <v>-1.5606477482646683</v>
      </c>
      <c r="CT69" s="5">
        <f t="shared" si="53"/>
        <v>-1.5606477482646683</v>
      </c>
      <c r="CU69" s="5">
        <f t="shared" si="51"/>
        <v>-1.5606477482646683</v>
      </c>
      <c r="CV69" s="5">
        <f t="shared" si="49"/>
        <v>-1.5606477482646683</v>
      </c>
      <c r="CW69" s="6">
        <f t="shared" si="47"/>
        <v>-1.5606477482646683</v>
      </c>
      <c r="CY69" s="88" t="str">
        <f>IF(ROUND(A69,0)&gt;=ROUND($H$4,0),SUM($C$3:$C69),"")</f>
        <v/>
      </c>
    </row>
    <row r="70" spans="1:103" ht="13.5" thickBot="1" x14ac:dyDescent="0.25">
      <c r="A70" s="39" t="b">
        <f>IF(AC70=FALSE,FALSE,INDEX($X$3:$X$70,AC70,1))</f>
        <v>0</v>
      </c>
      <c r="B70" s="40" t="b">
        <f t="shared" si="44"/>
        <v>0</v>
      </c>
      <c r="C70" s="43" t="b">
        <f>IF(A70&lt;=MAX($AI$41:$AI$70),IF(ROW()&lt;=COUNTA(Data!$2:$2)+2,(B70+B69)*(A70-A69)/2,FALSE),FALSE)</f>
        <v>0</v>
      </c>
      <c r="D70" s="40" t="b">
        <f>IF(B70=MAX($Y$3:$Y$70),A70,FALSE)</f>
        <v>0</v>
      </c>
      <c r="E70" s="41" t="b">
        <f>IF(A70&lt;=MAX($AI$41:$AI$70),IF(ROW()&lt;=COUNTA(Data!$2:$2)+2,(B70*A70+B69*A69)*(A70-A69)/2,FALSE),FALSE)</f>
        <v>0</v>
      </c>
      <c r="W70" s="10">
        <v>68</v>
      </c>
      <c r="X70" s="72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40" t="b">
        <f>IF(ROW()&lt;=COUNTA(Data!$2:$2),INDEX(Data!$C$2:$AZ$282,Analysis!$C$1,ROW()-2),FALSE)</f>
        <v>0</v>
      </c>
      <c r="Z70" s="43">
        <f>IF(OR(AND(Y70&lt;0,Y70&lt;&gt;-999),NOT(X70),AND(Y70=-999,X70&gt;MAX($AF$3:$AF$70),$G$7),X70&gt;MAX($AE$3:$AE$70)),1,0)</f>
        <v>1</v>
      </c>
      <c r="AA70" s="41" t="b">
        <f>IF(OR(X70=FALSE,Z70=1),FALSE,W70)</f>
        <v>0</v>
      </c>
      <c r="AC70" s="11" t="b">
        <f>IF(AB70&lt;&gt;"",AB70,FALSE)</f>
        <v>0</v>
      </c>
      <c r="AE70" s="11" t="b">
        <f>IF(INDEX($Y$3:$Y$70,W70,1)&lt;0,0,INDEX($X$3:$X$70,W70,1))</f>
        <v>0</v>
      </c>
      <c r="AF70" s="11">
        <f>IF(NOT(AF69),IF(Y70&gt;=0,X70,FALSE),AF69)</f>
        <v>0.33300000000000002</v>
      </c>
      <c r="AG70" s="15" t="str">
        <f>IF(Y70=MAX($Y$3:$Y$70),ROW()-2,"")</f>
        <v/>
      </c>
      <c r="AH70" s="11">
        <f t="shared" si="45"/>
        <v>17</v>
      </c>
      <c r="AI70" s="7">
        <f t="shared" si="58"/>
        <v>72</v>
      </c>
      <c r="AJ70" s="8">
        <f>IF(OR(ISERR(LN(INDEX($Y$3:$Y$70,INDEX($AD$3:$AD$70,71-ROW(),1),1))),$AI70&lt;=MIN($D:$D),$AI70=FALSE),FALSE,LN(INDEX($Y$3:$Y$70,INDEX($AD$3:$AD$70,71-ROW(),1),1)))</f>
        <v>-1.9661128563728327</v>
      </c>
      <c r="AK70" s="8">
        <f>IF(OR(ISERR(LN(INDEX($Y$3:$Y$70,INDEX($AD$3:$AD$70,71-ROW(),1),1))),$AI70&lt;=MIN($D:$D),$AI70=FALSE),FALSE,LN(INDEX($Y$3:$Y$70,INDEX($AD$3:$AD$70,71-ROW(),1),1)))</f>
        <v>-1.9661128563728327</v>
      </c>
      <c r="AL70" s="8">
        <f>IF(OR(ISERR(LN(INDEX($Y$3:$Y$70,INDEX($AD$3:$AD$70,71-ROW(),1),1))),$AI70&lt;=MIN($D:$D),$AI70=FALSE),FALSE,LN(INDEX($Y$3:$Y$70,INDEX($AD$3:$AD$70,71-ROW(),1),1)))</f>
        <v>-1.9661128563728327</v>
      </c>
      <c r="AM70" s="8">
        <f t="shared" si="97"/>
        <v>-1.9661128563728327</v>
      </c>
      <c r="AN70" s="8">
        <f t="shared" si="96"/>
        <v>-1.9661128563728327</v>
      </c>
      <c r="AO70" s="8">
        <f t="shared" si="95"/>
        <v>-1.9661128563728327</v>
      </c>
      <c r="AP70" s="8">
        <f t="shared" si="94"/>
        <v>-1.9661128563728327</v>
      </c>
      <c r="AQ70" s="8">
        <f t="shared" si="93"/>
        <v>-1.9661128563728327</v>
      </c>
      <c r="AR70" s="8">
        <f t="shared" si="92"/>
        <v>-1.9661128563728327</v>
      </c>
      <c r="AS70" s="8">
        <f t="shared" si="91"/>
        <v>-1.9661128563728327</v>
      </c>
      <c r="AT70" s="8">
        <f t="shared" si="90"/>
        <v>-1.9661128563728327</v>
      </c>
      <c r="AU70" s="8">
        <f t="shared" si="89"/>
        <v>-1.9661128563728327</v>
      </c>
      <c r="AV70" s="8">
        <f t="shared" si="88"/>
        <v>-1.9661128563728327</v>
      </c>
      <c r="AW70" s="8">
        <f t="shared" si="87"/>
        <v>-1.9661128563728327</v>
      </c>
      <c r="AX70" s="8">
        <f t="shared" si="85"/>
        <v>-1.9661128563728327</v>
      </c>
      <c r="AY70" s="8">
        <f t="shared" si="83"/>
        <v>-1.9661128563728327</v>
      </c>
      <c r="AZ70" s="8">
        <f t="shared" si="81"/>
        <v>-1.9661128563728327</v>
      </c>
      <c r="BA70" s="8">
        <f t="shared" si="79"/>
        <v>-1.9661128563728327</v>
      </c>
      <c r="BB70" s="8">
        <f t="shared" si="77"/>
        <v>-1.9661128563728327</v>
      </c>
      <c r="BC70" s="8">
        <f t="shared" si="75"/>
        <v>-1.9661128563728327</v>
      </c>
      <c r="BD70" s="8">
        <f t="shared" si="73"/>
        <v>-1.9661128563728327</v>
      </c>
      <c r="BE70" s="8">
        <f t="shared" si="71"/>
        <v>-1.9661128563728327</v>
      </c>
      <c r="BF70" s="8">
        <f t="shared" si="69"/>
        <v>-1.9661128563728327</v>
      </c>
      <c r="BG70" s="8">
        <f t="shared" si="67"/>
        <v>-1.9661128563728327</v>
      </c>
      <c r="BH70" s="8">
        <f t="shared" si="65"/>
        <v>-1.9661128563728327</v>
      </c>
      <c r="BI70" s="8">
        <f t="shared" si="63"/>
        <v>-1.9661128563728327</v>
      </c>
      <c r="BJ70" s="8">
        <f t="shared" si="61"/>
        <v>-1.9661128563728327</v>
      </c>
      <c r="BK70" s="8">
        <f t="shared" si="59"/>
        <v>-1.9661128563728327</v>
      </c>
      <c r="BL70" s="8">
        <f t="shared" si="56"/>
        <v>-1.9661128563728327</v>
      </c>
      <c r="BM70" s="8">
        <f t="shared" si="54"/>
        <v>-1.9661128563728327</v>
      </c>
      <c r="BN70" s="8">
        <f t="shared" si="52"/>
        <v>-1.9661128563728327</v>
      </c>
      <c r="BO70" s="8">
        <f t="shared" si="50"/>
        <v>-1.9661128563728327</v>
      </c>
      <c r="BP70" s="8">
        <f t="shared" si="48"/>
        <v>-1.9661128563728327</v>
      </c>
      <c r="BQ70" s="8">
        <f t="shared" si="46"/>
        <v>-1.9661128563728327</v>
      </c>
      <c r="BR70" s="8">
        <f t="shared" si="43"/>
        <v>-1.9661128563728327</v>
      </c>
      <c r="BS70" s="8">
        <f t="shared" si="42"/>
        <v>-1.9661128563728327</v>
      </c>
      <c r="BT70" s="8">
        <f t="shared" si="41"/>
        <v>-1.9661128563728327</v>
      </c>
      <c r="BU70" s="8">
        <f t="shared" si="40"/>
        <v>-1.9661128563728327</v>
      </c>
      <c r="BV70" s="8">
        <f t="shared" si="39"/>
        <v>-1.9661128563728327</v>
      </c>
      <c r="BW70" s="8">
        <f t="shared" si="38"/>
        <v>-1.9661128563728327</v>
      </c>
      <c r="BX70" s="8">
        <f t="shared" si="37"/>
        <v>-1.9661128563728327</v>
      </c>
      <c r="BY70" s="8">
        <f t="shared" si="36"/>
        <v>-1.9661128563728327</v>
      </c>
      <c r="BZ70" s="8">
        <f t="shared" si="35"/>
        <v>-1.9661128563728327</v>
      </c>
      <c r="CA70" s="8">
        <f t="shared" si="34"/>
        <v>-1.9661128563728327</v>
      </c>
      <c r="CB70" s="8">
        <f t="shared" si="33"/>
        <v>-1.9661128563728327</v>
      </c>
      <c r="CC70" s="8">
        <f t="shared" si="32"/>
        <v>-1.9661128563728327</v>
      </c>
      <c r="CD70" s="8">
        <f t="shared" si="86"/>
        <v>-1.9661128563728327</v>
      </c>
      <c r="CE70" s="8">
        <f t="shared" si="84"/>
        <v>-1.9661128563728327</v>
      </c>
      <c r="CF70" s="8">
        <f t="shared" si="82"/>
        <v>-1.9661128563728327</v>
      </c>
      <c r="CG70" s="8">
        <f t="shared" si="80"/>
        <v>-1.9661128563728327</v>
      </c>
      <c r="CH70" s="8">
        <f t="shared" si="78"/>
        <v>-1.9661128563728327</v>
      </c>
      <c r="CI70" s="8">
        <f t="shared" si="76"/>
        <v>-1.9661128563728327</v>
      </c>
      <c r="CJ70" s="8">
        <f t="shared" si="74"/>
        <v>-1.9661128563728327</v>
      </c>
      <c r="CK70" s="8">
        <f t="shared" si="72"/>
        <v>-1.9661128563728327</v>
      </c>
      <c r="CL70" s="8">
        <f t="shared" si="70"/>
        <v>-1.9661128563728327</v>
      </c>
      <c r="CM70" s="8">
        <f t="shared" si="68"/>
        <v>-1.9661128563728327</v>
      </c>
      <c r="CN70" s="8">
        <f t="shared" si="66"/>
        <v>-1.9661128563728327</v>
      </c>
      <c r="CO70" s="8">
        <f t="shared" si="64"/>
        <v>-1.9661128563728327</v>
      </c>
      <c r="CP70" s="8">
        <f t="shared" si="62"/>
        <v>-1.9661128563728327</v>
      </c>
      <c r="CQ70" s="8">
        <f t="shared" si="60"/>
        <v>-1.9661128563728327</v>
      </c>
      <c r="CR70" s="8">
        <f t="shared" si="57"/>
        <v>-1.9661128563728327</v>
      </c>
      <c r="CS70" s="8">
        <f t="shared" si="55"/>
        <v>-1.9661128563728327</v>
      </c>
      <c r="CT70" s="8">
        <f t="shared" si="53"/>
        <v>-1.9661128563728327</v>
      </c>
      <c r="CU70" s="8">
        <f t="shared" si="51"/>
        <v>-1.9661128563728327</v>
      </c>
      <c r="CV70" s="8">
        <f t="shared" si="49"/>
        <v>-1.9661128563728327</v>
      </c>
      <c r="CW70" s="9">
        <f t="shared" si="47"/>
        <v>-1.9661128563728327</v>
      </c>
      <c r="CY70" s="89" t="str">
        <f>IF(ROUND(A70,0)&gt;=ROUND($H$4,0),SUM($C$3:$C70),"")</f>
        <v/>
      </c>
    </row>
    <row r="71" spans="1:103" x14ac:dyDescent="0.2">
      <c r="AE71" s="11" t="b">
        <f>IF(SUM($AE$4:AE70)=0,IF(INDEX($Y$3:$Y$70,AD71,1)&lt;0,0,INDEX($X$3:$X$70,AD71,1)),FALSE)</f>
        <v>0</v>
      </c>
      <c r="AF71" s="11"/>
      <c r="AG71" s="11"/>
      <c r="AH71" s="11"/>
      <c r="AI71" s="10" t="s">
        <v>19</v>
      </c>
      <c r="AJ71" s="10">
        <f>COUNTA(AJ$3:AJ$70)-COUNTIF(AJ$3:AJ$70,FALSE)</f>
        <v>3</v>
      </c>
      <c r="AK71" s="10">
        <f t="shared" ref="AK71:CV71" si="98">COUNTA(AK$3:AK$70)-COUNTIF(AK$3:AK$70,FALSE)</f>
        <v>4</v>
      </c>
      <c r="AL71" s="10">
        <f t="shared" si="98"/>
        <v>5</v>
      </c>
      <c r="AM71" s="10">
        <f t="shared" si="98"/>
        <v>6</v>
      </c>
      <c r="AN71" s="10">
        <f t="shared" si="98"/>
        <v>7</v>
      </c>
      <c r="AO71" s="10">
        <f t="shared" si="98"/>
        <v>8</v>
      </c>
      <c r="AP71" s="10">
        <f t="shared" si="98"/>
        <v>9</v>
      </c>
      <c r="AQ71" s="10">
        <f t="shared" si="98"/>
        <v>10</v>
      </c>
      <c r="AR71" s="10">
        <f t="shared" si="98"/>
        <v>11</v>
      </c>
      <c r="AS71" s="10">
        <f t="shared" si="98"/>
        <v>12</v>
      </c>
      <c r="AT71" s="10">
        <f t="shared" si="98"/>
        <v>12</v>
      </c>
      <c r="AU71" s="10">
        <f t="shared" si="98"/>
        <v>12</v>
      </c>
      <c r="AV71" s="10">
        <f t="shared" si="98"/>
        <v>12</v>
      </c>
      <c r="AW71" s="10">
        <f t="shared" si="98"/>
        <v>12</v>
      </c>
      <c r="AX71" s="10">
        <f t="shared" si="98"/>
        <v>12</v>
      </c>
      <c r="AY71" s="10">
        <f t="shared" si="98"/>
        <v>12</v>
      </c>
      <c r="AZ71" s="10">
        <f t="shared" si="98"/>
        <v>12</v>
      </c>
      <c r="BA71" s="10">
        <f t="shared" si="98"/>
        <v>12</v>
      </c>
      <c r="BB71" s="10">
        <f t="shared" si="98"/>
        <v>12</v>
      </c>
      <c r="BC71" s="10">
        <f t="shared" si="98"/>
        <v>12</v>
      </c>
      <c r="BD71" s="10">
        <f t="shared" si="98"/>
        <v>12</v>
      </c>
      <c r="BE71" s="10">
        <f t="shared" si="98"/>
        <v>12</v>
      </c>
      <c r="BF71" s="10">
        <f t="shared" si="98"/>
        <v>12</v>
      </c>
      <c r="BG71" s="10">
        <f t="shared" si="98"/>
        <v>12</v>
      </c>
      <c r="BH71" s="10">
        <f t="shared" si="98"/>
        <v>12</v>
      </c>
      <c r="BI71" s="10">
        <f t="shared" si="98"/>
        <v>12</v>
      </c>
      <c r="BJ71" s="10">
        <f t="shared" si="98"/>
        <v>12</v>
      </c>
      <c r="BK71" s="10">
        <f t="shared" si="98"/>
        <v>12</v>
      </c>
      <c r="BL71" s="10">
        <f t="shared" si="98"/>
        <v>12</v>
      </c>
      <c r="BM71" s="10">
        <f t="shared" si="98"/>
        <v>12</v>
      </c>
      <c r="BN71" s="10">
        <f t="shared" si="98"/>
        <v>12</v>
      </c>
      <c r="BO71" s="10">
        <f t="shared" si="98"/>
        <v>12</v>
      </c>
      <c r="BP71" s="10">
        <f t="shared" si="98"/>
        <v>12</v>
      </c>
      <c r="BQ71" s="10">
        <f t="shared" si="98"/>
        <v>12</v>
      </c>
      <c r="BR71" s="10">
        <f t="shared" si="98"/>
        <v>12</v>
      </c>
      <c r="BS71" s="10">
        <f t="shared" si="98"/>
        <v>12</v>
      </c>
      <c r="BT71" s="10">
        <f t="shared" si="98"/>
        <v>12</v>
      </c>
      <c r="BU71" s="10">
        <f t="shared" si="98"/>
        <v>12</v>
      </c>
      <c r="BV71" s="10">
        <f t="shared" si="98"/>
        <v>12</v>
      </c>
      <c r="BW71" s="10">
        <f t="shared" si="98"/>
        <v>12</v>
      </c>
      <c r="BX71" s="10">
        <f t="shared" si="98"/>
        <v>12</v>
      </c>
      <c r="BY71" s="10">
        <f t="shared" si="98"/>
        <v>12</v>
      </c>
      <c r="BZ71" s="10">
        <f t="shared" si="98"/>
        <v>12</v>
      </c>
      <c r="CA71" s="10">
        <f t="shared" si="98"/>
        <v>12</v>
      </c>
      <c r="CB71" s="10">
        <f t="shared" si="98"/>
        <v>12</v>
      </c>
      <c r="CC71" s="10">
        <f t="shared" si="98"/>
        <v>12</v>
      </c>
      <c r="CD71" s="10">
        <f t="shared" si="98"/>
        <v>12</v>
      </c>
      <c r="CE71" s="10">
        <f t="shared" si="98"/>
        <v>12</v>
      </c>
      <c r="CF71" s="10">
        <f t="shared" si="98"/>
        <v>12</v>
      </c>
      <c r="CG71" s="10">
        <f t="shared" si="98"/>
        <v>12</v>
      </c>
      <c r="CH71" s="10">
        <f t="shared" si="98"/>
        <v>12</v>
      </c>
      <c r="CI71" s="10">
        <f t="shared" si="98"/>
        <v>12</v>
      </c>
      <c r="CJ71" s="10">
        <f t="shared" si="98"/>
        <v>12</v>
      </c>
      <c r="CK71" s="10">
        <f t="shared" si="98"/>
        <v>12</v>
      </c>
      <c r="CL71" s="10">
        <f t="shared" si="98"/>
        <v>12</v>
      </c>
      <c r="CM71" s="10">
        <f t="shared" si="98"/>
        <v>12</v>
      </c>
      <c r="CN71" s="10">
        <f t="shared" si="98"/>
        <v>12</v>
      </c>
      <c r="CO71" s="10">
        <f t="shared" si="98"/>
        <v>12</v>
      </c>
      <c r="CP71" s="10">
        <f t="shared" si="98"/>
        <v>12</v>
      </c>
      <c r="CQ71" s="10">
        <f t="shared" si="98"/>
        <v>12</v>
      </c>
      <c r="CR71" s="10">
        <f t="shared" si="98"/>
        <v>12</v>
      </c>
      <c r="CS71" s="10">
        <f t="shared" si="98"/>
        <v>12</v>
      </c>
      <c r="CT71" s="10">
        <f t="shared" si="98"/>
        <v>12</v>
      </c>
      <c r="CU71" s="10">
        <f t="shared" si="98"/>
        <v>12</v>
      </c>
      <c r="CV71" s="10">
        <f t="shared" si="98"/>
        <v>12</v>
      </c>
      <c r="CW71" s="10">
        <f>COUNTA(CW$3:CW$70)-COUNTIF(CW$3:CW$70,FALSE)</f>
        <v>12</v>
      </c>
    </row>
    <row r="72" spans="1:103" x14ac:dyDescent="0.2">
      <c r="AH72" s="11"/>
      <c r="AI72" s="38" t="s">
        <v>14</v>
      </c>
      <c r="AJ72" s="38">
        <f>-SLOPE(AJ3:AJ70,$AI3:$AI70)</f>
        <v>4.7752469754328244E-2</v>
      </c>
      <c r="AK72" s="38">
        <f t="shared" ref="AK72:CV72" si="99">-SLOPE(AK3:AK70,$AI3:$AI70)</f>
        <v>4.8855086738467099E-2</v>
      </c>
      <c r="AL72" s="38">
        <f t="shared" si="99"/>
        <v>4.3073796297094506E-2</v>
      </c>
      <c r="AM72" s="38">
        <f t="shared" si="99"/>
        <v>4.3073859360613219E-2</v>
      </c>
      <c r="AN72" s="38">
        <f t="shared" si="99"/>
        <v>4.6887723783488641E-2</v>
      </c>
      <c r="AO72" s="38">
        <f t="shared" si="99"/>
        <v>4.9179576717085199E-2</v>
      </c>
      <c r="AP72" s="38">
        <f t="shared" si="99"/>
        <v>5.2923541104759469E-2</v>
      </c>
      <c r="AQ72" s="38">
        <f t="shared" si="99"/>
        <v>5.5780303144167126E-2</v>
      </c>
      <c r="AR72" s="38">
        <f t="shared" si="99"/>
        <v>5.843951740857467E-2</v>
      </c>
      <c r="AS72" s="38">
        <f t="shared" si="99"/>
        <v>6.1056027129876664E-2</v>
      </c>
      <c r="AT72" s="38">
        <f t="shared" si="99"/>
        <v>6.1056027129876664E-2</v>
      </c>
      <c r="AU72" s="38">
        <f t="shared" si="99"/>
        <v>6.1056027129876664E-2</v>
      </c>
      <c r="AV72" s="38">
        <f t="shared" si="99"/>
        <v>6.1056027129876664E-2</v>
      </c>
      <c r="AW72" s="38">
        <f t="shared" si="99"/>
        <v>6.1056027129876664E-2</v>
      </c>
      <c r="AX72" s="38">
        <f t="shared" si="99"/>
        <v>6.1056027129876664E-2</v>
      </c>
      <c r="AY72" s="38">
        <f t="shared" si="99"/>
        <v>6.1056027129876664E-2</v>
      </c>
      <c r="AZ72" s="38">
        <f t="shared" si="99"/>
        <v>6.1056027129876664E-2</v>
      </c>
      <c r="BA72" s="38">
        <f t="shared" si="99"/>
        <v>6.1056027129876664E-2</v>
      </c>
      <c r="BB72" s="38">
        <f t="shared" si="99"/>
        <v>6.1056027129876664E-2</v>
      </c>
      <c r="BC72" s="38">
        <f t="shared" si="99"/>
        <v>6.1056027129876664E-2</v>
      </c>
      <c r="BD72" s="38">
        <f t="shared" si="99"/>
        <v>6.1056027129876664E-2</v>
      </c>
      <c r="BE72" s="38">
        <f t="shared" si="99"/>
        <v>6.1056027129876664E-2</v>
      </c>
      <c r="BF72" s="38">
        <f t="shared" si="99"/>
        <v>6.1056027129876664E-2</v>
      </c>
      <c r="BG72" s="38">
        <f t="shared" si="99"/>
        <v>6.1056027129876664E-2</v>
      </c>
      <c r="BH72" s="38">
        <f t="shared" si="99"/>
        <v>6.1056027129876664E-2</v>
      </c>
      <c r="BI72" s="38">
        <f t="shared" si="99"/>
        <v>6.1056027129876664E-2</v>
      </c>
      <c r="BJ72" s="38">
        <f t="shared" si="99"/>
        <v>6.1056027129876664E-2</v>
      </c>
      <c r="BK72" s="38">
        <f t="shared" si="99"/>
        <v>6.1056027129876664E-2</v>
      </c>
      <c r="BL72" s="38">
        <f t="shared" si="99"/>
        <v>6.1056027129876664E-2</v>
      </c>
      <c r="BM72" s="38">
        <f t="shared" si="99"/>
        <v>6.1056027129876664E-2</v>
      </c>
      <c r="BN72" s="38">
        <f t="shared" si="99"/>
        <v>6.1056027129876664E-2</v>
      </c>
      <c r="BO72" s="38">
        <f t="shared" si="99"/>
        <v>6.1056027129876664E-2</v>
      </c>
      <c r="BP72" s="38">
        <f t="shared" si="99"/>
        <v>6.1056027129876664E-2</v>
      </c>
      <c r="BQ72" s="38">
        <f t="shared" si="99"/>
        <v>6.1056027129876664E-2</v>
      </c>
      <c r="BR72" s="38">
        <f t="shared" si="99"/>
        <v>6.1056027129876664E-2</v>
      </c>
      <c r="BS72" s="38">
        <f t="shared" si="99"/>
        <v>6.1056027129876664E-2</v>
      </c>
      <c r="BT72" s="38">
        <f t="shared" si="99"/>
        <v>6.1056027129876664E-2</v>
      </c>
      <c r="BU72" s="38">
        <f t="shared" si="99"/>
        <v>6.1056027129876664E-2</v>
      </c>
      <c r="BV72" s="38">
        <f t="shared" si="99"/>
        <v>6.1056027129876664E-2</v>
      </c>
      <c r="BW72" s="38">
        <f t="shared" si="99"/>
        <v>6.1056027129876664E-2</v>
      </c>
      <c r="BX72" s="38">
        <f t="shared" si="99"/>
        <v>6.1056027129876664E-2</v>
      </c>
      <c r="BY72" s="38">
        <f t="shared" si="99"/>
        <v>6.1056027129876664E-2</v>
      </c>
      <c r="BZ72" s="38">
        <f t="shared" si="99"/>
        <v>6.1056027129876664E-2</v>
      </c>
      <c r="CA72" s="38">
        <f t="shared" si="99"/>
        <v>6.1056027129876664E-2</v>
      </c>
      <c r="CB72" s="38">
        <f t="shared" si="99"/>
        <v>6.1056027129876664E-2</v>
      </c>
      <c r="CC72" s="38">
        <f t="shared" si="99"/>
        <v>6.1056027129876664E-2</v>
      </c>
      <c r="CD72" s="38">
        <f t="shared" si="99"/>
        <v>6.1056027129876664E-2</v>
      </c>
      <c r="CE72" s="38">
        <f t="shared" si="99"/>
        <v>6.1056027129876664E-2</v>
      </c>
      <c r="CF72" s="38">
        <f t="shared" si="99"/>
        <v>6.1056027129876664E-2</v>
      </c>
      <c r="CG72" s="38">
        <f t="shared" si="99"/>
        <v>6.1056027129876664E-2</v>
      </c>
      <c r="CH72" s="38">
        <f t="shared" si="99"/>
        <v>6.1056027129876664E-2</v>
      </c>
      <c r="CI72" s="38">
        <f t="shared" si="99"/>
        <v>6.1056027129876664E-2</v>
      </c>
      <c r="CJ72" s="38">
        <f t="shared" si="99"/>
        <v>6.1056027129876664E-2</v>
      </c>
      <c r="CK72" s="38">
        <f t="shared" si="99"/>
        <v>6.1056027129876664E-2</v>
      </c>
      <c r="CL72" s="38">
        <f t="shared" si="99"/>
        <v>6.1056027129876664E-2</v>
      </c>
      <c r="CM72" s="38">
        <f t="shared" si="99"/>
        <v>6.1056027129876664E-2</v>
      </c>
      <c r="CN72" s="38">
        <f t="shared" si="99"/>
        <v>6.1056027129876664E-2</v>
      </c>
      <c r="CO72" s="38">
        <f t="shared" si="99"/>
        <v>6.1056027129876664E-2</v>
      </c>
      <c r="CP72" s="38">
        <f t="shared" si="99"/>
        <v>6.1056027129876664E-2</v>
      </c>
      <c r="CQ72" s="38">
        <f t="shared" si="99"/>
        <v>6.1056027129876664E-2</v>
      </c>
      <c r="CR72" s="38">
        <f t="shared" si="99"/>
        <v>6.1056027129876664E-2</v>
      </c>
      <c r="CS72" s="38">
        <f t="shared" si="99"/>
        <v>6.1056027129876664E-2</v>
      </c>
      <c r="CT72" s="38">
        <f t="shared" si="99"/>
        <v>6.1056027129876664E-2</v>
      </c>
      <c r="CU72" s="38">
        <f t="shared" si="99"/>
        <v>6.1056027129876664E-2</v>
      </c>
      <c r="CV72" s="38">
        <f t="shared" si="99"/>
        <v>6.1056027129876664E-2</v>
      </c>
      <c r="CW72" s="38">
        <f>-SLOPE(CW3:CW70,$AI3:$AI70)</f>
        <v>6.1056027129876664E-2</v>
      </c>
    </row>
    <row r="73" spans="1:103" x14ac:dyDescent="0.2">
      <c r="AH73" s="11"/>
      <c r="AI73" s="38" t="s">
        <v>46</v>
      </c>
      <c r="AJ73" s="38">
        <f>IF(ISERROR(AJ72),FALSE,IF(AJ72&lt;&gt;0,LN(2)/AJ72,FALSE))</f>
        <v>14.515420545282247</v>
      </c>
      <c r="AK73" s="38">
        <f t="shared" ref="AK73:CV73" si="100">IF(ISERROR(AK72),FALSE,IF(AK72&lt;&gt;0,LN(2)/AK72,FALSE))</f>
        <v>14.187820078398939</v>
      </c>
      <c r="AL73" s="38">
        <f t="shared" si="100"/>
        <v>16.092084750995138</v>
      </c>
      <c r="AM73" s="38">
        <f t="shared" si="100"/>
        <v>16.0920611909171</v>
      </c>
      <c r="AN73" s="38">
        <f t="shared" si="100"/>
        <v>14.783127109361509</v>
      </c>
      <c r="AO73" s="38">
        <f t="shared" si="100"/>
        <v>14.094207938132637</v>
      </c>
      <c r="AP73" s="38">
        <f t="shared" si="100"/>
        <v>13.097142898807462</v>
      </c>
      <c r="AQ73" s="38">
        <f t="shared" si="100"/>
        <v>12.426378873712284</v>
      </c>
      <c r="AR73" s="38">
        <f t="shared" si="100"/>
        <v>11.86093265818519</v>
      </c>
      <c r="AS73" s="38">
        <f t="shared" si="100"/>
        <v>11.352641387647154</v>
      </c>
      <c r="AT73" s="38">
        <f t="shared" si="100"/>
        <v>11.352641387647154</v>
      </c>
      <c r="AU73" s="38">
        <f t="shared" si="100"/>
        <v>11.352641387647154</v>
      </c>
      <c r="AV73" s="38">
        <f t="shared" si="100"/>
        <v>11.352641387647154</v>
      </c>
      <c r="AW73" s="38">
        <f t="shared" si="100"/>
        <v>11.352641387647154</v>
      </c>
      <c r="AX73" s="38">
        <f t="shared" si="100"/>
        <v>11.352641387647154</v>
      </c>
      <c r="AY73" s="38">
        <f t="shared" si="100"/>
        <v>11.352641387647154</v>
      </c>
      <c r="AZ73" s="38">
        <f t="shared" si="100"/>
        <v>11.352641387647154</v>
      </c>
      <c r="BA73" s="38">
        <f t="shared" si="100"/>
        <v>11.352641387647154</v>
      </c>
      <c r="BB73" s="38">
        <f t="shared" si="100"/>
        <v>11.352641387647154</v>
      </c>
      <c r="BC73" s="38">
        <f t="shared" si="100"/>
        <v>11.352641387647154</v>
      </c>
      <c r="BD73" s="38">
        <f t="shared" si="100"/>
        <v>11.352641387647154</v>
      </c>
      <c r="BE73" s="38">
        <f t="shared" si="100"/>
        <v>11.352641387647154</v>
      </c>
      <c r="BF73" s="38">
        <f t="shared" si="100"/>
        <v>11.352641387647154</v>
      </c>
      <c r="BG73" s="38">
        <f t="shared" si="100"/>
        <v>11.352641387647154</v>
      </c>
      <c r="BH73" s="38">
        <f t="shared" si="100"/>
        <v>11.352641387647154</v>
      </c>
      <c r="BI73" s="38">
        <f t="shared" si="100"/>
        <v>11.352641387647154</v>
      </c>
      <c r="BJ73" s="38">
        <f t="shared" si="100"/>
        <v>11.352641387647154</v>
      </c>
      <c r="BK73" s="38">
        <f t="shared" si="100"/>
        <v>11.352641387647154</v>
      </c>
      <c r="BL73" s="38">
        <f t="shared" si="100"/>
        <v>11.352641387647154</v>
      </c>
      <c r="BM73" s="38">
        <f t="shared" si="100"/>
        <v>11.352641387647154</v>
      </c>
      <c r="BN73" s="38">
        <f t="shared" si="100"/>
        <v>11.352641387647154</v>
      </c>
      <c r="BO73" s="38">
        <f t="shared" si="100"/>
        <v>11.352641387647154</v>
      </c>
      <c r="BP73" s="38">
        <f t="shared" si="100"/>
        <v>11.352641387647154</v>
      </c>
      <c r="BQ73" s="38">
        <f t="shared" si="100"/>
        <v>11.352641387647154</v>
      </c>
      <c r="BR73" s="38">
        <f t="shared" si="100"/>
        <v>11.352641387647154</v>
      </c>
      <c r="BS73" s="38">
        <f t="shared" si="100"/>
        <v>11.352641387647154</v>
      </c>
      <c r="BT73" s="38">
        <f t="shared" si="100"/>
        <v>11.352641387647154</v>
      </c>
      <c r="BU73" s="38">
        <f t="shared" si="100"/>
        <v>11.352641387647154</v>
      </c>
      <c r="BV73" s="38">
        <f t="shared" si="100"/>
        <v>11.352641387647154</v>
      </c>
      <c r="BW73" s="38">
        <f t="shared" si="100"/>
        <v>11.352641387647154</v>
      </c>
      <c r="BX73" s="38">
        <f t="shared" si="100"/>
        <v>11.352641387647154</v>
      </c>
      <c r="BY73" s="38">
        <f t="shared" si="100"/>
        <v>11.352641387647154</v>
      </c>
      <c r="BZ73" s="38">
        <f t="shared" si="100"/>
        <v>11.352641387647154</v>
      </c>
      <c r="CA73" s="38">
        <f t="shared" si="100"/>
        <v>11.352641387647154</v>
      </c>
      <c r="CB73" s="38">
        <f t="shared" si="100"/>
        <v>11.352641387647154</v>
      </c>
      <c r="CC73" s="38">
        <f t="shared" si="100"/>
        <v>11.352641387647154</v>
      </c>
      <c r="CD73" s="38">
        <f t="shared" si="100"/>
        <v>11.352641387647154</v>
      </c>
      <c r="CE73" s="38">
        <f t="shared" si="100"/>
        <v>11.352641387647154</v>
      </c>
      <c r="CF73" s="38">
        <f t="shared" si="100"/>
        <v>11.352641387647154</v>
      </c>
      <c r="CG73" s="38">
        <f t="shared" si="100"/>
        <v>11.352641387647154</v>
      </c>
      <c r="CH73" s="38">
        <f t="shared" si="100"/>
        <v>11.352641387647154</v>
      </c>
      <c r="CI73" s="38">
        <f t="shared" si="100"/>
        <v>11.352641387647154</v>
      </c>
      <c r="CJ73" s="38">
        <f t="shared" si="100"/>
        <v>11.352641387647154</v>
      </c>
      <c r="CK73" s="38">
        <f t="shared" si="100"/>
        <v>11.352641387647154</v>
      </c>
      <c r="CL73" s="38">
        <f t="shared" si="100"/>
        <v>11.352641387647154</v>
      </c>
      <c r="CM73" s="38">
        <f t="shared" si="100"/>
        <v>11.352641387647154</v>
      </c>
      <c r="CN73" s="38">
        <f t="shared" si="100"/>
        <v>11.352641387647154</v>
      </c>
      <c r="CO73" s="38">
        <f t="shared" si="100"/>
        <v>11.352641387647154</v>
      </c>
      <c r="CP73" s="38">
        <f t="shared" si="100"/>
        <v>11.352641387647154</v>
      </c>
      <c r="CQ73" s="38">
        <f t="shared" si="100"/>
        <v>11.352641387647154</v>
      </c>
      <c r="CR73" s="38">
        <f t="shared" si="100"/>
        <v>11.352641387647154</v>
      </c>
      <c r="CS73" s="38">
        <f t="shared" si="100"/>
        <v>11.352641387647154</v>
      </c>
      <c r="CT73" s="38">
        <f t="shared" si="100"/>
        <v>11.352641387647154</v>
      </c>
      <c r="CU73" s="38">
        <f t="shared" si="100"/>
        <v>11.352641387647154</v>
      </c>
      <c r="CV73" s="38">
        <f t="shared" si="100"/>
        <v>11.352641387647154</v>
      </c>
      <c r="CW73" s="38">
        <f>IF(ISERROR(CW72),FALSE,IF(CW72&lt;&gt;0,LN(2)/CW72,FALSE))</f>
        <v>11.352641387647154</v>
      </c>
    </row>
    <row r="74" spans="1:103" x14ac:dyDescent="0.2">
      <c r="AH74" s="11"/>
      <c r="AI74" s="38" t="s">
        <v>47</v>
      </c>
      <c r="AJ74" s="38">
        <f t="shared" ref="AJ74:CV74" si="101">INDEX($AI$3:$AI$70,68,1)-INDEX($AI$3:$AI$70,68-AJ71+1,1)</f>
        <v>36</v>
      </c>
      <c r="AK74" s="38">
        <f t="shared" si="101"/>
        <v>48</v>
      </c>
      <c r="AL74" s="38">
        <f t="shared" si="101"/>
        <v>60</v>
      </c>
      <c r="AM74" s="38">
        <f t="shared" si="101"/>
        <v>64</v>
      </c>
      <c r="AN74" s="38">
        <f t="shared" si="101"/>
        <v>66</v>
      </c>
      <c r="AO74" s="38">
        <f t="shared" si="101"/>
        <v>68</v>
      </c>
      <c r="AP74" s="38">
        <f t="shared" si="101"/>
        <v>68.5</v>
      </c>
      <c r="AQ74" s="38">
        <f t="shared" si="101"/>
        <v>69</v>
      </c>
      <c r="AR74" s="38">
        <f t="shared" si="101"/>
        <v>69.5</v>
      </c>
      <c r="AS74" s="38">
        <f t="shared" si="101"/>
        <v>70</v>
      </c>
      <c r="AT74" s="38">
        <f t="shared" si="101"/>
        <v>70</v>
      </c>
      <c r="AU74" s="38">
        <f t="shared" si="101"/>
        <v>70</v>
      </c>
      <c r="AV74" s="38">
        <f t="shared" si="101"/>
        <v>70</v>
      </c>
      <c r="AW74" s="38">
        <f t="shared" si="101"/>
        <v>70</v>
      </c>
      <c r="AX74" s="38">
        <f t="shared" si="101"/>
        <v>70</v>
      </c>
      <c r="AY74" s="38">
        <f t="shared" si="101"/>
        <v>70</v>
      </c>
      <c r="AZ74" s="38">
        <f t="shared" si="101"/>
        <v>70</v>
      </c>
      <c r="BA74" s="38">
        <f t="shared" si="101"/>
        <v>70</v>
      </c>
      <c r="BB74" s="38">
        <f t="shared" si="101"/>
        <v>70</v>
      </c>
      <c r="BC74" s="38">
        <f t="shared" si="101"/>
        <v>70</v>
      </c>
      <c r="BD74" s="38">
        <f t="shared" si="101"/>
        <v>70</v>
      </c>
      <c r="BE74" s="38">
        <f t="shared" si="101"/>
        <v>70</v>
      </c>
      <c r="BF74" s="38">
        <f t="shared" si="101"/>
        <v>70</v>
      </c>
      <c r="BG74" s="38">
        <f t="shared" si="101"/>
        <v>70</v>
      </c>
      <c r="BH74" s="38">
        <f t="shared" si="101"/>
        <v>70</v>
      </c>
      <c r="BI74" s="38">
        <f t="shared" si="101"/>
        <v>70</v>
      </c>
      <c r="BJ74" s="38">
        <f t="shared" si="101"/>
        <v>70</v>
      </c>
      <c r="BK74" s="38">
        <f t="shared" si="101"/>
        <v>70</v>
      </c>
      <c r="BL74" s="38">
        <f t="shared" si="101"/>
        <v>70</v>
      </c>
      <c r="BM74" s="38">
        <f t="shared" si="101"/>
        <v>70</v>
      </c>
      <c r="BN74" s="38">
        <f t="shared" si="101"/>
        <v>70</v>
      </c>
      <c r="BO74" s="38">
        <f t="shared" si="101"/>
        <v>70</v>
      </c>
      <c r="BP74" s="38">
        <f t="shared" si="101"/>
        <v>70</v>
      </c>
      <c r="BQ74" s="38">
        <f t="shared" si="101"/>
        <v>70</v>
      </c>
      <c r="BR74" s="38">
        <f t="shared" si="101"/>
        <v>70</v>
      </c>
      <c r="BS74" s="38">
        <f t="shared" si="101"/>
        <v>70</v>
      </c>
      <c r="BT74" s="38">
        <f t="shared" si="101"/>
        <v>70</v>
      </c>
      <c r="BU74" s="38">
        <f t="shared" si="101"/>
        <v>70</v>
      </c>
      <c r="BV74" s="38">
        <f t="shared" si="101"/>
        <v>70</v>
      </c>
      <c r="BW74" s="38">
        <f t="shared" si="101"/>
        <v>70</v>
      </c>
      <c r="BX74" s="38">
        <f t="shared" si="101"/>
        <v>70</v>
      </c>
      <c r="BY74" s="38">
        <f t="shared" si="101"/>
        <v>70</v>
      </c>
      <c r="BZ74" s="38">
        <f t="shared" si="101"/>
        <v>70</v>
      </c>
      <c r="CA74" s="38">
        <f t="shared" si="101"/>
        <v>70</v>
      </c>
      <c r="CB74" s="38">
        <f t="shared" si="101"/>
        <v>70</v>
      </c>
      <c r="CC74" s="38">
        <f t="shared" si="101"/>
        <v>70</v>
      </c>
      <c r="CD74" s="38">
        <f t="shared" si="101"/>
        <v>70</v>
      </c>
      <c r="CE74" s="38">
        <f t="shared" si="101"/>
        <v>70</v>
      </c>
      <c r="CF74" s="38">
        <f t="shared" si="101"/>
        <v>70</v>
      </c>
      <c r="CG74" s="38">
        <f t="shared" si="101"/>
        <v>70</v>
      </c>
      <c r="CH74" s="38">
        <f t="shared" si="101"/>
        <v>70</v>
      </c>
      <c r="CI74" s="38">
        <f t="shared" si="101"/>
        <v>70</v>
      </c>
      <c r="CJ74" s="38">
        <f t="shared" si="101"/>
        <v>70</v>
      </c>
      <c r="CK74" s="38">
        <f t="shared" si="101"/>
        <v>70</v>
      </c>
      <c r="CL74" s="38">
        <f t="shared" si="101"/>
        <v>70</v>
      </c>
      <c r="CM74" s="38">
        <f t="shared" si="101"/>
        <v>70</v>
      </c>
      <c r="CN74" s="38">
        <f t="shared" si="101"/>
        <v>70</v>
      </c>
      <c r="CO74" s="38">
        <f t="shared" si="101"/>
        <v>70</v>
      </c>
      <c r="CP74" s="38">
        <f t="shared" si="101"/>
        <v>70</v>
      </c>
      <c r="CQ74" s="38">
        <f t="shared" si="101"/>
        <v>70</v>
      </c>
      <c r="CR74" s="38">
        <f t="shared" si="101"/>
        <v>70</v>
      </c>
      <c r="CS74" s="38">
        <f t="shared" si="101"/>
        <v>70</v>
      </c>
      <c r="CT74" s="38">
        <f t="shared" si="101"/>
        <v>70</v>
      </c>
      <c r="CU74" s="38">
        <f t="shared" si="101"/>
        <v>70</v>
      </c>
      <c r="CV74" s="38">
        <f t="shared" si="101"/>
        <v>70</v>
      </c>
      <c r="CW74" s="38">
        <f>INDEX($AI$3:$AI$70,68,1)-INDEX($AI$3:$AI$70,68-CW71+1,1)</f>
        <v>70</v>
      </c>
    </row>
    <row r="75" spans="1:103" x14ac:dyDescent="0.2">
      <c r="AH75" s="11"/>
      <c r="AI75" s="38" t="s">
        <v>49</v>
      </c>
      <c r="AJ75" s="38" t="b">
        <f>IF(AJ73&lt;=AJ74,FALSE,TRUE)</f>
        <v>0</v>
      </c>
      <c r="AK75" s="38" t="b">
        <f t="shared" ref="AK75:CW75" si="102">IF(AK73&lt;=AK74,FALSE,TRUE)</f>
        <v>0</v>
      </c>
      <c r="AL75" s="38" t="b">
        <f t="shared" si="102"/>
        <v>0</v>
      </c>
      <c r="AM75" s="38" t="b">
        <f t="shared" si="102"/>
        <v>0</v>
      </c>
      <c r="AN75" s="38" t="b">
        <f t="shared" si="102"/>
        <v>0</v>
      </c>
      <c r="AO75" s="38" t="b">
        <f t="shared" si="102"/>
        <v>0</v>
      </c>
      <c r="AP75" s="38" t="b">
        <f t="shared" si="102"/>
        <v>0</v>
      </c>
      <c r="AQ75" s="38" t="b">
        <f t="shared" si="102"/>
        <v>0</v>
      </c>
      <c r="AR75" s="38" t="b">
        <f t="shared" si="102"/>
        <v>0</v>
      </c>
      <c r="AS75" s="38" t="b">
        <f t="shared" si="102"/>
        <v>0</v>
      </c>
      <c r="AT75" s="38" t="b">
        <f t="shared" si="102"/>
        <v>0</v>
      </c>
      <c r="AU75" s="38" t="b">
        <f t="shared" si="102"/>
        <v>0</v>
      </c>
      <c r="AV75" s="38" t="b">
        <f t="shared" si="102"/>
        <v>0</v>
      </c>
      <c r="AW75" s="38" t="b">
        <f t="shared" si="102"/>
        <v>0</v>
      </c>
      <c r="AX75" s="38" t="b">
        <f t="shared" si="102"/>
        <v>0</v>
      </c>
      <c r="AY75" s="38" t="b">
        <f t="shared" si="102"/>
        <v>0</v>
      </c>
      <c r="AZ75" s="38" t="b">
        <f t="shared" si="102"/>
        <v>0</v>
      </c>
      <c r="BA75" s="38" t="b">
        <f t="shared" si="102"/>
        <v>0</v>
      </c>
      <c r="BB75" s="38" t="b">
        <f t="shared" si="102"/>
        <v>0</v>
      </c>
      <c r="BC75" s="38" t="b">
        <f t="shared" si="102"/>
        <v>0</v>
      </c>
      <c r="BD75" s="38" t="b">
        <f t="shared" si="102"/>
        <v>0</v>
      </c>
      <c r="BE75" s="38" t="b">
        <f t="shared" si="102"/>
        <v>0</v>
      </c>
      <c r="BF75" s="38" t="b">
        <f t="shared" si="102"/>
        <v>0</v>
      </c>
      <c r="BG75" s="38" t="b">
        <f t="shared" si="102"/>
        <v>0</v>
      </c>
      <c r="BH75" s="38" t="b">
        <f t="shared" si="102"/>
        <v>0</v>
      </c>
      <c r="BI75" s="38" t="b">
        <f t="shared" si="102"/>
        <v>0</v>
      </c>
      <c r="BJ75" s="38" t="b">
        <f t="shared" si="102"/>
        <v>0</v>
      </c>
      <c r="BK75" s="38" t="b">
        <f t="shared" si="102"/>
        <v>0</v>
      </c>
      <c r="BL75" s="38" t="b">
        <f t="shared" si="102"/>
        <v>0</v>
      </c>
      <c r="BM75" s="38" t="b">
        <f t="shared" si="102"/>
        <v>0</v>
      </c>
      <c r="BN75" s="38" t="b">
        <f t="shared" si="102"/>
        <v>0</v>
      </c>
      <c r="BO75" s="38" t="b">
        <f t="shared" si="102"/>
        <v>0</v>
      </c>
      <c r="BP75" s="38" t="b">
        <f t="shared" si="102"/>
        <v>0</v>
      </c>
      <c r="BQ75" s="38" t="b">
        <f t="shared" si="102"/>
        <v>0</v>
      </c>
      <c r="BR75" s="38" t="b">
        <f t="shared" si="102"/>
        <v>0</v>
      </c>
      <c r="BS75" s="38" t="b">
        <f t="shared" si="102"/>
        <v>0</v>
      </c>
      <c r="BT75" s="38" t="b">
        <f t="shared" si="102"/>
        <v>0</v>
      </c>
      <c r="BU75" s="38" t="b">
        <f t="shared" si="102"/>
        <v>0</v>
      </c>
      <c r="BV75" s="38" t="b">
        <f t="shared" si="102"/>
        <v>0</v>
      </c>
      <c r="BW75" s="38" t="b">
        <f t="shared" si="102"/>
        <v>0</v>
      </c>
      <c r="BX75" s="38" t="b">
        <f t="shared" si="102"/>
        <v>0</v>
      </c>
      <c r="BY75" s="38" t="b">
        <f t="shared" si="102"/>
        <v>0</v>
      </c>
      <c r="BZ75" s="38" t="b">
        <f t="shared" si="102"/>
        <v>0</v>
      </c>
      <c r="CA75" s="38" t="b">
        <f t="shared" si="102"/>
        <v>0</v>
      </c>
      <c r="CB75" s="38" t="b">
        <f t="shared" si="102"/>
        <v>0</v>
      </c>
      <c r="CC75" s="38" t="b">
        <f t="shared" si="102"/>
        <v>0</v>
      </c>
      <c r="CD75" s="38" t="b">
        <f t="shared" si="102"/>
        <v>0</v>
      </c>
      <c r="CE75" s="38" t="b">
        <f t="shared" si="102"/>
        <v>0</v>
      </c>
      <c r="CF75" s="38" t="b">
        <f t="shared" si="102"/>
        <v>0</v>
      </c>
      <c r="CG75" s="38" t="b">
        <f t="shared" si="102"/>
        <v>0</v>
      </c>
      <c r="CH75" s="38" t="b">
        <f t="shared" si="102"/>
        <v>0</v>
      </c>
      <c r="CI75" s="38" t="b">
        <f t="shared" si="102"/>
        <v>0</v>
      </c>
      <c r="CJ75" s="38" t="b">
        <f t="shared" si="102"/>
        <v>0</v>
      </c>
      <c r="CK75" s="38" t="b">
        <f t="shared" si="102"/>
        <v>0</v>
      </c>
      <c r="CL75" s="38" t="b">
        <f t="shared" si="102"/>
        <v>0</v>
      </c>
      <c r="CM75" s="38" t="b">
        <f t="shared" si="102"/>
        <v>0</v>
      </c>
      <c r="CN75" s="38" t="b">
        <f t="shared" si="102"/>
        <v>0</v>
      </c>
      <c r="CO75" s="38" t="b">
        <f t="shared" si="102"/>
        <v>0</v>
      </c>
      <c r="CP75" s="38" t="b">
        <f t="shared" si="102"/>
        <v>0</v>
      </c>
      <c r="CQ75" s="38" t="b">
        <f t="shared" si="102"/>
        <v>0</v>
      </c>
      <c r="CR75" s="38" t="b">
        <f t="shared" si="102"/>
        <v>0</v>
      </c>
      <c r="CS75" s="38" t="b">
        <f t="shared" si="102"/>
        <v>0</v>
      </c>
      <c r="CT75" s="38" t="b">
        <f t="shared" si="102"/>
        <v>0</v>
      </c>
      <c r="CU75" s="38" t="b">
        <f t="shared" si="102"/>
        <v>0</v>
      </c>
      <c r="CV75" s="38" t="b">
        <f t="shared" si="102"/>
        <v>0</v>
      </c>
      <c r="CW75" s="38" t="b">
        <f t="shared" si="102"/>
        <v>0</v>
      </c>
    </row>
    <row r="76" spans="1:103" x14ac:dyDescent="0.2">
      <c r="AH76" s="11"/>
      <c r="AI76" s="38" t="s">
        <v>55</v>
      </c>
      <c r="AJ76" s="38">
        <f>1-(((AJ71-1)/(AJ71-1-1))*(1-RSQ(AJ$3:AJ$70,$AI$3:$AI$70)))</f>
        <v>0.52300903194986836</v>
      </c>
      <c r="AK76" s="38">
        <f t="shared" ref="AK76:CV76" si="103">1-(((AK71-1)/(AK71-1-1))*(1-RSQ(AK$3:AK$70,$AI$3:$AI$70)))</f>
        <v>0.79292271982285967</v>
      </c>
      <c r="AL76" s="38">
        <f t="shared" si="103"/>
        <v>0.82823966771709523</v>
      </c>
      <c r="AM76" s="38">
        <f t="shared" si="103"/>
        <v>0.87752998502186985</v>
      </c>
      <c r="AN76" s="38">
        <f t="shared" si="103"/>
        <v>0.88590594510577914</v>
      </c>
      <c r="AO76" s="38">
        <f t="shared" si="103"/>
        <v>0.89786555351450859</v>
      </c>
      <c r="AP76" s="38">
        <f t="shared" si="103"/>
        <v>0.87829324905354111</v>
      </c>
      <c r="AQ76" s="38">
        <f t="shared" si="103"/>
        <v>0.87064561497944082</v>
      </c>
      <c r="AR76" s="38">
        <f t="shared" si="103"/>
        <v>0.86212143765713933</v>
      </c>
      <c r="AS76" s="38">
        <f t="shared" si="103"/>
        <v>0.85157439695652215</v>
      </c>
      <c r="AT76" s="38">
        <f t="shared" si="103"/>
        <v>0.85157439695652215</v>
      </c>
      <c r="AU76" s="38">
        <f t="shared" si="103"/>
        <v>0.85157439695652215</v>
      </c>
      <c r="AV76" s="38">
        <f t="shared" si="103"/>
        <v>0.85157439695652215</v>
      </c>
      <c r="AW76" s="38">
        <f t="shared" si="103"/>
        <v>0.85157439695652215</v>
      </c>
      <c r="AX76" s="38">
        <f t="shared" si="103"/>
        <v>0.85157439695652215</v>
      </c>
      <c r="AY76" s="38">
        <f t="shared" si="103"/>
        <v>0.85157439695652215</v>
      </c>
      <c r="AZ76" s="38">
        <f t="shared" si="103"/>
        <v>0.85157439695652215</v>
      </c>
      <c r="BA76" s="38">
        <f t="shared" si="103"/>
        <v>0.85157439695652215</v>
      </c>
      <c r="BB76" s="38">
        <f t="shared" si="103"/>
        <v>0.85157439695652215</v>
      </c>
      <c r="BC76" s="38">
        <f t="shared" si="103"/>
        <v>0.85157439695652215</v>
      </c>
      <c r="BD76" s="38">
        <f t="shared" si="103"/>
        <v>0.85157439695652215</v>
      </c>
      <c r="BE76" s="38">
        <f t="shared" si="103"/>
        <v>0.85157439695652215</v>
      </c>
      <c r="BF76" s="38">
        <f t="shared" si="103"/>
        <v>0.85157439695652215</v>
      </c>
      <c r="BG76" s="38">
        <f t="shared" si="103"/>
        <v>0.85157439695652215</v>
      </c>
      <c r="BH76" s="38">
        <f t="shared" si="103"/>
        <v>0.85157439695652215</v>
      </c>
      <c r="BI76" s="38">
        <f t="shared" si="103"/>
        <v>0.85157439695652215</v>
      </c>
      <c r="BJ76" s="38">
        <f t="shared" si="103"/>
        <v>0.85157439695652215</v>
      </c>
      <c r="BK76" s="38">
        <f t="shared" si="103"/>
        <v>0.85157439695652215</v>
      </c>
      <c r="BL76" s="38">
        <f t="shared" si="103"/>
        <v>0.85157439695652215</v>
      </c>
      <c r="BM76" s="38">
        <f t="shared" si="103"/>
        <v>0.85157439695652215</v>
      </c>
      <c r="BN76" s="38">
        <f t="shared" si="103"/>
        <v>0.85157439695652215</v>
      </c>
      <c r="BO76" s="38">
        <f t="shared" si="103"/>
        <v>0.85157439695652215</v>
      </c>
      <c r="BP76" s="38">
        <f t="shared" si="103"/>
        <v>0.85157439695652215</v>
      </c>
      <c r="BQ76" s="38">
        <f t="shared" si="103"/>
        <v>0.85157439695652215</v>
      </c>
      <c r="BR76" s="38">
        <f t="shared" si="103"/>
        <v>0.85157439695652215</v>
      </c>
      <c r="BS76" s="38">
        <f t="shared" si="103"/>
        <v>0.85157439695652215</v>
      </c>
      <c r="BT76" s="38">
        <f t="shared" si="103"/>
        <v>0.85157439695652215</v>
      </c>
      <c r="BU76" s="38">
        <f t="shared" si="103"/>
        <v>0.85157439695652215</v>
      </c>
      <c r="BV76" s="38">
        <f t="shared" si="103"/>
        <v>0.85157439695652215</v>
      </c>
      <c r="BW76" s="38">
        <f t="shared" si="103"/>
        <v>0.85157439695652215</v>
      </c>
      <c r="BX76" s="38">
        <f t="shared" si="103"/>
        <v>0.85157439695652215</v>
      </c>
      <c r="BY76" s="38">
        <f t="shared" si="103"/>
        <v>0.85157439695652215</v>
      </c>
      <c r="BZ76" s="38">
        <f t="shared" si="103"/>
        <v>0.85157439695652215</v>
      </c>
      <c r="CA76" s="38">
        <f t="shared" si="103"/>
        <v>0.85157439695652215</v>
      </c>
      <c r="CB76" s="38">
        <f t="shared" si="103"/>
        <v>0.85157439695652215</v>
      </c>
      <c r="CC76" s="38">
        <f t="shared" si="103"/>
        <v>0.85157439695652215</v>
      </c>
      <c r="CD76" s="38">
        <f t="shared" si="103"/>
        <v>0.85157439695652215</v>
      </c>
      <c r="CE76" s="38">
        <f t="shared" si="103"/>
        <v>0.85157439695652215</v>
      </c>
      <c r="CF76" s="38">
        <f t="shared" si="103"/>
        <v>0.85157439695652215</v>
      </c>
      <c r="CG76" s="38">
        <f t="shared" si="103"/>
        <v>0.85157439695652215</v>
      </c>
      <c r="CH76" s="38">
        <f t="shared" si="103"/>
        <v>0.85157439695652215</v>
      </c>
      <c r="CI76" s="38">
        <f t="shared" si="103"/>
        <v>0.85157439695652215</v>
      </c>
      <c r="CJ76" s="38">
        <f t="shared" si="103"/>
        <v>0.85157439695652215</v>
      </c>
      <c r="CK76" s="38">
        <f t="shared" si="103"/>
        <v>0.85157439695652215</v>
      </c>
      <c r="CL76" s="38">
        <f t="shared" si="103"/>
        <v>0.85157439695652215</v>
      </c>
      <c r="CM76" s="38">
        <f t="shared" si="103"/>
        <v>0.85157439695652215</v>
      </c>
      <c r="CN76" s="38">
        <f t="shared" si="103"/>
        <v>0.85157439695652215</v>
      </c>
      <c r="CO76" s="38">
        <f t="shared" si="103"/>
        <v>0.85157439695652215</v>
      </c>
      <c r="CP76" s="38">
        <f t="shared" si="103"/>
        <v>0.85157439695652215</v>
      </c>
      <c r="CQ76" s="38">
        <f t="shared" si="103"/>
        <v>0.85157439695652215</v>
      </c>
      <c r="CR76" s="38">
        <f t="shared" si="103"/>
        <v>0.85157439695652215</v>
      </c>
      <c r="CS76" s="38">
        <f t="shared" si="103"/>
        <v>0.85157439695652215</v>
      </c>
      <c r="CT76" s="38">
        <f t="shared" si="103"/>
        <v>0.85157439695652215</v>
      </c>
      <c r="CU76" s="38">
        <f t="shared" si="103"/>
        <v>0.85157439695652215</v>
      </c>
      <c r="CV76" s="38">
        <f t="shared" si="103"/>
        <v>0.85157439695652215</v>
      </c>
      <c r="CW76" s="38">
        <f>1-(((CW71-1)/(CW71-1-1))*(1-RSQ(CW$3:CW$70,$AI$3:$AI$70)))</f>
        <v>0.85157439695652215</v>
      </c>
    </row>
    <row r="77" spans="1:103" x14ac:dyDescent="0.2">
      <c r="AI77" s="38" t="s">
        <v>56</v>
      </c>
      <c r="AJ77" s="38">
        <f t="shared" ref="AJ77:BO77" si="104">IF(AJ73&lt;=0,"",IF($G$13,IF(AJ73&lt;=AJ74,IF(AJ$71&gt;=$G$8,1-(((AJ71-1)/(AJ71-1-1))*(1-RSQ(AJ$3:AJ$70,$AI$3:$AI$70)))),""),IF(AJ$71&gt;=$G$8,1-(((AJ71-1)/(AJ71-1-1))*(1-RSQ(AJ$3:AJ$70,$AI$3:$AI$70))))))</f>
        <v>0.52300903194986836</v>
      </c>
      <c r="AK77" s="38">
        <f t="shared" si="104"/>
        <v>0.79292271982285967</v>
      </c>
      <c r="AL77" s="38">
        <f t="shared" si="104"/>
        <v>0.82823966771709523</v>
      </c>
      <c r="AM77" s="38">
        <f t="shared" si="104"/>
        <v>0.87752998502186985</v>
      </c>
      <c r="AN77" s="38">
        <f t="shared" si="104"/>
        <v>0.88590594510577914</v>
      </c>
      <c r="AO77" s="38">
        <f t="shared" si="104"/>
        <v>0.89786555351450859</v>
      </c>
      <c r="AP77" s="38">
        <f t="shared" si="104"/>
        <v>0.87829324905354111</v>
      </c>
      <c r="AQ77" s="38">
        <f t="shared" si="104"/>
        <v>0.87064561497944082</v>
      </c>
      <c r="AR77" s="38">
        <f t="shared" si="104"/>
        <v>0.86212143765713933</v>
      </c>
      <c r="AS77" s="38">
        <f t="shared" si="104"/>
        <v>0.85157439695652215</v>
      </c>
      <c r="AT77" s="38">
        <f t="shared" si="104"/>
        <v>0.85157439695652215</v>
      </c>
      <c r="AU77" s="38">
        <f t="shared" si="104"/>
        <v>0.85157439695652215</v>
      </c>
      <c r="AV77" s="38">
        <f t="shared" si="104"/>
        <v>0.85157439695652215</v>
      </c>
      <c r="AW77" s="38">
        <f t="shared" si="104"/>
        <v>0.85157439695652215</v>
      </c>
      <c r="AX77" s="38">
        <f t="shared" si="104"/>
        <v>0.85157439695652215</v>
      </c>
      <c r="AY77" s="38">
        <f t="shared" si="104"/>
        <v>0.85157439695652215</v>
      </c>
      <c r="AZ77" s="38">
        <f t="shared" si="104"/>
        <v>0.85157439695652215</v>
      </c>
      <c r="BA77" s="38">
        <f t="shared" si="104"/>
        <v>0.85157439695652215</v>
      </c>
      <c r="BB77" s="38">
        <f t="shared" si="104"/>
        <v>0.85157439695652215</v>
      </c>
      <c r="BC77" s="38">
        <f t="shared" si="104"/>
        <v>0.85157439695652215</v>
      </c>
      <c r="BD77" s="38">
        <f t="shared" si="104"/>
        <v>0.85157439695652215</v>
      </c>
      <c r="BE77" s="38">
        <f t="shared" si="104"/>
        <v>0.85157439695652215</v>
      </c>
      <c r="BF77" s="38">
        <f t="shared" si="104"/>
        <v>0.85157439695652215</v>
      </c>
      <c r="BG77" s="38">
        <f t="shared" si="104"/>
        <v>0.85157439695652215</v>
      </c>
      <c r="BH77" s="38">
        <f t="shared" si="104"/>
        <v>0.85157439695652215</v>
      </c>
      <c r="BI77" s="38">
        <f t="shared" si="104"/>
        <v>0.85157439695652215</v>
      </c>
      <c r="BJ77" s="38">
        <f t="shared" si="104"/>
        <v>0.85157439695652215</v>
      </c>
      <c r="BK77" s="38">
        <f t="shared" si="104"/>
        <v>0.85157439695652215</v>
      </c>
      <c r="BL77" s="38">
        <f t="shared" si="104"/>
        <v>0.85157439695652215</v>
      </c>
      <c r="BM77" s="38">
        <f t="shared" si="104"/>
        <v>0.85157439695652215</v>
      </c>
      <c r="BN77" s="38">
        <f t="shared" si="104"/>
        <v>0.85157439695652215</v>
      </c>
      <c r="BO77" s="38">
        <f t="shared" si="104"/>
        <v>0.85157439695652215</v>
      </c>
      <c r="BP77" s="38">
        <f t="shared" ref="BP77:CW77" si="105">IF(BP73&lt;=0,"",IF($G$13,IF(BP73&lt;=BP74,IF(BP$71&gt;=$G$8,1-(((BP71-1)/(BP71-1-1))*(1-RSQ(BP$3:BP$70,$AI$3:$AI$70)))),""),IF(BP$71&gt;=$G$8,1-(((BP71-1)/(BP71-1-1))*(1-RSQ(BP$3:BP$70,$AI$3:$AI$70))))))</f>
        <v>0.85157439695652215</v>
      </c>
      <c r="BQ77" s="38">
        <f t="shared" si="105"/>
        <v>0.85157439695652215</v>
      </c>
      <c r="BR77" s="38">
        <f t="shared" si="105"/>
        <v>0.85157439695652215</v>
      </c>
      <c r="BS77" s="38">
        <f t="shared" si="105"/>
        <v>0.85157439695652215</v>
      </c>
      <c r="BT77" s="38">
        <f t="shared" si="105"/>
        <v>0.85157439695652215</v>
      </c>
      <c r="BU77" s="38">
        <f t="shared" si="105"/>
        <v>0.85157439695652215</v>
      </c>
      <c r="BV77" s="38">
        <f t="shared" si="105"/>
        <v>0.85157439695652215</v>
      </c>
      <c r="BW77" s="38">
        <f t="shared" si="105"/>
        <v>0.85157439695652215</v>
      </c>
      <c r="BX77" s="38">
        <f t="shared" si="105"/>
        <v>0.85157439695652215</v>
      </c>
      <c r="BY77" s="38">
        <f t="shared" si="105"/>
        <v>0.85157439695652215</v>
      </c>
      <c r="BZ77" s="38">
        <f t="shared" si="105"/>
        <v>0.85157439695652215</v>
      </c>
      <c r="CA77" s="38">
        <f t="shared" si="105"/>
        <v>0.85157439695652215</v>
      </c>
      <c r="CB77" s="38">
        <f t="shared" si="105"/>
        <v>0.85157439695652215</v>
      </c>
      <c r="CC77" s="38">
        <f t="shared" si="105"/>
        <v>0.85157439695652215</v>
      </c>
      <c r="CD77" s="38">
        <f t="shared" si="105"/>
        <v>0.85157439695652215</v>
      </c>
      <c r="CE77" s="38">
        <f t="shared" si="105"/>
        <v>0.85157439695652215</v>
      </c>
      <c r="CF77" s="38">
        <f t="shared" si="105"/>
        <v>0.85157439695652215</v>
      </c>
      <c r="CG77" s="38">
        <f t="shared" si="105"/>
        <v>0.85157439695652215</v>
      </c>
      <c r="CH77" s="38">
        <f t="shared" si="105"/>
        <v>0.85157439695652215</v>
      </c>
      <c r="CI77" s="38">
        <f t="shared" si="105"/>
        <v>0.85157439695652215</v>
      </c>
      <c r="CJ77" s="38">
        <f t="shared" si="105"/>
        <v>0.85157439695652215</v>
      </c>
      <c r="CK77" s="38">
        <f t="shared" si="105"/>
        <v>0.85157439695652215</v>
      </c>
      <c r="CL77" s="38">
        <f t="shared" si="105"/>
        <v>0.85157439695652215</v>
      </c>
      <c r="CM77" s="38">
        <f t="shared" si="105"/>
        <v>0.85157439695652215</v>
      </c>
      <c r="CN77" s="38">
        <f t="shared" si="105"/>
        <v>0.85157439695652215</v>
      </c>
      <c r="CO77" s="38">
        <f t="shared" si="105"/>
        <v>0.85157439695652215</v>
      </c>
      <c r="CP77" s="38">
        <f t="shared" si="105"/>
        <v>0.85157439695652215</v>
      </c>
      <c r="CQ77" s="38">
        <f t="shared" si="105"/>
        <v>0.85157439695652215</v>
      </c>
      <c r="CR77" s="38">
        <f t="shared" si="105"/>
        <v>0.85157439695652215</v>
      </c>
      <c r="CS77" s="38">
        <f t="shared" si="105"/>
        <v>0.85157439695652215</v>
      </c>
      <c r="CT77" s="38">
        <f t="shared" si="105"/>
        <v>0.85157439695652215</v>
      </c>
      <c r="CU77" s="38">
        <f t="shared" si="105"/>
        <v>0.85157439695652215</v>
      </c>
      <c r="CV77" s="38">
        <f t="shared" si="105"/>
        <v>0.85157439695652215</v>
      </c>
      <c r="CW77" s="38">
        <f t="shared" si="105"/>
        <v>0.85157439695652215</v>
      </c>
    </row>
    <row r="78" spans="1:103" x14ac:dyDescent="0.2">
      <c r="AI78" s="38" t="s">
        <v>16</v>
      </c>
      <c r="AJ78" s="38" t="b">
        <f t="shared" ref="AJ78:BO78" si="106">IF(AJ77=$AJ$80,AJ72,FALSE)</f>
        <v>0</v>
      </c>
      <c r="AK78" s="38" t="b">
        <f t="shared" si="106"/>
        <v>0</v>
      </c>
      <c r="AL78" s="38" t="b">
        <f t="shared" si="106"/>
        <v>0</v>
      </c>
      <c r="AM78" s="38" t="b">
        <f t="shared" si="106"/>
        <v>0</v>
      </c>
      <c r="AN78" s="38" t="b">
        <f t="shared" si="106"/>
        <v>0</v>
      </c>
      <c r="AO78" s="38">
        <f t="shared" si="106"/>
        <v>4.9179576717085199E-2</v>
      </c>
      <c r="AP78" s="38" t="b">
        <f t="shared" si="106"/>
        <v>0</v>
      </c>
      <c r="AQ78" s="38" t="b">
        <f t="shared" si="106"/>
        <v>0</v>
      </c>
      <c r="AR78" s="38" t="b">
        <f t="shared" si="106"/>
        <v>0</v>
      </c>
      <c r="AS78" s="38" t="b">
        <f t="shared" si="106"/>
        <v>0</v>
      </c>
      <c r="AT78" s="38" t="b">
        <f t="shared" si="106"/>
        <v>0</v>
      </c>
      <c r="AU78" s="38" t="b">
        <f t="shared" si="106"/>
        <v>0</v>
      </c>
      <c r="AV78" s="38" t="b">
        <f t="shared" si="106"/>
        <v>0</v>
      </c>
      <c r="AW78" s="38" t="b">
        <f t="shared" si="106"/>
        <v>0</v>
      </c>
      <c r="AX78" s="38" t="b">
        <f t="shared" si="106"/>
        <v>0</v>
      </c>
      <c r="AY78" s="38" t="b">
        <f t="shared" si="106"/>
        <v>0</v>
      </c>
      <c r="AZ78" s="38" t="b">
        <f t="shared" si="106"/>
        <v>0</v>
      </c>
      <c r="BA78" s="38" t="b">
        <f t="shared" si="106"/>
        <v>0</v>
      </c>
      <c r="BB78" s="38" t="b">
        <f t="shared" si="106"/>
        <v>0</v>
      </c>
      <c r="BC78" s="38" t="b">
        <f t="shared" si="106"/>
        <v>0</v>
      </c>
      <c r="BD78" s="38" t="b">
        <f t="shared" si="106"/>
        <v>0</v>
      </c>
      <c r="BE78" s="38" t="b">
        <f t="shared" si="106"/>
        <v>0</v>
      </c>
      <c r="BF78" s="38" t="b">
        <f t="shared" si="106"/>
        <v>0</v>
      </c>
      <c r="BG78" s="38" t="b">
        <f t="shared" si="106"/>
        <v>0</v>
      </c>
      <c r="BH78" s="38" t="b">
        <f t="shared" si="106"/>
        <v>0</v>
      </c>
      <c r="BI78" s="38" t="b">
        <f t="shared" si="106"/>
        <v>0</v>
      </c>
      <c r="BJ78" s="38" t="b">
        <f t="shared" si="106"/>
        <v>0</v>
      </c>
      <c r="BK78" s="38" t="b">
        <f t="shared" si="106"/>
        <v>0</v>
      </c>
      <c r="BL78" s="38" t="b">
        <f t="shared" si="106"/>
        <v>0</v>
      </c>
      <c r="BM78" s="38" t="b">
        <f t="shared" si="106"/>
        <v>0</v>
      </c>
      <c r="BN78" s="38" t="b">
        <f t="shared" si="106"/>
        <v>0</v>
      </c>
      <c r="BO78" s="38" t="b">
        <f t="shared" si="106"/>
        <v>0</v>
      </c>
      <c r="BP78" s="38" t="b">
        <f t="shared" ref="BP78:CU78" si="107">IF(BP77=$AJ$80,BP72,FALSE)</f>
        <v>0</v>
      </c>
      <c r="BQ78" s="38" t="b">
        <f t="shared" si="107"/>
        <v>0</v>
      </c>
      <c r="BR78" s="38" t="b">
        <f t="shared" si="107"/>
        <v>0</v>
      </c>
      <c r="BS78" s="38" t="b">
        <f t="shared" si="107"/>
        <v>0</v>
      </c>
      <c r="BT78" s="38" t="b">
        <f t="shared" si="107"/>
        <v>0</v>
      </c>
      <c r="BU78" s="38" t="b">
        <f t="shared" si="107"/>
        <v>0</v>
      </c>
      <c r="BV78" s="38" t="b">
        <f t="shared" si="107"/>
        <v>0</v>
      </c>
      <c r="BW78" s="38" t="b">
        <f t="shared" si="107"/>
        <v>0</v>
      </c>
      <c r="BX78" s="38" t="b">
        <f t="shared" si="107"/>
        <v>0</v>
      </c>
      <c r="BY78" s="38" t="b">
        <f t="shared" si="107"/>
        <v>0</v>
      </c>
      <c r="BZ78" s="38" t="b">
        <f t="shared" si="107"/>
        <v>0</v>
      </c>
      <c r="CA78" s="38" t="b">
        <f t="shared" si="107"/>
        <v>0</v>
      </c>
      <c r="CB78" s="38" t="b">
        <f t="shared" si="107"/>
        <v>0</v>
      </c>
      <c r="CC78" s="38" t="b">
        <f t="shared" si="107"/>
        <v>0</v>
      </c>
      <c r="CD78" s="38" t="b">
        <f t="shared" si="107"/>
        <v>0</v>
      </c>
      <c r="CE78" s="38" t="b">
        <f t="shared" si="107"/>
        <v>0</v>
      </c>
      <c r="CF78" s="38" t="b">
        <f t="shared" si="107"/>
        <v>0</v>
      </c>
      <c r="CG78" s="38" t="b">
        <f t="shared" si="107"/>
        <v>0</v>
      </c>
      <c r="CH78" s="38" t="b">
        <f t="shared" si="107"/>
        <v>0</v>
      </c>
      <c r="CI78" s="38" t="b">
        <f t="shared" si="107"/>
        <v>0</v>
      </c>
      <c r="CJ78" s="38" t="b">
        <f t="shared" si="107"/>
        <v>0</v>
      </c>
      <c r="CK78" s="38" t="b">
        <f t="shared" si="107"/>
        <v>0</v>
      </c>
      <c r="CL78" s="38" t="b">
        <f t="shared" si="107"/>
        <v>0</v>
      </c>
      <c r="CM78" s="38" t="b">
        <f t="shared" si="107"/>
        <v>0</v>
      </c>
      <c r="CN78" s="38" t="b">
        <f t="shared" si="107"/>
        <v>0</v>
      </c>
      <c r="CO78" s="38" t="b">
        <f t="shared" si="107"/>
        <v>0</v>
      </c>
      <c r="CP78" s="38" t="b">
        <f t="shared" si="107"/>
        <v>0</v>
      </c>
      <c r="CQ78" s="38" t="b">
        <f t="shared" si="107"/>
        <v>0</v>
      </c>
      <c r="CR78" s="38" t="b">
        <f t="shared" si="107"/>
        <v>0</v>
      </c>
      <c r="CS78" s="38" t="b">
        <f t="shared" si="107"/>
        <v>0</v>
      </c>
      <c r="CT78" s="38" t="b">
        <f t="shared" si="107"/>
        <v>0</v>
      </c>
      <c r="CU78" s="38" t="b">
        <f t="shared" si="107"/>
        <v>0</v>
      </c>
      <c r="CV78" s="38" t="b">
        <f>IF(CV77=$AJ$80,CV72,FALSE)</f>
        <v>0</v>
      </c>
      <c r="CW78" s="38" t="b">
        <f>IF(CW77=$AJ$80,CW72,FALSE)</f>
        <v>0</v>
      </c>
    </row>
    <row r="79" spans="1:103" x14ac:dyDescent="0.2">
      <c r="AI79" s="38" t="s">
        <v>61</v>
      </c>
      <c r="AJ79" s="38" t="b">
        <f t="shared" ref="AJ79:BO79" si="108">IF($H$26=$H$15,FALSE,IF(AJ78=$AJ$81,INDEX($AI$3:$AI$70,68-AJ71+1,1),FALSE))</f>
        <v>0</v>
      </c>
      <c r="AK79" s="38" t="b">
        <f t="shared" si="108"/>
        <v>0</v>
      </c>
      <c r="AL79" s="38" t="b">
        <f t="shared" si="108"/>
        <v>0</v>
      </c>
      <c r="AM79" s="38" t="b">
        <f t="shared" si="108"/>
        <v>0</v>
      </c>
      <c r="AN79" s="38" t="b">
        <f t="shared" si="108"/>
        <v>0</v>
      </c>
      <c r="AO79" s="38">
        <f t="shared" si="108"/>
        <v>4</v>
      </c>
      <c r="AP79" s="38" t="b">
        <f t="shared" si="108"/>
        <v>0</v>
      </c>
      <c r="AQ79" s="38" t="b">
        <f t="shared" si="108"/>
        <v>0</v>
      </c>
      <c r="AR79" s="38" t="b">
        <f t="shared" si="108"/>
        <v>0</v>
      </c>
      <c r="AS79" s="38" t="b">
        <f t="shared" si="108"/>
        <v>0</v>
      </c>
      <c r="AT79" s="38" t="b">
        <f t="shared" si="108"/>
        <v>0</v>
      </c>
      <c r="AU79" s="38" t="b">
        <f t="shared" si="108"/>
        <v>0</v>
      </c>
      <c r="AV79" s="38" t="b">
        <f t="shared" si="108"/>
        <v>0</v>
      </c>
      <c r="AW79" s="38" t="b">
        <f t="shared" si="108"/>
        <v>0</v>
      </c>
      <c r="AX79" s="38" t="b">
        <f t="shared" si="108"/>
        <v>0</v>
      </c>
      <c r="AY79" s="38" t="b">
        <f t="shared" si="108"/>
        <v>0</v>
      </c>
      <c r="AZ79" s="38" t="b">
        <f t="shared" si="108"/>
        <v>0</v>
      </c>
      <c r="BA79" s="38" t="b">
        <f t="shared" si="108"/>
        <v>0</v>
      </c>
      <c r="BB79" s="38" t="b">
        <f t="shared" si="108"/>
        <v>0</v>
      </c>
      <c r="BC79" s="38" t="b">
        <f t="shared" si="108"/>
        <v>0</v>
      </c>
      <c r="BD79" s="38" t="b">
        <f t="shared" si="108"/>
        <v>0</v>
      </c>
      <c r="BE79" s="38" t="b">
        <f t="shared" si="108"/>
        <v>0</v>
      </c>
      <c r="BF79" s="38" t="b">
        <f t="shared" si="108"/>
        <v>0</v>
      </c>
      <c r="BG79" s="38" t="b">
        <f t="shared" si="108"/>
        <v>0</v>
      </c>
      <c r="BH79" s="38" t="b">
        <f t="shared" si="108"/>
        <v>0</v>
      </c>
      <c r="BI79" s="38" t="b">
        <f t="shared" si="108"/>
        <v>0</v>
      </c>
      <c r="BJ79" s="38" t="b">
        <f t="shared" si="108"/>
        <v>0</v>
      </c>
      <c r="BK79" s="38" t="b">
        <f t="shared" si="108"/>
        <v>0</v>
      </c>
      <c r="BL79" s="38" t="b">
        <f t="shared" si="108"/>
        <v>0</v>
      </c>
      <c r="BM79" s="38" t="b">
        <f t="shared" si="108"/>
        <v>0</v>
      </c>
      <c r="BN79" s="38" t="b">
        <f t="shared" si="108"/>
        <v>0</v>
      </c>
      <c r="BO79" s="38" t="b">
        <f t="shared" si="108"/>
        <v>0</v>
      </c>
      <c r="BP79" s="38" t="b">
        <f t="shared" ref="BP79:CU79" si="109">IF($H$26=$H$15,FALSE,IF(BP78=$AJ$81,INDEX($AI$3:$AI$70,68-BP71+1,1),FALSE))</f>
        <v>0</v>
      </c>
      <c r="BQ79" s="38" t="b">
        <f t="shared" si="109"/>
        <v>0</v>
      </c>
      <c r="BR79" s="38" t="b">
        <f t="shared" si="109"/>
        <v>0</v>
      </c>
      <c r="BS79" s="38" t="b">
        <f t="shared" si="109"/>
        <v>0</v>
      </c>
      <c r="BT79" s="38" t="b">
        <f t="shared" si="109"/>
        <v>0</v>
      </c>
      <c r="BU79" s="38" t="b">
        <f t="shared" si="109"/>
        <v>0</v>
      </c>
      <c r="BV79" s="38" t="b">
        <f t="shared" si="109"/>
        <v>0</v>
      </c>
      <c r="BW79" s="38" t="b">
        <f t="shared" si="109"/>
        <v>0</v>
      </c>
      <c r="BX79" s="38" t="b">
        <f t="shared" si="109"/>
        <v>0</v>
      </c>
      <c r="BY79" s="38" t="b">
        <f t="shared" si="109"/>
        <v>0</v>
      </c>
      <c r="BZ79" s="38" t="b">
        <f t="shared" si="109"/>
        <v>0</v>
      </c>
      <c r="CA79" s="38" t="b">
        <f t="shared" si="109"/>
        <v>0</v>
      </c>
      <c r="CB79" s="38" t="b">
        <f t="shared" si="109"/>
        <v>0</v>
      </c>
      <c r="CC79" s="38" t="b">
        <f t="shared" si="109"/>
        <v>0</v>
      </c>
      <c r="CD79" s="38" t="b">
        <f t="shared" si="109"/>
        <v>0</v>
      </c>
      <c r="CE79" s="38" t="b">
        <f t="shared" si="109"/>
        <v>0</v>
      </c>
      <c r="CF79" s="38" t="b">
        <f t="shared" si="109"/>
        <v>0</v>
      </c>
      <c r="CG79" s="38" t="b">
        <f t="shared" si="109"/>
        <v>0</v>
      </c>
      <c r="CH79" s="38" t="b">
        <f t="shared" si="109"/>
        <v>0</v>
      </c>
      <c r="CI79" s="38" t="b">
        <f t="shared" si="109"/>
        <v>0</v>
      </c>
      <c r="CJ79" s="38" t="b">
        <f t="shared" si="109"/>
        <v>0</v>
      </c>
      <c r="CK79" s="38" t="b">
        <f t="shared" si="109"/>
        <v>0</v>
      </c>
      <c r="CL79" s="38" t="b">
        <f t="shared" si="109"/>
        <v>0</v>
      </c>
      <c r="CM79" s="38" t="b">
        <f t="shared" si="109"/>
        <v>0</v>
      </c>
      <c r="CN79" s="38" t="b">
        <f t="shared" si="109"/>
        <v>0</v>
      </c>
      <c r="CO79" s="38" t="b">
        <f t="shared" si="109"/>
        <v>0</v>
      </c>
      <c r="CP79" s="38" t="b">
        <f t="shared" si="109"/>
        <v>0</v>
      </c>
      <c r="CQ79" s="38" t="b">
        <f t="shared" si="109"/>
        <v>0</v>
      </c>
      <c r="CR79" s="38" t="b">
        <f t="shared" si="109"/>
        <v>0</v>
      </c>
      <c r="CS79" s="38" t="b">
        <f t="shared" si="109"/>
        <v>0</v>
      </c>
      <c r="CT79" s="38" t="b">
        <f t="shared" si="109"/>
        <v>0</v>
      </c>
      <c r="CU79" s="38" t="b">
        <f t="shared" si="109"/>
        <v>0</v>
      </c>
      <c r="CV79" s="38" t="b">
        <f>IF($H$26=$H$15,FALSE,IF(CV78=$AJ$81,INDEX($AI$3:$AI$70,68-CV71+1,1),FALSE))</f>
        <v>0</v>
      </c>
      <c r="CW79" s="38" t="b">
        <f>IF($H$26=$H$15,FALSE,IF(CW78=$AJ$81,INDEX($AI$3:$AI$70,68-CW71+1,1),FALSE))</f>
        <v>0</v>
      </c>
    </row>
    <row r="80" spans="1:103" x14ac:dyDescent="0.2">
      <c r="AI80" s="38" t="s">
        <v>15</v>
      </c>
      <c r="AJ80" s="38">
        <f>IF(MAX(AJ77:CW77)=0,$H$15,MAX(AJ77:CW77))</f>
        <v>0.89786555351450859</v>
      </c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</row>
    <row r="81" spans="35:36" x14ac:dyDescent="0.2">
      <c r="AI81" s="38" t="s">
        <v>16</v>
      </c>
      <c r="AJ81" s="38">
        <f>IF(MAX(AJ78:CW78)=0,$H$15,MAX(AJ78:CW78))</f>
        <v>4.9179576717085199E-2</v>
      </c>
    </row>
    <row r="138" spans="101:101" x14ac:dyDescent="0.2">
      <c r="CW138" s="38"/>
    </row>
  </sheetData>
  <phoneticPr fontId="4" type="noConversion"/>
  <conditionalFormatting sqref="AJ3:CW70">
    <cfRule type="expression" dxfId="7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X2:Z70 G36:H37 G38 G30:H30 G21:H28">
    <cfRule type="cellIs" dxfId="6" priority="5" stopIfTrue="1" operator="equal">
      <formula>FALSE</formula>
    </cfRule>
  </conditionalFormatting>
  <conditionalFormatting sqref="H5">
    <cfRule type="cellIs" dxfId="5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0</xdr:rowOff>
                  </from>
                  <to>
                    <xdr:col>11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62" zoomScaleNormal="62" zoomScalePageLayoutView="62" workbookViewId="0">
      <pane ySplit="1" topLeftCell="A2" activePane="bottomLeft" state="frozen"/>
      <selection pane="bottomLeft" activeCell="A2" sqref="A2"/>
    </sheetView>
  </sheetViews>
  <sheetFormatPr defaultColWidth="8.7109375" defaultRowHeight="12.75" x14ac:dyDescent="0.2"/>
  <cols>
    <col min="1" max="3" width="9.140625" style="12" customWidth="1"/>
    <col min="4" max="4" width="11.42578125" style="12" customWidth="1"/>
    <col min="5" max="7" width="12.140625" style="52" customWidth="1"/>
    <col min="8" max="14" width="9.140625" style="52" customWidth="1"/>
  </cols>
  <sheetData>
    <row r="1" spans="1:28" s="69" customFormat="1" x14ac:dyDescent="0.2">
      <c r="A1" s="67" t="str">
        <f>Analysis!G18</f>
        <v>Subject</v>
      </c>
      <c r="B1" s="67" t="str">
        <f>Analysis!G19</f>
        <v>Sequence</v>
      </c>
      <c r="C1" s="67" t="str">
        <f>Analysis!G20</f>
        <v>Period</v>
      </c>
      <c r="D1" s="67" t="str">
        <f>Analysis!G21</f>
        <v>Treatment</v>
      </c>
      <c r="E1" s="68" t="str">
        <f>Analysis!G22</f>
        <v>AUCt</v>
      </c>
      <c r="F1" s="68" t="str">
        <f>Analysis!G23</f>
        <v>AUCinf</v>
      </c>
      <c r="G1" s="68" t="str">
        <f>Analysis!G24</f>
        <v>Cmax</v>
      </c>
      <c r="H1" s="68" t="str">
        <f>Analysis!G25</f>
        <v>Tmax</v>
      </c>
      <c r="I1" s="68" t="str">
        <f>Analysis!G26</f>
        <v>Lambda</v>
      </c>
      <c r="J1" s="68" t="str">
        <f>Analysis!G27</f>
        <v>T1/2</v>
      </c>
      <c r="K1" s="68" t="str">
        <f>Analysis!G28</f>
        <v>AUCRatio</v>
      </c>
      <c r="L1" s="68" t="str">
        <f>Analysis!G29</f>
        <v>r2_adj</v>
      </c>
      <c r="M1" s="68" t="str">
        <f>Analysis!G30</f>
        <v>Clast</v>
      </c>
      <c r="N1" s="68" t="str">
        <f>Analysis!G31</f>
        <v>TLIN</v>
      </c>
      <c r="O1" s="68" t="str">
        <f>Analysis!G32</f>
        <v>LQCT</v>
      </c>
      <c r="P1" s="68" t="str">
        <f>Analysis!G33</f>
        <v>Pre-dose/Cmax</v>
      </c>
      <c r="Q1" s="68" t="str">
        <f>Analysis!G34</f>
        <v>AUCX/AUCinf</v>
      </c>
      <c r="R1" s="68" t="str">
        <f>Analysis!G35</f>
        <v>Tlag</v>
      </c>
      <c r="S1" s="68" t="str">
        <f>Analysis!G36</f>
        <v>MRT</v>
      </c>
      <c r="T1" s="68" t="str">
        <f>Analysis!G37</f>
        <v>Vd/F (L)</v>
      </c>
      <c r="U1" s="68" t="str">
        <f>Analysis!G38</f>
        <v>Cl/F (L/h)</v>
      </c>
      <c r="V1" s="68" t="str">
        <f>Analysis!G39</f>
        <v>ERR_r2</v>
      </c>
      <c r="W1" s="68" t="str">
        <f>Analysis!G40</f>
        <v>ERR_slope</v>
      </c>
      <c r="X1" s="68" t="str">
        <f>Analysis!G41</f>
        <v>ERR_Cmax</v>
      </c>
      <c r="Y1" s="68" t="str">
        <f>Analysis!G42</f>
        <v>ERR_Clast</v>
      </c>
      <c r="Z1" s="67" t="str">
        <f>Analysis!G43</f>
        <v>ERR_Tspan</v>
      </c>
      <c r="AA1" s="67" t="str">
        <f>Analysis!G44</f>
        <v>ERR_80%AUC</v>
      </c>
      <c r="AB1" s="67"/>
    </row>
    <row r="55" spans="7:10" x14ac:dyDescent="0.2">
      <c r="G55" s="53"/>
      <c r="H55" s="53"/>
      <c r="I55" s="53"/>
      <c r="J55" s="53"/>
    </row>
  </sheetData>
  <sortState xmlns:xlrd2="http://schemas.microsoft.com/office/spreadsheetml/2017/richdata2" ref="A2:AA58">
    <sortCondition ref="D2:D500"/>
    <sortCondition ref="A2:A500"/>
  </sortState>
  <phoneticPr fontId="4" type="noConversion"/>
  <conditionalFormatting sqref="O1 O7:O65536 A1:N1048576 P1:IV1048576">
    <cfRule type="cellIs" dxfId="4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85"/>
  <sheetViews>
    <sheetView zoomScale="72" zoomScaleNormal="72" zoomScalePageLayoutView="72" workbookViewId="0">
      <selection activeCell="C3" sqref="C3"/>
    </sheetView>
  </sheetViews>
  <sheetFormatPr defaultColWidth="9.140625" defaultRowHeight="12.75" x14ac:dyDescent="0.2"/>
  <cols>
    <col min="1" max="1" width="13" style="10" customWidth="1"/>
    <col min="2" max="2" width="13.7109375" style="10" customWidth="1"/>
    <col min="3" max="3" width="13" style="10" customWidth="1"/>
    <col min="4" max="4" width="13.7109375" style="10" customWidth="1"/>
    <col min="5" max="5" width="9.140625" style="10"/>
    <col min="6" max="6" width="12" style="10" customWidth="1"/>
    <col min="7" max="16384" width="9.140625" style="10"/>
  </cols>
  <sheetData>
    <row r="1" spans="1:14" ht="18.75" customHeight="1" x14ac:dyDescent="0.2">
      <c r="A1" s="48" t="s">
        <v>0</v>
      </c>
      <c r="C1" s="17">
        <f>Analysis!C1</f>
        <v>1</v>
      </c>
      <c r="E1" s="11"/>
      <c r="F1" s="11"/>
      <c r="G1" s="11"/>
      <c r="H1" s="11"/>
      <c r="I1" s="11"/>
      <c r="J1" s="11"/>
      <c r="K1" s="11"/>
    </row>
    <row r="2" spans="1:14" ht="18.75" customHeight="1" x14ac:dyDescent="0.2">
      <c r="B2" s="42">
        <f>IF(B6=1,MATCH(B3,Data!$A:$A,0)-1,D2+1)</f>
        <v>1</v>
      </c>
      <c r="D2" s="42">
        <f>IF(D6=1,MATCH(B3,Data!$A:$A,0)-1,B2+1)</f>
        <v>2</v>
      </c>
      <c r="E2" s="11"/>
      <c r="F2" s="11"/>
      <c r="G2" s="11"/>
      <c r="H2" s="11"/>
      <c r="I2" s="11"/>
      <c r="J2" s="11"/>
      <c r="K2" s="11"/>
    </row>
    <row r="3" spans="1:14" x14ac:dyDescent="0.2">
      <c r="A3" s="18" t="s">
        <v>0</v>
      </c>
      <c r="B3" s="78">
        <f>INDEX(Data!$A$2:$A$501,'Subject Graphs'!C1,1)</f>
        <v>1</v>
      </c>
      <c r="C3" s="17"/>
      <c r="E3" s="77"/>
      <c r="F3" s="77"/>
      <c r="G3" s="77"/>
      <c r="H3" s="77"/>
      <c r="I3" s="77"/>
      <c r="J3" s="77"/>
      <c r="K3" s="11"/>
    </row>
    <row r="4" spans="1:14" x14ac:dyDescent="0.2">
      <c r="A4" s="18" t="s">
        <v>63</v>
      </c>
      <c r="B4" s="79" t="str">
        <f>VLOOKUP($B$3,Randomization!$A:$E,2,FALSE)&amp;VLOOKUP($B$3,Randomization!$A:$E,3,FALSE)&amp;VLOOKUP($B$3,Randomization!$A:$E,4,FALSE)&amp;VLOOKUP($B$3,Randomization!$A:$E,5,FALSE)</f>
        <v>AB</v>
      </c>
      <c r="C4" s="19"/>
      <c r="E4" s="11"/>
      <c r="F4" s="11"/>
      <c r="G4" s="11"/>
      <c r="H4" s="11"/>
      <c r="I4" s="11"/>
      <c r="J4" s="11"/>
      <c r="K4" s="11"/>
    </row>
    <row r="5" spans="1:14" x14ac:dyDescent="0.2">
      <c r="A5" s="18" t="s">
        <v>5</v>
      </c>
      <c r="B5" s="78" t="s">
        <v>13</v>
      </c>
      <c r="D5" s="78" t="s">
        <v>12</v>
      </c>
      <c r="E5" s="11"/>
      <c r="F5" s="11"/>
      <c r="G5" s="11"/>
      <c r="H5" s="11"/>
      <c r="I5" s="11"/>
      <c r="J5" s="11"/>
      <c r="K5" s="11"/>
    </row>
    <row r="6" spans="1:14" x14ac:dyDescent="0.2">
      <c r="A6" s="18" t="s">
        <v>4</v>
      </c>
      <c r="B6" s="79">
        <f>FIND(B5,$B$4,1)</f>
        <v>1</v>
      </c>
      <c r="D6" s="79">
        <f>FIND(D5,$B$4,1)</f>
        <v>2</v>
      </c>
    </row>
    <row r="7" spans="1:14" x14ac:dyDescent="0.2">
      <c r="A7" s="94" t="s">
        <v>1</v>
      </c>
      <c r="B7" s="13" t="s">
        <v>2</v>
      </c>
      <c r="C7" s="94" t="s">
        <v>1</v>
      </c>
      <c r="D7" s="13" t="s">
        <v>2</v>
      </c>
    </row>
    <row r="8" spans="1:14" x14ac:dyDescent="0.2">
      <c r="A8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4" t="str">
        <f>IF(ROW()&lt;=COUNTA(Data!$2:$2)+5,IF(INDEX(Data!$C$2:$AZ$282,$B$2,ROW()-7)=-999,0,IF(INDEX(Data!$C$2:$AZ$282,$B$2,ROW()-7)&lt;0,NA(),INDEX(Data!$C$2:$AZ$282,$B$2,ROW()-7))),NA())</f>
        <v>BLQ</v>
      </c>
      <c r="C8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20" t="str">
        <f>IF(ROW()&lt;=COUNTA(Data!$2:$2)+5,IF(INDEX(Data!$C$2:$AZ$282,$D$2,ROW()-7)=-999,0,IF(INDEX(Data!$C$2:$AZ$282,$D$2,ROW()-7)&lt;0,NA(),INDEX(Data!$C$2:$AZ$282,$D$2,ROW()-7))),NA())</f>
        <v>BLQ</v>
      </c>
      <c r="N8" s="80"/>
    </row>
    <row r="9" spans="1:14" x14ac:dyDescent="0.2">
      <c r="A9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5" t="str">
        <f>IF(ROW()&lt;=COUNTA(Data!$2:$2)+5,IF(INDEX(Data!$C$2:$AZ$282,$B$2,ROW()-7)=-999,0,IF(INDEX(Data!$C$2:$AZ$282,$B$2,ROW()-7)&lt;0,NA(),INDEX(Data!$C$2:$AZ$282,$B$2,ROW()-7))),NA())</f>
        <v>BLQ</v>
      </c>
      <c r="C9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22" t="str">
        <f>IF(ROW()&lt;=COUNTA(Data!$2:$2)+5,IF(INDEX(Data!$C$2:$AZ$282,$D$2,ROW()-7)=-999,0,IF(INDEX(Data!$C$2:$AZ$282,$D$2,ROW()-7)&lt;0,NA(),INDEX(Data!$C$2:$AZ$282,$D$2,ROW()-7))),NA())</f>
        <v>BLQ</v>
      </c>
      <c r="N9" s="80"/>
    </row>
    <row r="10" spans="1:14" x14ac:dyDescent="0.2">
      <c r="A10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5">
        <f>IF(ROW()&lt;=COUNTA(Data!$2:$2)+5,IF(INDEX(Data!$C$2:$AZ$282,$B$2,ROW()-7)=-999,0,IF(INDEX(Data!$C$2:$AZ$282,$B$2,ROW()-7)&lt;0,NA(),INDEX(Data!$C$2:$AZ$282,$B$2,ROW()-7))),NA())</f>
        <v>2.4</v>
      </c>
      <c r="C10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22" t="str">
        <f>IF(ROW()&lt;=COUNTA(Data!$2:$2)+5,IF(INDEX(Data!$C$2:$AZ$282,$D$2,ROW()-7)=-999,0,IF(INDEX(Data!$C$2:$AZ$282,$D$2,ROW()-7)&lt;0,NA(),INDEX(Data!$C$2:$AZ$282,$D$2,ROW()-7))),NA())</f>
        <v>BLQ</v>
      </c>
      <c r="N10" s="80"/>
    </row>
    <row r="11" spans="1:14" x14ac:dyDescent="0.2">
      <c r="A11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5">
        <f>IF(ROW()&lt;=COUNTA(Data!$2:$2)+5,IF(INDEX(Data!$C$2:$AZ$282,$B$2,ROW()-7)=-999,0,IF(INDEX(Data!$C$2:$AZ$282,$B$2,ROW()-7)&lt;0,NA(),INDEX(Data!$C$2:$AZ$282,$B$2,ROW()-7))),NA())</f>
        <v>4.5</v>
      </c>
      <c r="C11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</v>
      </c>
      <c r="D11" s="22" t="str">
        <f>IF(ROW()&lt;=COUNTA(Data!$2:$2)+5,IF(INDEX(Data!$C$2:$AZ$282,$D$2,ROW()-7)=-999,0,IF(INDEX(Data!$C$2:$AZ$282,$D$2,ROW()-7)&lt;0,NA(),INDEX(Data!$C$2:$AZ$282,$D$2,ROW()-7))),NA())</f>
        <v>BLQ</v>
      </c>
      <c r="N11" s="80"/>
    </row>
    <row r="12" spans="1:14" x14ac:dyDescent="0.2">
      <c r="A12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5">
        <f>IF(ROW()&lt;=COUNTA(Data!$2:$2)+5,IF(INDEX(Data!$C$2:$AZ$282,$B$2,ROW()-7)=-999,0,IF(INDEX(Data!$C$2:$AZ$282,$B$2,ROW()-7)&lt;0,NA(),INDEX(Data!$C$2:$AZ$282,$B$2,ROW()-7))),NA())</f>
        <v>15.4</v>
      </c>
      <c r="C12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22" t="str">
        <f>IF(ROW()&lt;=COUNTA(Data!$2:$2)+5,IF(INDEX(Data!$C$2:$AZ$282,$D$2,ROW()-7)=-999,0,IF(INDEX(Data!$C$2:$AZ$282,$D$2,ROW()-7)&lt;0,NA(),INDEX(Data!$C$2:$AZ$282,$D$2,ROW()-7))),NA())</f>
        <v>BLQ</v>
      </c>
      <c r="N12" s="80"/>
    </row>
    <row r="13" spans="1:14" x14ac:dyDescent="0.2">
      <c r="A13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5">
        <f>IF(ROW()&lt;=COUNTA(Data!$2:$2)+5,IF(INDEX(Data!$C$2:$AZ$282,$B$2,ROW()-7)=-999,0,IF(INDEX(Data!$C$2:$AZ$282,$B$2,ROW()-7)&lt;0,NA(),INDEX(Data!$C$2:$AZ$282,$B$2,ROW()-7))),NA())</f>
        <v>13</v>
      </c>
      <c r="C13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22" t="str">
        <f>IF(ROW()&lt;=COUNTA(Data!$2:$2)+5,IF(INDEX(Data!$C$2:$AZ$282,$D$2,ROW()-7)=-999,0,IF(INDEX(Data!$C$2:$AZ$282,$D$2,ROW()-7)&lt;0,NA(),INDEX(Data!$C$2:$AZ$282,$D$2,ROW()-7))),NA())</f>
        <v>BLQ</v>
      </c>
      <c r="N13" s="80"/>
    </row>
    <row r="14" spans="1:14" x14ac:dyDescent="0.2">
      <c r="A14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5">
        <f>IF(ROW()&lt;=COUNTA(Data!$2:$2)+5,IF(INDEX(Data!$C$2:$AZ$282,$B$2,ROW()-7)=-999,0,IF(INDEX(Data!$C$2:$AZ$282,$B$2,ROW()-7)&lt;0,NA(),INDEX(Data!$C$2:$AZ$282,$B$2,ROW()-7))),NA())</f>
        <v>10.32</v>
      </c>
      <c r="C14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22">
        <f>IF(ROW()&lt;=COUNTA(Data!$2:$2)+5,IF(INDEX(Data!$C$2:$AZ$282,$D$2,ROW()-7)=-999,0,IF(INDEX(Data!$C$2:$AZ$282,$D$2,ROW()-7)&lt;0,NA(),INDEX(Data!$C$2:$AZ$282,$D$2,ROW()-7))),NA())</f>
        <v>0.8</v>
      </c>
      <c r="N14" s="80"/>
    </row>
    <row r="15" spans="1:14" x14ac:dyDescent="0.2">
      <c r="A15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5">
        <f>IF(ROW()&lt;=COUNTA(Data!$2:$2)+5,IF(INDEX(Data!$C$2:$AZ$282,$B$2,ROW()-7)=-999,0,IF(INDEX(Data!$C$2:$AZ$282,$B$2,ROW()-7)&lt;0,NA(),INDEX(Data!$C$2:$AZ$282,$B$2,ROW()-7))),NA())</f>
        <v>8.4</v>
      </c>
      <c r="C15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22">
        <f>IF(ROW()&lt;=COUNTA(Data!$2:$2)+5,IF(INDEX(Data!$C$2:$AZ$282,$D$2,ROW()-7)=-999,0,IF(INDEX(Data!$C$2:$AZ$282,$D$2,ROW()-7)&lt;0,NA(),INDEX(Data!$C$2:$AZ$282,$D$2,ROW()-7))),NA())</f>
        <v>2.5099999999999998</v>
      </c>
      <c r="N15" s="80"/>
    </row>
    <row r="16" spans="1:14" x14ac:dyDescent="0.2">
      <c r="A16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5">
        <f>IF(ROW()&lt;=COUNTA(Data!$2:$2)+5,IF(INDEX(Data!$C$2:$AZ$282,$B$2,ROW()-7)=-999,0,IF(INDEX(Data!$C$2:$AZ$282,$B$2,ROW()-7)&lt;0,NA(),INDEX(Data!$C$2:$AZ$282,$B$2,ROW()-7))),NA())</f>
        <v>7.53</v>
      </c>
      <c r="C16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22">
        <f>IF(ROW()&lt;=COUNTA(Data!$2:$2)+5,IF(INDEX(Data!$C$2:$AZ$282,$D$2,ROW()-7)=-999,0,IF(INDEX(Data!$C$2:$AZ$282,$D$2,ROW()-7)&lt;0,NA(),INDEX(Data!$C$2:$AZ$282,$D$2,ROW()-7))),NA())</f>
        <v>4.32</v>
      </c>
      <c r="N16" s="80"/>
    </row>
    <row r="17" spans="1:14" x14ac:dyDescent="0.2">
      <c r="A17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5">
        <f>IF(ROW()&lt;=COUNTA(Data!$2:$2)+5,IF(INDEX(Data!$C$2:$AZ$282,$B$2,ROW()-7)=-999,0,IF(INDEX(Data!$C$2:$AZ$282,$B$2,ROW()-7)&lt;0,NA(),INDEX(Data!$C$2:$AZ$282,$B$2,ROW()-7))),NA())</f>
        <v>4.34</v>
      </c>
      <c r="C17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22">
        <f>IF(ROW()&lt;=COUNTA(Data!$2:$2)+5,IF(INDEX(Data!$C$2:$AZ$282,$D$2,ROW()-7)=-999,0,IF(INDEX(Data!$C$2:$AZ$282,$D$2,ROW()-7)&lt;0,NA(),INDEX(Data!$C$2:$AZ$282,$D$2,ROW()-7))),NA())</f>
        <v>5.21</v>
      </c>
      <c r="N17" s="80"/>
    </row>
    <row r="18" spans="1:14" x14ac:dyDescent="0.2">
      <c r="A18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5">
        <f>IF(ROW()&lt;=COUNTA(Data!$2:$2)+5,IF(INDEX(Data!$C$2:$AZ$282,$B$2,ROW()-7)=-999,0,IF(INDEX(Data!$C$2:$AZ$282,$B$2,ROW()-7)&lt;0,NA(),INDEX(Data!$C$2:$AZ$282,$B$2,ROW()-7))),NA())</f>
        <v>3.88</v>
      </c>
      <c r="C18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22" t="str">
        <f>IF(ROW()&lt;=COUNTA(Data!$2:$2)+5,IF(INDEX(Data!$C$2:$AZ$282,$D$2,ROW()-7)=-999,0,IF(INDEX(Data!$C$2:$AZ$282,$D$2,ROW()-7)&lt;0,NA(),INDEX(Data!$C$2:$AZ$282,$D$2,ROW()-7))),NA())</f>
        <v>NS</v>
      </c>
      <c r="N18" s="80"/>
    </row>
    <row r="19" spans="1:14" x14ac:dyDescent="0.2">
      <c r="A19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5">
        <f>IF(ROW()&lt;=COUNTA(Data!$2:$2)+5,IF(INDEX(Data!$C$2:$AZ$282,$B$2,ROW()-7)=-999,0,IF(INDEX(Data!$C$2:$AZ$282,$B$2,ROW()-7)&lt;0,NA(),INDEX(Data!$C$2:$AZ$282,$B$2,ROW()-7))),NA())</f>
        <v>2</v>
      </c>
      <c r="C19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22">
        <f>IF(ROW()&lt;=COUNTA(Data!$2:$2)+5,IF(INDEX(Data!$C$2:$AZ$282,$D$2,ROW()-7)=-999,0,IF(INDEX(Data!$C$2:$AZ$282,$D$2,ROW()-7)&lt;0,NA(),INDEX(Data!$C$2:$AZ$282,$D$2,ROW()-7))),NA())</f>
        <v>9.07</v>
      </c>
      <c r="N19" s="80"/>
    </row>
    <row r="20" spans="1:14" x14ac:dyDescent="0.2">
      <c r="A20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5">
        <f>IF(ROW()&lt;=COUNTA(Data!$2:$2)+5,IF(INDEX(Data!$C$2:$AZ$282,$B$2,ROW()-7)=-999,0,IF(INDEX(Data!$C$2:$AZ$282,$B$2,ROW()-7)&lt;0,NA(),INDEX(Data!$C$2:$AZ$282,$B$2,ROW()-7))),NA())</f>
        <v>1.35</v>
      </c>
      <c r="C20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22">
        <f>IF(ROW()&lt;=COUNTA(Data!$2:$2)+5,IF(INDEX(Data!$C$2:$AZ$282,$D$2,ROW()-7)=-999,0,IF(INDEX(Data!$C$2:$AZ$282,$D$2,ROW()-7)&lt;0,NA(),INDEX(Data!$C$2:$AZ$282,$D$2,ROW()-7))),NA())</f>
        <v>16.59</v>
      </c>
    </row>
    <row r="21" spans="1:14" x14ac:dyDescent="0.2">
      <c r="A21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5">
        <f>IF(ROW()&lt;=COUNTA(Data!$2:$2)+5,IF(INDEX(Data!$C$2:$AZ$282,$B$2,ROW()-7)=-999,0,IF(INDEX(Data!$C$2:$AZ$282,$B$2,ROW()-7)&lt;0,NA(),INDEX(Data!$C$2:$AZ$282,$B$2,ROW()-7))),NA())</f>
        <v>1.23</v>
      </c>
      <c r="C21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22">
        <f>IF(ROW()&lt;=COUNTA(Data!$2:$2)+5,IF(INDEX(Data!$C$2:$AZ$282,$D$2,ROW()-7)=-999,0,IF(INDEX(Data!$C$2:$AZ$282,$D$2,ROW()-7)&lt;0,NA(),INDEX(Data!$C$2:$AZ$282,$D$2,ROW()-7))),NA())</f>
        <v>23.32</v>
      </c>
    </row>
    <row r="22" spans="1:14" x14ac:dyDescent="0.2">
      <c r="A22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5">
        <f>IF(ROW()&lt;=COUNTA(Data!$2:$2)+5,IF(INDEX(Data!$C$2:$AZ$282,$B$2,ROW()-7)=-999,0,IF(INDEX(Data!$C$2:$AZ$282,$B$2,ROW()-7)&lt;0,NA(),INDEX(Data!$C$2:$AZ$282,$B$2,ROW()-7))),NA())</f>
        <v>0.94</v>
      </c>
      <c r="C22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22">
        <f>IF(ROW()&lt;=COUNTA(Data!$2:$2)+5,IF(INDEX(Data!$C$2:$AZ$282,$D$2,ROW()-7)=-999,0,IF(INDEX(Data!$C$2:$AZ$282,$D$2,ROW()-7)&lt;0,NA(),INDEX(Data!$C$2:$AZ$282,$D$2,ROW()-7))),NA())</f>
        <v>16.11</v>
      </c>
    </row>
    <row r="23" spans="1:14" x14ac:dyDescent="0.2">
      <c r="A23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5">
        <f>IF(ROW()&lt;=COUNTA(Data!$2:$2)+5,IF(INDEX(Data!$C$2:$AZ$282,$B$2,ROW()-7)=-999,0,IF(INDEX(Data!$C$2:$AZ$282,$B$2,ROW()-7)&lt;0,NA(),INDEX(Data!$C$2:$AZ$282,$B$2,ROW()-7))),NA())</f>
        <v>0.21</v>
      </c>
      <c r="C23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22">
        <f>IF(ROW()&lt;=COUNTA(Data!$2:$2)+5,IF(INDEX(Data!$C$2:$AZ$282,$D$2,ROW()-7)=-999,0,IF(INDEX(Data!$C$2:$AZ$282,$D$2,ROW()-7)&lt;0,NA(),INDEX(Data!$C$2:$AZ$282,$D$2,ROW()-7))),NA())</f>
        <v>16.010000000000002</v>
      </c>
    </row>
    <row r="24" spans="1:14" x14ac:dyDescent="0.2">
      <c r="A24" s="21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5">
        <f>IF(ROW()&lt;=COUNTA(Data!$2:$2)+5,IF(INDEX(Data!$C$2:$AZ$282,$B$2,ROW()-7)=-999,0,IF(INDEX(Data!$C$2:$AZ$282,$B$2,ROW()-7)&lt;0,NA(),INDEX(Data!$C$2:$AZ$282,$B$2,ROW()-7))),NA())</f>
        <v>0.14000000000000001</v>
      </c>
      <c r="C24" s="21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22">
        <f>IF(ROW()&lt;=COUNTA(Data!$2:$2)+5,IF(INDEX(Data!$C$2:$AZ$282,$D$2,ROW()-7)=-999,0,IF(INDEX(Data!$C$2:$AZ$282,$D$2,ROW()-7)&lt;0,NA(),INDEX(Data!$C$2:$AZ$282,$D$2,ROW()-7))),NA())</f>
        <v>15.08</v>
      </c>
    </row>
    <row r="25" spans="1:14" x14ac:dyDescent="0.2">
      <c r="A2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5" t="e">
        <f>IF(ROW()&lt;=COUNTA(Data!$2:$2)+5,IF(INDEX(Data!$C$2:$AZ$282,$B$2,ROW()-7)=-999,0,IF(INDEX(Data!$C$2:$AZ$282,$B$2,ROW()-7)&lt;0,NA(),INDEX(Data!$C$2:$AZ$282,$B$2,ROW()-7))),NA())</f>
        <v>#N/A</v>
      </c>
      <c r="C2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22" t="e">
        <f>IF(ROW()&lt;=COUNTA(Data!$2:$2)+5,IF(INDEX(Data!$C$2:$AZ$282,$D$2,ROW()-7)=-999,0,IF(INDEX(Data!$C$2:$AZ$282,$D$2,ROW()-7)&lt;0,NA(),INDEX(Data!$C$2:$AZ$282,$D$2,ROW()-7))),NA())</f>
        <v>#N/A</v>
      </c>
    </row>
    <row r="26" spans="1:14" x14ac:dyDescent="0.2">
      <c r="A2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5" t="e">
        <f>IF(ROW()&lt;=COUNTA(Data!$2:$2)+5,IF(INDEX(Data!$C$2:$AZ$282,$B$2,ROW()-7)=-999,0,IF(INDEX(Data!$C$2:$AZ$282,$B$2,ROW()-7)&lt;0,NA(),INDEX(Data!$C$2:$AZ$282,$B$2,ROW()-7))),NA())</f>
        <v>#N/A</v>
      </c>
      <c r="C2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22" t="e">
        <f>IF(ROW()&lt;=COUNTA(Data!$2:$2)+5,IF(INDEX(Data!$C$2:$AZ$282,$D$2,ROW()-7)=-999,0,IF(INDEX(Data!$C$2:$AZ$282,$D$2,ROW()-7)&lt;0,NA(),INDEX(Data!$C$2:$AZ$282,$D$2,ROW()-7))),NA())</f>
        <v>#N/A</v>
      </c>
    </row>
    <row r="27" spans="1:14" x14ac:dyDescent="0.2">
      <c r="A2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5" t="e">
        <f>IF(ROW()&lt;=COUNTA(Data!$2:$2)+5,IF(INDEX(Data!$C$2:$AZ$282,$B$2,ROW()-7)=-999,0,IF(INDEX(Data!$C$2:$AZ$282,$B$2,ROW()-7)&lt;0,NA(),INDEX(Data!$C$2:$AZ$282,$B$2,ROW()-7))),NA())</f>
        <v>#N/A</v>
      </c>
      <c r="C2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22" t="e">
        <f>IF(ROW()&lt;=COUNTA(Data!$2:$2)+5,IF(INDEX(Data!$C$2:$AZ$282,$D$2,ROW()-7)=-999,0,IF(INDEX(Data!$C$2:$AZ$282,$D$2,ROW()-7)&lt;0,NA(),INDEX(Data!$C$2:$AZ$282,$D$2,ROW()-7))),NA())</f>
        <v>#N/A</v>
      </c>
    </row>
    <row r="28" spans="1:14" x14ac:dyDescent="0.2">
      <c r="A2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5" t="e">
        <f>IF(ROW()&lt;=COUNTA(Data!$2:$2)+5,IF(INDEX(Data!$C$2:$AZ$282,$B$2,ROW()-7)=-999,0,IF(INDEX(Data!$C$2:$AZ$282,$B$2,ROW()-7)&lt;0,NA(),INDEX(Data!$C$2:$AZ$282,$B$2,ROW()-7))),NA())</f>
        <v>#N/A</v>
      </c>
      <c r="C2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22" t="e">
        <f>IF(ROW()&lt;=COUNTA(Data!$2:$2)+5,IF(INDEX(Data!$C$2:$AZ$282,$D$2,ROW()-7)=-999,0,IF(INDEX(Data!$C$2:$AZ$282,$D$2,ROW()-7)&lt;0,NA(),INDEX(Data!$C$2:$AZ$282,$D$2,ROW()-7))),NA())</f>
        <v>#N/A</v>
      </c>
    </row>
    <row r="29" spans="1:14" x14ac:dyDescent="0.2">
      <c r="A2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5" t="e">
        <f>IF(ROW()&lt;=COUNTA(Data!$2:$2)+5,IF(INDEX(Data!$C$2:$AZ$282,$B$2,ROW()-7)=-999,0,IF(INDEX(Data!$C$2:$AZ$282,$B$2,ROW()-7)&lt;0,NA(),INDEX(Data!$C$2:$AZ$282,$B$2,ROW()-7))),NA())</f>
        <v>#N/A</v>
      </c>
      <c r="C2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22" t="e">
        <f>IF(ROW()&lt;=COUNTA(Data!$2:$2)+5,IF(INDEX(Data!$C$2:$AZ$282,$D$2,ROW()-7)=-999,0,IF(INDEX(Data!$C$2:$AZ$282,$D$2,ROW()-7)&lt;0,NA(),INDEX(Data!$C$2:$AZ$282,$D$2,ROW()-7))),NA())</f>
        <v>#N/A</v>
      </c>
    </row>
    <row r="30" spans="1:14" x14ac:dyDescent="0.2">
      <c r="A3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5" t="e">
        <f>IF(ROW()&lt;=COUNTA(Data!$2:$2)+5,IF(INDEX(Data!$C$2:$AZ$282,$B$2,ROW()-7)=-999,0,IF(INDEX(Data!$C$2:$AZ$282,$B$2,ROW()-7)&lt;0,NA(),INDEX(Data!$C$2:$AZ$282,$B$2,ROW()-7))),NA())</f>
        <v>#N/A</v>
      </c>
      <c r="C3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22" t="e">
        <f>IF(ROW()&lt;=COUNTA(Data!$2:$2)+5,IF(INDEX(Data!$C$2:$AZ$282,$D$2,ROW()-7)=-999,0,IF(INDEX(Data!$C$2:$AZ$282,$D$2,ROW()-7)&lt;0,NA(),INDEX(Data!$C$2:$AZ$282,$D$2,ROW()-7))),NA())</f>
        <v>#N/A</v>
      </c>
    </row>
    <row r="31" spans="1:14" x14ac:dyDescent="0.2">
      <c r="A3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5" t="e">
        <f>IF(ROW()&lt;=COUNTA(Data!$2:$2)+5,IF(INDEX(Data!$C$2:$AZ$282,$B$2,ROW()-7)=-999,0,IF(INDEX(Data!$C$2:$AZ$282,$B$2,ROW()-7)&lt;0,NA(),INDEX(Data!$C$2:$AZ$282,$B$2,ROW()-7))),NA())</f>
        <v>#N/A</v>
      </c>
      <c r="C3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22" t="e">
        <f>IF(ROW()&lt;=COUNTA(Data!$2:$2)+5,IF(INDEX(Data!$C$2:$AZ$282,$D$2,ROW()-7)=-999,0,IF(INDEX(Data!$C$2:$AZ$282,$D$2,ROW()-7)&lt;0,NA(),INDEX(Data!$C$2:$AZ$282,$D$2,ROW()-7))),NA())</f>
        <v>#N/A</v>
      </c>
    </row>
    <row r="32" spans="1:14" x14ac:dyDescent="0.2">
      <c r="A3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5" t="e">
        <f>IF(ROW()&lt;=COUNTA(Data!$2:$2)+5,IF(INDEX(Data!$C$2:$AZ$282,$B$2,ROW()-7)=-999,0,IF(INDEX(Data!$C$2:$AZ$282,$B$2,ROW()-7)&lt;0,NA(),INDEX(Data!$C$2:$AZ$282,$B$2,ROW()-7))),NA())</f>
        <v>#N/A</v>
      </c>
      <c r="C3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22" t="e">
        <f>IF(ROW()&lt;=COUNTA(Data!$2:$2)+5,IF(INDEX(Data!$C$2:$AZ$282,$D$2,ROW()-7)=-999,0,IF(INDEX(Data!$C$2:$AZ$282,$D$2,ROW()-7)&lt;0,NA(),INDEX(Data!$C$2:$AZ$282,$D$2,ROW()-7))),NA())</f>
        <v>#N/A</v>
      </c>
    </row>
    <row r="33" spans="1:4" x14ac:dyDescent="0.2">
      <c r="A3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5" t="e">
        <f>IF(ROW()&lt;=COUNTA(Data!$2:$2)+5,IF(INDEX(Data!$C$2:$AZ$282,$B$2,ROW()-7)=-999,0,IF(INDEX(Data!$C$2:$AZ$282,$B$2,ROW()-7)&lt;0,NA(),INDEX(Data!$C$2:$AZ$282,$B$2,ROW()-7))),NA())</f>
        <v>#N/A</v>
      </c>
      <c r="C3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22" t="e">
        <f>IF(ROW()&lt;=COUNTA(Data!$2:$2)+5,IF(INDEX(Data!$C$2:$AZ$282,$D$2,ROW()-7)=-999,0,IF(INDEX(Data!$C$2:$AZ$282,$D$2,ROW()-7)&lt;0,NA(),INDEX(Data!$C$2:$AZ$282,$D$2,ROW()-7))),NA())</f>
        <v>#N/A</v>
      </c>
    </row>
    <row r="34" spans="1:4" x14ac:dyDescent="0.2">
      <c r="A3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5" t="e">
        <f>IF(ROW()&lt;=COUNTA(Data!$2:$2)+5,IF(INDEX(Data!$C$2:$AZ$282,$B$2,ROW()-7)=-999,0,IF(INDEX(Data!$C$2:$AZ$282,$B$2,ROW()-7)&lt;0,NA(),INDEX(Data!$C$2:$AZ$282,$B$2,ROW()-7))),NA())</f>
        <v>#N/A</v>
      </c>
      <c r="C3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22" t="e">
        <f>IF(ROW()&lt;=COUNTA(Data!$2:$2)+5,IF(INDEX(Data!$C$2:$AZ$282,$D$2,ROW()-7)=-999,0,IF(INDEX(Data!$C$2:$AZ$282,$D$2,ROW()-7)&lt;0,NA(),INDEX(Data!$C$2:$AZ$282,$D$2,ROW()-7))),NA())</f>
        <v>#N/A</v>
      </c>
    </row>
    <row r="35" spans="1:4" x14ac:dyDescent="0.2">
      <c r="A3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5" t="e">
        <f>IF(ROW()&lt;=COUNTA(Data!$2:$2)+5,IF(INDEX(Data!$C$2:$AZ$282,$B$2,ROW()-7)=-999,0,IF(INDEX(Data!$C$2:$AZ$282,$B$2,ROW()-7)&lt;0,NA(),INDEX(Data!$C$2:$AZ$282,$B$2,ROW()-7))),NA())</f>
        <v>#N/A</v>
      </c>
      <c r="C3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22" t="e">
        <f>IF(ROW()&lt;=COUNTA(Data!$2:$2)+5,IF(INDEX(Data!$C$2:$AZ$282,$D$2,ROW()-7)=-999,0,IF(INDEX(Data!$C$2:$AZ$282,$D$2,ROW()-7)&lt;0,NA(),INDEX(Data!$C$2:$AZ$282,$D$2,ROW()-7))),NA())</f>
        <v>#N/A</v>
      </c>
    </row>
    <row r="36" spans="1:4" x14ac:dyDescent="0.2">
      <c r="A3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5" t="e">
        <f>IF(ROW()&lt;=COUNTA(Data!$2:$2)+5,IF(INDEX(Data!$C$2:$AZ$282,$B$2,ROW()-7)=-999,0,IF(INDEX(Data!$C$2:$AZ$282,$B$2,ROW()-7)&lt;0,NA(),INDEX(Data!$C$2:$AZ$282,$B$2,ROW()-7))),NA())</f>
        <v>#N/A</v>
      </c>
      <c r="C3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22" t="e">
        <f>IF(ROW()&lt;=COUNTA(Data!$2:$2)+5,IF(INDEX(Data!$C$2:$AZ$282,$D$2,ROW()-7)=-999,0,IF(INDEX(Data!$C$2:$AZ$282,$D$2,ROW()-7)&lt;0,NA(),INDEX(Data!$C$2:$AZ$282,$D$2,ROW()-7))),NA())</f>
        <v>#N/A</v>
      </c>
    </row>
    <row r="37" spans="1:4" x14ac:dyDescent="0.2">
      <c r="A3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5" t="e">
        <f>IF(ROW()&lt;=COUNTA(Data!$2:$2)+5,IF(INDEX(Data!$C$2:$AZ$282,$B$2,ROW()-7)=-999,0,IF(INDEX(Data!$C$2:$AZ$282,$B$2,ROW()-7)&lt;0,NA(),INDEX(Data!$C$2:$AZ$282,$B$2,ROW()-7))),NA())</f>
        <v>#N/A</v>
      </c>
      <c r="C3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22" t="e">
        <f>IF(ROW()&lt;=COUNTA(Data!$2:$2)+5,IF(INDEX(Data!$C$2:$AZ$282,$D$2,ROW()-7)=-999,0,IF(INDEX(Data!$C$2:$AZ$282,$D$2,ROW()-7)&lt;0,NA(),INDEX(Data!$C$2:$AZ$282,$D$2,ROW()-7))),NA())</f>
        <v>#N/A</v>
      </c>
    </row>
    <row r="38" spans="1:4" x14ac:dyDescent="0.2">
      <c r="A3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5" t="e">
        <f>IF(ROW()&lt;=COUNTA(Data!$2:$2)+5,IF(INDEX(Data!$C$2:$AZ$282,$B$2,ROW()-7)=-999,0,IF(INDEX(Data!$C$2:$AZ$282,$B$2,ROW()-7)&lt;0,NA(),INDEX(Data!$C$2:$AZ$282,$B$2,ROW()-7))),NA())</f>
        <v>#N/A</v>
      </c>
      <c r="C3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22" t="e">
        <f>IF(ROW()&lt;=COUNTA(Data!$2:$2)+5,IF(INDEX(Data!$C$2:$AZ$282,$D$2,ROW()-7)=-999,0,IF(INDEX(Data!$C$2:$AZ$282,$D$2,ROW()-7)&lt;0,NA(),INDEX(Data!$C$2:$AZ$282,$D$2,ROW()-7))),NA())</f>
        <v>#N/A</v>
      </c>
    </row>
    <row r="39" spans="1:4" x14ac:dyDescent="0.2">
      <c r="A3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5" t="e">
        <f>IF(ROW()&lt;=COUNTA(Data!$2:$2)+5,IF(INDEX(Data!$C$2:$AZ$282,$B$2,ROW()-7)=-999,0,IF(INDEX(Data!$C$2:$AZ$282,$B$2,ROW()-7)&lt;0,NA(),INDEX(Data!$C$2:$AZ$282,$B$2,ROW()-7))),NA())</f>
        <v>#N/A</v>
      </c>
      <c r="C3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22" t="e">
        <f>IF(ROW()&lt;=COUNTA(Data!$2:$2)+5,IF(INDEX(Data!$C$2:$AZ$282,$D$2,ROW()-7)=-999,0,IF(INDEX(Data!$C$2:$AZ$282,$D$2,ROW()-7)&lt;0,NA(),INDEX(Data!$C$2:$AZ$282,$D$2,ROW()-7))),NA())</f>
        <v>#N/A</v>
      </c>
    </row>
    <row r="40" spans="1:4" x14ac:dyDescent="0.2">
      <c r="A4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5" t="e">
        <f>IF(ROW()&lt;=COUNTA(Data!$2:$2)+5,IF(INDEX(Data!$C$2:$AZ$282,$B$2,ROW()-7)=-999,0,IF(INDEX(Data!$C$2:$AZ$282,$B$2,ROW()-7)&lt;0,NA(),INDEX(Data!$C$2:$AZ$282,$B$2,ROW()-7))),NA())</f>
        <v>#N/A</v>
      </c>
      <c r="C4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22" t="e">
        <f>IF(ROW()&lt;=COUNTA(Data!$2:$2)+5,IF(INDEX(Data!$C$2:$AZ$282,$D$2,ROW()-7)=-999,0,IF(INDEX(Data!$C$2:$AZ$282,$D$2,ROW()-7)&lt;0,NA(),INDEX(Data!$C$2:$AZ$282,$D$2,ROW()-7))),NA())</f>
        <v>#N/A</v>
      </c>
    </row>
    <row r="41" spans="1:4" x14ac:dyDescent="0.2">
      <c r="A4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5" t="e">
        <f>IF(ROW()&lt;=COUNTA(Data!$2:$2)+5,IF(INDEX(Data!$C$2:$AZ$282,$B$2,ROW()-7)=-999,0,IF(INDEX(Data!$C$2:$AZ$282,$B$2,ROW()-7)&lt;0,NA(),INDEX(Data!$C$2:$AZ$282,$B$2,ROW()-7))),NA())</f>
        <v>#N/A</v>
      </c>
      <c r="C4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22" t="e">
        <f>IF(ROW()&lt;=COUNTA(Data!$2:$2)+5,IF(INDEX(Data!$C$2:$AZ$282,$D$2,ROW()-7)=-999,0,IF(INDEX(Data!$C$2:$AZ$282,$D$2,ROW()-7)&lt;0,NA(),INDEX(Data!$C$2:$AZ$282,$D$2,ROW()-7))),NA())</f>
        <v>#N/A</v>
      </c>
    </row>
    <row r="42" spans="1:4" x14ac:dyDescent="0.2">
      <c r="A4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5" t="e">
        <f>IF(ROW()&lt;=COUNTA(Data!$2:$2)+5,IF(INDEX(Data!$C$2:$AZ$282,$B$2,ROW()-7)=-999,0,IF(INDEX(Data!$C$2:$AZ$282,$B$2,ROW()-7)&lt;0,NA(),INDEX(Data!$C$2:$AZ$282,$B$2,ROW()-7))),NA())</f>
        <v>#N/A</v>
      </c>
      <c r="C4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22" t="e">
        <f>IF(ROW()&lt;=COUNTA(Data!$2:$2)+5,IF(INDEX(Data!$C$2:$AZ$282,$D$2,ROW()-7)=-999,0,IF(INDEX(Data!$C$2:$AZ$282,$D$2,ROW()-7)&lt;0,NA(),INDEX(Data!$C$2:$AZ$282,$D$2,ROW()-7))),NA())</f>
        <v>#N/A</v>
      </c>
    </row>
    <row r="43" spans="1:4" x14ac:dyDescent="0.2">
      <c r="A4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5" t="e">
        <f>IF(ROW()&lt;=COUNTA(Data!$2:$2)+5,IF(INDEX(Data!$C$2:$AZ$282,$B$2,ROW()-7)=-999,0,IF(INDEX(Data!$C$2:$AZ$282,$B$2,ROW()-7)&lt;0,NA(),INDEX(Data!$C$2:$AZ$282,$B$2,ROW()-7))),NA())</f>
        <v>#N/A</v>
      </c>
      <c r="C4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22" t="e">
        <f>IF(ROW()&lt;=COUNTA(Data!$2:$2)+5,IF(INDEX(Data!$C$2:$AZ$282,$D$2,ROW()-7)=-999,0,IF(INDEX(Data!$C$2:$AZ$282,$D$2,ROW()-7)&lt;0,NA(),INDEX(Data!$C$2:$AZ$282,$D$2,ROW()-7))),NA())</f>
        <v>#N/A</v>
      </c>
    </row>
    <row r="44" spans="1:4" x14ac:dyDescent="0.2">
      <c r="A4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5" t="e">
        <f>IF(ROW()&lt;=COUNTA(Data!$2:$2)+5,IF(INDEX(Data!$C$2:$AZ$282,$B$2,ROW()-7)=-999,0,IF(INDEX(Data!$C$2:$AZ$282,$B$2,ROW()-7)&lt;0,NA(),INDEX(Data!$C$2:$AZ$282,$B$2,ROW()-7))),NA())</f>
        <v>#N/A</v>
      </c>
      <c r="C4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22" t="e">
        <f>IF(ROW()&lt;=COUNTA(Data!$2:$2)+5,IF(INDEX(Data!$C$2:$AZ$282,$D$2,ROW()-7)=-999,0,IF(INDEX(Data!$C$2:$AZ$282,$D$2,ROW()-7)&lt;0,NA(),INDEX(Data!$C$2:$AZ$282,$D$2,ROW()-7))),NA())</f>
        <v>#N/A</v>
      </c>
    </row>
    <row r="45" spans="1:4" x14ac:dyDescent="0.2">
      <c r="A4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5" t="e">
        <f>IF(ROW()&lt;=COUNTA(Data!$2:$2)+5,IF(INDEX(Data!$C$2:$AZ$282,$B$2,ROW()-7)=-999,0,IF(INDEX(Data!$C$2:$AZ$282,$B$2,ROW()-7)&lt;0,NA(),INDEX(Data!$C$2:$AZ$282,$B$2,ROW()-7))),NA())</f>
        <v>#N/A</v>
      </c>
      <c r="C4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22" t="e">
        <f>IF(ROW()&lt;=COUNTA(Data!$2:$2)+5,IF(INDEX(Data!$C$2:$AZ$282,$D$2,ROW()-7)=-999,0,IF(INDEX(Data!$C$2:$AZ$282,$D$2,ROW()-7)&lt;0,NA(),INDEX(Data!$C$2:$AZ$282,$D$2,ROW()-7))),NA())</f>
        <v>#N/A</v>
      </c>
    </row>
    <row r="46" spans="1:4" x14ac:dyDescent="0.2">
      <c r="A4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5" t="e">
        <f>IF(ROW()&lt;=COUNTA(Data!$2:$2)+5,IF(INDEX(Data!$C$2:$AZ$282,$B$2,ROW()-7)=-999,0,IF(INDEX(Data!$C$2:$AZ$282,$B$2,ROW()-7)&lt;0,NA(),INDEX(Data!$C$2:$AZ$282,$B$2,ROW()-7))),NA())</f>
        <v>#N/A</v>
      </c>
      <c r="C4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22" t="e">
        <f>IF(ROW()&lt;=COUNTA(Data!$2:$2)+5,IF(INDEX(Data!$C$2:$AZ$282,$D$2,ROW()-7)=-999,0,IF(INDEX(Data!$C$2:$AZ$282,$D$2,ROW()-7)&lt;0,NA(),INDEX(Data!$C$2:$AZ$282,$D$2,ROW()-7))),NA())</f>
        <v>#N/A</v>
      </c>
    </row>
    <row r="47" spans="1:4" x14ac:dyDescent="0.2">
      <c r="A4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5" t="e">
        <f>IF(ROW()&lt;=COUNTA(Data!$2:$2)+5,IF(INDEX(Data!$C$2:$AZ$282,$B$2,ROW()-7)=-999,0,IF(INDEX(Data!$C$2:$AZ$282,$B$2,ROW()-7)&lt;0,NA(),INDEX(Data!$C$2:$AZ$282,$B$2,ROW()-7))),NA())</f>
        <v>#N/A</v>
      </c>
      <c r="C4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22" t="e">
        <f>IF(ROW()&lt;=COUNTA(Data!$2:$2)+5,IF(INDEX(Data!$C$2:$AZ$282,$D$2,ROW()-7)=-999,0,IF(INDEX(Data!$C$2:$AZ$282,$D$2,ROW()-7)&lt;0,NA(),INDEX(Data!$C$2:$AZ$282,$D$2,ROW()-7))),NA())</f>
        <v>#N/A</v>
      </c>
    </row>
    <row r="48" spans="1:4" x14ac:dyDescent="0.2">
      <c r="A4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5" t="e">
        <f>IF(ROW()&lt;=COUNTA(Data!$2:$2)+5,IF(INDEX(Data!$C$2:$AZ$282,$B$2,ROW()-7)=-999,0,IF(INDEX(Data!$C$2:$AZ$282,$B$2,ROW()-7)&lt;0,NA(),INDEX(Data!$C$2:$AZ$282,$B$2,ROW()-7))),NA())</f>
        <v>#N/A</v>
      </c>
      <c r="C4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22" t="e">
        <f>IF(ROW()&lt;=COUNTA(Data!$2:$2)+5,IF(INDEX(Data!$C$2:$AZ$282,$D$2,ROW()-7)=-999,0,IF(INDEX(Data!$C$2:$AZ$282,$D$2,ROW()-7)&lt;0,NA(),INDEX(Data!$C$2:$AZ$282,$D$2,ROW()-7))),NA())</f>
        <v>#N/A</v>
      </c>
    </row>
    <row r="49" spans="1:4" x14ac:dyDescent="0.2">
      <c r="A4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5" t="e">
        <f>IF(ROW()&lt;=COUNTA(Data!$2:$2)+5,IF(INDEX(Data!$C$2:$AZ$282,$B$2,ROW()-7)=-999,0,IF(INDEX(Data!$C$2:$AZ$282,$B$2,ROW()-7)&lt;0,NA(),INDEX(Data!$C$2:$AZ$282,$B$2,ROW()-7))),NA())</f>
        <v>#N/A</v>
      </c>
      <c r="C4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22" t="e">
        <f>IF(ROW()&lt;=COUNTA(Data!$2:$2)+5,IF(INDEX(Data!$C$2:$AZ$282,$D$2,ROW()-7)=-999,0,IF(INDEX(Data!$C$2:$AZ$282,$D$2,ROW()-7)&lt;0,NA(),INDEX(Data!$C$2:$AZ$282,$D$2,ROW()-7))),NA())</f>
        <v>#N/A</v>
      </c>
    </row>
    <row r="50" spans="1:4" x14ac:dyDescent="0.2">
      <c r="A5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5" t="e">
        <f>IF(ROW()&lt;=COUNTA(Data!$2:$2)+5,IF(INDEX(Data!$C$2:$AZ$282,$B$2,ROW()-7)=-999,0,IF(INDEX(Data!$C$2:$AZ$282,$B$2,ROW()-7)&lt;0,NA(),INDEX(Data!$C$2:$AZ$282,$B$2,ROW()-7))),NA())</f>
        <v>#N/A</v>
      </c>
      <c r="C5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22" t="e">
        <f>IF(ROW()&lt;=COUNTA(Data!$2:$2)+5,IF(INDEX(Data!$C$2:$AZ$282,$D$2,ROW()-7)=-999,0,IF(INDEX(Data!$C$2:$AZ$282,$D$2,ROW()-7)&lt;0,NA(),INDEX(Data!$C$2:$AZ$282,$D$2,ROW()-7))),NA())</f>
        <v>#N/A</v>
      </c>
    </row>
    <row r="51" spans="1:4" x14ac:dyDescent="0.2">
      <c r="A5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5" t="e">
        <f>IF(ROW()&lt;=COUNTA(Data!$2:$2)+5,IF(INDEX(Data!$C$2:$AZ$282,$B$2,ROW()-7)=-999,0,IF(INDEX(Data!$C$2:$AZ$282,$B$2,ROW()-7)&lt;0,NA(),INDEX(Data!$C$2:$AZ$282,$B$2,ROW()-7))),NA())</f>
        <v>#N/A</v>
      </c>
      <c r="C5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22" t="e">
        <f>IF(ROW()&lt;=COUNTA(Data!$2:$2)+5,IF(INDEX(Data!$C$2:$AZ$282,$D$2,ROW()-7)=-999,0,IF(INDEX(Data!$C$2:$AZ$282,$D$2,ROW()-7)&lt;0,NA(),INDEX(Data!$C$2:$AZ$282,$D$2,ROW()-7))),NA())</f>
        <v>#N/A</v>
      </c>
    </row>
    <row r="52" spans="1:4" x14ac:dyDescent="0.2">
      <c r="A5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5" t="e">
        <f>IF(ROW()&lt;=COUNTA(Data!$2:$2)+5,IF(INDEX(Data!$C$2:$AZ$282,$B$2,ROW()-7)=-999,0,IF(INDEX(Data!$C$2:$AZ$282,$B$2,ROW()-7)&lt;0,NA(),INDEX(Data!$C$2:$AZ$282,$B$2,ROW()-7))),NA())</f>
        <v>#N/A</v>
      </c>
      <c r="C5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22" t="e">
        <f>IF(ROW()&lt;=COUNTA(Data!$2:$2)+5,IF(INDEX(Data!$C$2:$AZ$282,$D$2,ROW()-7)=-999,0,IF(INDEX(Data!$C$2:$AZ$282,$D$2,ROW()-7)&lt;0,NA(),INDEX(Data!$C$2:$AZ$282,$D$2,ROW()-7))),NA())</f>
        <v>#N/A</v>
      </c>
    </row>
    <row r="53" spans="1:4" x14ac:dyDescent="0.2">
      <c r="A5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5" t="e">
        <f>IF(ROW()&lt;=COUNTA(Data!$2:$2)+5,IF(INDEX(Data!$C$2:$AZ$282,$B$2,ROW()-7)=-999,0,IF(INDEX(Data!$C$2:$AZ$282,$B$2,ROW()-7)&lt;0,NA(),INDEX(Data!$C$2:$AZ$282,$B$2,ROW()-7))),NA())</f>
        <v>#N/A</v>
      </c>
      <c r="C5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22" t="e">
        <f>IF(ROW()&lt;=COUNTA(Data!$2:$2)+5,IF(INDEX(Data!$C$2:$AZ$282,$D$2,ROW()-7)=-999,0,IF(INDEX(Data!$C$2:$AZ$282,$D$2,ROW()-7)&lt;0,NA(),INDEX(Data!$C$2:$AZ$282,$D$2,ROW()-7))),NA())</f>
        <v>#N/A</v>
      </c>
    </row>
    <row r="54" spans="1:4" x14ac:dyDescent="0.2">
      <c r="A5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5" t="e">
        <f>IF(ROW()&lt;=COUNTA(Data!$2:$2)+5,IF(INDEX(Data!$C$2:$AZ$282,$B$2,ROW()-7)=-999,0,IF(INDEX(Data!$C$2:$AZ$282,$B$2,ROW()-7)&lt;0,NA(),INDEX(Data!$C$2:$AZ$282,$B$2,ROW()-7))),NA())</f>
        <v>#N/A</v>
      </c>
      <c r="C5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22" t="e">
        <f>IF(ROW()&lt;=COUNTA(Data!$2:$2)+5,IF(INDEX(Data!$C$2:$AZ$282,$D$2,ROW()-7)=-999,0,IF(INDEX(Data!$C$2:$AZ$282,$D$2,ROW()-7)&lt;0,NA(),INDEX(Data!$C$2:$AZ$282,$D$2,ROW()-7))),NA())</f>
        <v>#N/A</v>
      </c>
    </row>
    <row r="55" spans="1:4" x14ac:dyDescent="0.2">
      <c r="A5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5" t="e">
        <f>IF(ROW()&lt;=COUNTA(Data!$2:$2)+5,IF(INDEX(Data!$C$2:$AZ$282,$B$2,ROW()-7)=-999,0,IF(INDEX(Data!$C$2:$AZ$282,$B$2,ROW()-7)&lt;0,NA(),INDEX(Data!$C$2:$AZ$282,$B$2,ROW()-7))),NA())</f>
        <v>#N/A</v>
      </c>
      <c r="C5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22" t="e">
        <f>IF(ROW()&lt;=COUNTA(Data!$2:$2)+5,IF(INDEX(Data!$C$2:$AZ$282,$D$2,ROW()-7)=-999,0,IF(INDEX(Data!$C$2:$AZ$282,$D$2,ROW()-7)&lt;0,NA(),INDEX(Data!$C$2:$AZ$282,$D$2,ROW()-7))),NA())</f>
        <v>#N/A</v>
      </c>
    </row>
    <row r="56" spans="1:4" x14ac:dyDescent="0.2">
      <c r="A5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5" t="e">
        <f>IF(ROW()&lt;=COUNTA(Data!$2:$2)+5,IF(INDEX(Data!$C$2:$AZ$282,$B$2,ROW()-7)=-999,0,IF(INDEX(Data!$C$2:$AZ$282,$B$2,ROW()-7)&lt;0,NA(),INDEX(Data!$C$2:$AZ$282,$B$2,ROW()-7))),NA())</f>
        <v>#N/A</v>
      </c>
      <c r="C5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22" t="e">
        <f>IF(ROW()&lt;=COUNTA(Data!$2:$2)+5,IF(INDEX(Data!$C$2:$AZ$282,$D$2,ROW()-7)=-999,0,IF(INDEX(Data!$C$2:$AZ$282,$D$2,ROW()-7)&lt;0,NA(),INDEX(Data!$C$2:$AZ$282,$D$2,ROW()-7))),NA())</f>
        <v>#N/A</v>
      </c>
    </row>
    <row r="57" spans="1:4" x14ac:dyDescent="0.2">
      <c r="A5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5" t="e">
        <f>IF(ROW()&lt;=COUNTA(Data!$2:$2)+5,IF(INDEX(Data!$C$2:$AZ$282,$B$2,ROW()-7)=-999,0,IF(INDEX(Data!$C$2:$AZ$282,$B$2,ROW()-7)&lt;0,NA(),INDEX(Data!$C$2:$AZ$282,$B$2,ROW()-7))),NA())</f>
        <v>#N/A</v>
      </c>
      <c r="C5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22" t="e">
        <f>IF(ROW()&lt;=COUNTA(Data!$2:$2)+5,IF(INDEX(Data!$C$2:$AZ$282,$D$2,ROW()-7)=-999,0,IF(INDEX(Data!$C$2:$AZ$282,$D$2,ROW()-7)&lt;0,NA(),INDEX(Data!$C$2:$AZ$282,$D$2,ROW()-7))),NA())</f>
        <v>#N/A</v>
      </c>
    </row>
    <row r="58" spans="1:4" x14ac:dyDescent="0.2">
      <c r="A5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5" t="e">
        <f>IF(ROW()&lt;=COUNTA(Data!$2:$2)+5,IF(INDEX(Data!$C$2:$AZ$282,$B$2,ROW()-7)=-999,0,IF(INDEX(Data!$C$2:$AZ$282,$B$2,ROW()-7)&lt;0,NA(),INDEX(Data!$C$2:$AZ$282,$B$2,ROW()-7))),NA())</f>
        <v>#N/A</v>
      </c>
      <c r="C5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22" t="e">
        <f>IF(ROW()&lt;=COUNTA(Data!$2:$2)+5,IF(INDEX(Data!$C$2:$AZ$282,$D$2,ROW()-7)=-999,0,IF(INDEX(Data!$C$2:$AZ$282,$D$2,ROW()-7)&lt;0,NA(),INDEX(Data!$C$2:$AZ$282,$D$2,ROW()-7))),NA())</f>
        <v>#N/A</v>
      </c>
    </row>
    <row r="59" spans="1:4" x14ac:dyDescent="0.2">
      <c r="A5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5" t="e">
        <f>IF(ROW()&lt;=COUNTA(Data!$2:$2)+5,IF(INDEX(Data!$C$2:$AZ$282,$B$2,ROW()-7)=-999,0,IF(INDEX(Data!$C$2:$AZ$282,$B$2,ROW()-7)&lt;0,NA(),INDEX(Data!$C$2:$AZ$282,$B$2,ROW()-7))),NA())</f>
        <v>#N/A</v>
      </c>
      <c r="C5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22" t="e">
        <f>IF(ROW()&lt;=COUNTA(Data!$2:$2)+5,IF(INDEX(Data!$C$2:$AZ$282,$D$2,ROW()-7)=-999,0,IF(INDEX(Data!$C$2:$AZ$282,$D$2,ROW()-7)&lt;0,NA(),INDEX(Data!$C$2:$AZ$282,$D$2,ROW()-7))),NA())</f>
        <v>#N/A</v>
      </c>
    </row>
    <row r="60" spans="1:4" x14ac:dyDescent="0.2">
      <c r="A6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5" t="e">
        <f>IF(ROW()&lt;=COUNTA(Data!$2:$2)+5,IF(INDEX(Data!$C$2:$AZ$282,$B$2,ROW()-7)=-999,0,IF(INDEX(Data!$C$2:$AZ$282,$B$2,ROW()-7)&lt;0,NA(),INDEX(Data!$C$2:$AZ$282,$B$2,ROW()-7))),NA())</f>
        <v>#N/A</v>
      </c>
      <c r="C6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22" t="e">
        <f>IF(ROW()&lt;=COUNTA(Data!$2:$2)+5,IF(INDEX(Data!$C$2:$AZ$282,$D$2,ROW()-7)=-999,0,IF(INDEX(Data!$C$2:$AZ$282,$D$2,ROW()-7)&lt;0,NA(),INDEX(Data!$C$2:$AZ$282,$D$2,ROW()-7))),NA())</f>
        <v>#N/A</v>
      </c>
    </row>
    <row r="61" spans="1:4" x14ac:dyDescent="0.2">
      <c r="A6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5" t="e">
        <f>IF(ROW()&lt;=COUNTA(Data!$2:$2)+5,IF(INDEX(Data!$C$2:$AZ$282,$B$2,ROW()-7)=-999,0,IF(INDEX(Data!$C$2:$AZ$282,$B$2,ROW()-7)&lt;0,NA(),INDEX(Data!$C$2:$AZ$282,$B$2,ROW()-7))),NA())</f>
        <v>#N/A</v>
      </c>
      <c r="C6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22" t="e">
        <f>IF(ROW()&lt;=COUNTA(Data!$2:$2)+5,IF(INDEX(Data!$C$2:$AZ$282,$D$2,ROW()-7)=-999,0,IF(INDEX(Data!$C$2:$AZ$282,$D$2,ROW()-7)&lt;0,NA(),INDEX(Data!$C$2:$AZ$282,$D$2,ROW()-7))),NA())</f>
        <v>#N/A</v>
      </c>
    </row>
    <row r="62" spans="1:4" x14ac:dyDescent="0.2">
      <c r="A6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5" t="e">
        <f>IF(ROW()&lt;=COUNTA(Data!$2:$2)+5,IF(INDEX(Data!$C$2:$AZ$282,$B$2,ROW()-7)=-999,0,IF(INDEX(Data!$C$2:$AZ$282,$B$2,ROW()-7)&lt;0,NA(),INDEX(Data!$C$2:$AZ$282,$B$2,ROW()-7))),NA())</f>
        <v>#N/A</v>
      </c>
      <c r="C6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22" t="e">
        <f>IF(ROW()&lt;=COUNTA(Data!$2:$2)+5,IF(INDEX(Data!$C$2:$AZ$282,$D$2,ROW()-7)=-999,0,IF(INDEX(Data!$C$2:$AZ$282,$D$2,ROW()-7)&lt;0,NA(),INDEX(Data!$C$2:$AZ$282,$D$2,ROW()-7))),NA())</f>
        <v>#N/A</v>
      </c>
    </row>
    <row r="63" spans="1:4" x14ac:dyDescent="0.2">
      <c r="A6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5" t="e">
        <f>IF(ROW()&lt;=COUNTA(Data!$2:$2)+5,IF(INDEX(Data!$C$2:$AZ$282,$B$2,ROW()-7)=-999,0,IF(INDEX(Data!$C$2:$AZ$282,$B$2,ROW()-7)&lt;0,NA(),INDEX(Data!$C$2:$AZ$282,$B$2,ROW()-7))),NA())</f>
        <v>#N/A</v>
      </c>
      <c r="C6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22" t="e">
        <f>IF(ROW()&lt;=COUNTA(Data!$2:$2)+5,IF(INDEX(Data!$C$2:$AZ$282,$D$2,ROW()-7)=-999,0,IF(INDEX(Data!$C$2:$AZ$282,$D$2,ROW()-7)&lt;0,NA(),INDEX(Data!$C$2:$AZ$282,$D$2,ROW()-7))),NA())</f>
        <v>#N/A</v>
      </c>
    </row>
    <row r="64" spans="1:4" x14ac:dyDescent="0.2">
      <c r="A6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5" t="e">
        <f>IF(ROW()&lt;=COUNTA(Data!$2:$2)+5,IF(INDEX(Data!$C$2:$AZ$282,$B$2,ROW()-7)=-999,0,IF(INDEX(Data!$C$2:$AZ$282,$B$2,ROW()-7)&lt;0,NA(),INDEX(Data!$C$2:$AZ$282,$B$2,ROW()-7))),NA())</f>
        <v>#N/A</v>
      </c>
      <c r="C6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22" t="e">
        <f>IF(ROW()&lt;=COUNTA(Data!$2:$2)+5,IF(INDEX(Data!$C$2:$AZ$282,$D$2,ROW()-7)=-999,0,IF(INDEX(Data!$C$2:$AZ$282,$D$2,ROW()-7)&lt;0,NA(),INDEX(Data!$C$2:$AZ$282,$D$2,ROW()-7))),NA())</f>
        <v>#N/A</v>
      </c>
    </row>
    <row r="65" spans="1:4" x14ac:dyDescent="0.2">
      <c r="A6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5" t="e">
        <f>IF(ROW()&lt;=COUNTA(Data!$2:$2)+5,IF(INDEX(Data!$C$2:$AZ$282,$B$2,ROW()-7)=-999,0,IF(INDEX(Data!$C$2:$AZ$282,$B$2,ROW()-7)&lt;0,NA(),INDEX(Data!$C$2:$AZ$282,$B$2,ROW()-7))),NA())</f>
        <v>#N/A</v>
      </c>
      <c r="C6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22" t="e">
        <f>IF(ROW()&lt;=COUNTA(Data!$2:$2)+5,IF(INDEX(Data!$C$2:$AZ$282,$D$2,ROW()-7)=-999,0,IF(INDEX(Data!$C$2:$AZ$282,$D$2,ROW()-7)&lt;0,NA(),INDEX(Data!$C$2:$AZ$282,$D$2,ROW()-7))),NA())</f>
        <v>#N/A</v>
      </c>
    </row>
    <row r="66" spans="1:4" x14ac:dyDescent="0.2">
      <c r="A66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5" t="e">
        <f>IF(ROW()&lt;=COUNTA(Data!$2:$2)+5,IF(INDEX(Data!$C$2:$AZ$282,$B$2,ROW()-7)=-999,0,IF(INDEX(Data!$C$2:$AZ$282,$B$2,ROW()-7)&lt;0,NA(),INDEX(Data!$C$2:$AZ$282,$B$2,ROW()-7))),NA())</f>
        <v>#N/A</v>
      </c>
      <c r="C66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22" t="e">
        <f>IF(ROW()&lt;=COUNTA(Data!$2:$2)+5,IF(INDEX(Data!$C$2:$AZ$282,$D$2,ROW()-7)=-999,0,IF(INDEX(Data!$C$2:$AZ$282,$D$2,ROW()-7)&lt;0,NA(),INDEX(Data!$C$2:$AZ$282,$D$2,ROW()-7))),NA())</f>
        <v>#N/A</v>
      </c>
    </row>
    <row r="67" spans="1:4" x14ac:dyDescent="0.2">
      <c r="A67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5" t="e">
        <f>IF(ROW()&lt;=COUNTA(Data!$2:$2)+5,IF(INDEX(Data!$C$2:$AZ$282,$B$2,ROW()-7)=-999,0,IF(INDEX(Data!$C$2:$AZ$282,$B$2,ROW()-7)&lt;0,NA(),INDEX(Data!$C$2:$AZ$282,$B$2,ROW()-7))),NA())</f>
        <v>#N/A</v>
      </c>
      <c r="C67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22" t="e">
        <f>IF(ROW()&lt;=COUNTA(Data!$2:$2)+5,IF(INDEX(Data!$C$2:$AZ$282,$D$2,ROW()-7)=-999,0,IF(INDEX(Data!$C$2:$AZ$282,$D$2,ROW()-7)&lt;0,NA(),INDEX(Data!$C$2:$AZ$282,$D$2,ROW()-7))),NA())</f>
        <v>#N/A</v>
      </c>
    </row>
    <row r="68" spans="1:4" x14ac:dyDescent="0.2">
      <c r="A68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5" t="e">
        <f>IF(ROW()&lt;=COUNTA(Data!$2:$2)+5,IF(INDEX(Data!$C$2:$AZ$282,$B$2,ROW()-7)=-999,0,IF(INDEX(Data!$C$2:$AZ$282,$B$2,ROW()-7)&lt;0,NA(),INDEX(Data!$C$2:$AZ$282,$B$2,ROW()-7))),NA())</f>
        <v>#N/A</v>
      </c>
      <c r="C68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22" t="e">
        <f>IF(ROW()&lt;=COUNTA(Data!$2:$2)+5,IF(INDEX(Data!$C$2:$AZ$282,$D$2,ROW()-7)=-999,0,IF(INDEX(Data!$C$2:$AZ$282,$D$2,ROW()-7)&lt;0,NA(),INDEX(Data!$C$2:$AZ$282,$D$2,ROW()-7))),NA())</f>
        <v>#N/A</v>
      </c>
    </row>
    <row r="69" spans="1:4" x14ac:dyDescent="0.2">
      <c r="A69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5" t="e">
        <f>IF(ROW()&lt;=COUNTA(Data!$2:$2)+5,IF(INDEX(Data!$C$2:$AZ$282,$B$2,ROW()-7)=-999,0,IF(INDEX(Data!$C$2:$AZ$282,$B$2,ROW()-7)&lt;0,NA(),INDEX(Data!$C$2:$AZ$282,$B$2,ROW()-7))),NA())</f>
        <v>#N/A</v>
      </c>
      <c r="C69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22" t="e">
        <f>IF(ROW()&lt;=COUNTA(Data!$2:$2)+5,IF(INDEX(Data!$C$2:$AZ$282,$D$2,ROW()-7)=-999,0,IF(INDEX(Data!$C$2:$AZ$282,$D$2,ROW()-7)&lt;0,NA(),INDEX(Data!$C$2:$AZ$282,$D$2,ROW()-7))),NA())</f>
        <v>#N/A</v>
      </c>
    </row>
    <row r="70" spans="1:4" x14ac:dyDescent="0.2">
      <c r="A70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5" t="e">
        <f>IF(ROW()&lt;=COUNTA(Data!$2:$2)+5,IF(INDEX(Data!$C$2:$AZ$282,$B$2,ROW()-7)=-999,0,IF(INDEX(Data!$C$2:$AZ$282,$B$2,ROW()-7)&lt;0,NA(),INDEX(Data!$C$2:$AZ$282,$B$2,ROW()-7))),NA())</f>
        <v>#N/A</v>
      </c>
      <c r="C70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22" t="e">
        <f>IF(ROW()&lt;=COUNTA(Data!$2:$2)+5,IF(INDEX(Data!$C$2:$AZ$282,$D$2,ROW()-7)=-999,0,IF(INDEX(Data!$C$2:$AZ$282,$D$2,ROW()-7)&lt;0,NA(),INDEX(Data!$C$2:$AZ$282,$D$2,ROW()-7))),NA())</f>
        <v>#N/A</v>
      </c>
    </row>
    <row r="71" spans="1:4" x14ac:dyDescent="0.2">
      <c r="A71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5" t="e">
        <f>IF(ROW()&lt;=COUNTA(Data!$2:$2)+5,IF(INDEX(Data!$C$2:$AZ$282,$B$2,ROW()-7)=-999,0,IF(INDEX(Data!$C$2:$AZ$282,$B$2,ROW()-7)&lt;0,NA(),INDEX(Data!$C$2:$AZ$282,$B$2,ROW()-7))),NA())</f>
        <v>#N/A</v>
      </c>
      <c r="C71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22" t="e">
        <f>IF(ROW()&lt;=COUNTA(Data!$2:$2)+5,IF(INDEX(Data!$C$2:$AZ$282,$D$2,ROW()-7)=-999,0,IF(INDEX(Data!$C$2:$AZ$282,$D$2,ROW()-7)&lt;0,NA(),INDEX(Data!$C$2:$AZ$282,$D$2,ROW()-7))),NA())</f>
        <v>#N/A</v>
      </c>
    </row>
    <row r="72" spans="1:4" x14ac:dyDescent="0.2">
      <c r="A72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5" t="e">
        <f>IF(ROW()&lt;=COUNTA(Data!$2:$2)+5,IF(INDEX(Data!$C$2:$AZ$282,$B$2,ROW()-7)=-999,0,IF(INDEX(Data!$C$2:$AZ$282,$B$2,ROW()-7)&lt;0,NA(),INDEX(Data!$C$2:$AZ$282,$B$2,ROW()-7))),NA())</f>
        <v>#N/A</v>
      </c>
      <c r="C72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22" t="e">
        <f>IF(ROW()&lt;=COUNTA(Data!$2:$2)+5,IF(INDEX(Data!$C$2:$AZ$282,$D$2,ROW()-7)=-999,0,IF(INDEX(Data!$C$2:$AZ$282,$D$2,ROW()-7)&lt;0,NA(),INDEX(Data!$C$2:$AZ$282,$D$2,ROW()-7))),NA())</f>
        <v>#N/A</v>
      </c>
    </row>
    <row r="73" spans="1:4" x14ac:dyDescent="0.2">
      <c r="A73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5" t="e">
        <f>IF(ROW()&lt;=COUNTA(Data!$2:$2)+5,IF(INDEX(Data!$C$2:$AZ$282,$B$2,ROW()-7)=-999,0,IF(INDEX(Data!$C$2:$AZ$282,$B$2,ROW()-7)&lt;0,NA(),INDEX(Data!$C$2:$AZ$282,$B$2,ROW()-7))),NA())</f>
        <v>#N/A</v>
      </c>
      <c r="C73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22" t="e">
        <f>IF(ROW()&lt;=COUNTA(Data!$2:$2)+5,IF(INDEX(Data!$C$2:$AZ$282,$D$2,ROW()-7)=-999,0,IF(INDEX(Data!$C$2:$AZ$282,$D$2,ROW()-7)&lt;0,NA(),INDEX(Data!$C$2:$AZ$282,$D$2,ROW()-7))),NA())</f>
        <v>#N/A</v>
      </c>
    </row>
    <row r="74" spans="1:4" x14ac:dyDescent="0.2">
      <c r="A74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5" t="e">
        <f>IF(ROW()&lt;=COUNTA(Data!$2:$2)+5,IF(INDEX(Data!$C$2:$AZ$282,$B$2,ROW()-7)=-999,0,IF(INDEX(Data!$C$2:$AZ$282,$B$2,ROW()-7)&lt;0,NA(),INDEX(Data!$C$2:$AZ$282,$B$2,ROW()-7))),NA())</f>
        <v>#N/A</v>
      </c>
      <c r="C74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22" t="e">
        <f>IF(ROW()&lt;=COUNTA(Data!$2:$2)+5,IF(INDEX(Data!$C$2:$AZ$282,$D$2,ROW()-7)=-999,0,IF(INDEX(Data!$C$2:$AZ$282,$D$2,ROW()-7)&lt;0,NA(),INDEX(Data!$C$2:$AZ$282,$D$2,ROW()-7))),NA())</f>
        <v>#N/A</v>
      </c>
    </row>
    <row r="75" spans="1:4" x14ac:dyDescent="0.2">
      <c r="A75" s="21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6" t="e">
        <f>IF(ROW()&lt;=COUNTA(Data!$2:$2)+5,IF(INDEX(Data!$C$2:$AZ$282,$B$2,ROW()-7)=-999,0,IF(INDEX(Data!$C$2:$AZ$282,$B$2,ROW()-7)&lt;0,NA(),INDEX(Data!$C$2:$AZ$282,$B$2,ROW()-7))),NA())</f>
        <v>#N/A</v>
      </c>
      <c r="C75" s="21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3" t="e">
        <f>IF(ROW()&lt;=COUNTA(Data!$2:$2)+5,IF(INDEX(Data!$C$2:$AZ$282,$D$2,ROW()-7)=-999,0,IF(INDEX(Data!$C$2:$AZ$282,$D$2,ROW()-7)&lt;0,NA(),INDEX(Data!$C$2:$AZ$282,$D$2,ROW()-7))),NA())</f>
        <v>#N/A</v>
      </c>
    </row>
    <row r="76" spans="1:4" x14ac:dyDescent="0.2">
      <c r="A76" s="24"/>
      <c r="B76" s="25"/>
      <c r="C76" s="25"/>
    </row>
    <row r="77" spans="1:4" x14ac:dyDescent="0.2">
      <c r="A77" s="24"/>
      <c r="B77" s="25"/>
      <c r="C77" s="25"/>
    </row>
    <row r="78" spans="1:4" x14ac:dyDescent="0.2">
      <c r="A78" s="24"/>
      <c r="B78" s="25"/>
      <c r="C78" s="25"/>
    </row>
    <row r="79" spans="1:4" x14ac:dyDescent="0.2">
      <c r="C79" s="11"/>
    </row>
    <row r="80" spans="1:4" x14ac:dyDescent="0.2">
      <c r="C80" s="11"/>
    </row>
    <row r="81" spans="3:3" x14ac:dyDescent="0.2">
      <c r="C81" s="11"/>
    </row>
    <row r="82" spans="3:3" x14ac:dyDescent="0.2">
      <c r="C82" s="11"/>
    </row>
    <row r="83" spans="3:3" x14ac:dyDescent="0.2">
      <c r="C83" s="11"/>
    </row>
    <row r="84" spans="3:3" x14ac:dyDescent="0.2">
      <c r="C84" s="11"/>
    </row>
    <row r="85" spans="3:3" x14ac:dyDescent="0.2">
      <c r="C85" s="11"/>
    </row>
  </sheetData>
  <phoneticPr fontId="4" type="noConversion"/>
  <conditionalFormatting sqref="A7">
    <cfRule type="cellIs" dxfId="3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</cp:lastModifiedBy>
  <cp:lastPrinted>2007-09-20T21:01:15Z</cp:lastPrinted>
  <dcterms:created xsi:type="dcterms:W3CDTF">2005-06-03T18:09:34Z</dcterms:created>
  <dcterms:modified xsi:type="dcterms:W3CDTF">2022-03-12T18:03:52Z</dcterms:modified>
</cp:coreProperties>
</file>