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1/Programs/Excel Programs/"/>
    </mc:Choice>
  </mc:AlternateContent>
  <xr:revisionPtr revIDLastSave="112" documentId="8_{35DA1DBB-229E-42BA-A0AA-6DDF1305BBA5}" xr6:coauthVersionLast="47" xr6:coauthVersionMax="47" xr10:uidLastSave="{F2FC0976-EFF9-4A91-9DDE-FB8E593C5D24}"/>
  <bookViews>
    <workbookView xWindow="-110" yWindow="-110" windowWidth="19420" windowHeight="10420" xr2:uid="{00000000-000D-0000-FFFF-FFFF00000000}"/>
  </bookViews>
  <sheets>
    <sheet name="Data" sheetId="10" r:id="rId1"/>
    <sheet name="Simulation" sheetId="7" r:id="rId2"/>
    <sheet name="Results" sheetId="8" r:id="rId3"/>
    <sheet name="Summary" sheetId="11" r:id="rId4"/>
  </sheets>
  <definedNames>
    <definedName name="_xlnm._FilterDatabase" localSheetId="0" hidden="1">Data!$H$1:$L$32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7" l="1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D3" i="7"/>
  <c r="E3" i="7" s="1"/>
  <c r="F3" i="7" s="1"/>
  <c r="D4" i="7"/>
  <c r="E4" i="7" s="1"/>
  <c r="F4" i="7" s="1"/>
  <c r="D5" i="7"/>
  <c r="E5" i="7" s="1"/>
  <c r="F5" i="7" s="1"/>
  <c r="D6" i="7"/>
  <c r="E6" i="7" s="1"/>
  <c r="D7" i="7"/>
  <c r="E7" i="7" s="1"/>
  <c r="F7" i="7" s="1"/>
  <c r="D8" i="7"/>
  <c r="E8" i="7" s="1"/>
  <c r="F8" i="7" s="1"/>
  <c r="D9" i="7"/>
  <c r="E9" i="7" s="1"/>
  <c r="F9" i="7" s="1"/>
  <c r="D10" i="7"/>
  <c r="E10" i="7" s="1"/>
  <c r="D11" i="7"/>
  <c r="E11" i="7" s="1"/>
  <c r="F11" i="7" s="1"/>
  <c r="D12" i="7"/>
  <c r="E12" i="7" s="1"/>
  <c r="F12" i="7" s="1"/>
  <c r="D13" i="7"/>
  <c r="E13" i="7" s="1"/>
  <c r="F13" i="7" s="1"/>
  <c r="D14" i="7"/>
  <c r="E14" i="7" s="1"/>
  <c r="D15" i="7"/>
  <c r="E15" i="7" s="1"/>
  <c r="F15" i="7" s="1"/>
  <c r="D16" i="7"/>
  <c r="E16" i="7" s="1"/>
  <c r="F16" i="7" s="1"/>
  <c r="D17" i="7"/>
  <c r="E17" i="7" s="1"/>
  <c r="F17" i="7" s="1"/>
  <c r="D18" i="7"/>
  <c r="E18" i="7" s="1"/>
  <c r="D19" i="7"/>
  <c r="E19" i="7" s="1"/>
  <c r="F19" i="7" s="1"/>
  <c r="D20" i="7"/>
  <c r="E20" i="7" s="1"/>
  <c r="F20" i="7" s="1"/>
  <c r="D21" i="7"/>
  <c r="E21" i="7" s="1"/>
  <c r="F21" i="7" s="1"/>
  <c r="D22" i="7"/>
  <c r="E22" i="7" s="1"/>
  <c r="D23" i="7"/>
  <c r="E23" i="7" s="1"/>
  <c r="F23" i="7" s="1"/>
  <c r="D24" i="7"/>
  <c r="E24" i="7" s="1"/>
  <c r="F24" i="7" s="1"/>
  <c r="D25" i="7"/>
  <c r="E25" i="7" s="1"/>
  <c r="F25" i="7" s="1"/>
  <c r="D26" i="7"/>
  <c r="E26" i="7" s="1"/>
  <c r="D27" i="7"/>
  <c r="E27" i="7" s="1"/>
  <c r="F27" i="7" s="1"/>
  <c r="D28" i="7"/>
  <c r="E28" i="7" s="1"/>
  <c r="F28" i="7" s="1"/>
  <c r="D29" i="7"/>
  <c r="E29" i="7" s="1"/>
  <c r="F29" i="7" s="1"/>
  <c r="D30" i="7"/>
  <c r="E30" i="7" s="1"/>
  <c r="F30" i="7" s="1"/>
  <c r="D31" i="7"/>
  <c r="E31" i="7" s="1"/>
  <c r="F31" i="7" s="1"/>
  <c r="D32" i="7"/>
  <c r="E32" i="7" s="1"/>
  <c r="F32" i="7" s="1"/>
  <c r="D33" i="7"/>
  <c r="E33" i="7" s="1"/>
  <c r="F33" i="7" s="1"/>
  <c r="D34" i="7"/>
  <c r="E34" i="7" s="1"/>
  <c r="F34" i="7" s="1"/>
  <c r="D35" i="7"/>
  <c r="E35" i="7" s="1"/>
  <c r="F35" i="7" s="1"/>
  <c r="D36" i="7"/>
  <c r="E36" i="7" s="1"/>
  <c r="F36" i="7" s="1"/>
  <c r="D37" i="7"/>
  <c r="E37" i="7" s="1"/>
  <c r="F37" i="7" s="1"/>
  <c r="D38" i="7"/>
  <c r="E38" i="7" s="1"/>
  <c r="F38" i="7" s="1"/>
  <c r="D39" i="7"/>
  <c r="E39" i="7" s="1"/>
  <c r="F39" i="7" s="1"/>
  <c r="D40" i="7"/>
  <c r="E40" i="7" s="1"/>
  <c r="F40" i="7" s="1"/>
  <c r="D41" i="7"/>
  <c r="E41" i="7" s="1"/>
  <c r="F41" i="7" s="1"/>
  <c r="D42" i="7"/>
  <c r="E42" i="7" s="1"/>
  <c r="F42" i="7" s="1"/>
  <c r="D43" i="7"/>
  <c r="E43" i="7" s="1"/>
  <c r="F43" i="7" s="1"/>
  <c r="D44" i="7"/>
  <c r="E44" i="7" s="1"/>
  <c r="F44" i="7" s="1"/>
  <c r="D45" i="7"/>
  <c r="E45" i="7" s="1"/>
  <c r="F45" i="7" s="1"/>
  <c r="D46" i="7"/>
  <c r="E46" i="7" s="1"/>
  <c r="F46" i="7" s="1"/>
  <c r="D47" i="7"/>
  <c r="E47" i="7" s="1"/>
  <c r="F47" i="7" s="1"/>
  <c r="D48" i="7"/>
  <c r="E48" i="7" s="1"/>
  <c r="F48" i="7" s="1"/>
  <c r="D49" i="7"/>
  <c r="E49" i="7" s="1"/>
  <c r="F49" i="7" s="1"/>
  <c r="D50" i="7"/>
  <c r="E50" i="7" s="1"/>
  <c r="F50" i="7" s="1"/>
  <c r="D51" i="7"/>
  <c r="E51" i="7" s="1"/>
  <c r="F51" i="7" s="1"/>
  <c r="D52" i="7"/>
  <c r="E52" i="7" s="1"/>
  <c r="F52" i="7" s="1"/>
  <c r="D53" i="7"/>
  <c r="E53" i="7" s="1"/>
  <c r="F53" i="7" s="1"/>
  <c r="D54" i="7"/>
  <c r="E54" i="7" s="1"/>
  <c r="F54" i="7" s="1"/>
  <c r="D55" i="7"/>
  <c r="E55" i="7" s="1"/>
  <c r="F55" i="7" s="1"/>
  <c r="D56" i="7"/>
  <c r="E56" i="7" s="1"/>
  <c r="F56" i="7" s="1"/>
  <c r="D57" i="7"/>
  <c r="E57" i="7" s="1"/>
  <c r="F57" i="7" s="1"/>
  <c r="D58" i="7"/>
  <c r="E58" i="7" s="1"/>
  <c r="F58" i="7" s="1"/>
  <c r="D59" i="7"/>
  <c r="E59" i="7" s="1"/>
  <c r="F59" i="7" s="1"/>
  <c r="D60" i="7"/>
  <c r="E60" i="7" s="1"/>
  <c r="F60" i="7" s="1"/>
  <c r="D61" i="7"/>
  <c r="E61" i="7" s="1"/>
  <c r="F61" i="7" s="1"/>
  <c r="D62" i="7"/>
  <c r="E62" i="7" s="1"/>
  <c r="F62" i="7" s="1"/>
  <c r="D63" i="7"/>
  <c r="E63" i="7" s="1"/>
  <c r="F63" i="7" s="1"/>
  <c r="D64" i="7"/>
  <c r="E64" i="7" s="1"/>
  <c r="F64" i="7" s="1"/>
  <c r="D65" i="7"/>
  <c r="E65" i="7" s="1"/>
  <c r="F65" i="7" s="1"/>
  <c r="D66" i="7"/>
  <c r="E66" i="7" s="1"/>
  <c r="F66" i="7" s="1"/>
  <c r="D67" i="7"/>
  <c r="E67" i="7" s="1"/>
  <c r="F67" i="7" s="1"/>
  <c r="D68" i="7"/>
  <c r="E68" i="7" s="1"/>
  <c r="F68" i="7" s="1"/>
  <c r="D69" i="7"/>
  <c r="E69" i="7" s="1"/>
  <c r="F69" i="7" s="1"/>
  <c r="D70" i="7"/>
  <c r="E70" i="7" s="1"/>
  <c r="F70" i="7" s="1"/>
  <c r="D71" i="7"/>
  <c r="E71" i="7" s="1"/>
  <c r="F71" i="7" s="1"/>
  <c r="D72" i="7"/>
  <c r="E72" i="7" s="1"/>
  <c r="F72" i="7" s="1"/>
  <c r="D73" i="7"/>
  <c r="E73" i="7" s="1"/>
  <c r="F73" i="7" s="1"/>
  <c r="D74" i="7"/>
  <c r="E74" i="7" s="1"/>
  <c r="F74" i="7" s="1"/>
  <c r="D75" i="7"/>
  <c r="E75" i="7" s="1"/>
  <c r="F75" i="7" s="1"/>
  <c r="D76" i="7"/>
  <c r="E76" i="7" s="1"/>
  <c r="F76" i="7" s="1"/>
  <c r="D77" i="7"/>
  <c r="E77" i="7" s="1"/>
  <c r="F77" i="7" s="1"/>
  <c r="D78" i="7"/>
  <c r="E78" i="7" s="1"/>
  <c r="F78" i="7" s="1"/>
  <c r="D79" i="7"/>
  <c r="E79" i="7" s="1"/>
  <c r="F79" i="7" s="1"/>
  <c r="D80" i="7"/>
  <c r="E80" i="7" s="1"/>
  <c r="F80" i="7" s="1"/>
  <c r="D81" i="7"/>
  <c r="E81" i="7" s="1"/>
  <c r="F81" i="7" s="1"/>
  <c r="D82" i="7"/>
  <c r="E82" i="7" s="1"/>
  <c r="F82" i="7" s="1"/>
  <c r="D83" i="7"/>
  <c r="E83" i="7" s="1"/>
  <c r="F83" i="7" s="1"/>
  <c r="D84" i="7"/>
  <c r="E84" i="7" s="1"/>
  <c r="F84" i="7" s="1"/>
  <c r="D85" i="7"/>
  <c r="E85" i="7" s="1"/>
  <c r="F85" i="7" s="1"/>
  <c r="D86" i="7"/>
  <c r="E86" i="7" s="1"/>
  <c r="F86" i="7" s="1"/>
  <c r="D87" i="7"/>
  <c r="E87" i="7" s="1"/>
  <c r="F87" i="7" s="1"/>
  <c r="D88" i="7"/>
  <c r="E88" i="7" s="1"/>
  <c r="F88" i="7" s="1"/>
  <c r="D89" i="7"/>
  <c r="E89" i="7" s="1"/>
  <c r="F89" i="7" s="1"/>
  <c r="D90" i="7"/>
  <c r="E90" i="7" s="1"/>
  <c r="F90" i="7" s="1"/>
  <c r="D91" i="7"/>
  <c r="E91" i="7" s="1"/>
  <c r="F91" i="7" s="1"/>
  <c r="D92" i="7"/>
  <c r="E92" i="7" s="1"/>
  <c r="F92" i="7" s="1"/>
  <c r="D93" i="7"/>
  <c r="E93" i="7" s="1"/>
  <c r="F93" i="7" s="1"/>
  <c r="D94" i="7"/>
  <c r="E94" i="7" s="1"/>
  <c r="F94" i="7" s="1"/>
  <c r="D95" i="7"/>
  <c r="E95" i="7" s="1"/>
  <c r="F95" i="7" s="1"/>
  <c r="D96" i="7"/>
  <c r="E96" i="7" s="1"/>
  <c r="F96" i="7" s="1"/>
  <c r="D97" i="7"/>
  <c r="E97" i="7" s="1"/>
  <c r="F97" i="7" s="1"/>
  <c r="D98" i="7"/>
  <c r="E98" i="7" s="1"/>
  <c r="F98" i="7" s="1"/>
  <c r="D99" i="7"/>
  <c r="E99" i="7" s="1"/>
  <c r="F99" i="7" s="1"/>
  <c r="D100" i="7"/>
  <c r="E100" i="7" s="1"/>
  <c r="F100" i="7" s="1"/>
  <c r="D101" i="7"/>
  <c r="E101" i="7" s="1"/>
  <c r="F101" i="7" s="1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2" i="7"/>
  <c r="A3" i="7"/>
  <c r="A4" i="7"/>
  <c r="A5" i="7"/>
  <c r="B5" i="7" s="1"/>
  <c r="A6" i="7"/>
  <c r="B6" i="7" s="1"/>
  <c r="A7" i="7"/>
  <c r="A8" i="7"/>
  <c r="A9" i="7"/>
  <c r="B9" i="7" s="1"/>
  <c r="A10" i="7"/>
  <c r="B10" i="7" s="1"/>
  <c r="A11" i="7"/>
  <c r="A12" i="7"/>
  <c r="A13" i="7"/>
  <c r="B13" i="7" s="1"/>
  <c r="A14" i="7"/>
  <c r="B14" i="7" s="1"/>
  <c r="A15" i="7"/>
  <c r="A16" i="7"/>
  <c r="A17" i="7"/>
  <c r="B17" i="7" s="1"/>
  <c r="A18" i="7"/>
  <c r="B18" i="7" s="1"/>
  <c r="A19" i="7"/>
  <c r="A20" i="7"/>
  <c r="A21" i="7"/>
  <c r="B21" i="7" s="1"/>
  <c r="A22" i="7"/>
  <c r="B22" i="7" s="1"/>
  <c r="A23" i="7"/>
  <c r="A24" i="7"/>
  <c r="A25" i="7"/>
  <c r="B25" i="7" s="1"/>
  <c r="A26" i="7"/>
  <c r="B26" i="7" s="1"/>
  <c r="A27" i="7"/>
  <c r="B27" i="7" s="1"/>
  <c r="C27" i="7" s="1"/>
  <c r="A28" i="7"/>
  <c r="B28" i="7" s="1"/>
  <c r="C28" i="7" s="1"/>
  <c r="A29" i="7"/>
  <c r="B29" i="7" s="1"/>
  <c r="C29" i="7" s="1"/>
  <c r="A30" i="7"/>
  <c r="B30" i="7" s="1"/>
  <c r="C30" i="7" s="1"/>
  <c r="A31" i="7"/>
  <c r="B31" i="7" s="1"/>
  <c r="C31" i="7" s="1"/>
  <c r="A32" i="7"/>
  <c r="B32" i="7" s="1"/>
  <c r="C32" i="7" s="1"/>
  <c r="A33" i="7"/>
  <c r="B33" i="7" s="1"/>
  <c r="C33" i="7" s="1"/>
  <c r="A34" i="7"/>
  <c r="B34" i="7" s="1"/>
  <c r="C34" i="7" s="1"/>
  <c r="A35" i="7"/>
  <c r="B35" i="7" s="1"/>
  <c r="C35" i="7" s="1"/>
  <c r="A36" i="7"/>
  <c r="B36" i="7" s="1"/>
  <c r="C36" i="7" s="1"/>
  <c r="A37" i="7"/>
  <c r="B37" i="7" s="1"/>
  <c r="C37" i="7" s="1"/>
  <c r="A38" i="7"/>
  <c r="B38" i="7" s="1"/>
  <c r="C38" i="7" s="1"/>
  <c r="A39" i="7"/>
  <c r="B39" i="7" s="1"/>
  <c r="C39" i="7" s="1"/>
  <c r="A40" i="7"/>
  <c r="B40" i="7" s="1"/>
  <c r="C40" i="7" s="1"/>
  <c r="A41" i="7"/>
  <c r="B41" i="7" s="1"/>
  <c r="C41" i="7" s="1"/>
  <c r="A42" i="7"/>
  <c r="B42" i="7" s="1"/>
  <c r="C42" i="7" s="1"/>
  <c r="A43" i="7"/>
  <c r="B43" i="7" s="1"/>
  <c r="C43" i="7" s="1"/>
  <c r="A44" i="7"/>
  <c r="B44" i="7" s="1"/>
  <c r="C44" i="7" s="1"/>
  <c r="A45" i="7"/>
  <c r="B45" i="7" s="1"/>
  <c r="C45" i="7" s="1"/>
  <c r="A46" i="7"/>
  <c r="B46" i="7" s="1"/>
  <c r="C46" i="7" s="1"/>
  <c r="A47" i="7"/>
  <c r="B47" i="7" s="1"/>
  <c r="C47" i="7" s="1"/>
  <c r="A48" i="7"/>
  <c r="B48" i="7" s="1"/>
  <c r="C48" i="7" s="1"/>
  <c r="A49" i="7"/>
  <c r="B49" i="7" s="1"/>
  <c r="C49" i="7" s="1"/>
  <c r="A50" i="7"/>
  <c r="B50" i="7" s="1"/>
  <c r="C50" i="7" s="1"/>
  <c r="A51" i="7"/>
  <c r="B51" i="7" s="1"/>
  <c r="C51" i="7" s="1"/>
  <c r="A52" i="7"/>
  <c r="B52" i="7" s="1"/>
  <c r="C52" i="7" s="1"/>
  <c r="A53" i="7"/>
  <c r="B53" i="7" s="1"/>
  <c r="C53" i="7" s="1"/>
  <c r="A54" i="7"/>
  <c r="B54" i="7" s="1"/>
  <c r="C54" i="7" s="1"/>
  <c r="A55" i="7"/>
  <c r="B55" i="7" s="1"/>
  <c r="C55" i="7" s="1"/>
  <c r="A56" i="7"/>
  <c r="B56" i="7" s="1"/>
  <c r="C56" i="7" s="1"/>
  <c r="A57" i="7"/>
  <c r="B57" i="7" s="1"/>
  <c r="C57" i="7" s="1"/>
  <c r="A58" i="7"/>
  <c r="B58" i="7" s="1"/>
  <c r="C58" i="7" s="1"/>
  <c r="A59" i="7"/>
  <c r="B59" i="7" s="1"/>
  <c r="C59" i="7" s="1"/>
  <c r="A60" i="7"/>
  <c r="B60" i="7" s="1"/>
  <c r="C60" i="7" s="1"/>
  <c r="A61" i="7"/>
  <c r="B61" i="7" s="1"/>
  <c r="C61" i="7" s="1"/>
  <c r="A62" i="7"/>
  <c r="B62" i="7" s="1"/>
  <c r="C62" i="7" s="1"/>
  <c r="A63" i="7"/>
  <c r="B63" i="7" s="1"/>
  <c r="C63" i="7" s="1"/>
  <c r="A64" i="7"/>
  <c r="B64" i="7" s="1"/>
  <c r="C64" i="7" s="1"/>
  <c r="A65" i="7"/>
  <c r="B65" i="7" s="1"/>
  <c r="C65" i="7" s="1"/>
  <c r="A66" i="7"/>
  <c r="B66" i="7" s="1"/>
  <c r="C66" i="7" s="1"/>
  <c r="A67" i="7"/>
  <c r="B67" i="7" s="1"/>
  <c r="C67" i="7" s="1"/>
  <c r="A68" i="7"/>
  <c r="B68" i="7" s="1"/>
  <c r="C68" i="7" s="1"/>
  <c r="A69" i="7"/>
  <c r="B69" i="7" s="1"/>
  <c r="C69" i="7" s="1"/>
  <c r="A70" i="7"/>
  <c r="B70" i="7" s="1"/>
  <c r="C70" i="7" s="1"/>
  <c r="A71" i="7"/>
  <c r="B71" i="7" s="1"/>
  <c r="C71" i="7" s="1"/>
  <c r="A72" i="7"/>
  <c r="B72" i="7" s="1"/>
  <c r="C72" i="7" s="1"/>
  <c r="A73" i="7"/>
  <c r="B73" i="7" s="1"/>
  <c r="C73" i="7" s="1"/>
  <c r="A74" i="7"/>
  <c r="B74" i="7" s="1"/>
  <c r="C74" i="7" s="1"/>
  <c r="A75" i="7"/>
  <c r="B75" i="7" s="1"/>
  <c r="C75" i="7" s="1"/>
  <c r="A76" i="7"/>
  <c r="B76" i="7" s="1"/>
  <c r="C76" i="7" s="1"/>
  <c r="A77" i="7"/>
  <c r="B77" i="7" s="1"/>
  <c r="C77" i="7" s="1"/>
  <c r="A78" i="7"/>
  <c r="B78" i="7" s="1"/>
  <c r="C78" i="7" s="1"/>
  <c r="A79" i="7"/>
  <c r="B79" i="7" s="1"/>
  <c r="C79" i="7" s="1"/>
  <c r="A80" i="7"/>
  <c r="B80" i="7" s="1"/>
  <c r="C80" i="7" s="1"/>
  <c r="A81" i="7"/>
  <c r="B81" i="7" s="1"/>
  <c r="C81" i="7" s="1"/>
  <c r="A82" i="7"/>
  <c r="B82" i="7" s="1"/>
  <c r="C82" i="7" s="1"/>
  <c r="A83" i="7"/>
  <c r="B83" i="7" s="1"/>
  <c r="C83" i="7" s="1"/>
  <c r="A84" i="7"/>
  <c r="B84" i="7" s="1"/>
  <c r="C84" i="7" s="1"/>
  <c r="A85" i="7"/>
  <c r="B85" i="7" s="1"/>
  <c r="C85" i="7" s="1"/>
  <c r="A86" i="7"/>
  <c r="B86" i="7" s="1"/>
  <c r="C86" i="7" s="1"/>
  <c r="A87" i="7"/>
  <c r="B87" i="7" s="1"/>
  <c r="C87" i="7" s="1"/>
  <c r="A88" i="7"/>
  <c r="B88" i="7" s="1"/>
  <c r="C88" i="7" s="1"/>
  <c r="A89" i="7"/>
  <c r="B89" i="7" s="1"/>
  <c r="C89" i="7" s="1"/>
  <c r="A90" i="7"/>
  <c r="B90" i="7" s="1"/>
  <c r="C90" i="7" s="1"/>
  <c r="A91" i="7"/>
  <c r="B91" i="7" s="1"/>
  <c r="C91" i="7" s="1"/>
  <c r="A92" i="7"/>
  <c r="B92" i="7" s="1"/>
  <c r="C92" i="7" s="1"/>
  <c r="A93" i="7"/>
  <c r="B93" i="7" s="1"/>
  <c r="C93" i="7" s="1"/>
  <c r="A94" i="7"/>
  <c r="B94" i="7" s="1"/>
  <c r="C94" i="7" s="1"/>
  <c r="A95" i="7"/>
  <c r="B95" i="7" s="1"/>
  <c r="C95" i="7" s="1"/>
  <c r="A96" i="7"/>
  <c r="B96" i="7" s="1"/>
  <c r="C96" i="7" s="1"/>
  <c r="A97" i="7"/>
  <c r="B97" i="7" s="1"/>
  <c r="C97" i="7" s="1"/>
  <c r="A98" i="7"/>
  <c r="B98" i="7" s="1"/>
  <c r="C98" i="7" s="1"/>
  <c r="A99" i="7"/>
  <c r="B99" i="7" s="1"/>
  <c r="C99" i="7" s="1"/>
  <c r="A100" i="7"/>
  <c r="B100" i="7" s="1"/>
  <c r="C100" i="7" s="1"/>
  <c r="A101" i="7"/>
  <c r="B101" i="7" s="1"/>
  <c r="C101" i="7" s="1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2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F26" i="7" l="1"/>
  <c r="F22" i="7"/>
  <c r="F18" i="7"/>
  <c r="F14" i="7"/>
  <c r="F10" i="7"/>
  <c r="F6" i="7"/>
  <c r="E2" i="7"/>
  <c r="F2" i="7" s="1"/>
  <c r="C26" i="7"/>
  <c r="C22" i="7"/>
  <c r="C18" i="7"/>
  <c r="C14" i="7"/>
  <c r="C10" i="7"/>
  <c r="C6" i="7"/>
  <c r="B24" i="7"/>
  <c r="C24" i="7" s="1"/>
  <c r="B20" i="7"/>
  <c r="C20" i="7" s="1"/>
  <c r="B16" i="7"/>
  <c r="C16" i="7" s="1"/>
  <c r="B12" i="7"/>
  <c r="C12" i="7" s="1"/>
  <c r="B8" i="7"/>
  <c r="C8" i="7" s="1"/>
  <c r="B4" i="7"/>
  <c r="C4" i="7" s="1"/>
  <c r="C25" i="7"/>
  <c r="C21" i="7"/>
  <c r="C17" i="7"/>
  <c r="C13" i="7"/>
  <c r="C9" i="7"/>
  <c r="C5" i="7"/>
  <c r="B23" i="7"/>
  <c r="C23" i="7" s="1"/>
  <c r="B19" i="7"/>
  <c r="C19" i="7" s="1"/>
  <c r="B15" i="7"/>
  <c r="C15" i="7" s="1"/>
  <c r="B11" i="7"/>
  <c r="C11" i="7" s="1"/>
  <c r="B7" i="7"/>
  <c r="C7" i="7" s="1"/>
  <c r="B3" i="7"/>
  <c r="C3" i="7" s="1"/>
  <c r="B2" i="7"/>
  <c r="C2" i="7" s="1"/>
  <c r="S8" i="8"/>
  <c r="S10" i="8" s="1"/>
  <c r="M6" i="8" l="1"/>
  <c r="I6" i="8"/>
  <c r="F1" i="7" l="1"/>
  <c r="S5" i="8" s="1"/>
  <c r="C1" i="7"/>
  <c r="S4" i="8" s="1"/>
  <c r="E1" i="7"/>
  <c r="B1" i="7"/>
  <c r="S7" i="8" l="1"/>
  <c r="F1" i="10"/>
  <c r="C5" i="11"/>
  <c r="C4" i="11"/>
  <c r="C10" i="11"/>
  <c r="C9" i="11"/>
  <c r="C8" i="11"/>
  <c r="G10" i="11"/>
  <c r="F10" i="11"/>
  <c r="G9" i="11"/>
  <c r="F9" i="11"/>
  <c r="G8" i="11"/>
  <c r="F8" i="11"/>
  <c r="E10" i="11"/>
  <c r="E9" i="11"/>
  <c r="E8" i="11"/>
  <c r="D10" i="11"/>
  <c r="D9" i="11"/>
  <c r="D8" i="11"/>
  <c r="B2" i="11"/>
  <c r="D5" i="11" l="1"/>
  <c r="E5" i="11"/>
  <c r="E4" i="11"/>
  <c r="D4" i="11"/>
  <c r="F4" i="11" l="1"/>
  <c r="F5" i="11"/>
  <c r="L4" i="8"/>
  <c r="K4" i="8"/>
  <c r="I4" i="8"/>
  <c r="J4" i="8"/>
  <c r="P4" i="8"/>
  <c r="N4" i="8"/>
  <c r="M4" i="8"/>
  <c r="O4" i="8"/>
  <c r="C4" i="8" l="1"/>
  <c r="D4" i="8"/>
  <c r="S6" i="8"/>
  <c r="S11" i="8" l="1"/>
  <c r="S12" i="8"/>
  <c r="S9" i="8"/>
  <c r="E4" i="8" s="1"/>
  <c r="G4" i="8" l="1"/>
  <c r="F4" i="8"/>
  <c r="H4" i="8" l="1"/>
</calcChain>
</file>

<file path=xl/sharedStrings.xml><?xml version="1.0" encoding="utf-8"?>
<sst xmlns="http://schemas.openxmlformats.org/spreadsheetml/2006/main" count="73" uniqueCount="49">
  <si>
    <r>
      <t>SE</t>
    </r>
    <r>
      <rPr>
        <sz val="10"/>
        <rFont val="Symbol"/>
        <family val="1"/>
        <charset val="2"/>
      </rPr>
      <t>D</t>
    </r>
  </si>
  <si>
    <t>ratio</t>
  </si>
  <si>
    <t>n</t>
  </si>
  <si>
    <t>AVERAGE</t>
  </si>
  <si>
    <t>Lower CI</t>
  </si>
  <si>
    <t>Upper CI</t>
  </si>
  <si>
    <t>Test</t>
  </si>
  <si>
    <t>Reference</t>
  </si>
  <si>
    <t>Geometric Mean</t>
  </si>
  <si>
    <t>Pass/Fail?</t>
  </si>
  <si>
    <t>Mean</t>
  </si>
  <si>
    <t>SD</t>
  </si>
  <si>
    <t>MIN</t>
  </si>
  <si>
    <t>MAX</t>
  </si>
  <si>
    <t>Bootstrap Sample Size:</t>
  </si>
  <si>
    <t>Iteration</t>
  </si>
  <si>
    <t>Bootstrap Iterations:</t>
  </si>
  <si>
    <t>Frequency</t>
  </si>
  <si>
    <t>Percent</t>
  </si>
  <si>
    <t>Cumulative Frequency</t>
  </si>
  <si>
    <t>Cumulative Percent</t>
  </si>
  <si>
    <t>PASS</t>
  </si>
  <si>
    <t>FAIL</t>
  </si>
  <si>
    <t>N</t>
  </si>
  <si>
    <t>Variable</t>
  </si>
  <si>
    <t>Min</t>
  </si>
  <si>
    <t>Max</t>
  </si>
  <si>
    <t>Subject</t>
  </si>
  <si>
    <t>Result</t>
  </si>
  <si>
    <t>Ratio of</t>
  </si>
  <si>
    <t>Geometric Means</t>
  </si>
  <si>
    <t>Ratio</t>
  </si>
  <si>
    <t>%DONE:</t>
  </si>
  <si>
    <t>Treatment</t>
  </si>
  <si>
    <t>A</t>
  </si>
  <si>
    <t>B</t>
  </si>
  <si>
    <t>Cmax</t>
  </si>
  <si>
    <t># Subjects:</t>
  </si>
  <si>
    <t>Trt A</t>
  </si>
  <si>
    <t>Trt B</t>
  </si>
  <si>
    <t>Subj</t>
  </si>
  <si>
    <t>SEM_A</t>
  </si>
  <si>
    <t>SEM_B</t>
  </si>
  <si>
    <t>(per treatment)</t>
  </si>
  <si>
    <t>=SQRT(SEM_A^2+SEM_B^2)</t>
  </si>
  <si>
    <t>(nA+nB)</t>
  </si>
  <si>
    <t>=STDEV_A/SQRT(nA)</t>
  </si>
  <si>
    <t>=STDEV_B/SQRT(nB)</t>
  </si>
  <si>
    <t>tval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</si>
</sst>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57"/>
      <name val="Arial"/>
      <family val="2"/>
    </font>
    <font>
      <b/>
      <sz val="10"/>
      <color rgb="FF00B0F0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3" fillId="2" borderId="0" xfId="0" quotePrefix="1" applyFont="1" applyFill="1"/>
    <xf numFmtId="0" fontId="3" fillId="2" borderId="0" xfId="0" applyFont="1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/>
    <xf numFmtId="0" fontId="0" fillId="2" borderId="0" xfId="0" applyFill="1" applyAlignment="1">
      <alignment wrapText="1"/>
    </xf>
    <xf numFmtId="165" fontId="0" fillId="2" borderId="0" xfId="1" applyNumberFormat="1" applyFont="1" applyFill="1"/>
    <xf numFmtId="0" fontId="5" fillId="2" borderId="2" xfId="0" applyFont="1" applyFill="1" applyBorder="1"/>
    <xf numFmtId="0" fontId="5" fillId="2" borderId="0" xfId="0" applyFont="1" applyFill="1"/>
    <xf numFmtId="0" fontId="3" fillId="3" borderId="3" xfId="0" applyFont="1" applyFill="1" applyBorder="1"/>
    <xf numFmtId="0" fontId="0" fillId="3" borderId="0" xfId="0" applyFill="1"/>
    <xf numFmtId="0" fontId="3" fillId="3" borderId="0" xfId="0" applyFont="1" applyFill="1"/>
    <xf numFmtId="0" fontId="0" fillId="3" borderId="4" xfId="0" applyFill="1" applyBorder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 wrapText="1"/>
    </xf>
    <xf numFmtId="0" fontId="3" fillId="3" borderId="11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3" borderId="10" xfId="0" applyFill="1" applyBorder="1"/>
    <xf numFmtId="0" fontId="0" fillId="2" borderId="12" xfId="0" applyFill="1" applyBorder="1"/>
    <xf numFmtId="0" fontId="0" fillId="2" borderId="3" xfId="0" applyFill="1" applyBorder="1"/>
    <xf numFmtId="0" fontId="0" fillId="2" borderId="13" xfId="0" applyFill="1" applyBorder="1"/>
    <xf numFmtId="0" fontId="0" fillId="2" borderId="14" xfId="0" applyFill="1" applyBorder="1" applyAlignment="1">
      <alignment wrapText="1"/>
    </xf>
    <xf numFmtId="0" fontId="0" fillId="2" borderId="15" xfId="0" applyFill="1" applyBorder="1" applyAlignment="1">
      <alignment wrapText="1"/>
    </xf>
    <xf numFmtId="0" fontId="0" fillId="2" borderId="14" xfId="0" applyFill="1" applyBorder="1"/>
    <xf numFmtId="165" fontId="0" fillId="2" borderId="15" xfId="1" applyNumberFormat="1" applyFont="1" applyFill="1" applyBorder="1"/>
    <xf numFmtId="0" fontId="0" fillId="2" borderId="16" xfId="0" applyFill="1" applyBorder="1"/>
    <xf numFmtId="0" fontId="0" fillId="2" borderId="17" xfId="0" applyFill="1" applyBorder="1"/>
    <xf numFmtId="165" fontId="0" fillId="2" borderId="18" xfId="1" applyNumberFormat="1" applyFont="1" applyFill="1" applyBorder="1"/>
    <xf numFmtId="0" fontId="0" fillId="2" borderId="1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13" xfId="0" applyFill="1" applyBorder="1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15" xfId="0" applyNumberFormat="1" applyFill="1" applyBorder="1" applyAlignment="1">
      <alignment horizontal="right"/>
    </xf>
    <xf numFmtId="0" fontId="0" fillId="2" borderId="17" xfId="0" applyFill="1" applyBorder="1" applyAlignment="1">
      <alignment horizontal="right"/>
    </xf>
    <xf numFmtId="2" fontId="0" fillId="2" borderId="17" xfId="0" applyNumberFormat="1" applyFill="1" applyBorder="1" applyAlignment="1">
      <alignment horizontal="right"/>
    </xf>
    <xf numFmtId="2" fontId="0" fillId="2" borderId="18" xfId="0" applyNumberFormat="1" applyFill="1" applyBorder="1" applyAlignment="1">
      <alignment horizontal="right"/>
    </xf>
    <xf numFmtId="165" fontId="6" fillId="2" borderId="17" xfId="1" applyNumberFormat="1" applyFont="1" applyFill="1" applyBorder="1"/>
    <xf numFmtId="165" fontId="5" fillId="2" borderId="0" xfId="1" applyNumberFormat="1" applyFont="1" applyFill="1"/>
    <xf numFmtId="0" fontId="3" fillId="3" borderId="8" xfId="0" applyFont="1" applyFill="1" applyBorder="1" applyAlignment="1">
      <alignment horizontal="center"/>
    </xf>
    <xf numFmtId="9" fontId="7" fillId="2" borderId="1" xfId="1" applyFont="1" applyFill="1" applyBorder="1"/>
    <xf numFmtId="0" fontId="3" fillId="0" borderId="0" xfId="0" applyFont="1"/>
    <xf numFmtId="0" fontId="9" fillId="0" borderId="0" xfId="0" applyFont="1"/>
    <xf numFmtId="0" fontId="1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0" fillId="0" borderId="0" xfId="0" applyFont="1"/>
    <xf numFmtId="0" fontId="1" fillId="2" borderId="0" xfId="0" quotePrefix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341630</xdr:colOff>
      <xdr:row>0</xdr:row>
      <xdr:rowOff>120648</xdr:rowOff>
    </xdr:from>
    <xdr:to>
      <xdr:col>15</xdr:col>
      <xdr:colOff>177800</xdr:colOff>
      <xdr:row>17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37280" y="120648"/>
          <a:ext cx="5322570" cy="262255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Bootstrap</a:t>
          </a:r>
          <a:r>
            <a:rPr lang="en-US" sz="1400" b="1" baseline="0"/>
            <a:t> for a 2-Treatment Parallel Bioequivalence Trial</a:t>
          </a:r>
          <a:endParaRPr lang="en-US" sz="1400" b="1"/>
        </a:p>
        <a:p>
          <a:endParaRPr lang="en-US" sz="1100"/>
        </a:p>
        <a:p>
          <a:r>
            <a:rPr lang="en-US" sz="1100"/>
            <a:t>This spreasheet</a:t>
          </a:r>
          <a:r>
            <a:rPr lang="en-US" sz="1100" baseline="0"/>
            <a:t> bootstraps the chances of passing for a standard 2-treatment parallel study.</a:t>
          </a:r>
        </a:p>
        <a:p>
          <a:endParaRPr lang="en-US" sz="1100"/>
        </a:p>
        <a:p>
          <a:r>
            <a:rPr lang="en-US" sz="1100"/>
            <a:t>Replace the data here with data</a:t>
          </a:r>
          <a:r>
            <a:rPr lang="en-US" sz="1100" baseline="0"/>
            <a:t> from the parameter you would like to bootstrap (Subject in Column A, Treatment in Column B, and Parameter in Column C)</a:t>
          </a:r>
        </a:p>
        <a:p>
          <a:endParaRPr lang="en-US" sz="1100" baseline="0"/>
        </a:p>
        <a:p>
          <a:r>
            <a:rPr lang="en-US" sz="1100" baseline="0"/>
            <a:t>Then click on the "Results" worksheet, change the bootstrap parameters as desired, and start the run by pressing "Run Bootstrap".</a:t>
          </a:r>
        </a:p>
        <a:p>
          <a:endParaRPr lang="en-US" sz="1100" baseline="0"/>
        </a:p>
        <a:p>
          <a:r>
            <a:rPr lang="en-US" sz="1100" b="1" baseline="0"/>
            <a:t>"Bootstrap Sample Size" </a:t>
          </a:r>
          <a:r>
            <a:rPr lang="en-US" sz="1100" baseline="0"/>
            <a:t>is the desired simulated sample size for a new study.</a:t>
          </a:r>
        </a:p>
        <a:p>
          <a:r>
            <a:rPr lang="en-US" sz="1100" b="1" baseline="0"/>
            <a:t>"Bootstrap Iterations" </a:t>
          </a:r>
          <a:r>
            <a:rPr lang="en-US" sz="1100" baseline="0"/>
            <a:t>is the number of randomly selected sets to select. Please pick a number &gt;=1000.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0</xdr:row>
          <xdr:rowOff>38100</xdr:rowOff>
        </xdr:from>
        <xdr:to>
          <xdr:col>5</xdr:col>
          <xdr:colOff>457200</xdr:colOff>
          <xdr:row>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3"/>
  <sheetViews>
    <sheetView tabSelected="1" workbookViewId="0"/>
  </sheetViews>
  <sheetFormatPr defaultRowHeight="12.5" x14ac:dyDescent="0.25"/>
  <cols>
    <col min="2" max="2" width="9.81640625" customWidth="1"/>
    <col min="4" max="4" width="6.36328125" customWidth="1"/>
    <col min="5" max="5" width="10.26953125" style="55" customWidth="1"/>
    <col min="6" max="6" width="3.26953125" customWidth="1"/>
  </cols>
  <sheetData>
    <row r="1" spans="1:25" ht="13" x14ac:dyDescent="0.3">
      <c r="A1" s="54" t="s">
        <v>27</v>
      </c>
      <c r="B1" s="54" t="s">
        <v>33</v>
      </c>
      <c r="C1" s="54" t="s">
        <v>36</v>
      </c>
      <c r="D1" s="54"/>
      <c r="E1" s="54" t="s">
        <v>37</v>
      </c>
      <c r="F1" s="59">
        <f>COUNTA(A:A)-1</f>
        <v>8</v>
      </c>
      <c r="V1" t="s">
        <v>40</v>
      </c>
      <c r="W1" t="s">
        <v>38</v>
      </c>
      <c r="X1" t="s">
        <v>40</v>
      </c>
      <c r="Y1" t="s">
        <v>39</v>
      </c>
    </row>
    <row r="2" spans="1:25" x14ac:dyDescent="0.25">
      <c r="A2">
        <v>1</v>
      </c>
      <c r="B2" s="56" t="s">
        <v>34</v>
      </c>
      <c r="C2" s="56">
        <v>290.74539173652551</v>
      </c>
      <c r="V2">
        <v>1</v>
      </c>
      <c r="W2">
        <v>290.74539173652551</v>
      </c>
      <c r="X2">
        <v>45</v>
      </c>
      <c r="Y2">
        <v>312.53274473674549</v>
      </c>
    </row>
    <row r="3" spans="1:25" x14ac:dyDescent="0.25">
      <c r="A3">
        <v>2</v>
      </c>
      <c r="B3" s="56" t="s">
        <v>34</v>
      </c>
      <c r="C3" s="56">
        <v>277.50177798351581</v>
      </c>
      <c r="V3">
        <v>2</v>
      </c>
      <c r="W3">
        <v>277.50177798351581</v>
      </c>
      <c r="X3">
        <v>46</v>
      </c>
      <c r="Y3">
        <v>432.34173823511372</v>
      </c>
    </row>
    <row r="4" spans="1:25" x14ac:dyDescent="0.25">
      <c r="A4">
        <v>3</v>
      </c>
      <c r="B4" s="56" t="s">
        <v>34</v>
      </c>
      <c r="C4">
        <v>229.86342302513111</v>
      </c>
      <c r="V4">
        <v>3</v>
      </c>
      <c r="W4">
        <v>229.86342302513111</v>
      </c>
      <c r="X4">
        <v>47</v>
      </c>
      <c r="Y4">
        <v>394.64464694418126</v>
      </c>
    </row>
    <row r="5" spans="1:25" x14ac:dyDescent="0.25">
      <c r="A5">
        <v>4</v>
      </c>
      <c r="B5" s="56" t="s">
        <v>34</v>
      </c>
      <c r="C5">
        <v>362.58786668792118</v>
      </c>
      <c r="V5">
        <v>4</v>
      </c>
      <c r="W5">
        <v>362.58786668792118</v>
      </c>
      <c r="X5">
        <v>48</v>
      </c>
      <c r="Y5">
        <v>312.48787967961982</v>
      </c>
    </row>
    <row r="6" spans="1:25" x14ac:dyDescent="0.25">
      <c r="A6">
        <v>45</v>
      </c>
      <c r="B6" t="s">
        <v>35</v>
      </c>
      <c r="C6">
        <v>312.53274473674549</v>
      </c>
    </row>
    <row r="7" spans="1:25" x14ac:dyDescent="0.25">
      <c r="A7">
        <v>46</v>
      </c>
      <c r="B7" t="s">
        <v>35</v>
      </c>
      <c r="C7">
        <v>432.34173823511372</v>
      </c>
    </row>
    <row r="8" spans="1:25" x14ac:dyDescent="0.25">
      <c r="A8">
        <v>47</v>
      </c>
      <c r="B8" t="s">
        <v>35</v>
      </c>
      <c r="C8">
        <v>394.64464694418126</v>
      </c>
    </row>
    <row r="9" spans="1:25" x14ac:dyDescent="0.25">
      <c r="A9">
        <v>48</v>
      </c>
      <c r="B9" t="s">
        <v>35</v>
      </c>
      <c r="C9">
        <v>312.48787967961982</v>
      </c>
    </row>
    <row r="10" spans="1:25" x14ac:dyDescent="0.25">
      <c r="B10" s="56"/>
    </row>
    <row r="11" spans="1:25" x14ac:dyDescent="0.25">
      <c r="B11" s="56"/>
    </row>
    <row r="12" spans="1:25" x14ac:dyDescent="0.25">
      <c r="B12" s="56"/>
    </row>
    <row r="13" spans="1:25" x14ac:dyDescent="0.25">
      <c r="B13" s="56"/>
    </row>
    <row r="14" spans="1:25" x14ac:dyDescent="0.25">
      <c r="B14" s="56"/>
    </row>
    <row r="15" spans="1:25" x14ac:dyDescent="0.25">
      <c r="B15" s="56"/>
    </row>
    <row r="16" spans="1:25" x14ac:dyDescent="0.25">
      <c r="B16" s="56"/>
    </row>
    <row r="17" spans="2:2" x14ac:dyDescent="0.25">
      <c r="B17" s="56"/>
    </row>
    <row r="18" spans="2:2" x14ac:dyDescent="0.25">
      <c r="B18" s="56"/>
    </row>
    <row r="19" spans="2:2" x14ac:dyDescent="0.25">
      <c r="B19" s="56"/>
    </row>
    <row r="20" spans="2:2" x14ac:dyDescent="0.25">
      <c r="B20" s="56"/>
    </row>
    <row r="21" spans="2:2" x14ac:dyDescent="0.25">
      <c r="B21" s="56"/>
    </row>
    <row r="22" spans="2:2" x14ac:dyDescent="0.25">
      <c r="B22" s="56"/>
    </row>
    <row r="23" spans="2:2" x14ac:dyDescent="0.25">
      <c r="B23" s="56"/>
    </row>
    <row r="24" spans="2:2" x14ac:dyDescent="0.25">
      <c r="B24" s="56"/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</sheetData>
  <phoneticPr fontId="2" type="noConversion"/>
  <pageMargins left="0.75" right="0.75" top="1" bottom="1" header="0.5" footer="0.5"/>
  <pageSetup paperSize="12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73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2.5" x14ac:dyDescent="0.25"/>
  <cols>
    <col min="1" max="2" width="9.1796875" style="1"/>
    <col min="3" max="3" width="11.1796875" style="14" customWidth="1"/>
    <col min="4" max="5" width="9.1796875" style="1"/>
    <col min="6" max="6" width="11.453125" style="14" customWidth="1"/>
    <col min="7" max="16384" width="9.1796875" style="1"/>
  </cols>
  <sheetData>
    <row r="1" spans="1:6" ht="13" x14ac:dyDescent="0.3">
      <c r="A1" s="2" t="s">
        <v>27</v>
      </c>
      <c r="B1" s="2" t="str">
        <f>Data!$C1&amp;",A"</f>
        <v>Cmax,A</v>
      </c>
      <c r="C1" s="13" t="str">
        <f>"ln("&amp;Data!$C$1&amp;")"&amp;",A"</f>
        <v>ln(Cmax),A</v>
      </c>
      <c r="D1" s="2" t="s">
        <v>27</v>
      </c>
      <c r="E1" s="2" t="str">
        <f>Data!$C1&amp;",B"</f>
        <v>Cmax,B</v>
      </c>
      <c r="F1" s="15" t="str">
        <f>"ln("&amp;Data!$C$1&amp;")"&amp;",B"</f>
        <v>ln(Cmax),B</v>
      </c>
    </row>
    <row r="2" spans="1:6" x14ac:dyDescent="0.25">
      <c r="A2" s="1">
        <f ca="1">IF(ROW()&lt;=(Results!$C$1/2)+1,INDEX(Data!$V:$V,CEILING((COUNTA(Data!$V:$V)-1)*RAND()+1,1)),"")</f>
        <v>3</v>
      </c>
      <c r="B2" s="1">
        <f ca="1">IF(ROW()&lt;=(Results!$C$1/2)+1,VLOOKUP($A2,Data!$V$2:$W$117,2,TRUE),"")</f>
        <v>229.86342302513111</v>
      </c>
      <c r="C2" s="14">
        <f ca="1">IF(ROW()&lt;=(Results!$C$1/2)+1,IF(B2&lt;=0,"",LN(B2)),"")</f>
        <v>5.4374853196122555</v>
      </c>
      <c r="D2" s="1">
        <f ca="1">IF(ROW()&lt;=(Results!$C$1/2)+1,INDEX(Data!$X:$X,CEILING((COUNTA(Data!$X:$X)-1)*RAND()+1,1)),"")</f>
        <v>45</v>
      </c>
      <c r="E2" s="1">
        <f ca="1">IF(ROW()&lt;=(Results!$C$1/2)+1,VLOOKUP($D2,Data!$X$2:$Y$117,2,TRUE),"")</f>
        <v>312.53274473674549</v>
      </c>
      <c r="F2" s="14">
        <f ca="1">IF(ROW()&lt;=(Results!$C$1/2)+1,IF(E2&lt;=0,"",LN(E2)),"")</f>
        <v>5.7447092468446703</v>
      </c>
    </row>
    <row r="3" spans="1:6" x14ac:dyDescent="0.25">
      <c r="A3" s="1">
        <f ca="1">IF(ROW()&lt;=(Results!$C$1/2)+1,INDEX(Data!$V:$V,CEILING((COUNTA(Data!$V:$V)-1)*RAND()+1,1)),"")</f>
        <v>3</v>
      </c>
      <c r="B3" s="1">
        <f ca="1">IF(ROW()&lt;=(Results!$C$1/2)+1,VLOOKUP($A3,Data!$V$2:$W$117,2,TRUE),"")</f>
        <v>229.86342302513111</v>
      </c>
      <c r="C3" s="14">
        <f ca="1">IF(ROW()&lt;=(Results!$C$1/2)+1,IF(B3&lt;=0,"",LN(B3)),"")</f>
        <v>5.4374853196122555</v>
      </c>
      <c r="D3" s="1">
        <f ca="1">IF(ROW()&lt;=(Results!$C$1/2)+1,INDEX(Data!$X:$X,CEILING((COUNTA(Data!$X:$X)-1)*RAND()+1,1)),"")</f>
        <v>46</v>
      </c>
      <c r="E3" s="1">
        <f ca="1">IF(ROW()&lt;=(Results!$C$1/2)+1,VLOOKUP($D3,Data!$X$2:$Y$117,2,TRUE),"")</f>
        <v>432.34173823511372</v>
      </c>
      <c r="F3" s="14">
        <f ca="1">IF(ROW()&lt;=(Results!$C$1/2)+1,IF(E3&lt;=0,"",LN(E3)),"")</f>
        <v>6.0692163362499132</v>
      </c>
    </row>
    <row r="4" spans="1:6" x14ac:dyDescent="0.25">
      <c r="A4" s="1">
        <f ca="1">IF(ROW()&lt;=(Results!$C$1/2)+1,INDEX(Data!$V:$V,CEILING((COUNTA(Data!$V:$V)-1)*RAND()+1,1)),"")</f>
        <v>2</v>
      </c>
      <c r="B4" s="1">
        <f ca="1">IF(ROW()&lt;=(Results!$C$1/2)+1,VLOOKUP($A4,Data!$V$2:$W$117,2,TRUE),"")</f>
        <v>277.50177798351581</v>
      </c>
      <c r="C4" s="14">
        <f ca="1">IF(ROW()&lt;=(Results!$C$1/2)+1,IF(B4&lt;=0,"",LN(B4)),"")</f>
        <v>5.6258273403137684</v>
      </c>
      <c r="D4" s="1">
        <f ca="1">IF(ROW()&lt;=(Results!$C$1/2)+1,INDEX(Data!$X:$X,CEILING((COUNTA(Data!$X:$X)-1)*RAND()+1,1)),"")</f>
        <v>46</v>
      </c>
      <c r="E4" s="1">
        <f ca="1">IF(ROW()&lt;=(Results!$C$1/2)+1,VLOOKUP($D4,Data!$X$2:$Y$117,2,TRUE),"")</f>
        <v>432.34173823511372</v>
      </c>
      <c r="F4" s="14">
        <f ca="1">IF(ROW()&lt;=(Results!$C$1/2)+1,IF(E4&lt;=0,"",LN(E4)),"")</f>
        <v>6.0692163362499132</v>
      </c>
    </row>
    <row r="5" spans="1:6" x14ac:dyDescent="0.25">
      <c r="A5" s="1">
        <f ca="1">IF(ROW()&lt;=(Results!$C$1/2)+1,INDEX(Data!$V:$V,CEILING((COUNTA(Data!$V:$V)-1)*RAND()+1,1)),"")</f>
        <v>4</v>
      </c>
      <c r="B5" s="1">
        <f ca="1">IF(ROW()&lt;=(Results!$C$1/2)+1,VLOOKUP($A5,Data!$V$2:$W$117,2,TRUE),"")</f>
        <v>362.58786668792118</v>
      </c>
      <c r="C5" s="14">
        <f ca="1">IF(ROW()&lt;=(Results!$C$1/2)+1,IF(B5&lt;=0,"",LN(B5)),"")</f>
        <v>5.8932668357860409</v>
      </c>
      <c r="D5" s="1">
        <f ca="1">IF(ROW()&lt;=(Results!$C$1/2)+1,INDEX(Data!$X:$X,CEILING((COUNTA(Data!$X:$X)-1)*RAND()+1,1)),"")</f>
        <v>45</v>
      </c>
      <c r="E5" s="1">
        <f ca="1">IF(ROW()&lt;=(Results!$C$1/2)+1,VLOOKUP($D5,Data!$X$2:$Y$117,2,TRUE),"")</f>
        <v>312.53274473674549</v>
      </c>
      <c r="F5" s="14">
        <f ca="1">IF(ROW()&lt;=(Results!$C$1/2)+1,IF(E5&lt;=0,"",LN(E5)),"")</f>
        <v>5.7447092468446703</v>
      </c>
    </row>
    <row r="6" spans="1:6" x14ac:dyDescent="0.25">
      <c r="A6" s="1">
        <f ca="1">IF(ROW()&lt;=(Results!$C$1/2)+1,INDEX(Data!$V:$V,CEILING((COUNTA(Data!$V:$V)-1)*RAND()+1,1)),"")</f>
        <v>3</v>
      </c>
      <c r="B6" s="1">
        <f ca="1">IF(ROW()&lt;=(Results!$C$1/2)+1,VLOOKUP($A6,Data!$V$2:$W$117,2,TRUE),"")</f>
        <v>229.86342302513111</v>
      </c>
      <c r="C6" s="14">
        <f ca="1">IF(ROW()&lt;=(Results!$C$1/2)+1,IF(B6&lt;=0,"",LN(B6)),"")</f>
        <v>5.4374853196122555</v>
      </c>
      <c r="D6" s="1">
        <f ca="1">IF(ROW()&lt;=(Results!$C$1/2)+1,INDEX(Data!$X:$X,CEILING((COUNTA(Data!$X:$X)-1)*RAND()+1,1)),"")</f>
        <v>48</v>
      </c>
      <c r="E6" s="1">
        <f ca="1">IF(ROW()&lt;=(Results!$C$1/2)+1,VLOOKUP($D6,Data!$X$2:$Y$117,2,TRUE),"")</f>
        <v>312.48787967961982</v>
      </c>
      <c r="F6" s="14">
        <f ca="1">IF(ROW()&lt;=(Results!$C$1/2)+1,IF(E6&lt;=0,"",LN(E6)),"")</f>
        <v>5.744565683399081</v>
      </c>
    </row>
    <row r="7" spans="1:6" x14ac:dyDescent="0.25">
      <c r="A7" s="1">
        <f ca="1">IF(ROW()&lt;=(Results!$C$1/2)+1,INDEX(Data!$V:$V,CEILING((COUNTA(Data!$V:$V)-1)*RAND()+1,1)),"")</f>
        <v>1</v>
      </c>
      <c r="B7" s="1">
        <f ca="1">IF(ROW()&lt;=(Results!$C$1/2)+1,VLOOKUP($A7,Data!$V$2:$W$117,2,TRUE),"")</f>
        <v>290.74539173652551</v>
      </c>
      <c r="C7" s="14">
        <f ca="1">IF(ROW()&lt;=(Results!$C$1/2)+1,IF(B7&lt;=0,"",LN(B7)),"")</f>
        <v>5.6724479416997386</v>
      </c>
      <c r="D7" s="1">
        <f ca="1">IF(ROW()&lt;=(Results!$C$1/2)+1,INDEX(Data!$X:$X,CEILING((COUNTA(Data!$X:$X)-1)*RAND()+1,1)),"")</f>
        <v>47</v>
      </c>
      <c r="E7" s="1">
        <f ca="1">IF(ROW()&lt;=(Results!$C$1/2)+1,VLOOKUP($D7,Data!$X$2:$Y$117,2,TRUE),"")</f>
        <v>394.64464694418126</v>
      </c>
      <c r="F7" s="14">
        <f ca="1">IF(ROW()&lt;=(Results!$C$1/2)+1,IF(E7&lt;=0,"",LN(E7)),"")</f>
        <v>5.9779857320035852</v>
      </c>
    </row>
    <row r="8" spans="1:6" x14ac:dyDescent="0.25">
      <c r="A8" s="1">
        <f ca="1">IF(ROW()&lt;=(Results!$C$1/2)+1,INDEX(Data!$V:$V,CEILING((COUNTA(Data!$V:$V)-1)*RAND()+1,1)),"")</f>
        <v>1</v>
      </c>
      <c r="B8" s="1">
        <f ca="1">IF(ROW()&lt;=(Results!$C$1/2)+1,VLOOKUP($A8,Data!$V$2:$W$117,2,TRUE),"")</f>
        <v>290.74539173652551</v>
      </c>
      <c r="C8" s="14">
        <f ca="1">IF(ROW()&lt;=(Results!$C$1/2)+1,IF(B8&lt;=0,"",LN(B8)),"")</f>
        <v>5.6724479416997386</v>
      </c>
      <c r="D8" s="1">
        <f ca="1">IF(ROW()&lt;=(Results!$C$1/2)+1,INDEX(Data!$X:$X,CEILING((COUNTA(Data!$X:$X)-1)*RAND()+1,1)),"")</f>
        <v>47</v>
      </c>
      <c r="E8" s="1">
        <f ca="1">IF(ROW()&lt;=(Results!$C$1/2)+1,VLOOKUP($D8,Data!$X$2:$Y$117,2,TRUE),"")</f>
        <v>394.64464694418126</v>
      </c>
      <c r="F8" s="14">
        <f ca="1">IF(ROW()&lt;=(Results!$C$1/2)+1,IF(E8&lt;=0,"",LN(E8)),"")</f>
        <v>5.9779857320035852</v>
      </c>
    </row>
    <row r="9" spans="1:6" x14ac:dyDescent="0.25">
      <c r="A9" s="1">
        <f ca="1">IF(ROW()&lt;=(Results!$C$1/2)+1,INDEX(Data!$V:$V,CEILING((COUNTA(Data!$V:$V)-1)*RAND()+1,1)),"")</f>
        <v>3</v>
      </c>
      <c r="B9" s="1">
        <f ca="1">IF(ROW()&lt;=(Results!$C$1/2)+1,VLOOKUP($A9,Data!$V$2:$W$117,2,TRUE),"")</f>
        <v>229.86342302513111</v>
      </c>
      <c r="C9" s="14">
        <f ca="1">IF(ROW()&lt;=(Results!$C$1/2)+1,IF(B9&lt;=0,"",LN(B9)),"")</f>
        <v>5.4374853196122555</v>
      </c>
      <c r="D9" s="1">
        <f ca="1">IF(ROW()&lt;=(Results!$C$1/2)+1,INDEX(Data!$X:$X,CEILING((COUNTA(Data!$X:$X)-1)*RAND()+1,1)),"")</f>
        <v>45</v>
      </c>
      <c r="E9" s="1">
        <f ca="1">IF(ROW()&lt;=(Results!$C$1/2)+1,VLOOKUP($D9,Data!$X$2:$Y$117,2,TRUE),"")</f>
        <v>312.53274473674549</v>
      </c>
      <c r="F9" s="14">
        <f ca="1">IF(ROW()&lt;=(Results!$C$1/2)+1,IF(E9&lt;=0,"",LN(E9)),"")</f>
        <v>5.7447092468446703</v>
      </c>
    </row>
    <row r="10" spans="1:6" x14ac:dyDescent="0.25">
      <c r="A10" s="1">
        <f ca="1">IF(ROW()&lt;=(Results!$C$1/2)+1,INDEX(Data!$V:$V,CEILING((COUNTA(Data!$V:$V)-1)*RAND()+1,1)),"")</f>
        <v>1</v>
      </c>
      <c r="B10" s="1">
        <f ca="1">IF(ROW()&lt;=(Results!$C$1/2)+1,VLOOKUP($A10,Data!$V$2:$W$117,2,TRUE),"")</f>
        <v>290.74539173652551</v>
      </c>
      <c r="C10" s="14">
        <f ca="1">IF(ROW()&lt;=(Results!$C$1/2)+1,IF(B10&lt;=0,"",LN(B10)),"")</f>
        <v>5.6724479416997386</v>
      </c>
      <c r="D10" s="1">
        <f ca="1">IF(ROW()&lt;=(Results!$C$1/2)+1,INDEX(Data!$X:$X,CEILING((COUNTA(Data!$X:$X)-1)*RAND()+1,1)),"")</f>
        <v>45</v>
      </c>
      <c r="E10" s="1">
        <f ca="1">IF(ROW()&lt;=(Results!$C$1/2)+1,VLOOKUP($D10,Data!$X$2:$Y$117,2,TRUE),"")</f>
        <v>312.53274473674549</v>
      </c>
      <c r="F10" s="14">
        <f ca="1">IF(ROW()&lt;=(Results!$C$1/2)+1,IF(E10&lt;=0,"",LN(E10)),"")</f>
        <v>5.7447092468446703</v>
      </c>
    </row>
    <row r="11" spans="1:6" x14ac:dyDescent="0.25">
      <c r="A11" s="1">
        <f ca="1">IF(ROW()&lt;=(Results!$C$1/2)+1,INDEX(Data!$V:$V,CEILING((COUNTA(Data!$V:$V)-1)*RAND()+1,1)),"")</f>
        <v>2</v>
      </c>
      <c r="B11" s="1">
        <f ca="1">IF(ROW()&lt;=(Results!$C$1/2)+1,VLOOKUP($A11,Data!$V$2:$W$117,2,TRUE),"")</f>
        <v>277.50177798351581</v>
      </c>
      <c r="C11" s="14">
        <f ca="1">IF(ROW()&lt;=(Results!$C$1/2)+1,IF(B11&lt;=0,"",LN(B11)),"")</f>
        <v>5.6258273403137684</v>
      </c>
      <c r="D11" s="1">
        <f ca="1">IF(ROW()&lt;=(Results!$C$1/2)+1,INDEX(Data!$X:$X,CEILING((COUNTA(Data!$X:$X)-1)*RAND()+1,1)),"")</f>
        <v>46</v>
      </c>
      <c r="E11" s="1">
        <f ca="1">IF(ROW()&lt;=(Results!$C$1/2)+1,VLOOKUP($D11,Data!$X$2:$Y$117,2,TRUE),"")</f>
        <v>432.34173823511372</v>
      </c>
      <c r="F11" s="14">
        <f ca="1">IF(ROW()&lt;=(Results!$C$1/2)+1,IF(E11&lt;=0,"",LN(E11)),"")</f>
        <v>6.0692163362499132</v>
      </c>
    </row>
    <row r="12" spans="1:6" x14ac:dyDescent="0.25">
      <c r="A12" s="1">
        <f ca="1">IF(ROW()&lt;=(Results!$C$1/2)+1,INDEX(Data!$V:$V,CEILING((COUNTA(Data!$V:$V)-1)*RAND()+1,1)),"")</f>
        <v>1</v>
      </c>
      <c r="B12" s="1">
        <f ca="1">IF(ROW()&lt;=(Results!$C$1/2)+1,VLOOKUP($A12,Data!$V$2:$W$117,2,TRUE),"")</f>
        <v>290.74539173652551</v>
      </c>
      <c r="C12" s="14">
        <f ca="1">IF(ROW()&lt;=(Results!$C$1/2)+1,IF(B12&lt;=0,"",LN(B12)),"")</f>
        <v>5.6724479416997386</v>
      </c>
      <c r="D12" s="1">
        <f ca="1">IF(ROW()&lt;=(Results!$C$1/2)+1,INDEX(Data!$X:$X,CEILING((COUNTA(Data!$X:$X)-1)*RAND()+1,1)),"")</f>
        <v>46</v>
      </c>
      <c r="E12" s="1">
        <f ca="1">IF(ROW()&lt;=(Results!$C$1/2)+1,VLOOKUP($D12,Data!$X$2:$Y$117,2,TRUE),"")</f>
        <v>432.34173823511372</v>
      </c>
      <c r="F12" s="14">
        <f ca="1">IF(ROW()&lt;=(Results!$C$1/2)+1,IF(E12&lt;=0,"",LN(E12)),"")</f>
        <v>6.0692163362499132</v>
      </c>
    </row>
    <row r="13" spans="1:6" x14ac:dyDescent="0.25">
      <c r="A13" s="1">
        <f ca="1">IF(ROW()&lt;=(Results!$C$1/2)+1,INDEX(Data!$V:$V,CEILING((COUNTA(Data!$V:$V)-1)*RAND()+1,1)),"")</f>
        <v>3</v>
      </c>
      <c r="B13" s="1">
        <f ca="1">IF(ROW()&lt;=(Results!$C$1/2)+1,VLOOKUP($A13,Data!$V$2:$W$117,2,TRUE),"")</f>
        <v>229.86342302513111</v>
      </c>
      <c r="C13" s="14">
        <f ca="1">IF(ROW()&lt;=(Results!$C$1/2)+1,IF(B13&lt;=0,"",LN(B13)),"")</f>
        <v>5.4374853196122555</v>
      </c>
      <c r="D13" s="1">
        <f ca="1">IF(ROW()&lt;=(Results!$C$1/2)+1,INDEX(Data!$X:$X,CEILING((COUNTA(Data!$X:$X)-1)*RAND()+1,1)),"")</f>
        <v>48</v>
      </c>
      <c r="E13" s="1">
        <f ca="1">IF(ROW()&lt;=(Results!$C$1/2)+1,VLOOKUP($D13,Data!$X$2:$Y$117,2,TRUE),"")</f>
        <v>312.48787967961982</v>
      </c>
      <c r="F13" s="14">
        <f ca="1">IF(ROW()&lt;=(Results!$C$1/2)+1,IF(E13&lt;=0,"",LN(E13)),"")</f>
        <v>5.744565683399081</v>
      </c>
    </row>
    <row r="14" spans="1:6" x14ac:dyDescent="0.25">
      <c r="A14" s="1">
        <f ca="1">IF(ROW()&lt;=(Results!$C$1/2)+1,INDEX(Data!$V:$V,CEILING((COUNTA(Data!$V:$V)-1)*RAND()+1,1)),"")</f>
        <v>4</v>
      </c>
      <c r="B14" s="1">
        <f ca="1">IF(ROW()&lt;=(Results!$C$1/2)+1,VLOOKUP($A14,Data!$V$2:$W$117,2,TRUE),"")</f>
        <v>362.58786668792118</v>
      </c>
      <c r="C14" s="14">
        <f ca="1">IF(ROW()&lt;=(Results!$C$1/2)+1,IF(B14&lt;=0,"",LN(B14)),"")</f>
        <v>5.8932668357860409</v>
      </c>
      <c r="D14" s="1">
        <f ca="1">IF(ROW()&lt;=(Results!$C$1/2)+1,INDEX(Data!$X:$X,CEILING((COUNTA(Data!$X:$X)-1)*RAND()+1,1)),"")</f>
        <v>47</v>
      </c>
      <c r="E14" s="1">
        <f ca="1">IF(ROW()&lt;=(Results!$C$1/2)+1,VLOOKUP($D14,Data!$X$2:$Y$117,2,TRUE),"")</f>
        <v>394.64464694418126</v>
      </c>
      <c r="F14" s="14">
        <f ca="1">IF(ROW()&lt;=(Results!$C$1/2)+1,IF(E14&lt;=0,"",LN(E14)),"")</f>
        <v>5.9779857320035852</v>
      </c>
    </row>
    <row r="15" spans="1:6" x14ac:dyDescent="0.25">
      <c r="A15" s="1">
        <f ca="1">IF(ROW()&lt;=(Results!$C$1/2)+1,INDEX(Data!$V:$V,CEILING((COUNTA(Data!$V:$V)-1)*RAND()+1,1)),"")</f>
        <v>1</v>
      </c>
      <c r="B15" s="1">
        <f ca="1">IF(ROW()&lt;=(Results!$C$1/2)+1,VLOOKUP($A15,Data!$V$2:$W$117,2,TRUE),"")</f>
        <v>290.74539173652551</v>
      </c>
      <c r="C15" s="14">
        <f ca="1">IF(ROW()&lt;=(Results!$C$1/2)+1,IF(B15&lt;=0,"",LN(B15)),"")</f>
        <v>5.6724479416997386</v>
      </c>
      <c r="D15" s="1">
        <f ca="1">IF(ROW()&lt;=(Results!$C$1/2)+1,INDEX(Data!$X:$X,CEILING((COUNTA(Data!$X:$X)-1)*RAND()+1,1)),"")</f>
        <v>47</v>
      </c>
      <c r="E15" s="1">
        <f ca="1">IF(ROW()&lt;=(Results!$C$1/2)+1,VLOOKUP($D15,Data!$X$2:$Y$117,2,TRUE),"")</f>
        <v>394.64464694418126</v>
      </c>
      <c r="F15" s="14">
        <f ca="1">IF(ROW()&lt;=(Results!$C$1/2)+1,IF(E15&lt;=0,"",LN(E15)),"")</f>
        <v>5.9779857320035852</v>
      </c>
    </row>
    <row r="16" spans="1:6" x14ac:dyDescent="0.25">
      <c r="A16" s="1">
        <f ca="1">IF(ROW()&lt;=(Results!$C$1/2)+1,INDEX(Data!$V:$V,CEILING((COUNTA(Data!$V:$V)-1)*RAND()+1,1)),"")</f>
        <v>2</v>
      </c>
      <c r="B16" s="1">
        <f ca="1">IF(ROW()&lt;=(Results!$C$1/2)+1,VLOOKUP($A16,Data!$V$2:$W$117,2,TRUE),"")</f>
        <v>277.50177798351581</v>
      </c>
      <c r="C16" s="14">
        <f ca="1">IF(ROW()&lt;=(Results!$C$1/2)+1,IF(B16&lt;=0,"",LN(B16)),"")</f>
        <v>5.6258273403137684</v>
      </c>
      <c r="D16" s="1">
        <f ca="1">IF(ROW()&lt;=(Results!$C$1/2)+1,INDEX(Data!$X:$X,CEILING((COUNTA(Data!$X:$X)-1)*RAND()+1,1)),"")</f>
        <v>48</v>
      </c>
      <c r="E16" s="1">
        <f ca="1">IF(ROW()&lt;=(Results!$C$1/2)+1,VLOOKUP($D16,Data!$X$2:$Y$117,2,TRUE),"")</f>
        <v>312.48787967961982</v>
      </c>
      <c r="F16" s="14">
        <f ca="1">IF(ROW()&lt;=(Results!$C$1/2)+1,IF(E16&lt;=0,"",LN(E16)),"")</f>
        <v>5.744565683399081</v>
      </c>
    </row>
    <row r="17" spans="1:6" x14ac:dyDescent="0.25">
      <c r="A17" s="1">
        <f ca="1">IF(ROW()&lt;=(Results!$C$1/2)+1,INDEX(Data!$V:$V,CEILING((COUNTA(Data!$V:$V)-1)*RAND()+1,1)),"")</f>
        <v>2</v>
      </c>
      <c r="B17" s="1">
        <f ca="1">IF(ROW()&lt;=(Results!$C$1/2)+1,VLOOKUP($A17,Data!$V$2:$W$117,2,TRUE),"")</f>
        <v>277.50177798351581</v>
      </c>
      <c r="C17" s="14">
        <f ca="1">IF(ROW()&lt;=(Results!$C$1/2)+1,IF(B17&lt;=0,"",LN(B17)),"")</f>
        <v>5.6258273403137684</v>
      </c>
      <c r="D17" s="1">
        <f ca="1">IF(ROW()&lt;=(Results!$C$1/2)+1,INDEX(Data!$X:$X,CEILING((COUNTA(Data!$X:$X)-1)*RAND()+1,1)),"")</f>
        <v>46</v>
      </c>
      <c r="E17" s="1">
        <f ca="1">IF(ROW()&lt;=(Results!$C$1/2)+1,VLOOKUP($D17,Data!$X$2:$Y$117,2,TRUE),"")</f>
        <v>432.34173823511372</v>
      </c>
      <c r="F17" s="14">
        <f ca="1">IF(ROW()&lt;=(Results!$C$1/2)+1,IF(E17&lt;=0,"",LN(E17)),"")</f>
        <v>6.0692163362499132</v>
      </c>
    </row>
    <row r="18" spans="1:6" x14ac:dyDescent="0.25">
      <c r="A18" s="1">
        <f ca="1">IF(ROW()&lt;=(Results!$C$1/2)+1,INDEX(Data!$V:$V,CEILING((COUNTA(Data!$V:$V)-1)*RAND()+1,1)),"")</f>
        <v>1</v>
      </c>
      <c r="B18" s="1">
        <f ca="1">IF(ROW()&lt;=(Results!$C$1/2)+1,VLOOKUP($A18,Data!$V$2:$W$117,2,TRUE),"")</f>
        <v>290.74539173652551</v>
      </c>
      <c r="C18" s="14">
        <f ca="1">IF(ROW()&lt;=(Results!$C$1/2)+1,IF(B18&lt;=0,"",LN(B18)),"")</f>
        <v>5.6724479416997386</v>
      </c>
      <c r="D18" s="1">
        <f ca="1">IF(ROW()&lt;=(Results!$C$1/2)+1,INDEX(Data!$X:$X,CEILING((COUNTA(Data!$X:$X)-1)*RAND()+1,1)),"")</f>
        <v>46</v>
      </c>
      <c r="E18" s="1">
        <f ca="1">IF(ROW()&lt;=(Results!$C$1/2)+1,VLOOKUP($D18,Data!$X$2:$Y$117,2,TRUE),"")</f>
        <v>432.34173823511372</v>
      </c>
      <c r="F18" s="14">
        <f ca="1">IF(ROW()&lt;=(Results!$C$1/2)+1,IF(E18&lt;=0,"",LN(E18)),"")</f>
        <v>6.0692163362499132</v>
      </c>
    </row>
    <row r="19" spans="1:6" x14ac:dyDescent="0.25">
      <c r="A19" s="1">
        <f ca="1">IF(ROW()&lt;=(Results!$C$1/2)+1,INDEX(Data!$V:$V,CEILING((COUNTA(Data!$V:$V)-1)*RAND()+1,1)),"")</f>
        <v>1</v>
      </c>
      <c r="B19" s="1">
        <f ca="1">IF(ROW()&lt;=(Results!$C$1/2)+1,VLOOKUP($A19,Data!$V$2:$W$117,2,TRUE),"")</f>
        <v>290.74539173652551</v>
      </c>
      <c r="C19" s="14">
        <f ca="1">IF(ROW()&lt;=(Results!$C$1/2)+1,IF(B19&lt;=0,"",LN(B19)),"")</f>
        <v>5.6724479416997386</v>
      </c>
      <c r="D19" s="1">
        <f ca="1">IF(ROW()&lt;=(Results!$C$1/2)+1,INDEX(Data!$X:$X,CEILING((COUNTA(Data!$X:$X)-1)*RAND()+1,1)),"")</f>
        <v>48</v>
      </c>
      <c r="E19" s="1">
        <f ca="1">IF(ROW()&lt;=(Results!$C$1/2)+1,VLOOKUP($D19,Data!$X$2:$Y$117,2,TRUE),"")</f>
        <v>312.48787967961982</v>
      </c>
      <c r="F19" s="14">
        <f ca="1">IF(ROW()&lt;=(Results!$C$1/2)+1,IF(E19&lt;=0,"",LN(E19)),"")</f>
        <v>5.744565683399081</v>
      </c>
    </row>
    <row r="20" spans="1:6" x14ac:dyDescent="0.25">
      <c r="A20" s="1">
        <f ca="1">IF(ROW()&lt;=(Results!$C$1/2)+1,INDEX(Data!$V:$V,CEILING((COUNTA(Data!$V:$V)-1)*RAND()+1,1)),"")</f>
        <v>3</v>
      </c>
      <c r="B20" s="1">
        <f ca="1">IF(ROW()&lt;=(Results!$C$1/2)+1,VLOOKUP($A20,Data!$V$2:$W$117,2,TRUE),"")</f>
        <v>229.86342302513111</v>
      </c>
      <c r="C20" s="14">
        <f ca="1">IF(ROW()&lt;=(Results!$C$1/2)+1,IF(B20&lt;=0,"",LN(B20)),"")</f>
        <v>5.4374853196122555</v>
      </c>
      <c r="D20" s="1">
        <f ca="1">IF(ROW()&lt;=(Results!$C$1/2)+1,INDEX(Data!$X:$X,CEILING((COUNTA(Data!$X:$X)-1)*RAND()+1,1)),"")</f>
        <v>45</v>
      </c>
      <c r="E20" s="1">
        <f ca="1">IF(ROW()&lt;=(Results!$C$1/2)+1,VLOOKUP($D20,Data!$X$2:$Y$117,2,TRUE),"")</f>
        <v>312.53274473674549</v>
      </c>
      <c r="F20" s="14">
        <f ca="1">IF(ROW()&lt;=(Results!$C$1/2)+1,IF(E20&lt;=0,"",LN(E20)),"")</f>
        <v>5.7447092468446703</v>
      </c>
    </row>
    <row r="21" spans="1:6" x14ac:dyDescent="0.25">
      <c r="A21" s="1">
        <f ca="1">IF(ROW()&lt;=(Results!$C$1/2)+1,INDEX(Data!$V:$V,CEILING((COUNTA(Data!$V:$V)-1)*RAND()+1,1)),"")</f>
        <v>1</v>
      </c>
      <c r="B21" s="1">
        <f ca="1">IF(ROW()&lt;=(Results!$C$1/2)+1,VLOOKUP($A21,Data!$V$2:$W$117,2,TRUE),"")</f>
        <v>290.74539173652551</v>
      </c>
      <c r="C21" s="14">
        <f ca="1">IF(ROW()&lt;=(Results!$C$1/2)+1,IF(B21&lt;=0,"",LN(B21)),"")</f>
        <v>5.6724479416997386</v>
      </c>
      <c r="D21" s="1">
        <f ca="1">IF(ROW()&lt;=(Results!$C$1/2)+1,INDEX(Data!$X:$X,CEILING((COUNTA(Data!$X:$X)-1)*RAND()+1,1)),"")</f>
        <v>45</v>
      </c>
      <c r="E21" s="1">
        <f ca="1">IF(ROW()&lt;=(Results!$C$1/2)+1,VLOOKUP($D21,Data!$X$2:$Y$117,2,TRUE),"")</f>
        <v>312.53274473674549</v>
      </c>
      <c r="F21" s="14">
        <f ca="1">IF(ROW()&lt;=(Results!$C$1/2)+1,IF(E21&lt;=0,"",LN(E21)),"")</f>
        <v>5.7447092468446703</v>
      </c>
    </row>
    <row r="22" spans="1:6" x14ac:dyDescent="0.25">
      <c r="A22" s="1">
        <f ca="1">IF(ROW()&lt;=(Results!$C$1/2)+1,INDEX(Data!$V:$V,CEILING((COUNTA(Data!$V:$V)-1)*RAND()+1,1)),"")</f>
        <v>2</v>
      </c>
      <c r="B22" s="1">
        <f ca="1">IF(ROW()&lt;=(Results!$C$1/2)+1,VLOOKUP($A22,Data!$V$2:$W$117,2,TRUE),"")</f>
        <v>277.50177798351581</v>
      </c>
      <c r="C22" s="14">
        <f ca="1">IF(ROW()&lt;=(Results!$C$1/2)+1,IF(B22&lt;=0,"",LN(B22)),"")</f>
        <v>5.6258273403137684</v>
      </c>
      <c r="D22" s="1">
        <f ca="1">IF(ROW()&lt;=(Results!$C$1/2)+1,INDEX(Data!$X:$X,CEILING((COUNTA(Data!$X:$X)-1)*RAND()+1,1)),"")</f>
        <v>47</v>
      </c>
      <c r="E22" s="1">
        <f ca="1">IF(ROW()&lt;=(Results!$C$1/2)+1,VLOOKUP($D22,Data!$X$2:$Y$117,2,TRUE),"")</f>
        <v>394.64464694418126</v>
      </c>
      <c r="F22" s="14">
        <f ca="1">IF(ROW()&lt;=(Results!$C$1/2)+1,IF(E22&lt;=0,"",LN(E22)),"")</f>
        <v>5.9779857320035852</v>
      </c>
    </row>
    <row r="23" spans="1:6" x14ac:dyDescent="0.25">
      <c r="A23" s="1">
        <f ca="1">IF(ROW()&lt;=(Results!$C$1/2)+1,INDEX(Data!$V:$V,CEILING((COUNTA(Data!$V:$V)-1)*RAND()+1,1)),"")</f>
        <v>3</v>
      </c>
      <c r="B23" s="1">
        <f ca="1">IF(ROW()&lt;=(Results!$C$1/2)+1,VLOOKUP($A23,Data!$V$2:$W$117,2,TRUE),"")</f>
        <v>229.86342302513111</v>
      </c>
      <c r="C23" s="14">
        <f ca="1">IF(ROW()&lt;=(Results!$C$1/2)+1,IF(B23&lt;=0,"",LN(B23)),"")</f>
        <v>5.4374853196122555</v>
      </c>
      <c r="D23" s="1">
        <f ca="1">IF(ROW()&lt;=(Results!$C$1/2)+1,INDEX(Data!$X:$X,CEILING((COUNTA(Data!$X:$X)-1)*RAND()+1,1)),"")</f>
        <v>48</v>
      </c>
      <c r="E23" s="1">
        <f ca="1">IF(ROW()&lt;=(Results!$C$1/2)+1,VLOOKUP($D23,Data!$X$2:$Y$117,2,TRUE),"")</f>
        <v>312.48787967961982</v>
      </c>
      <c r="F23" s="14">
        <f ca="1">IF(ROW()&lt;=(Results!$C$1/2)+1,IF(E23&lt;=0,"",LN(E23)),"")</f>
        <v>5.744565683399081</v>
      </c>
    </row>
    <row r="24" spans="1:6" x14ac:dyDescent="0.25">
      <c r="A24" s="1">
        <f ca="1">IF(ROW()&lt;=(Results!$C$1/2)+1,INDEX(Data!$V:$V,CEILING((COUNTA(Data!$V:$V)-1)*RAND()+1,1)),"")</f>
        <v>4</v>
      </c>
      <c r="B24" s="1">
        <f ca="1">IF(ROW()&lt;=(Results!$C$1/2)+1,VLOOKUP($A24,Data!$V$2:$W$117,2,TRUE),"")</f>
        <v>362.58786668792118</v>
      </c>
      <c r="C24" s="14">
        <f ca="1">IF(ROW()&lt;=(Results!$C$1/2)+1,IF(B24&lt;=0,"",LN(B24)),"")</f>
        <v>5.8932668357860409</v>
      </c>
      <c r="D24" s="1">
        <f ca="1">IF(ROW()&lt;=(Results!$C$1/2)+1,INDEX(Data!$X:$X,CEILING((COUNTA(Data!$X:$X)-1)*RAND()+1,1)),"")</f>
        <v>45</v>
      </c>
      <c r="E24" s="1">
        <f ca="1">IF(ROW()&lt;=(Results!$C$1/2)+1,VLOOKUP($D24,Data!$X$2:$Y$117,2,TRUE),"")</f>
        <v>312.53274473674549</v>
      </c>
      <c r="F24" s="14">
        <f ca="1">IF(ROW()&lt;=(Results!$C$1/2)+1,IF(E24&lt;=0,"",LN(E24)),"")</f>
        <v>5.7447092468446703</v>
      </c>
    </row>
    <row r="25" spans="1:6" x14ac:dyDescent="0.25">
      <c r="A25" s="1">
        <f ca="1">IF(ROW()&lt;=(Results!$C$1/2)+1,INDEX(Data!$V:$V,CEILING((COUNTA(Data!$V:$V)-1)*RAND()+1,1)),"")</f>
        <v>2</v>
      </c>
      <c r="B25" s="1">
        <f ca="1">IF(ROW()&lt;=(Results!$C$1/2)+1,VLOOKUP($A25,Data!$V$2:$W$117,2,TRUE),"")</f>
        <v>277.50177798351581</v>
      </c>
      <c r="C25" s="14">
        <f ca="1">IF(ROW()&lt;=(Results!$C$1/2)+1,IF(B25&lt;=0,"",LN(B25)),"")</f>
        <v>5.6258273403137684</v>
      </c>
      <c r="D25" s="1">
        <f ca="1">IF(ROW()&lt;=(Results!$C$1/2)+1,INDEX(Data!$X:$X,CEILING((COUNTA(Data!$X:$X)-1)*RAND()+1,1)),"")</f>
        <v>48</v>
      </c>
      <c r="E25" s="1">
        <f ca="1">IF(ROW()&lt;=(Results!$C$1/2)+1,VLOOKUP($D25,Data!$X$2:$Y$117,2,TRUE),"")</f>
        <v>312.48787967961982</v>
      </c>
      <c r="F25" s="14">
        <f ca="1">IF(ROW()&lt;=(Results!$C$1/2)+1,IF(E25&lt;=0,"",LN(E25)),"")</f>
        <v>5.744565683399081</v>
      </c>
    </row>
    <row r="26" spans="1:6" x14ac:dyDescent="0.25">
      <c r="A26" s="1">
        <f ca="1">IF(ROW()&lt;=(Results!$C$1/2)+1,INDEX(Data!$V:$V,CEILING((COUNTA(Data!$V:$V)-1)*RAND()+1,1)),"")</f>
        <v>3</v>
      </c>
      <c r="B26" s="1">
        <f ca="1">IF(ROW()&lt;=(Results!$C$1/2)+1,VLOOKUP($A26,Data!$V$2:$W$117,2,TRUE),"")</f>
        <v>229.86342302513111</v>
      </c>
      <c r="C26" s="14">
        <f ca="1">IF(ROW()&lt;=(Results!$C$1/2)+1,IF(B26&lt;=0,"",LN(B26)),"")</f>
        <v>5.4374853196122555</v>
      </c>
      <c r="D26" s="1">
        <f ca="1">IF(ROW()&lt;=(Results!$C$1/2)+1,INDEX(Data!$X:$X,CEILING((COUNTA(Data!$X:$X)-1)*RAND()+1,1)),"")</f>
        <v>45</v>
      </c>
      <c r="E26" s="1">
        <f ca="1">IF(ROW()&lt;=(Results!$C$1/2)+1,VLOOKUP($D26,Data!$X$2:$Y$117,2,TRUE),"")</f>
        <v>312.53274473674549</v>
      </c>
      <c r="F26" s="14">
        <f ca="1">IF(ROW()&lt;=(Results!$C$1/2)+1,IF(E26&lt;=0,"",LN(E26)),"")</f>
        <v>5.7447092468446703</v>
      </c>
    </row>
    <row r="27" spans="1:6" x14ac:dyDescent="0.25">
      <c r="A27" s="1" t="str">
        <f ca="1">IF(ROW()&lt;=(Results!$C$1/2)+1,INDEX(Data!$V:$V,CEILING((COUNTA(Data!$V:$V)-1)*RAND()+1,1)),"")</f>
        <v/>
      </c>
      <c r="B27" s="1" t="str">
        <f>IF(ROW()&lt;=(Results!$C$1/2)+1,VLOOKUP($A27,Data!$V$2:$W$117,2,TRUE),"")</f>
        <v/>
      </c>
      <c r="C27" s="14" t="str">
        <f>IF(ROW()&lt;=(Results!$C$1/2)+1,IF(B27&lt;=0,"",LN(B27)),"")</f>
        <v/>
      </c>
      <c r="D27" s="1" t="str">
        <f ca="1">IF(ROW()&lt;=(Results!$C$1/2)+1,INDEX(Data!$X:$X,CEILING((COUNTA(Data!$X:$X)-1)*RAND()+1,1)),"")</f>
        <v/>
      </c>
      <c r="E27" s="1" t="str">
        <f>IF(ROW()&lt;=(Results!$C$1/2)+1,VLOOKUP($D27,Data!$X$2:$Y$117,2,TRUE),"")</f>
        <v/>
      </c>
      <c r="F27" s="14" t="str">
        <f>IF(ROW()&lt;=(Results!$C$1/2)+1,IF(E27&lt;=0,"",LN(E27)),"")</f>
        <v/>
      </c>
    </row>
    <row r="28" spans="1:6" x14ac:dyDescent="0.25">
      <c r="A28" s="1" t="str">
        <f ca="1">IF(ROW()&lt;=(Results!$C$1/2)+1,INDEX(Data!$V:$V,CEILING((COUNTA(Data!$V:$V)-1)*RAND()+1,1)),"")</f>
        <v/>
      </c>
      <c r="B28" s="1" t="str">
        <f>IF(ROW()&lt;=(Results!$C$1/2)+1,VLOOKUP($A28,Data!$V$2:$W$117,2,TRUE),"")</f>
        <v/>
      </c>
      <c r="C28" s="14" t="str">
        <f>IF(ROW()&lt;=(Results!$C$1/2)+1,IF(B28&lt;=0,"",LN(B28)),"")</f>
        <v/>
      </c>
      <c r="D28" s="1" t="str">
        <f ca="1">IF(ROW()&lt;=(Results!$C$1/2)+1,INDEX(Data!$X:$X,CEILING((COUNTA(Data!$X:$X)-1)*RAND()+1,1)),"")</f>
        <v/>
      </c>
      <c r="E28" s="1" t="str">
        <f>IF(ROW()&lt;=(Results!$C$1/2)+1,VLOOKUP($D28,Data!$X$2:$Y$117,2,TRUE),"")</f>
        <v/>
      </c>
      <c r="F28" s="14" t="str">
        <f>IF(ROW()&lt;=(Results!$C$1/2)+1,IF(E28&lt;=0,"",LN(E28)),"")</f>
        <v/>
      </c>
    </row>
    <row r="29" spans="1:6" x14ac:dyDescent="0.25">
      <c r="A29" s="1" t="str">
        <f ca="1">IF(ROW()&lt;=(Results!$C$1/2)+1,INDEX(Data!$V:$V,CEILING((COUNTA(Data!$V:$V)-1)*RAND()+1,1)),"")</f>
        <v/>
      </c>
      <c r="B29" s="1" t="str">
        <f>IF(ROW()&lt;=(Results!$C$1/2)+1,VLOOKUP($A29,Data!$V$2:$W$117,2,TRUE),"")</f>
        <v/>
      </c>
      <c r="C29" s="14" t="str">
        <f>IF(ROW()&lt;=(Results!$C$1/2)+1,IF(B29&lt;=0,"",LN(B29)),"")</f>
        <v/>
      </c>
      <c r="D29" s="1" t="str">
        <f ca="1">IF(ROW()&lt;=(Results!$C$1/2)+1,INDEX(Data!$X:$X,CEILING((COUNTA(Data!$X:$X)-1)*RAND()+1,1)),"")</f>
        <v/>
      </c>
      <c r="E29" s="1" t="str">
        <f>IF(ROW()&lt;=(Results!$C$1/2)+1,VLOOKUP($D29,Data!$X$2:$Y$117,2,TRUE),"")</f>
        <v/>
      </c>
      <c r="F29" s="14" t="str">
        <f>IF(ROW()&lt;=(Results!$C$1/2)+1,IF(E29&lt;=0,"",LN(E29)),"")</f>
        <v/>
      </c>
    </row>
    <row r="30" spans="1:6" x14ac:dyDescent="0.25">
      <c r="A30" s="1" t="str">
        <f ca="1">IF(ROW()&lt;=(Results!$C$1/2)+1,INDEX(Data!$V:$V,CEILING((COUNTA(Data!$V:$V)-1)*RAND()+1,1)),"")</f>
        <v/>
      </c>
      <c r="B30" s="1" t="str">
        <f>IF(ROW()&lt;=(Results!$C$1/2)+1,VLOOKUP($A30,Data!$V$2:$W$117,2,TRUE),"")</f>
        <v/>
      </c>
      <c r="C30" s="14" t="str">
        <f>IF(ROW()&lt;=(Results!$C$1/2)+1,IF(B30&lt;=0,"",LN(B30)),"")</f>
        <v/>
      </c>
      <c r="D30" s="1" t="str">
        <f ca="1">IF(ROW()&lt;=(Results!$C$1/2)+1,INDEX(Data!$X:$X,CEILING((COUNTA(Data!$X:$X)-1)*RAND()+1,1)),"")</f>
        <v/>
      </c>
      <c r="E30" s="1" t="str">
        <f>IF(ROW()&lt;=(Results!$C$1/2)+1,VLOOKUP($D30,Data!$X$2:$Y$117,2,TRUE),"")</f>
        <v/>
      </c>
      <c r="F30" s="14" t="str">
        <f>IF(ROW()&lt;=(Results!$C$1/2)+1,IF(E30&lt;=0,"",LN(E30)),"")</f>
        <v/>
      </c>
    </row>
    <row r="31" spans="1:6" x14ac:dyDescent="0.25">
      <c r="A31" s="1" t="str">
        <f ca="1">IF(ROW()&lt;=(Results!$C$1/2)+1,INDEX(Data!$V:$V,CEILING((COUNTA(Data!$V:$V)-1)*RAND()+1,1)),"")</f>
        <v/>
      </c>
      <c r="B31" s="1" t="str">
        <f>IF(ROW()&lt;=(Results!$C$1/2)+1,VLOOKUP($A31,Data!$V$2:$W$117,2,TRUE),"")</f>
        <v/>
      </c>
      <c r="C31" s="14" t="str">
        <f>IF(ROW()&lt;=(Results!$C$1/2)+1,IF(B31&lt;=0,"",LN(B31)),"")</f>
        <v/>
      </c>
      <c r="D31" s="1" t="str">
        <f ca="1">IF(ROW()&lt;=(Results!$C$1/2)+1,INDEX(Data!$X:$X,CEILING((COUNTA(Data!$X:$X)-1)*RAND()+1,1)),"")</f>
        <v/>
      </c>
      <c r="E31" s="1" t="str">
        <f>IF(ROW()&lt;=(Results!$C$1/2)+1,VLOOKUP($D31,Data!$X$2:$Y$117,2,TRUE),"")</f>
        <v/>
      </c>
      <c r="F31" s="14" t="str">
        <f>IF(ROW()&lt;=(Results!$C$1/2)+1,IF(E31&lt;=0,"",LN(E31)),"")</f>
        <v/>
      </c>
    </row>
    <row r="32" spans="1:6" x14ac:dyDescent="0.25">
      <c r="A32" s="1" t="str">
        <f ca="1">IF(ROW()&lt;=(Results!$C$1/2)+1,INDEX(Data!$V:$V,CEILING((COUNTA(Data!$V:$V)-1)*RAND()+1,1)),"")</f>
        <v/>
      </c>
      <c r="B32" s="1" t="str">
        <f>IF(ROW()&lt;=(Results!$C$1/2)+1,VLOOKUP($A32,Data!$V$2:$W$117,2,TRUE),"")</f>
        <v/>
      </c>
      <c r="C32" s="14" t="str">
        <f>IF(ROW()&lt;=(Results!$C$1/2)+1,IF(B32&lt;=0,"",LN(B32)),"")</f>
        <v/>
      </c>
      <c r="D32" s="1" t="str">
        <f ca="1">IF(ROW()&lt;=(Results!$C$1/2)+1,INDEX(Data!$X:$X,CEILING((COUNTA(Data!$X:$X)-1)*RAND()+1,1)),"")</f>
        <v/>
      </c>
      <c r="E32" s="1" t="str">
        <f>IF(ROW()&lt;=(Results!$C$1/2)+1,VLOOKUP($D32,Data!$X$2:$Y$117,2,TRUE),"")</f>
        <v/>
      </c>
      <c r="F32" s="14" t="str">
        <f>IF(ROW()&lt;=(Results!$C$1/2)+1,IF(E32&lt;=0,"",LN(E32)),"")</f>
        <v/>
      </c>
    </row>
    <row r="33" spans="1:6" x14ac:dyDescent="0.25">
      <c r="A33" s="1" t="str">
        <f ca="1">IF(ROW()&lt;=(Results!$C$1/2)+1,INDEX(Data!$V:$V,CEILING((COUNTA(Data!$V:$V)-1)*RAND()+1,1)),"")</f>
        <v/>
      </c>
      <c r="B33" s="1" t="str">
        <f>IF(ROW()&lt;=(Results!$C$1/2)+1,VLOOKUP($A33,Data!$V$2:$W$117,2,TRUE),"")</f>
        <v/>
      </c>
      <c r="C33" s="14" t="str">
        <f>IF(ROW()&lt;=(Results!$C$1/2)+1,IF(B33&lt;=0,"",LN(B33)),"")</f>
        <v/>
      </c>
      <c r="D33" s="1" t="str">
        <f ca="1">IF(ROW()&lt;=(Results!$C$1/2)+1,INDEX(Data!$X:$X,CEILING((COUNTA(Data!$X:$X)-1)*RAND()+1,1)),"")</f>
        <v/>
      </c>
      <c r="E33" s="1" t="str">
        <f>IF(ROW()&lt;=(Results!$C$1/2)+1,VLOOKUP($D33,Data!$X$2:$Y$117,2,TRUE),"")</f>
        <v/>
      </c>
      <c r="F33" s="14" t="str">
        <f>IF(ROW()&lt;=(Results!$C$1/2)+1,IF(E33&lt;=0,"",LN(E33)),"")</f>
        <v/>
      </c>
    </row>
    <row r="34" spans="1:6" x14ac:dyDescent="0.25">
      <c r="A34" s="1" t="str">
        <f ca="1">IF(ROW()&lt;=(Results!$C$1/2)+1,INDEX(Data!$V:$V,CEILING((COUNTA(Data!$V:$V)-1)*RAND()+1,1)),"")</f>
        <v/>
      </c>
      <c r="B34" s="1" t="str">
        <f>IF(ROW()&lt;=(Results!$C$1/2)+1,VLOOKUP($A34,Data!$V$2:$W$117,2,TRUE),"")</f>
        <v/>
      </c>
      <c r="C34" s="14" t="str">
        <f>IF(ROW()&lt;=(Results!$C$1/2)+1,IF(B34&lt;=0,"",LN(B34)),"")</f>
        <v/>
      </c>
      <c r="D34" s="1" t="str">
        <f ca="1">IF(ROW()&lt;=(Results!$C$1/2)+1,INDEX(Data!$X:$X,CEILING((COUNTA(Data!$X:$X)-1)*RAND()+1,1)),"")</f>
        <v/>
      </c>
      <c r="E34" s="1" t="str">
        <f>IF(ROW()&lt;=(Results!$C$1/2)+1,VLOOKUP($D34,Data!$X$2:$Y$117,2,TRUE),"")</f>
        <v/>
      </c>
      <c r="F34" s="14" t="str">
        <f>IF(ROW()&lt;=(Results!$C$1/2)+1,IF(E34&lt;=0,"",LN(E34)),"")</f>
        <v/>
      </c>
    </row>
    <row r="35" spans="1:6" x14ac:dyDescent="0.25">
      <c r="A35" s="1" t="str">
        <f ca="1">IF(ROW()&lt;=(Results!$C$1/2)+1,INDEX(Data!$V:$V,CEILING((COUNTA(Data!$V:$V)-1)*RAND()+1,1)),"")</f>
        <v/>
      </c>
      <c r="B35" s="1" t="str">
        <f>IF(ROW()&lt;=(Results!$C$1/2)+1,VLOOKUP($A35,Data!$V$2:$W$117,2,TRUE),"")</f>
        <v/>
      </c>
      <c r="C35" s="14" t="str">
        <f>IF(ROW()&lt;=(Results!$C$1/2)+1,IF(B35&lt;=0,"",LN(B35)),"")</f>
        <v/>
      </c>
      <c r="D35" s="1" t="str">
        <f ca="1">IF(ROW()&lt;=(Results!$C$1/2)+1,INDEX(Data!$X:$X,CEILING((COUNTA(Data!$X:$X)-1)*RAND()+1,1)),"")</f>
        <v/>
      </c>
      <c r="E35" s="1" t="str">
        <f>IF(ROW()&lt;=(Results!$C$1/2)+1,VLOOKUP($D35,Data!$X$2:$Y$117,2,TRUE),"")</f>
        <v/>
      </c>
      <c r="F35" s="14" t="str">
        <f>IF(ROW()&lt;=(Results!$C$1/2)+1,IF(E35&lt;=0,"",LN(E35)),"")</f>
        <v/>
      </c>
    </row>
    <row r="36" spans="1:6" x14ac:dyDescent="0.25">
      <c r="A36" s="1" t="str">
        <f ca="1">IF(ROW()&lt;=(Results!$C$1/2)+1,INDEX(Data!$V:$V,CEILING((COUNTA(Data!$V:$V)-1)*RAND()+1,1)),"")</f>
        <v/>
      </c>
      <c r="B36" s="1" t="str">
        <f>IF(ROW()&lt;=(Results!$C$1/2)+1,VLOOKUP($A36,Data!$V$2:$W$117,2,TRUE),"")</f>
        <v/>
      </c>
      <c r="C36" s="14" t="str">
        <f>IF(ROW()&lt;=(Results!$C$1/2)+1,IF(B36&lt;=0,"",LN(B36)),"")</f>
        <v/>
      </c>
      <c r="D36" s="1" t="str">
        <f ca="1">IF(ROW()&lt;=(Results!$C$1/2)+1,INDEX(Data!$X:$X,CEILING((COUNTA(Data!$X:$X)-1)*RAND()+1,1)),"")</f>
        <v/>
      </c>
      <c r="E36" s="1" t="str">
        <f>IF(ROW()&lt;=(Results!$C$1/2)+1,VLOOKUP($D36,Data!$X$2:$Y$117,2,TRUE),"")</f>
        <v/>
      </c>
      <c r="F36" s="14" t="str">
        <f>IF(ROW()&lt;=(Results!$C$1/2)+1,IF(E36&lt;=0,"",LN(E36)),"")</f>
        <v/>
      </c>
    </row>
    <row r="37" spans="1:6" x14ac:dyDescent="0.25">
      <c r="A37" s="1" t="str">
        <f ca="1">IF(ROW()&lt;=(Results!$C$1/2)+1,INDEX(Data!$V:$V,CEILING((COUNTA(Data!$V:$V)-1)*RAND()+1,1)),"")</f>
        <v/>
      </c>
      <c r="B37" s="1" t="str">
        <f>IF(ROW()&lt;=(Results!$C$1/2)+1,VLOOKUP($A37,Data!$V$2:$W$117,2,TRUE),"")</f>
        <v/>
      </c>
      <c r="C37" s="14" t="str">
        <f>IF(ROW()&lt;=(Results!$C$1/2)+1,IF(B37&lt;=0,"",LN(B37)),"")</f>
        <v/>
      </c>
      <c r="D37" s="1" t="str">
        <f ca="1">IF(ROW()&lt;=(Results!$C$1/2)+1,INDEX(Data!$X:$X,CEILING((COUNTA(Data!$X:$X)-1)*RAND()+1,1)),"")</f>
        <v/>
      </c>
      <c r="E37" s="1" t="str">
        <f>IF(ROW()&lt;=(Results!$C$1/2)+1,VLOOKUP($D37,Data!$X$2:$Y$117,2,TRUE),"")</f>
        <v/>
      </c>
      <c r="F37" s="14" t="str">
        <f>IF(ROW()&lt;=(Results!$C$1/2)+1,IF(E37&lt;=0,"",LN(E37)),"")</f>
        <v/>
      </c>
    </row>
    <row r="38" spans="1:6" x14ac:dyDescent="0.25">
      <c r="A38" s="1" t="str">
        <f ca="1">IF(ROW()&lt;=(Results!$C$1/2)+1,INDEX(Data!$V:$V,CEILING((COUNTA(Data!$V:$V)-1)*RAND()+1,1)),"")</f>
        <v/>
      </c>
      <c r="B38" s="1" t="str">
        <f>IF(ROW()&lt;=(Results!$C$1/2)+1,VLOOKUP($A38,Data!$V$2:$W$117,2,TRUE),"")</f>
        <v/>
      </c>
      <c r="C38" s="14" t="str">
        <f>IF(ROW()&lt;=(Results!$C$1/2)+1,IF(B38&lt;=0,"",LN(B38)),"")</f>
        <v/>
      </c>
      <c r="D38" s="1" t="str">
        <f ca="1">IF(ROW()&lt;=(Results!$C$1/2)+1,INDEX(Data!$X:$X,CEILING((COUNTA(Data!$X:$X)-1)*RAND()+1,1)),"")</f>
        <v/>
      </c>
      <c r="E38" s="1" t="str">
        <f>IF(ROW()&lt;=(Results!$C$1/2)+1,VLOOKUP($D38,Data!$X$2:$Y$117,2,TRUE),"")</f>
        <v/>
      </c>
      <c r="F38" s="14" t="str">
        <f>IF(ROW()&lt;=(Results!$C$1/2)+1,IF(E38&lt;=0,"",LN(E38)),"")</f>
        <v/>
      </c>
    </row>
    <row r="39" spans="1:6" x14ac:dyDescent="0.25">
      <c r="A39" s="1" t="str">
        <f ca="1">IF(ROW()&lt;=(Results!$C$1/2)+1,INDEX(Data!$V:$V,CEILING((COUNTA(Data!$V:$V)-1)*RAND()+1,1)),"")</f>
        <v/>
      </c>
      <c r="B39" s="1" t="str">
        <f>IF(ROW()&lt;=(Results!$C$1/2)+1,VLOOKUP($A39,Data!$V$2:$W$117,2,TRUE),"")</f>
        <v/>
      </c>
      <c r="C39" s="14" t="str">
        <f>IF(ROW()&lt;=(Results!$C$1/2)+1,IF(B39&lt;=0,"",LN(B39)),"")</f>
        <v/>
      </c>
      <c r="D39" s="1" t="str">
        <f ca="1">IF(ROW()&lt;=(Results!$C$1/2)+1,INDEX(Data!$X:$X,CEILING((COUNTA(Data!$X:$X)-1)*RAND()+1,1)),"")</f>
        <v/>
      </c>
      <c r="E39" s="1" t="str">
        <f>IF(ROW()&lt;=(Results!$C$1/2)+1,VLOOKUP($D39,Data!$X$2:$Y$117,2,TRUE),"")</f>
        <v/>
      </c>
      <c r="F39" s="14" t="str">
        <f>IF(ROW()&lt;=(Results!$C$1/2)+1,IF(E39&lt;=0,"",LN(E39)),"")</f>
        <v/>
      </c>
    </row>
    <row r="40" spans="1:6" x14ac:dyDescent="0.25">
      <c r="A40" s="1" t="str">
        <f ca="1">IF(ROW()&lt;=(Results!$C$1/2)+1,INDEX(Data!$V:$V,CEILING((COUNTA(Data!$V:$V)-1)*RAND()+1,1)),"")</f>
        <v/>
      </c>
      <c r="B40" s="1" t="str">
        <f>IF(ROW()&lt;=(Results!$C$1/2)+1,VLOOKUP($A40,Data!$V$2:$W$117,2,TRUE),"")</f>
        <v/>
      </c>
      <c r="C40" s="14" t="str">
        <f>IF(ROW()&lt;=(Results!$C$1/2)+1,IF(B40&lt;=0,"",LN(B40)),"")</f>
        <v/>
      </c>
      <c r="D40" s="1" t="str">
        <f ca="1">IF(ROW()&lt;=(Results!$C$1/2)+1,INDEX(Data!$X:$X,CEILING((COUNTA(Data!$X:$X)-1)*RAND()+1,1)),"")</f>
        <v/>
      </c>
      <c r="E40" s="1" t="str">
        <f>IF(ROW()&lt;=(Results!$C$1/2)+1,VLOOKUP($D40,Data!$X$2:$Y$117,2,TRUE),"")</f>
        <v/>
      </c>
      <c r="F40" s="14" t="str">
        <f>IF(ROW()&lt;=(Results!$C$1/2)+1,IF(E40&lt;=0,"",LN(E40)),"")</f>
        <v/>
      </c>
    </row>
    <row r="41" spans="1:6" x14ac:dyDescent="0.25">
      <c r="A41" s="1" t="str">
        <f ca="1">IF(ROW()&lt;=(Results!$C$1/2)+1,INDEX(Data!$V:$V,CEILING((COUNTA(Data!$V:$V)-1)*RAND()+1,1)),"")</f>
        <v/>
      </c>
      <c r="B41" s="1" t="str">
        <f>IF(ROW()&lt;=(Results!$C$1/2)+1,VLOOKUP($A41,Data!$V$2:$W$117,2,TRUE),"")</f>
        <v/>
      </c>
      <c r="C41" s="14" t="str">
        <f>IF(ROW()&lt;=(Results!$C$1/2)+1,IF(B41&lt;=0,"",LN(B41)),"")</f>
        <v/>
      </c>
      <c r="D41" s="1" t="str">
        <f ca="1">IF(ROW()&lt;=(Results!$C$1/2)+1,INDEX(Data!$X:$X,CEILING((COUNTA(Data!$X:$X)-1)*RAND()+1,1)),"")</f>
        <v/>
      </c>
      <c r="E41" s="1" t="str">
        <f>IF(ROW()&lt;=(Results!$C$1/2)+1,VLOOKUP($D41,Data!$X$2:$Y$117,2,TRUE),"")</f>
        <v/>
      </c>
      <c r="F41" s="14" t="str">
        <f>IF(ROW()&lt;=(Results!$C$1/2)+1,IF(E41&lt;=0,"",LN(E41)),"")</f>
        <v/>
      </c>
    </row>
    <row r="42" spans="1:6" x14ac:dyDescent="0.25">
      <c r="A42" s="1" t="str">
        <f ca="1">IF(ROW()&lt;=(Results!$C$1/2)+1,INDEX(Data!$V:$V,CEILING((COUNTA(Data!$V:$V)-1)*RAND()+1,1)),"")</f>
        <v/>
      </c>
      <c r="B42" s="1" t="str">
        <f>IF(ROW()&lt;=(Results!$C$1/2)+1,VLOOKUP($A42,Data!$V$2:$W$117,2,TRUE),"")</f>
        <v/>
      </c>
      <c r="C42" s="14" t="str">
        <f>IF(ROW()&lt;=(Results!$C$1/2)+1,IF(B42&lt;=0,"",LN(B42)),"")</f>
        <v/>
      </c>
      <c r="D42" s="1" t="str">
        <f ca="1">IF(ROW()&lt;=(Results!$C$1/2)+1,INDEX(Data!$X:$X,CEILING((COUNTA(Data!$X:$X)-1)*RAND()+1,1)),"")</f>
        <v/>
      </c>
      <c r="E42" s="1" t="str">
        <f>IF(ROW()&lt;=(Results!$C$1/2)+1,VLOOKUP($D42,Data!$X$2:$Y$117,2,TRUE),"")</f>
        <v/>
      </c>
      <c r="F42" s="14" t="str">
        <f>IF(ROW()&lt;=(Results!$C$1/2)+1,IF(E42&lt;=0,"",LN(E42)),"")</f>
        <v/>
      </c>
    </row>
    <row r="43" spans="1:6" x14ac:dyDescent="0.25">
      <c r="A43" s="1" t="str">
        <f ca="1">IF(ROW()&lt;=(Results!$C$1/2)+1,INDEX(Data!$V:$V,CEILING((COUNTA(Data!$V:$V)-1)*RAND()+1,1)),"")</f>
        <v/>
      </c>
      <c r="B43" s="1" t="str">
        <f>IF(ROW()&lt;=(Results!$C$1/2)+1,VLOOKUP($A43,Data!$V$2:$W$117,2,TRUE),"")</f>
        <v/>
      </c>
      <c r="C43" s="14" t="str">
        <f>IF(ROW()&lt;=(Results!$C$1/2)+1,IF(B43&lt;=0,"",LN(B43)),"")</f>
        <v/>
      </c>
      <c r="D43" s="1" t="str">
        <f ca="1">IF(ROW()&lt;=(Results!$C$1/2)+1,INDEX(Data!$X:$X,CEILING((COUNTA(Data!$X:$X)-1)*RAND()+1,1)),"")</f>
        <v/>
      </c>
      <c r="E43" s="1" t="str">
        <f>IF(ROW()&lt;=(Results!$C$1/2)+1,VLOOKUP($D43,Data!$X$2:$Y$117,2,TRUE),"")</f>
        <v/>
      </c>
      <c r="F43" s="14" t="str">
        <f>IF(ROW()&lt;=(Results!$C$1/2)+1,IF(E43&lt;=0,"",LN(E43)),"")</f>
        <v/>
      </c>
    </row>
    <row r="44" spans="1:6" x14ac:dyDescent="0.25">
      <c r="A44" s="1" t="str">
        <f ca="1">IF(ROW()&lt;=(Results!$C$1/2)+1,INDEX(Data!$V:$V,CEILING((COUNTA(Data!$V:$V)-1)*RAND()+1,1)),"")</f>
        <v/>
      </c>
      <c r="B44" s="1" t="str">
        <f>IF(ROW()&lt;=(Results!$C$1/2)+1,VLOOKUP($A44,Data!$V$2:$W$117,2,TRUE),"")</f>
        <v/>
      </c>
      <c r="C44" s="14" t="str">
        <f>IF(ROW()&lt;=(Results!$C$1/2)+1,IF(B44&lt;=0,"",LN(B44)),"")</f>
        <v/>
      </c>
      <c r="D44" s="1" t="str">
        <f ca="1">IF(ROW()&lt;=(Results!$C$1/2)+1,INDEX(Data!$X:$X,CEILING((COUNTA(Data!$X:$X)-1)*RAND()+1,1)),"")</f>
        <v/>
      </c>
      <c r="E44" s="1" t="str">
        <f>IF(ROW()&lt;=(Results!$C$1/2)+1,VLOOKUP($D44,Data!$X$2:$Y$117,2,TRUE),"")</f>
        <v/>
      </c>
      <c r="F44" s="14" t="str">
        <f>IF(ROW()&lt;=(Results!$C$1/2)+1,IF(E44&lt;=0,"",LN(E44)),"")</f>
        <v/>
      </c>
    </row>
    <row r="45" spans="1:6" x14ac:dyDescent="0.25">
      <c r="A45" s="1" t="str">
        <f ca="1">IF(ROW()&lt;=(Results!$C$1/2)+1,INDEX(Data!$V:$V,CEILING((COUNTA(Data!$V:$V)-1)*RAND()+1,1)),"")</f>
        <v/>
      </c>
      <c r="B45" s="1" t="str">
        <f>IF(ROW()&lt;=(Results!$C$1/2)+1,VLOOKUP($A45,Data!$V$2:$W$117,2,TRUE),"")</f>
        <v/>
      </c>
      <c r="C45" s="14" t="str">
        <f>IF(ROW()&lt;=(Results!$C$1/2)+1,IF(B45&lt;=0,"",LN(B45)),"")</f>
        <v/>
      </c>
      <c r="D45" s="1" t="str">
        <f ca="1">IF(ROW()&lt;=(Results!$C$1/2)+1,INDEX(Data!$X:$X,CEILING((COUNTA(Data!$X:$X)-1)*RAND()+1,1)),"")</f>
        <v/>
      </c>
      <c r="E45" s="1" t="str">
        <f>IF(ROW()&lt;=(Results!$C$1/2)+1,VLOOKUP($D45,Data!$X$2:$Y$117,2,TRUE),"")</f>
        <v/>
      </c>
      <c r="F45" s="14" t="str">
        <f>IF(ROW()&lt;=(Results!$C$1/2)+1,IF(E45&lt;=0,"",LN(E45)),"")</f>
        <v/>
      </c>
    </row>
    <row r="46" spans="1:6" x14ac:dyDescent="0.25">
      <c r="A46" s="1" t="str">
        <f ca="1">IF(ROW()&lt;=(Results!$C$1/2)+1,INDEX(Data!$V:$V,CEILING((COUNTA(Data!$V:$V)-1)*RAND()+1,1)),"")</f>
        <v/>
      </c>
      <c r="B46" s="1" t="str">
        <f>IF(ROW()&lt;=(Results!$C$1/2)+1,VLOOKUP($A46,Data!$V$2:$W$117,2,TRUE),"")</f>
        <v/>
      </c>
      <c r="C46" s="14" t="str">
        <f>IF(ROW()&lt;=(Results!$C$1/2)+1,IF(B46&lt;=0,"",LN(B46)),"")</f>
        <v/>
      </c>
      <c r="D46" s="1" t="str">
        <f ca="1">IF(ROW()&lt;=(Results!$C$1/2)+1,INDEX(Data!$X:$X,CEILING((COUNTA(Data!$X:$X)-1)*RAND()+1,1)),"")</f>
        <v/>
      </c>
      <c r="E46" s="1" t="str">
        <f>IF(ROW()&lt;=(Results!$C$1/2)+1,VLOOKUP($D46,Data!$X$2:$Y$117,2,TRUE),"")</f>
        <v/>
      </c>
      <c r="F46" s="14" t="str">
        <f>IF(ROW()&lt;=(Results!$C$1/2)+1,IF(E46&lt;=0,"",LN(E46)),"")</f>
        <v/>
      </c>
    </row>
    <row r="47" spans="1:6" x14ac:dyDescent="0.25">
      <c r="A47" s="1" t="str">
        <f ca="1">IF(ROW()&lt;=(Results!$C$1/2)+1,INDEX(Data!$V:$V,CEILING((COUNTA(Data!$V:$V)-1)*RAND()+1,1)),"")</f>
        <v/>
      </c>
      <c r="B47" s="1" t="str">
        <f>IF(ROW()&lt;=(Results!$C$1/2)+1,VLOOKUP($A47,Data!$V$2:$W$117,2,TRUE),"")</f>
        <v/>
      </c>
      <c r="C47" s="14" t="str">
        <f>IF(ROW()&lt;=(Results!$C$1/2)+1,IF(B47&lt;=0,"",LN(B47)),"")</f>
        <v/>
      </c>
      <c r="D47" s="1" t="str">
        <f ca="1">IF(ROW()&lt;=(Results!$C$1/2)+1,INDEX(Data!$X:$X,CEILING((COUNTA(Data!$X:$X)-1)*RAND()+1,1)),"")</f>
        <v/>
      </c>
      <c r="E47" s="1" t="str">
        <f>IF(ROW()&lt;=(Results!$C$1/2)+1,VLOOKUP($D47,Data!$X$2:$Y$117,2,TRUE),"")</f>
        <v/>
      </c>
      <c r="F47" s="14" t="str">
        <f>IF(ROW()&lt;=(Results!$C$1/2)+1,IF(E47&lt;=0,"",LN(E47)),"")</f>
        <v/>
      </c>
    </row>
    <row r="48" spans="1:6" x14ac:dyDescent="0.25">
      <c r="A48" s="1" t="str">
        <f ca="1">IF(ROW()&lt;=(Results!$C$1/2)+1,INDEX(Data!$V:$V,CEILING((COUNTA(Data!$V:$V)-1)*RAND()+1,1)),"")</f>
        <v/>
      </c>
      <c r="B48" s="1" t="str">
        <f>IF(ROW()&lt;=(Results!$C$1/2)+1,VLOOKUP($A48,Data!$V$2:$W$117,2,TRUE),"")</f>
        <v/>
      </c>
      <c r="C48" s="14" t="str">
        <f>IF(ROW()&lt;=(Results!$C$1/2)+1,IF(B48&lt;=0,"",LN(B48)),"")</f>
        <v/>
      </c>
      <c r="D48" s="1" t="str">
        <f ca="1">IF(ROW()&lt;=(Results!$C$1/2)+1,INDEX(Data!$X:$X,CEILING((COUNTA(Data!$X:$X)-1)*RAND()+1,1)),"")</f>
        <v/>
      </c>
      <c r="E48" s="1" t="str">
        <f>IF(ROW()&lt;=(Results!$C$1/2)+1,VLOOKUP($D48,Data!$X$2:$Y$117,2,TRUE),"")</f>
        <v/>
      </c>
      <c r="F48" s="14" t="str">
        <f>IF(ROW()&lt;=(Results!$C$1/2)+1,IF(E48&lt;=0,"",LN(E48)),"")</f>
        <v/>
      </c>
    </row>
    <row r="49" spans="1:6" x14ac:dyDescent="0.25">
      <c r="A49" s="1" t="str">
        <f ca="1">IF(ROW()&lt;=(Results!$C$1/2)+1,INDEX(Data!$V:$V,CEILING((COUNTA(Data!$V:$V)-1)*RAND()+1,1)),"")</f>
        <v/>
      </c>
      <c r="B49" s="1" t="str">
        <f>IF(ROW()&lt;=(Results!$C$1/2)+1,VLOOKUP($A49,Data!$V$2:$W$117,2,TRUE),"")</f>
        <v/>
      </c>
      <c r="C49" s="14" t="str">
        <f>IF(ROW()&lt;=(Results!$C$1/2)+1,IF(B49&lt;=0,"",LN(B49)),"")</f>
        <v/>
      </c>
      <c r="D49" s="1" t="str">
        <f ca="1">IF(ROW()&lt;=(Results!$C$1/2)+1,INDEX(Data!$X:$X,CEILING((COUNTA(Data!$X:$X)-1)*RAND()+1,1)),"")</f>
        <v/>
      </c>
      <c r="E49" s="1" t="str">
        <f>IF(ROW()&lt;=(Results!$C$1/2)+1,VLOOKUP($D49,Data!$X$2:$Y$117,2,TRUE),"")</f>
        <v/>
      </c>
      <c r="F49" s="14" t="str">
        <f>IF(ROW()&lt;=(Results!$C$1/2)+1,IF(E49&lt;=0,"",LN(E49)),"")</f>
        <v/>
      </c>
    </row>
    <row r="50" spans="1:6" x14ac:dyDescent="0.25">
      <c r="A50" s="1" t="str">
        <f ca="1">IF(ROW()&lt;=(Results!$C$1/2)+1,INDEX(Data!$V:$V,CEILING((COUNTA(Data!$V:$V)-1)*RAND()+1,1)),"")</f>
        <v/>
      </c>
      <c r="B50" s="1" t="str">
        <f>IF(ROW()&lt;=(Results!$C$1/2)+1,VLOOKUP($A50,Data!$V$2:$W$117,2,TRUE),"")</f>
        <v/>
      </c>
      <c r="C50" s="14" t="str">
        <f>IF(ROW()&lt;=(Results!$C$1/2)+1,IF(B50&lt;=0,"",LN(B50)),"")</f>
        <v/>
      </c>
      <c r="D50" s="1" t="str">
        <f ca="1">IF(ROW()&lt;=(Results!$C$1/2)+1,INDEX(Data!$X:$X,CEILING((COUNTA(Data!$X:$X)-1)*RAND()+1,1)),"")</f>
        <v/>
      </c>
      <c r="E50" s="1" t="str">
        <f>IF(ROW()&lt;=(Results!$C$1/2)+1,VLOOKUP($D50,Data!$X$2:$Y$117,2,TRUE),"")</f>
        <v/>
      </c>
      <c r="F50" s="14" t="str">
        <f>IF(ROW()&lt;=(Results!$C$1/2)+1,IF(E50&lt;=0,"",LN(E50)),"")</f>
        <v/>
      </c>
    </row>
    <row r="51" spans="1:6" x14ac:dyDescent="0.25">
      <c r="A51" s="1" t="str">
        <f ca="1">IF(ROW()&lt;=(Results!$C$1/2)+1,INDEX(Data!$V:$V,CEILING((COUNTA(Data!$V:$V)-1)*RAND()+1,1)),"")</f>
        <v/>
      </c>
      <c r="B51" s="1" t="str">
        <f>IF(ROW()&lt;=(Results!$C$1/2)+1,VLOOKUP($A51,Data!$V$2:$W$117,2,TRUE),"")</f>
        <v/>
      </c>
      <c r="C51" s="14" t="str">
        <f>IF(ROW()&lt;=(Results!$C$1/2)+1,IF(B51&lt;=0,"",LN(B51)),"")</f>
        <v/>
      </c>
      <c r="D51" s="1" t="str">
        <f ca="1">IF(ROW()&lt;=(Results!$C$1/2)+1,INDEX(Data!$X:$X,CEILING((COUNTA(Data!$X:$X)-1)*RAND()+1,1)),"")</f>
        <v/>
      </c>
      <c r="E51" s="1" t="str">
        <f>IF(ROW()&lt;=(Results!$C$1/2)+1,VLOOKUP($D51,Data!$X$2:$Y$117,2,TRUE),"")</f>
        <v/>
      </c>
      <c r="F51" s="14" t="str">
        <f>IF(ROW()&lt;=(Results!$C$1/2)+1,IF(E51&lt;=0,"",LN(E51)),"")</f>
        <v/>
      </c>
    </row>
    <row r="52" spans="1:6" x14ac:dyDescent="0.25">
      <c r="A52" s="1" t="str">
        <f ca="1">IF(ROW()&lt;=(Results!$C$1/2)+1,INDEX(Data!$V:$V,CEILING((COUNTA(Data!$V:$V)-1)*RAND()+1,1)),"")</f>
        <v/>
      </c>
      <c r="B52" s="1" t="str">
        <f>IF(ROW()&lt;=(Results!$C$1/2)+1,VLOOKUP($A52,Data!$V$2:$W$117,2,TRUE),"")</f>
        <v/>
      </c>
      <c r="C52" s="14" t="str">
        <f>IF(ROW()&lt;=(Results!$C$1/2)+1,IF(B52&lt;=0,"",LN(B52)),"")</f>
        <v/>
      </c>
      <c r="D52" s="1" t="str">
        <f ca="1">IF(ROW()&lt;=(Results!$C$1/2)+1,INDEX(Data!$X:$X,CEILING((COUNTA(Data!$X:$X)-1)*RAND()+1,1)),"")</f>
        <v/>
      </c>
      <c r="E52" s="1" t="str">
        <f>IF(ROW()&lt;=(Results!$C$1/2)+1,VLOOKUP($D52,Data!$X$2:$Y$117,2,TRUE),"")</f>
        <v/>
      </c>
      <c r="F52" s="14" t="str">
        <f>IF(ROW()&lt;=(Results!$C$1/2)+1,IF(E52&lt;=0,"",LN(E52)),"")</f>
        <v/>
      </c>
    </row>
    <row r="53" spans="1:6" x14ac:dyDescent="0.25">
      <c r="A53" s="1" t="str">
        <f ca="1">IF(ROW()&lt;=(Results!$C$1/2)+1,INDEX(Data!$V:$V,CEILING((COUNTA(Data!$V:$V)-1)*RAND()+1,1)),"")</f>
        <v/>
      </c>
      <c r="B53" s="1" t="str">
        <f>IF(ROW()&lt;=(Results!$C$1/2)+1,VLOOKUP($A53,Data!$V$2:$W$117,2,TRUE),"")</f>
        <v/>
      </c>
      <c r="C53" s="14" t="str">
        <f>IF(ROW()&lt;=(Results!$C$1/2)+1,IF(B53&lt;=0,"",LN(B53)),"")</f>
        <v/>
      </c>
      <c r="D53" s="1" t="str">
        <f ca="1">IF(ROW()&lt;=(Results!$C$1/2)+1,INDEX(Data!$X:$X,CEILING((COUNTA(Data!$X:$X)-1)*RAND()+1,1)),"")</f>
        <v/>
      </c>
      <c r="E53" s="1" t="str">
        <f>IF(ROW()&lt;=(Results!$C$1/2)+1,VLOOKUP($D53,Data!$X$2:$Y$117,2,TRUE),"")</f>
        <v/>
      </c>
      <c r="F53" s="14" t="str">
        <f>IF(ROW()&lt;=(Results!$C$1/2)+1,IF(E53&lt;=0,"",LN(E53)),"")</f>
        <v/>
      </c>
    </row>
    <row r="54" spans="1:6" x14ac:dyDescent="0.25">
      <c r="A54" s="1" t="str">
        <f ca="1">IF(ROW()&lt;=(Results!$C$1/2)+1,INDEX(Data!$V:$V,CEILING((COUNTA(Data!$V:$V)-1)*RAND()+1,1)),"")</f>
        <v/>
      </c>
      <c r="B54" s="1" t="str">
        <f>IF(ROW()&lt;=(Results!$C$1/2)+1,VLOOKUP($A54,Data!$V$2:$W$117,2,TRUE),"")</f>
        <v/>
      </c>
      <c r="C54" s="14" t="str">
        <f>IF(ROW()&lt;=(Results!$C$1/2)+1,IF(B54&lt;=0,"",LN(B54)),"")</f>
        <v/>
      </c>
      <c r="D54" s="1" t="str">
        <f ca="1">IF(ROW()&lt;=(Results!$C$1/2)+1,INDEX(Data!$X:$X,CEILING((COUNTA(Data!$X:$X)-1)*RAND()+1,1)),"")</f>
        <v/>
      </c>
      <c r="E54" s="1" t="str">
        <f>IF(ROW()&lt;=(Results!$C$1/2)+1,VLOOKUP($D54,Data!$X$2:$Y$117,2,TRUE),"")</f>
        <v/>
      </c>
      <c r="F54" s="14" t="str">
        <f>IF(ROW()&lt;=(Results!$C$1/2)+1,IF(E54&lt;=0,"",LN(E54)),"")</f>
        <v/>
      </c>
    </row>
    <row r="55" spans="1:6" x14ac:dyDescent="0.25">
      <c r="A55" s="1" t="str">
        <f ca="1">IF(ROW()&lt;=(Results!$C$1/2)+1,INDEX(Data!$V:$V,CEILING((COUNTA(Data!$V:$V)-1)*RAND()+1,1)),"")</f>
        <v/>
      </c>
      <c r="B55" s="1" t="str">
        <f>IF(ROW()&lt;=(Results!$C$1/2)+1,VLOOKUP($A55,Data!$V$2:$W$117,2,TRUE),"")</f>
        <v/>
      </c>
      <c r="C55" s="14" t="str">
        <f>IF(ROW()&lt;=(Results!$C$1/2)+1,IF(B55&lt;=0,"",LN(B55)),"")</f>
        <v/>
      </c>
      <c r="D55" s="1" t="str">
        <f ca="1">IF(ROW()&lt;=(Results!$C$1/2)+1,INDEX(Data!$X:$X,CEILING((COUNTA(Data!$X:$X)-1)*RAND()+1,1)),"")</f>
        <v/>
      </c>
      <c r="E55" s="1" t="str">
        <f>IF(ROW()&lt;=(Results!$C$1/2)+1,VLOOKUP($D55,Data!$X$2:$Y$117,2,TRUE),"")</f>
        <v/>
      </c>
      <c r="F55" s="14" t="str">
        <f>IF(ROW()&lt;=(Results!$C$1/2)+1,IF(E55&lt;=0,"",LN(E55)),"")</f>
        <v/>
      </c>
    </row>
    <row r="56" spans="1:6" x14ac:dyDescent="0.25">
      <c r="A56" s="1" t="str">
        <f ca="1">IF(ROW()&lt;=(Results!$C$1/2)+1,INDEX(Data!$V:$V,CEILING((COUNTA(Data!$V:$V)-1)*RAND()+1,1)),"")</f>
        <v/>
      </c>
      <c r="B56" s="1" t="str">
        <f>IF(ROW()&lt;=(Results!$C$1/2)+1,VLOOKUP($A56,Data!$V$2:$W$117,2,TRUE),"")</f>
        <v/>
      </c>
      <c r="C56" s="14" t="str">
        <f>IF(ROW()&lt;=(Results!$C$1/2)+1,IF(B56&lt;=0,"",LN(B56)),"")</f>
        <v/>
      </c>
      <c r="D56" s="1" t="str">
        <f ca="1">IF(ROW()&lt;=(Results!$C$1/2)+1,INDEX(Data!$X:$X,CEILING((COUNTA(Data!$X:$X)-1)*RAND()+1,1)),"")</f>
        <v/>
      </c>
      <c r="E56" s="1" t="str">
        <f>IF(ROW()&lt;=(Results!$C$1/2)+1,VLOOKUP($D56,Data!$X$2:$Y$117,2,TRUE),"")</f>
        <v/>
      </c>
      <c r="F56" s="14" t="str">
        <f>IF(ROW()&lt;=(Results!$C$1/2)+1,IF(E56&lt;=0,"",LN(E56)),"")</f>
        <v/>
      </c>
    </row>
    <row r="57" spans="1:6" x14ac:dyDescent="0.25">
      <c r="A57" s="1" t="str">
        <f ca="1">IF(ROW()&lt;=(Results!$C$1/2)+1,INDEX(Data!$V:$V,CEILING((COUNTA(Data!$V:$V)-1)*RAND()+1,1)),"")</f>
        <v/>
      </c>
      <c r="B57" s="1" t="str">
        <f>IF(ROW()&lt;=(Results!$C$1/2)+1,VLOOKUP($A57,Data!$V$2:$W$117,2,TRUE),"")</f>
        <v/>
      </c>
      <c r="C57" s="14" t="str">
        <f>IF(ROW()&lt;=(Results!$C$1/2)+1,IF(B57&lt;=0,"",LN(B57)),"")</f>
        <v/>
      </c>
      <c r="D57" s="1" t="str">
        <f ca="1">IF(ROW()&lt;=(Results!$C$1/2)+1,INDEX(Data!$X:$X,CEILING((COUNTA(Data!$X:$X)-1)*RAND()+1,1)),"")</f>
        <v/>
      </c>
      <c r="E57" s="1" t="str">
        <f>IF(ROW()&lt;=(Results!$C$1/2)+1,VLOOKUP($D57,Data!$X$2:$Y$117,2,TRUE),"")</f>
        <v/>
      </c>
      <c r="F57" s="14" t="str">
        <f>IF(ROW()&lt;=(Results!$C$1/2)+1,IF(E57&lt;=0,"",LN(E57)),"")</f>
        <v/>
      </c>
    </row>
    <row r="58" spans="1:6" x14ac:dyDescent="0.25">
      <c r="A58" s="1" t="str">
        <f ca="1">IF(ROW()&lt;=(Results!$C$1/2)+1,INDEX(Data!$V:$V,CEILING((COUNTA(Data!$V:$V)-1)*RAND()+1,1)),"")</f>
        <v/>
      </c>
      <c r="B58" s="1" t="str">
        <f>IF(ROW()&lt;=(Results!$C$1/2)+1,VLOOKUP($A58,Data!$V$2:$W$117,2,TRUE),"")</f>
        <v/>
      </c>
      <c r="C58" s="14" t="str">
        <f>IF(ROW()&lt;=(Results!$C$1/2)+1,IF(B58&lt;=0,"",LN(B58)),"")</f>
        <v/>
      </c>
      <c r="D58" s="1" t="str">
        <f ca="1">IF(ROW()&lt;=(Results!$C$1/2)+1,INDEX(Data!$X:$X,CEILING((COUNTA(Data!$X:$X)-1)*RAND()+1,1)),"")</f>
        <v/>
      </c>
      <c r="E58" s="1" t="str">
        <f>IF(ROW()&lt;=(Results!$C$1/2)+1,VLOOKUP($D58,Data!$X$2:$Y$117,2,TRUE),"")</f>
        <v/>
      </c>
      <c r="F58" s="14" t="str">
        <f>IF(ROW()&lt;=(Results!$C$1/2)+1,IF(E58&lt;=0,"",LN(E58)),"")</f>
        <v/>
      </c>
    </row>
    <row r="59" spans="1:6" x14ac:dyDescent="0.25">
      <c r="A59" s="1" t="str">
        <f ca="1">IF(ROW()&lt;=(Results!$C$1/2)+1,INDEX(Data!$V:$V,CEILING((COUNTA(Data!$V:$V)-1)*RAND()+1,1)),"")</f>
        <v/>
      </c>
      <c r="B59" s="1" t="str">
        <f>IF(ROW()&lt;=(Results!$C$1/2)+1,VLOOKUP($A59,Data!$V$2:$W$117,2,TRUE),"")</f>
        <v/>
      </c>
      <c r="C59" s="14" t="str">
        <f>IF(ROW()&lt;=(Results!$C$1/2)+1,IF(B59&lt;=0,"",LN(B59)),"")</f>
        <v/>
      </c>
      <c r="D59" s="1" t="str">
        <f ca="1">IF(ROW()&lt;=(Results!$C$1/2)+1,INDEX(Data!$X:$X,CEILING((COUNTA(Data!$X:$X)-1)*RAND()+1,1)),"")</f>
        <v/>
      </c>
      <c r="E59" s="1" t="str">
        <f>IF(ROW()&lt;=(Results!$C$1/2)+1,VLOOKUP($D59,Data!$X$2:$Y$117,2,TRUE),"")</f>
        <v/>
      </c>
      <c r="F59" s="14" t="str">
        <f>IF(ROW()&lt;=(Results!$C$1/2)+1,IF(E59&lt;=0,"",LN(E59)),"")</f>
        <v/>
      </c>
    </row>
    <row r="60" spans="1:6" x14ac:dyDescent="0.25">
      <c r="A60" s="1" t="str">
        <f ca="1">IF(ROW()&lt;=(Results!$C$1/2)+1,INDEX(Data!$V:$V,CEILING((COUNTA(Data!$V:$V)-1)*RAND()+1,1)),"")</f>
        <v/>
      </c>
      <c r="B60" s="1" t="str">
        <f>IF(ROW()&lt;=(Results!$C$1/2)+1,VLOOKUP($A60,Data!$V$2:$W$117,2,TRUE),"")</f>
        <v/>
      </c>
      <c r="C60" s="14" t="str">
        <f>IF(ROW()&lt;=(Results!$C$1/2)+1,IF(B60&lt;=0,"",LN(B60)),"")</f>
        <v/>
      </c>
      <c r="D60" s="1" t="str">
        <f ca="1">IF(ROW()&lt;=(Results!$C$1/2)+1,INDEX(Data!$X:$X,CEILING((COUNTA(Data!$X:$X)-1)*RAND()+1,1)),"")</f>
        <v/>
      </c>
      <c r="E60" s="1" t="str">
        <f>IF(ROW()&lt;=(Results!$C$1/2)+1,VLOOKUP($D60,Data!$X$2:$Y$117,2,TRUE),"")</f>
        <v/>
      </c>
      <c r="F60" s="14" t="str">
        <f>IF(ROW()&lt;=(Results!$C$1/2)+1,IF(E60&lt;=0,"",LN(E60)),"")</f>
        <v/>
      </c>
    </row>
    <row r="61" spans="1:6" x14ac:dyDescent="0.25">
      <c r="A61" s="1" t="str">
        <f ca="1">IF(ROW()&lt;=(Results!$C$1/2)+1,INDEX(Data!$V:$V,CEILING((COUNTA(Data!$V:$V)-1)*RAND()+1,1)),"")</f>
        <v/>
      </c>
      <c r="B61" s="1" t="str">
        <f>IF(ROW()&lt;=(Results!$C$1/2)+1,VLOOKUP($A61,Data!$V$2:$W$117,2,TRUE),"")</f>
        <v/>
      </c>
      <c r="C61" s="14" t="str">
        <f>IF(ROW()&lt;=(Results!$C$1/2)+1,IF(B61&lt;=0,"",LN(B61)),"")</f>
        <v/>
      </c>
      <c r="D61" s="1" t="str">
        <f ca="1">IF(ROW()&lt;=(Results!$C$1/2)+1,INDEX(Data!$X:$X,CEILING((COUNTA(Data!$X:$X)-1)*RAND()+1,1)),"")</f>
        <v/>
      </c>
      <c r="E61" s="1" t="str">
        <f>IF(ROW()&lt;=(Results!$C$1/2)+1,VLOOKUP($D61,Data!$X$2:$Y$117,2,TRUE),"")</f>
        <v/>
      </c>
      <c r="F61" s="14" t="str">
        <f>IF(ROW()&lt;=(Results!$C$1/2)+1,IF(E61&lt;=0,"",LN(E61)),"")</f>
        <v/>
      </c>
    </row>
    <row r="62" spans="1:6" x14ac:dyDescent="0.25">
      <c r="A62" s="1" t="str">
        <f ca="1">IF(ROW()&lt;=(Results!$C$1/2)+1,INDEX(Data!$V:$V,CEILING((COUNTA(Data!$V:$V)-1)*RAND()+1,1)),"")</f>
        <v/>
      </c>
      <c r="B62" s="1" t="str">
        <f>IF(ROW()&lt;=(Results!$C$1/2)+1,VLOOKUP($A62,Data!$V$2:$W$117,2,TRUE),"")</f>
        <v/>
      </c>
      <c r="C62" s="14" t="str">
        <f>IF(ROW()&lt;=(Results!$C$1/2)+1,IF(B62&lt;=0,"",LN(B62)),"")</f>
        <v/>
      </c>
      <c r="D62" s="1" t="str">
        <f ca="1">IF(ROW()&lt;=(Results!$C$1/2)+1,INDEX(Data!$X:$X,CEILING((COUNTA(Data!$X:$X)-1)*RAND()+1,1)),"")</f>
        <v/>
      </c>
      <c r="E62" s="1" t="str">
        <f>IF(ROW()&lt;=(Results!$C$1/2)+1,VLOOKUP($D62,Data!$X$2:$Y$117,2,TRUE),"")</f>
        <v/>
      </c>
      <c r="F62" s="14" t="str">
        <f>IF(ROW()&lt;=(Results!$C$1/2)+1,IF(E62&lt;=0,"",LN(E62)),"")</f>
        <v/>
      </c>
    </row>
    <row r="63" spans="1:6" x14ac:dyDescent="0.25">
      <c r="A63" s="1" t="str">
        <f ca="1">IF(ROW()&lt;=(Results!$C$1/2)+1,INDEX(Data!$V:$V,CEILING((COUNTA(Data!$V:$V)-1)*RAND()+1,1)),"")</f>
        <v/>
      </c>
      <c r="B63" s="1" t="str">
        <f>IF(ROW()&lt;=(Results!$C$1/2)+1,VLOOKUP($A63,Data!$V$2:$W$117,2,TRUE),"")</f>
        <v/>
      </c>
      <c r="C63" s="14" t="str">
        <f>IF(ROW()&lt;=(Results!$C$1/2)+1,IF(B63&lt;=0,"",LN(B63)),"")</f>
        <v/>
      </c>
      <c r="D63" s="1" t="str">
        <f ca="1">IF(ROW()&lt;=(Results!$C$1/2)+1,INDEX(Data!$X:$X,CEILING((COUNTA(Data!$X:$X)-1)*RAND()+1,1)),"")</f>
        <v/>
      </c>
      <c r="E63" s="1" t="str">
        <f>IF(ROW()&lt;=(Results!$C$1/2)+1,VLOOKUP($D63,Data!$X$2:$Y$117,2,TRUE),"")</f>
        <v/>
      </c>
      <c r="F63" s="14" t="str">
        <f>IF(ROW()&lt;=(Results!$C$1/2)+1,IF(E63&lt;=0,"",LN(E63)),"")</f>
        <v/>
      </c>
    </row>
    <row r="64" spans="1:6" x14ac:dyDescent="0.25">
      <c r="A64" s="1" t="str">
        <f ca="1">IF(ROW()&lt;=(Results!$C$1/2)+1,INDEX(Data!$V:$V,CEILING((COUNTA(Data!$V:$V)-1)*RAND()+1,1)),"")</f>
        <v/>
      </c>
      <c r="B64" s="1" t="str">
        <f>IF(ROW()&lt;=(Results!$C$1/2)+1,VLOOKUP($A64,Data!$V$2:$W$117,2,TRUE),"")</f>
        <v/>
      </c>
      <c r="C64" s="14" t="str">
        <f>IF(ROW()&lt;=(Results!$C$1/2)+1,IF(B64&lt;=0,"",LN(B64)),"")</f>
        <v/>
      </c>
      <c r="D64" s="1" t="str">
        <f ca="1">IF(ROW()&lt;=(Results!$C$1/2)+1,INDEX(Data!$X:$X,CEILING((COUNTA(Data!$X:$X)-1)*RAND()+1,1)),"")</f>
        <v/>
      </c>
      <c r="E64" s="1" t="str">
        <f>IF(ROW()&lt;=(Results!$C$1/2)+1,VLOOKUP($D64,Data!$X$2:$Y$117,2,TRUE),"")</f>
        <v/>
      </c>
      <c r="F64" s="14" t="str">
        <f>IF(ROW()&lt;=(Results!$C$1/2)+1,IF(E64&lt;=0,"",LN(E64)),"")</f>
        <v/>
      </c>
    </row>
    <row r="65" spans="1:6" x14ac:dyDescent="0.25">
      <c r="A65" s="1" t="str">
        <f ca="1">IF(ROW()&lt;=(Results!$C$1/2)+1,INDEX(Data!$V:$V,CEILING((COUNTA(Data!$V:$V)-1)*RAND()+1,1)),"")</f>
        <v/>
      </c>
      <c r="B65" s="1" t="str">
        <f>IF(ROW()&lt;=(Results!$C$1/2)+1,VLOOKUP($A65,Data!$V$2:$W$117,2,TRUE),"")</f>
        <v/>
      </c>
      <c r="C65" s="14" t="str">
        <f>IF(ROW()&lt;=(Results!$C$1/2)+1,IF(B65&lt;=0,"",LN(B65)),"")</f>
        <v/>
      </c>
      <c r="D65" s="1" t="str">
        <f ca="1">IF(ROW()&lt;=(Results!$C$1/2)+1,INDEX(Data!$X:$X,CEILING((COUNTA(Data!$X:$X)-1)*RAND()+1,1)),"")</f>
        <v/>
      </c>
      <c r="E65" s="1" t="str">
        <f>IF(ROW()&lt;=(Results!$C$1/2)+1,VLOOKUP($D65,Data!$X$2:$Y$117,2,TRUE),"")</f>
        <v/>
      </c>
      <c r="F65" s="14" t="str">
        <f>IF(ROW()&lt;=(Results!$C$1/2)+1,IF(E65&lt;=0,"",LN(E65)),"")</f>
        <v/>
      </c>
    </row>
    <row r="66" spans="1:6" x14ac:dyDescent="0.25">
      <c r="A66" s="1" t="str">
        <f ca="1">IF(ROW()&lt;=(Results!$C$1/2)+1,INDEX(Data!$V:$V,CEILING((COUNTA(Data!$V:$V)-1)*RAND()+1,1)),"")</f>
        <v/>
      </c>
      <c r="B66" s="1" t="str">
        <f>IF(ROW()&lt;=(Results!$C$1/2)+1,VLOOKUP($A66,Data!$V$2:$W$117,2,TRUE),"")</f>
        <v/>
      </c>
      <c r="C66" s="14" t="str">
        <f>IF(ROW()&lt;=(Results!$C$1/2)+1,IF(B66&lt;=0,"",LN(B66)),"")</f>
        <v/>
      </c>
      <c r="D66" s="1" t="str">
        <f ca="1">IF(ROW()&lt;=(Results!$C$1/2)+1,INDEX(Data!$X:$X,CEILING((COUNTA(Data!$X:$X)-1)*RAND()+1,1)),"")</f>
        <v/>
      </c>
      <c r="E66" s="1" t="str">
        <f>IF(ROW()&lt;=(Results!$C$1/2)+1,VLOOKUP($D66,Data!$X$2:$Y$117,2,TRUE),"")</f>
        <v/>
      </c>
      <c r="F66" s="14" t="str">
        <f>IF(ROW()&lt;=(Results!$C$1/2)+1,IF(E66&lt;=0,"",LN(E66)),"")</f>
        <v/>
      </c>
    </row>
    <row r="67" spans="1:6" x14ac:dyDescent="0.25">
      <c r="A67" s="1" t="str">
        <f ca="1">IF(ROW()&lt;=(Results!$C$1/2)+1,INDEX(Data!$V:$V,CEILING((COUNTA(Data!$V:$V)-1)*RAND()+1,1)),"")</f>
        <v/>
      </c>
      <c r="B67" s="1" t="str">
        <f>IF(ROW()&lt;=(Results!$C$1/2)+1,VLOOKUP($A67,Data!$V$2:$W$117,2,TRUE),"")</f>
        <v/>
      </c>
      <c r="C67" s="14" t="str">
        <f>IF(ROW()&lt;=(Results!$C$1/2)+1,IF(B67&lt;=0,"",LN(B67)),"")</f>
        <v/>
      </c>
      <c r="D67" s="1" t="str">
        <f ca="1">IF(ROW()&lt;=(Results!$C$1/2)+1,INDEX(Data!$X:$X,CEILING((COUNTA(Data!$X:$X)-1)*RAND()+1,1)),"")</f>
        <v/>
      </c>
      <c r="E67" s="1" t="str">
        <f>IF(ROW()&lt;=(Results!$C$1/2)+1,VLOOKUP($D67,Data!$X$2:$Y$117,2,TRUE),"")</f>
        <v/>
      </c>
      <c r="F67" s="14" t="str">
        <f>IF(ROW()&lt;=(Results!$C$1/2)+1,IF(E67&lt;=0,"",LN(E67)),"")</f>
        <v/>
      </c>
    </row>
    <row r="68" spans="1:6" x14ac:dyDescent="0.25">
      <c r="A68" s="1" t="str">
        <f ca="1">IF(ROW()&lt;=(Results!$C$1/2)+1,INDEX(Data!$V:$V,CEILING((COUNTA(Data!$V:$V)-1)*RAND()+1,1)),"")</f>
        <v/>
      </c>
      <c r="B68" s="1" t="str">
        <f>IF(ROW()&lt;=(Results!$C$1/2)+1,VLOOKUP($A68,Data!$V$2:$W$117,2,TRUE),"")</f>
        <v/>
      </c>
      <c r="C68" s="14" t="str">
        <f>IF(ROW()&lt;=(Results!$C$1/2)+1,IF(B68&lt;=0,"",LN(B68)),"")</f>
        <v/>
      </c>
      <c r="D68" s="1" t="str">
        <f ca="1">IF(ROW()&lt;=(Results!$C$1/2)+1,INDEX(Data!$X:$X,CEILING((COUNTA(Data!$X:$X)-1)*RAND()+1,1)),"")</f>
        <v/>
      </c>
      <c r="E68" s="1" t="str">
        <f>IF(ROW()&lt;=(Results!$C$1/2)+1,VLOOKUP($D68,Data!$X$2:$Y$117,2,TRUE),"")</f>
        <v/>
      </c>
      <c r="F68" s="14" t="str">
        <f>IF(ROW()&lt;=(Results!$C$1/2)+1,IF(E68&lt;=0,"",LN(E68)),"")</f>
        <v/>
      </c>
    </row>
    <row r="69" spans="1:6" x14ac:dyDescent="0.25">
      <c r="A69" s="1" t="str">
        <f ca="1">IF(ROW()&lt;=(Results!$C$1/2)+1,INDEX(Data!$V:$V,CEILING((COUNTA(Data!$V:$V)-1)*RAND()+1,1)),"")</f>
        <v/>
      </c>
      <c r="B69" s="1" t="str">
        <f>IF(ROW()&lt;=(Results!$C$1/2)+1,VLOOKUP($A69,Data!$V$2:$W$117,2,TRUE),"")</f>
        <v/>
      </c>
      <c r="C69" s="14" t="str">
        <f>IF(ROW()&lt;=(Results!$C$1/2)+1,IF(B69&lt;=0,"",LN(B69)),"")</f>
        <v/>
      </c>
      <c r="D69" s="1" t="str">
        <f ca="1">IF(ROW()&lt;=(Results!$C$1/2)+1,INDEX(Data!$X:$X,CEILING((COUNTA(Data!$X:$X)-1)*RAND()+1,1)),"")</f>
        <v/>
      </c>
      <c r="E69" s="1" t="str">
        <f>IF(ROW()&lt;=(Results!$C$1/2)+1,VLOOKUP($D69,Data!$X$2:$Y$117,2,TRUE),"")</f>
        <v/>
      </c>
      <c r="F69" s="14" t="str">
        <f>IF(ROW()&lt;=(Results!$C$1/2)+1,IF(E69&lt;=0,"",LN(E69)),"")</f>
        <v/>
      </c>
    </row>
    <row r="70" spans="1:6" x14ac:dyDescent="0.25">
      <c r="A70" s="1" t="str">
        <f ca="1">IF(ROW()&lt;=(Results!$C$1/2)+1,INDEX(Data!$V:$V,CEILING((COUNTA(Data!$V:$V)-1)*RAND()+1,1)),"")</f>
        <v/>
      </c>
      <c r="B70" s="1" t="str">
        <f>IF(ROW()&lt;=(Results!$C$1/2)+1,VLOOKUP($A70,Data!$V$2:$W$117,2,TRUE),"")</f>
        <v/>
      </c>
      <c r="C70" s="14" t="str">
        <f>IF(ROW()&lt;=(Results!$C$1/2)+1,IF(B70&lt;=0,"",LN(B70)),"")</f>
        <v/>
      </c>
      <c r="D70" s="1" t="str">
        <f ca="1">IF(ROW()&lt;=(Results!$C$1/2)+1,INDEX(Data!$X:$X,CEILING((COUNTA(Data!$X:$X)-1)*RAND()+1,1)),"")</f>
        <v/>
      </c>
      <c r="E70" s="1" t="str">
        <f>IF(ROW()&lt;=(Results!$C$1/2)+1,VLOOKUP($D70,Data!$X$2:$Y$117,2,TRUE),"")</f>
        <v/>
      </c>
      <c r="F70" s="14" t="str">
        <f>IF(ROW()&lt;=(Results!$C$1/2)+1,IF(E70&lt;=0,"",LN(E70)),"")</f>
        <v/>
      </c>
    </row>
    <row r="71" spans="1:6" x14ac:dyDescent="0.25">
      <c r="A71" s="1" t="str">
        <f ca="1">IF(ROW()&lt;=(Results!$C$1/2)+1,INDEX(Data!$V:$V,CEILING((COUNTA(Data!$V:$V)-1)*RAND()+1,1)),"")</f>
        <v/>
      </c>
      <c r="B71" s="1" t="str">
        <f>IF(ROW()&lt;=(Results!$C$1/2)+1,VLOOKUP($A71,Data!$V$2:$W$117,2,TRUE),"")</f>
        <v/>
      </c>
      <c r="C71" s="14" t="str">
        <f>IF(ROW()&lt;=(Results!$C$1/2)+1,IF(B71&lt;=0,"",LN(B71)),"")</f>
        <v/>
      </c>
      <c r="D71" s="1" t="str">
        <f ca="1">IF(ROW()&lt;=(Results!$C$1/2)+1,INDEX(Data!$X:$X,CEILING((COUNTA(Data!$X:$X)-1)*RAND()+1,1)),"")</f>
        <v/>
      </c>
      <c r="E71" s="1" t="str">
        <f>IF(ROW()&lt;=(Results!$C$1/2)+1,VLOOKUP($D71,Data!$X$2:$Y$117,2,TRUE),"")</f>
        <v/>
      </c>
      <c r="F71" s="14" t="str">
        <f>IF(ROW()&lt;=(Results!$C$1/2)+1,IF(E71&lt;=0,"",LN(E71)),"")</f>
        <v/>
      </c>
    </row>
    <row r="72" spans="1:6" x14ac:dyDescent="0.25">
      <c r="A72" s="1" t="str">
        <f ca="1">IF(ROW()&lt;=(Results!$C$1/2)+1,INDEX(Data!$V:$V,CEILING((COUNTA(Data!$V:$V)-1)*RAND()+1,1)),"")</f>
        <v/>
      </c>
      <c r="B72" s="1" t="str">
        <f>IF(ROW()&lt;=(Results!$C$1/2)+1,VLOOKUP($A72,Data!$V$2:$W$117,2,TRUE),"")</f>
        <v/>
      </c>
      <c r="C72" s="14" t="str">
        <f>IF(ROW()&lt;=(Results!$C$1/2)+1,IF(B72&lt;=0,"",LN(B72)),"")</f>
        <v/>
      </c>
      <c r="D72" s="1" t="str">
        <f ca="1">IF(ROW()&lt;=(Results!$C$1/2)+1,INDEX(Data!$X:$X,CEILING((COUNTA(Data!$X:$X)-1)*RAND()+1,1)),"")</f>
        <v/>
      </c>
      <c r="E72" s="1" t="str">
        <f>IF(ROW()&lt;=(Results!$C$1/2)+1,VLOOKUP($D72,Data!$X$2:$Y$117,2,TRUE),"")</f>
        <v/>
      </c>
      <c r="F72" s="14" t="str">
        <f>IF(ROW()&lt;=(Results!$C$1/2)+1,IF(E72&lt;=0,"",LN(E72)),"")</f>
        <v/>
      </c>
    </row>
    <row r="73" spans="1:6" x14ac:dyDescent="0.25">
      <c r="A73" s="1" t="str">
        <f ca="1">IF(ROW()&lt;=(Results!$C$1/2)+1,INDEX(Data!$V:$V,CEILING((COUNTA(Data!$V:$V)-1)*RAND()+1,1)),"")</f>
        <v/>
      </c>
      <c r="B73" s="1" t="str">
        <f>IF(ROW()&lt;=(Results!$C$1/2)+1,VLOOKUP($A73,Data!$V$2:$W$117,2,TRUE),"")</f>
        <v/>
      </c>
      <c r="C73" s="14" t="str">
        <f>IF(ROW()&lt;=(Results!$C$1/2)+1,IF(B73&lt;=0,"",LN(B73)),"")</f>
        <v/>
      </c>
      <c r="D73" s="1" t="str">
        <f ca="1">IF(ROW()&lt;=(Results!$C$1/2)+1,INDEX(Data!$X:$X,CEILING((COUNTA(Data!$X:$X)-1)*RAND()+1,1)),"")</f>
        <v/>
      </c>
      <c r="E73" s="1" t="str">
        <f>IF(ROW()&lt;=(Results!$C$1/2)+1,VLOOKUP($D73,Data!$X$2:$Y$117,2,TRUE),"")</f>
        <v/>
      </c>
      <c r="F73" s="14" t="str">
        <f>IF(ROW()&lt;=(Results!$C$1/2)+1,IF(E73&lt;=0,"",LN(E73)),"")</f>
        <v/>
      </c>
    </row>
    <row r="74" spans="1:6" x14ac:dyDescent="0.25">
      <c r="A74" s="1" t="str">
        <f ca="1">IF(ROW()&lt;=(Results!$C$1/2)+1,INDEX(Data!$V:$V,CEILING((COUNTA(Data!$V:$V)-1)*RAND()+1,1)),"")</f>
        <v/>
      </c>
      <c r="B74" s="1" t="str">
        <f>IF(ROW()&lt;=(Results!$C$1/2)+1,VLOOKUP($A74,Data!$V$2:$W$117,2,TRUE),"")</f>
        <v/>
      </c>
      <c r="C74" s="14" t="str">
        <f>IF(ROW()&lt;=(Results!$C$1/2)+1,IF(B74&lt;=0,"",LN(B74)),"")</f>
        <v/>
      </c>
      <c r="D74" s="1" t="str">
        <f ca="1">IF(ROW()&lt;=(Results!$C$1/2)+1,INDEX(Data!$X:$X,CEILING((COUNTA(Data!$X:$X)-1)*RAND()+1,1)),"")</f>
        <v/>
      </c>
      <c r="E74" s="1" t="str">
        <f>IF(ROW()&lt;=(Results!$C$1/2)+1,VLOOKUP($D74,Data!$X$2:$Y$117,2,TRUE),"")</f>
        <v/>
      </c>
      <c r="F74" s="14" t="str">
        <f>IF(ROW()&lt;=(Results!$C$1/2)+1,IF(E74&lt;=0,"",LN(E74)),"")</f>
        <v/>
      </c>
    </row>
    <row r="75" spans="1:6" x14ac:dyDescent="0.25">
      <c r="A75" s="1" t="str">
        <f ca="1">IF(ROW()&lt;=(Results!$C$1/2)+1,INDEX(Data!$V:$V,CEILING((COUNTA(Data!$V:$V)-1)*RAND()+1,1)),"")</f>
        <v/>
      </c>
      <c r="B75" s="1" t="str">
        <f>IF(ROW()&lt;=(Results!$C$1/2)+1,VLOOKUP($A75,Data!$V$2:$W$117,2,TRUE),"")</f>
        <v/>
      </c>
      <c r="C75" s="14" t="str">
        <f>IF(ROW()&lt;=(Results!$C$1/2)+1,IF(B75&lt;=0,"",LN(B75)),"")</f>
        <v/>
      </c>
      <c r="D75" s="1" t="str">
        <f ca="1">IF(ROW()&lt;=(Results!$C$1/2)+1,INDEX(Data!$X:$X,CEILING((COUNTA(Data!$X:$X)-1)*RAND()+1,1)),"")</f>
        <v/>
      </c>
      <c r="E75" s="1" t="str">
        <f>IF(ROW()&lt;=(Results!$C$1/2)+1,VLOOKUP($D75,Data!$X$2:$Y$117,2,TRUE),"")</f>
        <v/>
      </c>
      <c r="F75" s="14" t="str">
        <f>IF(ROW()&lt;=(Results!$C$1/2)+1,IF(E75&lt;=0,"",LN(E75)),"")</f>
        <v/>
      </c>
    </row>
    <row r="76" spans="1:6" x14ac:dyDescent="0.25">
      <c r="A76" s="1" t="str">
        <f ca="1">IF(ROW()&lt;=(Results!$C$1/2)+1,INDEX(Data!$V:$V,CEILING((COUNTA(Data!$V:$V)-1)*RAND()+1,1)),"")</f>
        <v/>
      </c>
      <c r="B76" s="1" t="str">
        <f>IF(ROW()&lt;=(Results!$C$1/2)+1,VLOOKUP($A76,Data!$V$2:$W$117,2,TRUE),"")</f>
        <v/>
      </c>
      <c r="C76" s="14" t="str">
        <f>IF(ROW()&lt;=(Results!$C$1/2)+1,IF(B76&lt;=0,"",LN(B76)),"")</f>
        <v/>
      </c>
      <c r="D76" s="1" t="str">
        <f ca="1">IF(ROW()&lt;=(Results!$C$1/2)+1,INDEX(Data!$X:$X,CEILING((COUNTA(Data!$X:$X)-1)*RAND()+1,1)),"")</f>
        <v/>
      </c>
      <c r="E76" s="1" t="str">
        <f>IF(ROW()&lt;=(Results!$C$1/2)+1,VLOOKUP($D76,Data!$X$2:$Y$117,2,TRUE),"")</f>
        <v/>
      </c>
      <c r="F76" s="14" t="str">
        <f>IF(ROW()&lt;=(Results!$C$1/2)+1,IF(E76&lt;=0,"",LN(E76)),"")</f>
        <v/>
      </c>
    </row>
    <row r="77" spans="1:6" x14ac:dyDescent="0.25">
      <c r="A77" s="1" t="str">
        <f ca="1">IF(ROW()&lt;=(Results!$C$1/2)+1,INDEX(Data!$V:$V,CEILING((COUNTA(Data!$V:$V)-1)*RAND()+1,1)),"")</f>
        <v/>
      </c>
      <c r="B77" s="1" t="str">
        <f>IF(ROW()&lt;=(Results!$C$1/2)+1,VLOOKUP($A77,Data!$V$2:$W$117,2,TRUE),"")</f>
        <v/>
      </c>
      <c r="C77" s="14" t="str">
        <f>IF(ROW()&lt;=(Results!$C$1/2)+1,IF(B77&lt;=0,"",LN(B77)),"")</f>
        <v/>
      </c>
      <c r="D77" s="1" t="str">
        <f ca="1">IF(ROW()&lt;=(Results!$C$1/2)+1,INDEX(Data!$X:$X,CEILING((COUNTA(Data!$X:$X)-1)*RAND()+1,1)),"")</f>
        <v/>
      </c>
      <c r="E77" s="1" t="str">
        <f>IF(ROW()&lt;=(Results!$C$1/2)+1,VLOOKUP($D77,Data!$X$2:$Y$117,2,TRUE),"")</f>
        <v/>
      </c>
      <c r="F77" s="14" t="str">
        <f>IF(ROW()&lt;=(Results!$C$1/2)+1,IF(E77&lt;=0,"",LN(E77)),"")</f>
        <v/>
      </c>
    </row>
    <row r="78" spans="1:6" x14ac:dyDescent="0.25">
      <c r="A78" s="1" t="str">
        <f ca="1">IF(ROW()&lt;=(Results!$C$1/2)+1,INDEX(Data!$V:$V,CEILING((COUNTA(Data!$V:$V)-1)*RAND()+1,1)),"")</f>
        <v/>
      </c>
      <c r="B78" s="1" t="str">
        <f>IF(ROW()&lt;=(Results!$C$1/2)+1,VLOOKUP($A78,Data!$V$2:$W$117,2,TRUE),"")</f>
        <v/>
      </c>
      <c r="C78" s="14" t="str">
        <f>IF(ROW()&lt;=(Results!$C$1/2)+1,IF(B78&lt;=0,"",LN(B78)),"")</f>
        <v/>
      </c>
      <c r="D78" s="1" t="str">
        <f ca="1">IF(ROW()&lt;=(Results!$C$1/2)+1,INDEX(Data!$X:$X,CEILING((COUNTA(Data!$X:$X)-1)*RAND()+1,1)),"")</f>
        <v/>
      </c>
      <c r="E78" s="1" t="str">
        <f>IF(ROW()&lt;=(Results!$C$1/2)+1,VLOOKUP($D78,Data!$X$2:$Y$117,2,TRUE),"")</f>
        <v/>
      </c>
      <c r="F78" s="14" t="str">
        <f>IF(ROW()&lt;=(Results!$C$1/2)+1,IF(E78&lt;=0,"",LN(E78)),"")</f>
        <v/>
      </c>
    </row>
    <row r="79" spans="1:6" x14ac:dyDescent="0.25">
      <c r="A79" s="1" t="str">
        <f ca="1">IF(ROW()&lt;=(Results!$C$1/2)+1,INDEX(Data!$V:$V,CEILING((COUNTA(Data!$V:$V)-1)*RAND()+1,1)),"")</f>
        <v/>
      </c>
      <c r="B79" s="1" t="str">
        <f>IF(ROW()&lt;=(Results!$C$1/2)+1,VLOOKUP($A79,Data!$V$2:$W$117,2,TRUE),"")</f>
        <v/>
      </c>
      <c r="C79" s="14" t="str">
        <f>IF(ROW()&lt;=(Results!$C$1/2)+1,IF(B79&lt;=0,"",LN(B79)),"")</f>
        <v/>
      </c>
      <c r="D79" s="1" t="str">
        <f ca="1">IF(ROW()&lt;=(Results!$C$1/2)+1,INDEX(Data!$X:$X,CEILING((COUNTA(Data!$X:$X)-1)*RAND()+1,1)),"")</f>
        <v/>
      </c>
      <c r="E79" s="1" t="str">
        <f>IF(ROW()&lt;=(Results!$C$1/2)+1,VLOOKUP($D79,Data!$X$2:$Y$117,2,TRUE),"")</f>
        <v/>
      </c>
      <c r="F79" s="14" t="str">
        <f>IF(ROW()&lt;=(Results!$C$1/2)+1,IF(E79&lt;=0,"",LN(E79)),"")</f>
        <v/>
      </c>
    </row>
    <row r="80" spans="1:6" x14ac:dyDescent="0.25">
      <c r="A80" s="1" t="str">
        <f ca="1">IF(ROW()&lt;=(Results!$C$1/2)+1,INDEX(Data!$V:$V,CEILING((COUNTA(Data!$V:$V)-1)*RAND()+1,1)),"")</f>
        <v/>
      </c>
      <c r="B80" s="1" t="str">
        <f>IF(ROW()&lt;=(Results!$C$1/2)+1,VLOOKUP($A80,Data!$V$2:$W$117,2,TRUE),"")</f>
        <v/>
      </c>
      <c r="C80" s="14" t="str">
        <f>IF(ROW()&lt;=(Results!$C$1/2)+1,IF(B80&lt;=0,"",LN(B80)),"")</f>
        <v/>
      </c>
      <c r="D80" s="1" t="str">
        <f ca="1">IF(ROW()&lt;=(Results!$C$1/2)+1,INDEX(Data!$X:$X,CEILING((COUNTA(Data!$X:$X)-1)*RAND()+1,1)),"")</f>
        <v/>
      </c>
      <c r="E80" s="1" t="str">
        <f>IF(ROW()&lt;=(Results!$C$1/2)+1,VLOOKUP($D80,Data!$X$2:$Y$117,2,TRUE),"")</f>
        <v/>
      </c>
      <c r="F80" s="14" t="str">
        <f>IF(ROW()&lt;=(Results!$C$1/2)+1,IF(E80&lt;=0,"",LN(E80)),"")</f>
        <v/>
      </c>
    </row>
    <row r="81" spans="1:6" x14ac:dyDescent="0.25">
      <c r="A81" s="1" t="str">
        <f ca="1">IF(ROW()&lt;=(Results!$C$1/2)+1,INDEX(Data!$V:$V,CEILING((COUNTA(Data!$V:$V)-1)*RAND()+1,1)),"")</f>
        <v/>
      </c>
      <c r="B81" s="1" t="str">
        <f>IF(ROW()&lt;=(Results!$C$1/2)+1,VLOOKUP($A81,Data!$V$2:$W$117,2,TRUE),"")</f>
        <v/>
      </c>
      <c r="C81" s="14" t="str">
        <f>IF(ROW()&lt;=(Results!$C$1/2)+1,IF(B81&lt;=0,"",LN(B81)),"")</f>
        <v/>
      </c>
      <c r="D81" s="1" t="str">
        <f ca="1">IF(ROW()&lt;=(Results!$C$1/2)+1,INDEX(Data!$X:$X,CEILING((COUNTA(Data!$X:$X)-1)*RAND()+1,1)),"")</f>
        <v/>
      </c>
      <c r="E81" s="1" t="str">
        <f>IF(ROW()&lt;=(Results!$C$1/2)+1,VLOOKUP($D81,Data!$X$2:$Y$117,2,TRUE),"")</f>
        <v/>
      </c>
      <c r="F81" s="14" t="str">
        <f>IF(ROW()&lt;=(Results!$C$1/2)+1,IF(E81&lt;=0,"",LN(E81)),"")</f>
        <v/>
      </c>
    </row>
    <row r="82" spans="1:6" x14ac:dyDescent="0.25">
      <c r="A82" s="1" t="str">
        <f ca="1">IF(ROW()&lt;=(Results!$C$1/2)+1,INDEX(Data!$V:$V,CEILING((COUNTA(Data!$V:$V)-1)*RAND()+1,1)),"")</f>
        <v/>
      </c>
      <c r="B82" s="1" t="str">
        <f>IF(ROW()&lt;=(Results!$C$1/2)+1,VLOOKUP($A82,Data!$V$2:$W$117,2,TRUE),"")</f>
        <v/>
      </c>
      <c r="C82" s="14" t="str">
        <f>IF(ROW()&lt;=(Results!$C$1/2)+1,IF(B82&lt;=0,"",LN(B82)),"")</f>
        <v/>
      </c>
      <c r="D82" s="1" t="str">
        <f ca="1">IF(ROW()&lt;=(Results!$C$1/2)+1,INDEX(Data!$X:$X,CEILING((COUNTA(Data!$X:$X)-1)*RAND()+1,1)),"")</f>
        <v/>
      </c>
      <c r="E82" s="1" t="str">
        <f>IF(ROW()&lt;=(Results!$C$1/2)+1,VLOOKUP($D82,Data!$X$2:$Y$117,2,TRUE),"")</f>
        <v/>
      </c>
      <c r="F82" s="14" t="str">
        <f>IF(ROW()&lt;=(Results!$C$1/2)+1,IF(E82&lt;=0,"",LN(E82)),"")</f>
        <v/>
      </c>
    </row>
    <row r="83" spans="1:6" x14ac:dyDescent="0.25">
      <c r="A83" s="1" t="str">
        <f ca="1">IF(ROW()&lt;=(Results!$C$1/2)+1,INDEX(Data!$V:$V,CEILING((COUNTA(Data!$V:$V)-1)*RAND()+1,1)),"")</f>
        <v/>
      </c>
      <c r="B83" s="1" t="str">
        <f>IF(ROW()&lt;=(Results!$C$1/2)+1,VLOOKUP($A83,Data!$V$2:$W$117,2,TRUE),"")</f>
        <v/>
      </c>
      <c r="C83" s="14" t="str">
        <f>IF(ROW()&lt;=(Results!$C$1/2)+1,IF(B83&lt;=0,"",LN(B83)),"")</f>
        <v/>
      </c>
      <c r="D83" s="1" t="str">
        <f ca="1">IF(ROW()&lt;=(Results!$C$1/2)+1,INDEX(Data!$X:$X,CEILING((COUNTA(Data!$X:$X)-1)*RAND()+1,1)),"")</f>
        <v/>
      </c>
      <c r="E83" s="1" t="str">
        <f>IF(ROW()&lt;=(Results!$C$1/2)+1,VLOOKUP($D83,Data!$X$2:$Y$117,2,TRUE),"")</f>
        <v/>
      </c>
      <c r="F83" s="14" t="str">
        <f>IF(ROW()&lt;=(Results!$C$1/2)+1,IF(E83&lt;=0,"",LN(E83)),"")</f>
        <v/>
      </c>
    </row>
    <row r="84" spans="1:6" x14ac:dyDescent="0.25">
      <c r="A84" s="1" t="str">
        <f ca="1">IF(ROW()&lt;=(Results!$C$1/2)+1,INDEX(Data!$V:$V,CEILING((COUNTA(Data!$V:$V)-1)*RAND()+1,1)),"")</f>
        <v/>
      </c>
      <c r="B84" s="1" t="str">
        <f>IF(ROW()&lt;=(Results!$C$1/2)+1,VLOOKUP($A84,Data!$V$2:$W$117,2,TRUE),"")</f>
        <v/>
      </c>
      <c r="C84" s="14" t="str">
        <f>IF(ROW()&lt;=(Results!$C$1/2)+1,IF(B84&lt;=0,"",LN(B84)),"")</f>
        <v/>
      </c>
      <c r="D84" s="1" t="str">
        <f ca="1">IF(ROW()&lt;=(Results!$C$1/2)+1,INDEX(Data!$X:$X,CEILING((COUNTA(Data!$X:$X)-1)*RAND()+1,1)),"")</f>
        <v/>
      </c>
      <c r="E84" s="1" t="str">
        <f>IF(ROW()&lt;=(Results!$C$1/2)+1,VLOOKUP($D84,Data!$X$2:$Y$117,2,TRUE),"")</f>
        <v/>
      </c>
      <c r="F84" s="14" t="str">
        <f>IF(ROW()&lt;=(Results!$C$1/2)+1,IF(E84&lt;=0,"",LN(E84)),"")</f>
        <v/>
      </c>
    </row>
    <row r="85" spans="1:6" x14ac:dyDescent="0.25">
      <c r="A85" s="1" t="str">
        <f ca="1">IF(ROW()&lt;=(Results!$C$1/2)+1,INDEX(Data!$V:$V,CEILING((COUNTA(Data!$V:$V)-1)*RAND()+1,1)),"")</f>
        <v/>
      </c>
      <c r="B85" s="1" t="str">
        <f>IF(ROW()&lt;=(Results!$C$1/2)+1,VLOOKUP($A85,Data!$V$2:$W$117,2,TRUE),"")</f>
        <v/>
      </c>
      <c r="C85" s="14" t="str">
        <f>IF(ROW()&lt;=(Results!$C$1/2)+1,IF(B85&lt;=0,"",LN(B85)),"")</f>
        <v/>
      </c>
      <c r="D85" s="1" t="str">
        <f ca="1">IF(ROW()&lt;=(Results!$C$1/2)+1,INDEX(Data!$X:$X,CEILING((COUNTA(Data!$X:$X)-1)*RAND()+1,1)),"")</f>
        <v/>
      </c>
      <c r="E85" s="1" t="str">
        <f>IF(ROW()&lt;=(Results!$C$1/2)+1,VLOOKUP($D85,Data!$X$2:$Y$117,2,TRUE),"")</f>
        <v/>
      </c>
      <c r="F85" s="14" t="str">
        <f>IF(ROW()&lt;=(Results!$C$1/2)+1,IF(E85&lt;=0,"",LN(E85)),"")</f>
        <v/>
      </c>
    </row>
    <row r="86" spans="1:6" x14ac:dyDescent="0.25">
      <c r="A86" s="1" t="str">
        <f ca="1">IF(ROW()&lt;=(Results!$C$1/2)+1,INDEX(Data!$V:$V,CEILING((COUNTA(Data!$V:$V)-1)*RAND()+1,1)),"")</f>
        <v/>
      </c>
      <c r="B86" s="1" t="str">
        <f>IF(ROW()&lt;=(Results!$C$1/2)+1,VLOOKUP($A86,Data!$V$2:$W$117,2,TRUE),"")</f>
        <v/>
      </c>
      <c r="C86" s="14" t="str">
        <f>IF(ROW()&lt;=(Results!$C$1/2)+1,IF(B86&lt;=0,"",LN(B86)),"")</f>
        <v/>
      </c>
      <c r="D86" s="1" t="str">
        <f ca="1">IF(ROW()&lt;=(Results!$C$1/2)+1,INDEX(Data!$X:$X,CEILING((COUNTA(Data!$X:$X)-1)*RAND()+1,1)),"")</f>
        <v/>
      </c>
      <c r="E86" s="1" t="str">
        <f>IF(ROW()&lt;=(Results!$C$1/2)+1,VLOOKUP($D86,Data!$X$2:$Y$117,2,TRUE),"")</f>
        <v/>
      </c>
      <c r="F86" s="14" t="str">
        <f>IF(ROW()&lt;=(Results!$C$1/2)+1,IF(E86&lt;=0,"",LN(E86)),"")</f>
        <v/>
      </c>
    </row>
    <row r="87" spans="1:6" x14ac:dyDescent="0.25">
      <c r="A87" s="1" t="str">
        <f ca="1">IF(ROW()&lt;=(Results!$C$1/2)+1,INDEX(Data!$V:$V,CEILING((COUNTA(Data!$V:$V)-1)*RAND()+1,1)),"")</f>
        <v/>
      </c>
      <c r="B87" s="1" t="str">
        <f>IF(ROW()&lt;=(Results!$C$1/2)+1,VLOOKUP($A87,Data!$V$2:$W$117,2,TRUE),"")</f>
        <v/>
      </c>
      <c r="C87" s="14" t="str">
        <f>IF(ROW()&lt;=(Results!$C$1/2)+1,IF(B87&lt;=0,"",LN(B87)),"")</f>
        <v/>
      </c>
      <c r="D87" s="1" t="str">
        <f ca="1">IF(ROW()&lt;=(Results!$C$1/2)+1,INDEX(Data!$X:$X,CEILING((COUNTA(Data!$X:$X)-1)*RAND()+1,1)),"")</f>
        <v/>
      </c>
      <c r="E87" s="1" t="str">
        <f>IF(ROW()&lt;=(Results!$C$1/2)+1,VLOOKUP($D87,Data!$X$2:$Y$117,2,TRUE),"")</f>
        <v/>
      </c>
      <c r="F87" s="14" t="str">
        <f>IF(ROW()&lt;=(Results!$C$1/2)+1,IF(E87&lt;=0,"",LN(E87)),"")</f>
        <v/>
      </c>
    </row>
    <row r="88" spans="1:6" x14ac:dyDescent="0.25">
      <c r="A88" s="1" t="str">
        <f ca="1">IF(ROW()&lt;=(Results!$C$1/2)+1,INDEX(Data!$V:$V,CEILING((COUNTA(Data!$V:$V)-1)*RAND()+1,1)),"")</f>
        <v/>
      </c>
      <c r="B88" s="1" t="str">
        <f>IF(ROW()&lt;=(Results!$C$1/2)+1,VLOOKUP($A88,Data!$V$2:$W$117,2,TRUE),"")</f>
        <v/>
      </c>
      <c r="C88" s="14" t="str">
        <f>IF(ROW()&lt;=(Results!$C$1/2)+1,IF(B88&lt;=0,"",LN(B88)),"")</f>
        <v/>
      </c>
      <c r="D88" s="1" t="str">
        <f ca="1">IF(ROW()&lt;=(Results!$C$1/2)+1,INDEX(Data!$X:$X,CEILING((COUNTA(Data!$X:$X)-1)*RAND()+1,1)),"")</f>
        <v/>
      </c>
      <c r="E88" s="1" t="str">
        <f>IF(ROW()&lt;=(Results!$C$1/2)+1,VLOOKUP($D88,Data!$X$2:$Y$117,2,TRUE),"")</f>
        <v/>
      </c>
      <c r="F88" s="14" t="str">
        <f>IF(ROW()&lt;=(Results!$C$1/2)+1,IF(E88&lt;=0,"",LN(E88)),"")</f>
        <v/>
      </c>
    </row>
    <row r="89" spans="1:6" x14ac:dyDescent="0.25">
      <c r="A89" s="1" t="str">
        <f ca="1">IF(ROW()&lt;=(Results!$C$1/2)+1,INDEX(Data!$V:$V,CEILING((COUNTA(Data!$V:$V)-1)*RAND()+1,1)),"")</f>
        <v/>
      </c>
      <c r="B89" s="1" t="str">
        <f>IF(ROW()&lt;=(Results!$C$1/2)+1,VLOOKUP($A89,Data!$V$2:$W$117,2,TRUE),"")</f>
        <v/>
      </c>
      <c r="C89" s="14" t="str">
        <f>IF(ROW()&lt;=(Results!$C$1/2)+1,IF(B89&lt;=0,"",LN(B89)),"")</f>
        <v/>
      </c>
      <c r="D89" s="1" t="str">
        <f ca="1">IF(ROW()&lt;=(Results!$C$1/2)+1,INDEX(Data!$X:$X,CEILING((COUNTA(Data!$X:$X)-1)*RAND()+1,1)),"")</f>
        <v/>
      </c>
      <c r="E89" s="1" t="str">
        <f>IF(ROW()&lt;=(Results!$C$1/2)+1,VLOOKUP($D89,Data!$X$2:$Y$117,2,TRUE),"")</f>
        <v/>
      </c>
      <c r="F89" s="14" t="str">
        <f>IF(ROW()&lt;=(Results!$C$1/2)+1,IF(E89&lt;=0,"",LN(E89)),"")</f>
        <v/>
      </c>
    </row>
    <row r="90" spans="1:6" x14ac:dyDescent="0.25">
      <c r="A90" s="1" t="str">
        <f ca="1">IF(ROW()&lt;=(Results!$C$1/2)+1,INDEX(Data!$V:$V,CEILING((COUNTA(Data!$V:$V)-1)*RAND()+1,1)),"")</f>
        <v/>
      </c>
      <c r="B90" s="1" t="str">
        <f>IF(ROW()&lt;=(Results!$C$1/2)+1,VLOOKUP($A90,Data!$V$2:$W$117,2,TRUE),"")</f>
        <v/>
      </c>
      <c r="C90" s="14" t="str">
        <f>IF(ROW()&lt;=(Results!$C$1/2)+1,IF(B90&lt;=0,"",LN(B90)),"")</f>
        <v/>
      </c>
      <c r="D90" s="1" t="str">
        <f ca="1">IF(ROW()&lt;=(Results!$C$1/2)+1,INDEX(Data!$X:$X,CEILING((COUNTA(Data!$X:$X)-1)*RAND()+1,1)),"")</f>
        <v/>
      </c>
      <c r="E90" s="1" t="str">
        <f>IF(ROW()&lt;=(Results!$C$1/2)+1,VLOOKUP($D90,Data!$X$2:$Y$117,2,TRUE),"")</f>
        <v/>
      </c>
      <c r="F90" s="14" t="str">
        <f>IF(ROW()&lt;=(Results!$C$1/2)+1,IF(E90&lt;=0,"",LN(E90)),"")</f>
        <v/>
      </c>
    </row>
    <row r="91" spans="1:6" x14ac:dyDescent="0.25">
      <c r="A91" s="1" t="str">
        <f ca="1">IF(ROW()&lt;=(Results!$C$1/2)+1,INDEX(Data!$V:$V,CEILING((COUNTA(Data!$V:$V)-1)*RAND()+1,1)),"")</f>
        <v/>
      </c>
      <c r="B91" s="1" t="str">
        <f>IF(ROW()&lt;=(Results!$C$1/2)+1,VLOOKUP($A91,Data!$V$2:$W$117,2,TRUE),"")</f>
        <v/>
      </c>
      <c r="C91" s="14" t="str">
        <f>IF(ROW()&lt;=(Results!$C$1/2)+1,IF(B91&lt;=0,"",LN(B91)),"")</f>
        <v/>
      </c>
      <c r="D91" s="1" t="str">
        <f ca="1">IF(ROW()&lt;=(Results!$C$1/2)+1,INDEX(Data!$X:$X,CEILING((COUNTA(Data!$X:$X)-1)*RAND()+1,1)),"")</f>
        <v/>
      </c>
      <c r="E91" s="1" t="str">
        <f>IF(ROW()&lt;=(Results!$C$1/2)+1,VLOOKUP($D91,Data!$X$2:$Y$117,2,TRUE),"")</f>
        <v/>
      </c>
      <c r="F91" s="14" t="str">
        <f>IF(ROW()&lt;=(Results!$C$1/2)+1,IF(E91&lt;=0,"",LN(E91)),"")</f>
        <v/>
      </c>
    </row>
    <row r="92" spans="1:6" x14ac:dyDescent="0.25">
      <c r="A92" s="1" t="str">
        <f ca="1">IF(ROW()&lt;=(Results!$C$1/2)+1,INDEX(Data!$V:$V,CEILING((COUNTA(Data!$V:$V)-1)*RAND()+1,1)),"")</f>
        <v/>
      </c>
      <c r="B92" s="1" t="str">
        <f>IF(ROW()&lt;=(Results!$C$1/2)+1,VLOOKUP($A92,Data!$V$2:$W$117,2,TRUE),"")</f>
        <v/>
      </c>
      <c r="C92" s="14" t="str">
        <f>IF(ROW()&lt;=(Results!$C$1/2)+1,IF(B92&lt;=0,"",LN(B92)),"")</f>
        <v/>
      </c>
      <c r="D92" s="1" t="str">
        <f ca="1">IF(ROW()&lt;=(Results!$C$1/2)+1,INDEX(Data!$X:$X,CEILING((COUNTA(Data!$X:$X)-1)*RAND()+1,1)),"")</f>
        <v/>
      </c>
      <c r="E92" s="1" t="str">
        <f>IF(ROW()&lt;=(Results!$C$1/2)+1,VLOOKUP($D92,Data!$X$2:$Y$117,2,TRUE),"")</f>
        <v/>
      </c>
      <c r="F92" s="14" t="str">
        <f>IF(ROW()&lt;=(Results!$C$1/2)+1,IF(E92&lt;=0,"",LN(E92)),"")</f>
        <v/>
      </c>
    </row>
    <row r="93" spans="1:6" x14ac:dyDescent="0.25">
      <c r="A93" s="1" t="str">
        <f ca="1">IF(ROW()&lt;=(Results!$C$1/2)+1,INDEX(Data!$V:$V,CEILING((COUNTA(Data!$V:$V)-1)*RAND()+1,1)),"")</f>
        <v/>
      </c>
      <c r="B93" s="1" t="str">
        <f>IF(ROW()&lt;=(Results!$C$1/2)+1,VLOOKUP($A93,Data!$V$2:$W$117,2,TRUE),"")</f>
        <v/>
      </c>
      <c r="C93" s="14" t="str">
        <f>IF(ROW()&lt;=(Results!$C$1/2)+1,IF(B93&lt;=0,"",LN(B93)),"")</f>
        <v/>
      </c>
      <c r="D93" s="1" t="str">
        <f ca="1">IF(ROW()&lt;=(Results!$C$1/2)+1,INDEX(Data!$X:$X,CEILING((COUNTA(Data!$X:$X)-1)*RAND()+1,1)),"")</f>
        <v/>
      </c>
      <c r="E93" s="1" t="str">
        <f>IF(ROW()&lt;=(Results!$C$1/2)+1,VLOOKUP($D93,Data!$X$2:$Y$117,2,TRUE),"")</f>
        <v/>
      </c>
      <c r="F93" s="14" t="str">
        <f>IF(ROW()&lt;=(Results!$C$1/2)+1,IF(E93&lt;=0,"",LN(E93)),"")</f>
        <v/>
      </c>
    </row>
    <row r="94" spans="1:6" x14ac:dyDescent="0.25">
      <c r="A94" s="1" t="str">
        <f ca="1">IF(ROW()&lt;=(Results!$C$1/2)+1,INDEX(Data!$V:$V,CEILING((COUNTA(Data!$V:$V)-1)*RAND()+1,1)),"")</f>
        <v/>
      </c>
      <c r="B94" s="1" t="str">
        <f>IF(ROW()&lt;=(Results!$C$1/2)+1,VLOOKUP($A94,Data!$V$2:$W$117,2,TRUE),"")</f>
        <v/>
      </c>
      <c r="C94" s="14" t="str">
        <f>IF(ROW()&lt;=(Results!$C$1/2)+1,IF(B94&lt;=0,"",LN(B94)),"")</f>
        <v/>
      </c>
      <c r="D94" s="1" t="str">
        <f ca="1">IF(ROW()&lt;=(Results!$C$1/2)+1,INDEX(Data!$X:$X,CEILING((COUNTA(Data!$X:$X)-1)*RAND()+1,1)),"")</f>
        <v/>
      </c>
      <c r="E94" s="1" t="str">
        <f>IF(ROW()&lt;=(Results!$C$1/2)+1,VLOOKUP($D94,Data!$X$2:$Y$117,2,TRUE),"")</f>
        <v/>
      </c>
      <c r="F94" s="14" t="str">
        <f>IF(ROW()&lt;=(Results!$C$1/2)+1,IF(E94&lt;=0,"",LN(E94)),"")</f>
        <v/>
      </c>
    </row>
    <row r="95" spans="1:6" x14ac:dyDescent="0.25">
      <c r="A95" s="1" t="str">
        <f ca="1">IF(ROW()&lt;=(Results!$C$1/2)+1,INDEX(Data!$V:$V,CEILING((COUNTA(Data!$V:$V)-1)*RAND()+1,1)),"")</f>
        <v/>
      </c>
      <c r="B95" s="1" t="str">
        <f>IF(ROW()&lt;=(Results!$C$1/2)+1,VLOOKUP($A95,Data!$V$2:$W$117,2,TRUE),"")</f>
        <v/>
      </c>
      <c r="C95" s="14" t="str">
        <f>IF(ROW()&lt;=(Results!$C$1/2)+1,IF(B95&lt;=0,"",LN(B95)),"")</f>
        <v/>
      </c>
      <c r="D95" s="1" t="str">
        <f ca="1">IF(ROW()&lt;=(Results!$C$1/2)+1,INDEX(Data!$X:$X,CEILING((COUNTA(Data!$X:$X)-1)*RAND()+1,1)),"")</f>
        <v/>
      </c>
      <c r="E95" s="1" t="str">
        <f>IF(ROW()&lt;=(Results!$C$1/2)+1,VLOOKUP($D95,Data!$X$2:$Y$117,2,TRUE),"")</f>
        <v/>
      </c>
      <c r="F95" s="14" t="str">
        <f>IF(ROW()&lt;=(Results!$C$1/2)+1,IF(E95&lt;=0,"",LN(E95)),"")</f>
        <v/>
      </c>
    </row>
    <row r="96" spans="1:6" x14ac:dyDescent="0.25">
      <c r="A96" s="1" t="str">
        <f ca="1">IF(ROW()&lt;=(Results!$C$1/2)+1,INDEX(Data!$V:$V,CEILING((COUNTA(Data!$V:$V)-1)*RAND()+1,1)),"")</f>
        <v/>
      </c>
      <c r="B96" s="1" t="str">
        <f>IF(ROW()&lt;=(Results!$C$1/2)+1,VLOOKUP($A96,Data!$V$2:$W$117,2,TRUE),"")</f>
        <v/>
      </c>
      <c r="C96" s="14" t="str">
        <f>IF(ROW()&lt;=(Results!$C$1/2)+1,IF(B96&lt;=0,"",LN(B96)),"")</f>
        <v/>
      </c>
      <c r="D96" s="1" t="str">
        <f ca="1">IF(ROW()&lt;=(Results!$C$1/2)+1,INDEX(Data!$X:$X,CEILING((COUNTA(Data!$X:$X)-1)*RAND()+1,1)),"")</f>
        <v/>
      </c>
      <c r="E96" s="1" t="str">
        <f>IF(ROW()&lt;=(Results!$C$1/2)+1,VLOOKUP($D96,Data!$X$2:$Y$117,2,TRUE),"")</f>
        <v/>
      </c>
      <c r="F96" s="14" t="str">
        <f>IF(ROW()&lt;=(Results!$C$1/2)+1,IF(E96&lt;=0,"",LN(E96)),"")</f>
        <v/>
      </c>
    </row>
    <row r="97" spans="1:6" x14ac:dyDescent="0.25">
      <c r="A97" s="1" t="str">
        <f ca="1">IF(ROW()&lt;=(Results!$C$1/2)+1,INDEX(Data!$V:$V,CEILING((COUNTA(Data!$V:$V)-1)*RAND()+1,1)),"")</f>
        <v/>
      </c>
      <c r="B97" s="1" t="str">
        <f>IF(ROW()&lt;=(Results!$C$1/2)+1,VLOOKUP($A97,Data!$V$2:$W$117,2,TRUE),"")</f>
        <v/>
      </c>
      <c r="C97" s="14" t="str">
        <f>IF(ROW()&lt;=(Results!$C$1/2)+1,IF(B97&lt;=0,"",LN(B97)),"")</f>
        <v/>
      </c>
      <c r="D97" s="1" t="str">
        <f ca="1">IF(ROW()&lt;=(Results!$C$1/2)+1,INDEX(Data!$X:$X,CEILING((COUNTA(Data!$X:$X)-1)*RAND()+1,1)),"")</f>
        <v/>
      </c>
      <c r="E97" s="1" t="str">
        <f>IF(ROW()&lt;=(Results!$C$1/2)+1,VLOOKUP($D97,Data!$X$2:$Y$117,2,TRUE),"")</f>
        <v/>
      </c>
      <c r="F97" s="14" t="str">
        <f>IF(ROW()&lt;=(Results!$C$1/2)+1,IF(E97&lt;=0,"",LN(E97)),"")</f>
        <v/>
      </c>
    </row>
    <row r="98" spans="1:6" x14ac:dyDescent="0.25">
      <c r="A98" s="1" t="str">
        <f ca="1">IF(ROW()&lt;=(Results!$C$1/2)+1,INDEX(Data!$V:$V,CEILING((COUNTA(Data!$V:$V)-1)*RAND()+1,1)),"")</f>
        <v/>
      </c>
      <c r="B98" s="1" t="str">
        <f>IF(ROW()&lt;=(Results!$C$1/2)+1,VLOOKUP($A98,Data!$V$2:$W$117,2,TRUE),"")</f>
        <v/>
      </c>
      <c r="C98" s="14" t="str">
        <f>IF(ROW()&lt;=(Results!$C$1/2)+1,IF(B98&lt;=0,"",LN(B98)),"")</f>
        <v/>
      </c>
      <c r="D98" s="1" t="str">
        <f ca="1">IF(ROW()&lt;=(Results!$C$1/2)+1,INDEX(Data!$X:$X,CEILING((COUNTA(Data!$X:$X)-1)*RAND()+1,1)),"")</f>
        <v/>
      </c>
      <c r="E98" s="1" t="str">
        <f>IF(ROW()&lt;=(Results!$C$1/2)+1,VLOOKUP($D98,Data!$X$2:$Y$117,2,TRUE),"")</f>
        <v/>
      </c>
      <c r="F98" s="14" t="str">
        <f>IF(ROW()&lt;=(Results!$C$1/2)+1,IF(E98&lt;=0,"",LN(E98)),"")</f>
        <v/>
      </c>
    </row>
    <row r="99" spans="1:6" x14ac:dyDescent="0.25">
      <c r="A99" s="1" t="str">
        <f ca="1">IF(ROW()&lt;=(Results!$C$1/2)+1,INDEX(Data!$V:$V,CEILING((COUNTA(Data!$V:$V)-1)*RAND()+1,1)),"")</f>
        <v/>
      </c>
      <c r="B99" s="1" t="str">
        <f>IF(ROW()&lt;=(Results!$C$1/2)+1,VLOOKUP($A99,Data!$V$2:$W$117,2,TRUE),"")</f>
        <v/>
      </c>
      <c r="C99" s="14" t="str">
        <f>IF(ROW()&lt;=(Results!$C$1/2)+1,IF(B99&lt;=0,"",LN(B99)),"")</f>
        <v/>
      </c>
      <c r="D99" s="1" t="str">
        <f ca="1">IF(ROW()&lt;=(Results!$C$1/2)+1,INDEX(Data!$X:$X,CEILING((COUNTA(Data!$X:$X)-1)*RAND()+1,1)),"")</f>
        <v/>
      </c>
      <c r="E99" s="1" t="str">
        <f>IF(ROW()&lt;=(Results!$C$1/2)+1,VLOOKUP($D99,Data!$X$2:$Y$117,2,TRUE),"")</f>
        <v/>
      </c>
      <c r="F99" s="14" t="str">
        <f>IF(ROW()&lt;=(Results!$C$1/2)+1,IF(E99&lt;=0,"",LN(E99)),"")</f>
        <v/>
      </c>
    </row>
    <row r="100" spans="1:6" x14ac:dyDescent="0.25">
      <c r="A100" s="1" t="str">
        <f ca="1">IF(ROW()&lt;=(Results!$C$1/2)+1,INDEX(Data!$V:$V,CEILING((COUNTA(Data!$V:$V)-1)*RAND()+1,1)),"")</f>
        <v/>
      </c>
      <c r="B100" s="1" t="str">
        <f>IF(ROW()&lt;=(Results!$C$1/2)+1,VLOOKUP($A100,Data!$V$2:$W$117,2,TRUE),"")</f>
        <v/>
      </c>
      <c r="C100" s="14" t="str">
        <f>IF(ROW()&lt;=(Results!$C$1/2)+1,IF(B100&lt;=0,"",LN(B100)),"")</f>
        <v/>
      </c>
      <c r="D100" s="1" t="str">
        <f ca="1">IF(ROW()&lt;=(Results!$C$1/2)+1,INDEX(Data!$X:$X,CEILING((COUNTA(Data!$X:$X)-1)*RAND()+1,1)),"")</f>
        <v/>
      </c>
      <c r="E100" s="1" t="str">
        <f>IF(ROW()&lt;=(Results!$C$1/2)+1,VLOOKUP($D100,Data!$X$2:$Y$117,2,TRUE),"")</f>
        <v/>
      </c>
      <c r="F100" s="14" t="str">
        <f>IF(ROW()&lt;=(Results!$C$1/2)+1,IF(E100&lt;=0,"",LN(E100)),"")</f>
        <v/>
      </c>
    </row>
    <row r="101" spans="1:6" x14ac:dyDescent="0.25">
      <c r="A101" s="1" t="str">
        <f ca="1">IF(ROW()&lt;=(Results!$C$1/2)+1,INDEX(Data!$V:$V,CEILING((COUNTA(Data!$V:$V)-1)*RAND()+1,1)),"")</f>
        <v/>
      </c>
      <c r="B101" s="1" t="str">
        <f>IF(ROW()&lt;=(Results!$C$1/2)+1,VLOOKUP($A101,Data!$V$2:$W$117,2,TRUE),"")</f>
        <v/>
      </c>
      <c r="C101" s="14" t="str">
        <f>IF(ROW()&lt;=(Results!$C$1/2)+1,IF(B101&lt;=0,"",LN(B101)),"")</f>
        <v/>
      </c>
      <c r="D101" s="1" t="str">
        <f ca="1">IF(ROW()&lt;=(Results!$C$1/2)+1,INDEX(Data!$X:$X,CEILING((COUNTA(Data!$X:$X)-1)*RAND()+1,1)),"")</f>
        <v/>
      </c>
      <c r="E101" s="1" t="str">
        <f>IF(ROW()&lt;=(Results!$C$1/2)+1,VLOOKUP($D101,Data!$X$2:$Y$117,2,TRUE),"")</f>
        <v/>
      </c>
      <c r="F101" s="14" t="str">
        <f>IF(ROW()&lt;=(Results!$C$1/2)+1,IF(E101&lt;=0,"",LN(E101)),"")</f>
        <v/>
      </c>
    </row>
    <row r="102" spans="1:6" x14ac:dyDescent="0.25">
      <c r="A102" s="1" t="str">
        <f ca="1">IF(ROW()&lt;=(Results!$C$1/2)+1,INDEX(Data!$V:$V,CEILING((COUNTA(Data!$V:$V)-1)*RAND()+1,1)),"")</f>
        <v/>
      </c>
      <c r="B102" s="1" t="str">
        <f>IF(ROW()&lt;=(Results!$C$1/2)+1,VLOOKUP($A102,Data!$V$2:$W$117,2,TRUE),"")</f>
        <v/>
      </c>
      <c r="C102" s="14" t="str">
        <f>IF(ROW()&lt;=(Results!$C$1/2)+1,IF(B102&lt;=0,"",LN(B102)),"")</f>
        <v/>
      </c>
      <c r="D102" s="1" t="str">
        <f ca="1">IF(ROW()&lt;=(Results!$C$1/2)+1,INDEX(Data!$X:$X,CEILING((COUNTA(Data!$X:$X)-1)*RAND()+1,1)),"")</f>
        <v/>
      </c>
      <c r="E102" s="1" t="str">
        <f>IF(ROW()&lt;=(Results!$C$1/2)+1,VLOOKUP($D102,Data!$X$2:$Y$117,2,TRUE),"")</f>
        <v/>
      </c>
      <c r="F102" s="14" t="str">
        <f>IF(ROW()&lt;=(Results!$C$1/2)+1,IF(E102&lt;=0,"",LN(E102)),"")</f>
        <v/>
      </c>
    </row>
    <row r="103" spans="1:6" x14ac:dyDescent="0.25">
      <c r="A103" s="1" t="str">
        <f ca="1">IF(ROW()&lt;=(Results!$C$1/2)+1,INDEX(Data!$V:$V,CEILING((COUNTA(Data!$V:$V)-1)*RAND()+1,1)),"")</f>
        <v/>
      </c>
      <c r="B103" s="1" t="str">
        <f>IF(ROW()&lt;=(Results!$C$1/2)+1,VLOOKUP($A103,Data!$V$2:$W$117,2,TRUE),"")</f>
        <v/>
      </c>
      <c r="C103" s="14" t="str">
        <f>IF(ROW()&lt;=(Results!$C$1/2)+1,IF(B103&lt;=0,"",LN(B103)),"")</f>
        <v/>
      </c>
      <c r="D103" s="1" t="str">
        <f ca="1">IF(ROW()&lt;=(Results!$C$1/2)+1,INDEX(Data!$X:$X,CEILING((COUNTA(Data!$X:$X)-1)*RAND()+1,1)),"")</f>
        <v/>
      </c>
      <c r="E103" s="1" t="str">
        <f>IF(ROW()&lt;=(Results!$C$1/2)+1,VLOOKUP($D103,Data!$X$2:$Y$117,2,TRUE),"")</f>
        <v/>
      </c>
      <c r="F103" s="14" t="str">
        <f>IF(ROW()&lt;=(Results!$C$1/2)+1,IF(E103&lt;=0,"",LN(E103)),"")</f>
        <v/>
      </c>
    </row>
    <row r="104" spans="1:6" x14ac:dyDescent="0.25">
      <c r="A104" s="1" t="str">
        <f ca="1">IF(ROW()&lt;=(Results!$C$1/2)+1,INDEX(Data!$V:$V,CEILING((COUNTA(Data!$V:$V)-1)*RAND()+1,1)),"")</f>
        <v/>
      </c>
      <c r="B104" s="1" t="str">
        <f>IF(ROW()&lt;=(Results!$C$1/2)+1,VLOOKUP($A104,Data!$V$2:$W$117,2,TRUE),"")</f>
        <v/>
      </c>
      <c r="C104" s="14" t="str">
        <f>IF(ROW()&lt;=(Results!$C$1/2)+1,IF(B104&lt;=0,"",LN(B104)),"")</f>
        <v/>
      </c>
      <c r="D104" s="1" t="str">
        <f ca="1">IF(ROW()&lt;=(Results!$C$1/2)+1,INDEX(Data!$X:$X,CEILING((COUNTA(Data!$X:$X)-1)*RAND()+1,1)),"")</f>
        <v/>
      </c>
      <c r="E104" s="1" t="str">
        <f>IF(ROW()&lt;=(Results!$C$1/2)+1,VLOOKUP($D104,Data!$X$2:$Y$117,2,TRUE),"")</f>
        <v/>
      </c>
      <c r="F104" s="14" t="str">
        <f>IF(ROW()&lt;=(Results!$C$1/2)+1,IF(E104&lt;=0,"",LN(E104)),"")</f>
        <v/>
      </c>
    </row>
    <row r="105" spans="1:6" x14ac:dyDescent="0.25">
      <c r="A105" s="1" t="str">
        <f ca="1">IF(ROW()&lt;=(Results!$C$1/2)+1,INDEX(Data!$V:$V,CEILING((COUNTA(Data!$V:$V)-1)*RAND()+1,1)),"")</f>
        <v/>
      </c>
      <c r="B105" s="1" t="str">
        <f>IF(ROW()&lt;=(Results!$C$1/2)+1,VLOOKUP($A105,Data!$V$2:$W$117,2,TRUE),"")</f>
        <v/>
      </c>
      <c r="C105" s="14" t="str">
        <f>IF(ROW()&lt;=(Results!$C$1/2)+1,IF(B105&lt;=0,"",LN(B105)),"")</f>
        <v/>
      </c>
      <c r="D105" s="1" t="str">
        <f ca="1">IF(ROW()&lt;=(Results!$C$1/2)+1,INDEX(Data!$X:$X,CEILING((COUNTA(Data!$X:$X)-1)*RAND()+1,1)),"")</f>
        <v/>
      </c>
      <c r="E105" s="1" t="str">
        <f>IF(ROW()&lt;=(Results!$C$1/2)+1,VLOOKUP($D105,Data!$X$2:$Y$117,2,TRUE),"")</f>
        <v/>
      </c>
      <c r="F105" s="14" t="str">
        <f>IF(ROW()&lt;=(Results!$C$1/2)+1,IF(E105&lt;=0,"",LN(E105)),"")</f>
        <v/>
      </c>
    </row>
    <row r="106" spans="1:6" x14ac:dyDescent="0.25">
      <c r="A106" s="1" t="str">
        <f ca="1">IF(ROW()&lt;=(Results!$C$1/2)+1,INDEX(Data!$V:$V,CEILING((COUNTA(Data!$V:$V)-1)*RAND()+1,1)),"")</f>
        <v/>
      </c>
      <c r="B106" s="1" t="str">
        <f>IF(ROW()&lt;=(Results!$C$1/2)+1,VLOOKUP($A106,Data!$V$2:$W$117,2,TRUE),"")</f>
        <v/>
      </c>
      <c r="C106" s="14" t="str">
        <f>IF(ROW()&lt;=(Results!$C$1/2)+1,IF(B106&lt;=0,"",LN(B106)),"")</f>
        <v/>
      </c>
      <c r="D106" s="1" t="str">
        <f ca="1">IF(ROW()&lt;=(Results!$C$1/2)+1,INDEX(Data!$X:$X,CEILING((COUNTA(Data!$X:$X)-1)*RAND()+1,1)),"")</f>
        <v/>
      </c>
      <c r="E106" s="1" t="str">
        <f>IF(ROW()&lt;=(Results!$C$1/2)+1,VLOOKUP($D106,Data!$X$2:$Y$117,2,TRUE),"")</f>
        <v/>
      </c>
      <c r="F106" s="14" t="str">
        <f>IF(ROW()&lt;=(Results!$C$1/2)+1,IF(E106&lt;=0,"",LN(E106)),"")</f>
        <v/>
      </c>
    </row>
    <row r="107" spans="1:6" x14ac:dyDescent="0.25">
      <c r="A107" s="1" t="str">
        <f ca="1">IF(ROW()&lt;=(Results!$C$1/2)+1,INDEX(Data!$V:$V,CEILING((COUNTA(Data!$V:$V)-1)*RAND()+1,1)),"")</f>
        <v/>
      </c>
      <c r="B107" s="1" t="str">
        <f>IF(ROW()&lt;=(Results!$C$1/2)+1,VLOOKUP($A107,Data!$V$2:$W$117,2,TRUE),"")</f>
        <v/>
      </c>
      <c r="C107" s="14" t="str">
        <f>IF(ROW()&lt;=(Results!$C$1/2)+1,IF(B107&lt;=0,"",LN(B107)),"")</f>
        <v/>
      </c>
      <c r="D107" s="1" t="str">
        <f ca="1">IF(ROW()&lt;=(Results!$C$1/2)+1,INDEX(Data!$X:$X,CEILING((COUNTA(Data!$X:$X)-1)*RAND()+1,1)),"")</f>
        <v/>
      </c>
      <c r="E107" s="1" t="str">
        <f>IF(ROW()&lt;=(Results!$C$1/2)+1,VLOOKUP($D107,Data!$X$2:$Y$117,2,TRUE),"")</f>
        <v/>
      </c>
      <c r="F107" s="14" t="str">
        <f>IF(ROW()&lt;=(Results!$C$1/2)+1,IF(E107&lt;=0,"",LN(E107)),"")</f>
        <v/>
      </c>
    </row>
    <row r="108" spans="1:6" x14ac:dyDescent="0.25">
      <c r="A108" s="1" t="str">
        <f ca="1">IF(ROW()&lt;=(Results!$C$1/2)+1,INDEX(Data!$V:$V,CEILING((COUNTA(Data!$V:$V)-1)*RAND()+1,1)),"")</f>
        <v/>
      </c>
      <c r="B108" s="1" t="str">
        <f>IF(ROW()&lt;=(Results!$C$1/2)+1,VLOOKUP($A108,Data!$V$2:$W$117,2,TRUE),"")</f>
        <v/>
      </c>
      <c r="C108" s="14" t="str">
        <f>IF(ROW()&lt;=(Results!$C$1/2)+1,IF(B108&lt;=0,"",LN(B108)),"")</f>
        <v/>
      </c>
      <c r="D108" s="1" t="str">
        <f ca="1">IF(ROW()&lt;=(Results!$C$1/2)+1,INDEX(Data!$X:$X,CEILING((COUNTA(Data!$X:$X)-1)*RAND()+1,1)),"")</f>
        <v/>
      </c>
      <c r="E108" s="1" t="str">
        <f>IF(ROW()&lt;=(Results!$C$1/2)+1,VLOOKUP($D108,Data!$X$2:$Y$117,2,TRUE),"")</f>
        <v/>
      </c>
      <c r="F108" s="14" t="str">
        <f>IF(ROW()&lt;=(Results!$C$1/2)+1,IF(E108&lt;=0,"",LN(E108)),"")</f>
        <v/>
      </c>
    </row>
    <row r="109" spans="1:6" x14ac:dyDescent="0.25">
      <c r="A109" s="1" t="str">
        <f ca="1">IF(ROW()&lt;=(Results!$C$1/2)+1,INDEX(Data!$V:$V,CEILING((COUNTA(Data!$V:$V)-1)*RAND()+1,1)),"")</f>
        <v/>
      </c>
      <c r="B109" s="1" t="str">
        <f>IF(ROW()&lt;=(Results!$C$1/2)+1,VLOOKUP($A109,Data!$V$2:$W$117,2,TRUE),"")</f>
        <v/>
      </c>
      <c r="C109" s="14" t="str">
        <f>IF(ROW()&lt;=(Results!$C$1/2)+1,IF(B109&lt;=0,"",LN(B109)),"")</f>
        <v/>
      </c>
      <c r="D109" s="1" t="str">
        <f ca="1">IF(ROW()&lt;=(Results!$C$1/2)+1,INDEX(Data!$X:$X,CEILING((COUNTA(Data!$X:$X)-1)*RAND()+1,1)),"")</f>
        <v/>
      </c>
      <c r="E109" s="1" t="str">
        <f>IF(ROW()&lt;=(Results!$C$1/2)+1,VLOOKUP($D109,Data!$X$2:$Y$117,2,TRUE),"")</f>
        <v/>
      </c>
      <c r="F109" s="14" t="str">
        <f>IF(ROW()&lt;=(Results!$C$1/2)+1,IF(E109&lt;=0,"",LN(E109)),"")</f>
        <v/>
      </c>
    </row>
    <row r="110" spans="1:6" x14ac:dyDescent="0.25">
      <c r="A110" s="1" t="str">
        <f ca="1">IF(ROW()&lt;=(Results!$C$1/2)+1,INDEX(Data!$V:$V,CEILING((COUNTA(Data!$V:$V)-1)*RAND()+1,1)),"")</f>
        <v/>
      </c>
      <c r="B110" s="1" t="str">
        <f>IF(ROW()&lt;=(Results!$C$1/2)+1,VLOOKUP($A110,Data!$V$2:$W$117,2,TRUE),"")</f>
        <v/>
      </c>
      <c r="C110" s="14" t="str">
        <f>IF(ROW()&lt;=(Results!$C$1/2)+1,IF(B110&lt;=0,"",LN(B110)),"")</f>
        <v/>
      </c>
      <c r="D110" s="1" t="str">
        <f ca="1">IF(ROW()&lt;=(Results!$C$1/2)+1,INDEX(Data!$X:$X,CEILING((COUNTA(Data!$X:$X)-1)*RAND()+1,1)),"")</f>
        <v/>
      </c>
      <c r="E110" s="1" t="str">
        <f>IF(ROW()&lt;=(Results!$C$1/2)+1,VLOOKUP($D110,Data!$X$2:$Y$117,2,TRUE),"")</f>
        <v/>
      </c>
      <c r="F110" s="14" t="str">
        <f>IF(ROW()&lt;=(Results!$C$1/2)+1,IF(E110&lt;=0,"",LN(E110)),"")</f>
        <v/>
      </c>
    </row>
    <row r="111" spans="1:6" x14ac:dyDescent="0.25">
      <c r="A111" s="1" t="str">
        <f ca="1">IF(ROW()&lt;=(Results!$C$1/2)+1,INDEX(Data!$V:$V,CEILING((COUNTA(Data!$V:$V)-1)*RAND()+1,1)),"")</f>
        <v/>
      </c>
      <c r="B111" s="1" t="str">
        <f>IF(ROW()&lt;=(Results!$C$1/2)+1,VLOOKUP($A111,Data!$V$2:$W$117,2,TRUE),"")</f>
        <v/>
      </c>
      <c r="C111" s="14" t="str">
        <f>IF(ROW()&lt;=(Results!$C$1/2)+1,IF(B111&lt;=0,"",LN(B111)),"")</f>
        <v/>
      </c>
      <c r="D111" s="1" t="str">
        <f ca="1">IF(ROW()&lt;=(Results!$C$1/2)+1,INDEX(Data!$X:$X,CEILING((COUNTA(Data!$X:$X)-1)*RAND()+1,1)),"")</f>
        <v/>
      </c>
      <c r="E111" s="1" t="str">
        <f>IF(ROW()&lt;=(Results!$C$1/2)+1,VLOOKUP($D111,Data!$X$2:$Y$117,2,TRUE),"")</f>
        <v/>
      </c>
      <c r="F111" s="14" t="str">
        <f>IF(ROW()&lt;=(Results!$C$1/2)+1,IF(E111&lt;=0,"",LN(E111)),"")</f>
        <v/>
      </c>
    </row>
    <row r="112" spans="1:6" x14ac:dyDescent="0.25">
      <c r="A112" s="1" t="str">
        <f ca="1">IF(ROW()&lt;=(Results!$C$1/2)+1,INDEX(Data!$V:$V,CEILING((COUNTA(Data!$V:$V)-1)*RAND()+1,1)),"")</f>
        <v/>
      </c>
      <c r="B112" s="1" t="str">
        <f>IF(ROW()&lt;=(Results!$C$1/2)+1,VLOOKUP($A112,Data!$V$2:$W$117,2,TRUE),"")</f>
        <v/>
      </c>
      <c r="C112" s="14" t="str">
        <f>IF(ROW()&lt;=(Results!$C$1/2)+1,IF(B112&lt;=0,"",LN(B112)),"")</f>
        <v/>
      </c>
      <c r="D112" s="1" t="str">
        <f ca="1">IF(ROW()&lt;=(Results!$C$1/2)+1,INDEX(Data!$X:$X,CEILING((COUNTA(Data!$X:$X)-1)*RAND()+1,1)),"")</f>
        <v/>
      </c>
      <c r="E112" s="1" t="str">
        <f>IF(ROW()&lt;=(Results!$C$1/2)+1,VLOOKUP($D112,Data!$X$2:$Y$117,2,TRUE),"")</f>
        <v/>
      </c>
      <c r="F112" s="14" t="str">
        <f>IF(ROW()&lt;=(Results!$C$1/2)+1,IF(E112&lt;=0,"",LN(E112)),"")</f>
        <v/>
      </c>
    </row>
    <row r="113" spans="1:6" x14ac:dyDescent="0.25">
      <c r="A113" s="1" t="str">
        <f ca="1">IF(ROW()&lt;=(Results!$C$1/2)+1,INDEX(Data!$V:$V,CEILING((COUNTA(Data!$V:$V)-1)*RAND()+1,1)),"")</f>
        <v/>
      </c>
      <c r="B113" s="1" t="str">
        <f>IF(ROW()&lt;=(Results!$C$1/2)+1,VLOOKUP($A113,Data!$V$2:$W$117,2,TRUE),"")</f>
        <v/>
      </c>
      <c r="C113" s="14" t="str">
        <f>IF(ROW()&lt;=(Results!$C$1/2)+1,IF(B113&lt;=0,"",LN(B113)),"")</f>
        <v/>
      </c>
      <c r="D113" s="1" t="str">
        <f ca="1">IF(ROW()&lt;=(Results!$C$1/2)+1,INDEX(Data!$X:$X,CEILING((COUNTA(Data!$X:$X)-1)*RAND()+1,1)),"")</f>
        <v/>
      </c>
      <c r="E113" s="1" t="str">
        <f>IF(ROW()&lt;=(Results!$C$1/2)+1,VLOOKUP($D113,Data!$X$2:$Y$117,2,TRUE),"")</f>
        <v/>
      </c>
      <c r="F113" s="14" t="str">
        <f>IF(ROW()&lt;=(Results!$C$1/2)+1,IF(E113&lt;=0,"",LN(E113)),"")</f>
        <v/>
      </c>
    </row>
    <row r="114" spans="1:6" x14ac:dyDescent="0.25">
      <c r="A114" s="1" t="str">
        <f ca="1">IF(ROW()&lt;=(Results!$C$1/2)+1,INDEX(Data!$V:$V,CEILING((COUNTA(Data!$V:$V)-1)*RAND()+1,1)),"")</f>
        <v/>
      </c>
      <c r="B114" s="1" t="str">
        <f>IF(ROW()&lt;=(Results!$C$1/2)+1,VLOOKUP($A114,Data!$V$2:$W$117,2,TRUE),"")</f>
        <v/>
      </c>
      <c r="C114" s="14" t="str">
        <f>IF(ROW()&lt;=(Results!$C$1/2)+1,IF(B114&lt;=0,"",LN(B114)),"")</f>
        <v/>
      </c>
      <c r="D114" s="1" t="str">
        <f ca="1">IF(ROW()&lt;=(Results!$C$1/2)+1,INDEX(Data!$X:$X,CEILING((COUNTA(Data!$X:$X)-1)*RAND()+1,1)),"")</f>
        <v/>
      </c>
      <c r="E114" s="1" t="str">
        <f>IF(ROW()&lt;=(Results!$C$1/2)+1,VLOOKUP($D114,Data!$X$2:$Y$117,2,TRUE),"")</f>
        <v/>
      </c>
      <c r="F114" s="14" t="str">
        <f>IF(ROW()&lt;=(Results!$C$1/2)+1,IF(E114&lt;=0,"",LN(E114)),"")</f>
        <v/>
      </c>
    </row>
    <row r="115" spans="1:6" x14ac:dyDescent="0.25">
      <c r="A115" s="1" t="str">
        <f ca="1">IF(ROW()&lt;=(Results!$C$1/2)+1,INDEX(Data!$V:$V,CEILING((COUNTA(Data!$V:$V)-1)*RAND()+1,1)),"")</f>
        <v/>
      </c>
      <c r="B115" s="1" t="str">
        <f>IF(ROW()&lt;=(Results!$C$1/2)+1,VLOOKUP($A115,Data!$V$2:$W$117,2,TRUE),"")</f>
        <v/>
      </c>
      <c r="C115" s="14" t="str">
        <f>IF(ROW()&lt;=(Results!$C$1/2)+1,IF(B115&lt;=0,"",LN(B115)),"")</f>
        <v/>
      </c>
      <c r="D115" s="1" t="str">
        <f ca="1">IF(ROW()&lt;=(Results!$C$1/2)+1,INDEX(Data!$X:$X,CEILING((COUNTA(Data!$X:$X)-1)*RAND()+1,1)),"")</f>
        <v/>
      </c>
      <c r="E115" s="1" t="str">
        <f>IF(ROW()&lt;=(Results!$C$1/2)+1,VLOOKUP($D115,Data!$X$2:$Y$117,2,TRUE),"")</f>
        <v/>
      </c>
      <c r="F115" s="14" t="str">
        <f>IF(ROW()&lt;=(Results!$C$1/2)+1,IF(E115&lt;=0,"",LN(E115)),"")</f>
        <v/>
      </c>
    </row>
    <row r="116" spans="1:6" x14ac:dyDescent="0.25">
      <c r="A116" s="1" t="str">
        <f ca="1">IF(ROW()&lt;=(Results!$C$1/2)+1,INDEX(Data!$V:$V,CEILING((COUNTA(Data!$V:$V)-1)*RAND()+1,1)),"")</f>
        <v/>
      </c>
      <c r="B116" s="1" t="str">
        <f>IF(ROW()&lt;=(Results!$C$1/2)+1,VLOOKUP($A116,Data!$V$2:$W$117,2,TRUE),"")</f>
        <v/>
      </c>
      <c r="C116" s="14" t="str">
        <f>IF(ROW()&lt;=(Results!$C$1/2)+1,IF(B116&lt;=0,"",LN(B116)),"")</f>
        <v/>
      </c>
      <c r="D116" s="1" t="str">
        <f ca="1">IF(ROW()&lt;=(Results!$C$1/2)+1,INDEX(Data!$X:$X,CEILING((COUNTA(Data!$X:$X)-1)*RAND()+1,1)),"")</f>
        <v/>
      </c>
      <c r="E116" s="1" t="str">
        <f>IF(ROW()&lt;=(Results!$C$1/2)+1,VLOOKUP($D116,Data!$X$2:$Y$117,2,TRUE),"")</f>
        <v/>
      </c>
      <c r="F116" s="14" t="str">
        <f>IF(ROW()&lt;=(Results!$C$1/2)+1,IF(E116&lt;=0,"",LN(E116)),"")</f>
        <v/>
      </c>
    </row>
    <row r="117" spans="1:6" x14ac:dyDescent="0.25">
      <c r="A117" s="1" t="str">
        <f ca="1">IF(ROW()&lt;=(Results!$C$1/2)+1,INDEX(Data!$V:$V,CEILING((COUNTA(Data!$V:$V)-1)*RAND()+1,1)),"")</f>
        <v/>
      </c>
      <c r="B117" s="1" t="str">
        <f>IF(ROW()&lt;=(Results!$C$1/2)+1,VLOOKUP($A117,Data!$V$2:$W$117,2,TRUE),"")</f>
        <v/>
      </c>
      <c r="C117" s="14" t="str">
        <f>IF(ROW()&lt;=(Results!$C$1/2)+1,IF(B117&lt;=0,"",LN(B117)),"")</f>
        <v/>
      </c>
      <c r="D117" s="1" t="str">
        <f ca="1">IF(ROW()&lt;=(Results!$C$1/2)+1,INDEX(Data!$X:$X,CEILING((COUNTA(Data!$X:$X)-1)*RAND()+1,1)),"")</f>
        <v/>
      </c>
      <c r="E117" s="1" t="str">
        <f>IF(ROW()&lt;=(Results!$C$1/2)+1,VLOOKUP($D117,Data!$X$2:$Y$117,2,TRUE),"")</f>
        <v/>
      </c>
      <c r="F117" s="14" t="str">
        <f>IF(ROW()&lt;=(Results!$C$1/2)+1,IF(E117&lt;=0,"",LN(E117)),"")</f>
        <v/>
      </c>
    </row>
    <row r="118" spans="1:6" x14ac:dyDescent="0.25">
      <c r="A118" s="1" t="str">
        <f ca="1">IF(ROW()&lt;=(Results!$C$1/2)+1,INDEX(Data!$V:$V,CEILING((COUNTA(Data!$V:$V)-1)*RAND()+1,1)),"")</f>
        <v/>
      </c>
      <c r="B118" s="1" t="str">
        <f>IF(ROW()&lt;=(Results!$C$1/2)+1,VLOOKUP($A118,Data!$V$2:$W$117,2,TRUE),"")</f>
        <v/>
      </c>
      <c r="C118" s="14" t="str">
        <f>IF(ROW()&lt;=(Results!$C$1/2)+1,IF(B118&lt;=0,"",LN(B118)),"")</f>
        <v/>
      </c>
      <c r="D118" s="1" t="str">
        <f ca="1">IF(ROW()&lt;=(Results!$C$1/2)+1,INDEX(Data!$X:$X,CEILING((COUNTA(Data!$X:$X)-1)*RAND()+1,1)),"")</f>
        <v/>
      </c>
      <c r="E118" s="1" t="str">
        <f>IF(ROW()&lt;=(Results!$C$1/2)+1,VLOOKUP($D118,Data!$X$2:$Y$117,2,TRUE),"")</f>
        <v/>
      </c>
      <c r="F118" s="14" t="str">
        <f>IF(ROW()&lt;=(Results!$C$1/2)+1,IF(E118&lt;=0,"",LN(E118)),"")</f>
        <v/>
      </c>
    </row>
    <row r="119" spans="1:6" x14ac:dyDescent="0.25">
      <c r="A119" s="1" t="str">
        <f ca="1">IF(ROW()&lt;=(Results!$C$1/2)+1,INDEX(Data!$V:$V,CEILING((COUNTA(Data!$V:$V)-1)*RAND()+1,1)),"")</f>
        <v/>
      </c>
      <c r="B119" s="1" t="str">
        <f>IF(ROW()&lt;=(Results!$C$1/2)+1,VLOOKUP($A119,Data!$V$2:$W$117,2,TRUE),"")</f>
        <v/>
      </c>
      <c r="C119" s="14" t="str">
        <f>IF(ROW()&lt;=(Results!$C$1/2)+1,IF(B119&lt;=0,"",LN(B119)),"")</f>
        <v/>
      </c>
      <c r="D119" s="1" t="str">
        <f ca="1">IF(ROW()&lt;=(Results!$C$1/2)+1,INDEX(Data!$X:$X,CEILING((COUNTA(Data!$X:$X)-1)*RAND()+1,1)),"")</f>
        <v/>
      </c>
      <c r="E119" s="1" t="str">
        <f>IF(ROW()&lt;=(Results!$C$1/2)+1,VLOOKUP($D119,Data!$X$2:$Y$117,2,TRUE),"")</f>
        <v/>
      </c>
      <c r="F119" s="14" t="str">
        <f>IF(ROW()&lt;=(Results!$C$1/2)+1,IF(E119&lt;=0,"",LN(E119)),"")</f>
        <v/>
      </c>
    </row>
    <row r="120" spans="1:6" x14ac:dyDescent="0.25">
      <c r="A120" s="1" t="str">
        <f ca="1">IF(ROW()&lt;=(Results!$C$1/2)+1,INDEX(Data!$V:$V,CEILING((COUNTA(Data!$V:$V)-1)*RAND()+1,1)),"")</f>
        <v/>
      </c>
      <c r="B120" s="1" t="str">
        <f>IF(ROW()&lt;=(Results!$C$1/2)+1,VLOOKUP($A120,Data!$V$2:$W$117,2,TRUE),"")</f>
        <v/>
      </c>
      <c r="C120" s="14" t="str">
        <f>IF(ROW()&lt;=(Results!$C$1/2)+1,IF(B120&lt;=0,"",LN(B120)),"")</f>
        <v/>
      </c>
      <c r="D120" s="1" t="str">
        <f ca="1">IF(ROW()&lt;=(Results!$C$1/2)+1,INDEX(Data!$X:$X,CEILING((COUNTA(Data!$X:$X)-1)*RAND()+1,1)),"")</f>
        <v/>
      </c>
      <c r="E120" s="1" t="str">
        <f>IF(ROW()&lt;=(Results!$C$1/2)+1,VLOOKUP($D120,Data!$X$2:$Y$117,2,TRUE),"")</f>
        <v/>
      </c>
      <c r="F120" s="14" t="str">
        <f>IF(ROW()&lt;=(Results!$C$1/2)+1,IF(E120&lt;=0,"",LN(E120)),"")</f>
        <v/>
      </c>
    </row>
    <row r="121" spans="1:6" x14ac:dyDescent="0.25">
      <c r="A121" s="1" t="str">
        <f ca="1">IF(ROW()&lt;=(Results!$C$1/2)+1,INDEX(Data!$V:$V,CEILING((COUNTA(Data!$V:$V)-1)*RAND()+1,1)),"")</f>
        <v/>
      </c>
      <c r="B121" s="1" t="str">
        <f>IF(ROW()&lt;=(Results!$C$1/2)+1,VLOOKUP($A121,Data!$V$2:$W$117,2,TRUE),"")</f>
        <v/>
      </c>
      <c r="C121" s="14" t="str">
        <f>IF(ROW()&lt;=(Results!$C$1/2)+1,IF(B121&lt;=0,"",LN(B121)),"")</f>
        <v/>
      </c>
      <c r="D121" s="1" t="str">
        <f ca="1">IF(ROW()&lt;=(Results!$C$1/2)+1,INDEX(Data!$X:$X,CEILING((COUNTA(Data!$X:$X)-1)*RAND()+1,1)),"")</f>
        <v/>
      </c>
      <c r="E121" s="1" t="str">
        <f>IF(ROW()&lt;=(Results!$C$1/2)+1,VLOOKUP($D121,Data!$X$2:$Y$117,2,TRUE),"")</f>
        <v/>
      </c>
      <c r="F121" s="14" t="str">
        <f>IF(ROW()&lt;=(Results!$C$1/2)+1,IF(E121&lt;=0,"",LN(E121)),"")</f>
        <v/>
      </c>
    </row>
    <row r="122" spans="1:6" x14ac:dyDescent="0.25">
      <c r="A122" s="1" t="str">
        <f ca="1">IF(ROW()&lt;=(Results!$C$1/2)+1,INDEX(Data!$V:$V,CEILING((COUNTA(Data!$V:$V)-1)*RAND()+1,1)),"")</f>
        <v/>
      </c>
      <c r="B122" s="1" t="str">
        <f>IF(ROW()&lt;=(Results!$C$1/2)+1,VLOOKUP($A122,Data!$V$2:$W$117,2,TRUE),"")</f>
        <v/>
      </c>
      <c r="C122" s="14" t="str">
        <f>IF(ROW()&lt;=(Results!$C$1/2)+1,IF(B122&lt;=0,"",LN(B122)),"")</f>
        <v/>
      </c>
      <c r="D122" s="1" t="str">
        <f ca="1">IF(ROW()&lt;=(Results!$C$1/2)+1,INDEX(Data!$X:$X,CEILING((COUNTA(Data!$X:$X)-1)*RAND()+1,1)),"")</f>
        <v/>
      </c>
      <c r="E122" s="1" t="str">
        <f>IF(ROW()&lt;=(Results!$C$1/2)+1,VLOOKUP($D122,Data!$X$2:$Y$117,2,TRUE),"")</f>
        <v/>
      </c>
      <c r="F122" s="14" t="str">
        <f>IF(ROW()&lt;=(Results!$C$1/2)+1,IF(E122&lt;=0,"",LN(E122)),"")</f>
        <v/>
      </c>
    </row>
    <row r="123" spans="1:6" x14ac:dyDescent="0.25">
      <c r="A123" s="1" t="str">
        <f ca="1">IF(ROW()&lt;=(Results!$C$1/2)+1,INDEX(Data!$V:$V,CEILING((COUNTA(Data!$V:$V)-1)*RAND()+1,1)),"")</f>
        <v/>
      </c>
      <c r="B123" s="1" t="str">
        <f>IF(ROW()&lt;=(Results!$C$1/2)+1,VLOOKUP($A123,Data!$V$2:$W$117,2,TRUE),"")</f>
        <v/>
      </c>
      <c r="C123" s="14" t="str">
        <f>IF(ROW()&lt;=(Results!$C$1/2)+1,IF(B123&lt;=0,"",LN(B123)),"")</f>
        <v/>
      </c>
      <c r="D123" s="1" t="str">
        <f ca="1">IF(ROW()&lt;=(Results!$C$1/2)+1,INDEX(Data!$X:$X,CEILING((COUNTA(Data!$X:$X)-1)*RAND()+1,1)),"")</f>
        <v/>
      </c>
      <c r="E123" s="1" t="str">
        <f>IF(ROW()&lt;=(Results!$C$1/2)+1,VLOOKUP($D123,Data!$X$2:$Y$117,2,TRUE),"")</f>
        <v/>
      </c>
      <c r="F123" s="14" t="str">
        <f>IF(ROW()&lt;=(Results!$C$1/2)+1,IF(E123&lt;=0,"",LN(E123)),"")</f>
        <v/>
      </c>
    </row>
    <row r="124" spans="1:6" x14ac:dyDescent="0.25">
      <c r="A124" s="1" t="str">
        <f ca="1">IF(ROW()&lt;=(Results!$C$1/2)+1,INDEX(Data!$V:$V,CEILING((COUNTA(Data!$V:$V)-1)*RAND()+1,1)),"")</f>
        <v/>
      </c>
      <c r="B124" s="1" t="str">
        <f>IF(ROW()&lt;=(Results!$C$1/2)+1,VLOOKUP($A124,Data!$V$2:$W$117,2,TRUE),"")</f>
        <v/>
      </c>
      <c r="C124" s="14" t="str">
        <f>IF(ROW()&lt;=(Results!$C$1/2)+1,IF(B124&lt;=0,"",LN(B124)),"")</f>
        <v/>
      </c>
      <c r="D124" s="1" t="str">
        <f ca="1">IF(ROW()&lt;=(Results!$C$1/2)+1,INDEX(Data!$X:$X,CEILING((COUNTA(Data!$X:$X)-1)*RAND()+1,1)),"")</f>
        <v/>
      </c>
      <c r="E124" s="1" t="str">
        <f>IF(ROW()&lt;=(Results!$C$1/2)+1,VLOOKUP($D124,Data!$X$2:$Y$117,2,TRUE),"")</f>
        <v/>
      </c>
      <c r="F124" s="14" t="str">
        <f>IF(ROW()&lt;=(Results!$C$1/2)+1,IF(E124&lt;=0,"",LN(E124)),"")</f>
        <v/>
      </c>
    </row>
    <row r="125" spans="1:6" x14ac:dyDescent="0.25">
      <c r="A125" s="1" t="str">
        <f ca="1">IF(ROW()&lt;=(Results!$C$1/2)+1,INDEX(Data!$V:$V,CEILING((COUNTA(Data!$V:$V)-1)*RAND()+1,1)),"")</f>
        <v/>
      </c>
      <c r="B125" s="1" t="str">
        <f>IF(ROW()&lt;=(Results!$C$1/2)+1,VLOOKUP($A125,Data!$V$2:$W$117,2,TRUE),"")</f>
        <v/>
      </c>
      <c r="C125" s="14" t="str">
        <f>IF(ROW()&lt;=(Results!$C$1/2)+1,IF(B125&lt;=0,"",LN(B125)),"")</f>
        <v/>
      </c>
      <c r="D125" s="1" t="str">
        <f ca="1">IF(ROW()&lt;=(Results!$C$1/2)+1,INDEX(Data!$X:$X,CEILING((COUNTA(Data!$X:$X)-1)*RAND()+1,1)),"")</f>
        <v/>
      </c>
      <c r="E125" s="1" t="str">
        <f>IF(ROW()&lt;=(Results!$C$1/2)+1,VLOOKUP($D125,Data!$X$2:$Y$117,2,TRUE),"")</f>
        <v/>
      </c>
      <c r="F125" s="14" t="str">
        <f>IF(ROW()&lt;=(Results!$C$1/2)+1,IF(E125&lt;=0,"",LN(E125)),"")</f>
        <v/>
      </c>
    </row>
    <row r="126" spans="1:6" x14ac:dyDescent="0.25">
      <c r="A126" s="1" t="str">
        <f ca="1">IF(ROW()&lt;=(Results!$C$1/2)+1,INDEX(Data!$V:$V,CEILING((COUNTA(Data!$V:$V)-1)*RAND()+1,1)),"")</f>
        <v/>
      </c>
      <c r="B126" s="1" t="str">
        <f>IF(ROW()&lt;=(Results!$C$1/2)+1,VLOOKUP($A126,Data!$V$2:$W$117,2,TRUE),"")</f>
        <v/>
      </c>
      <c r="C126" s="14" t="str">
        <f>IF(ROW()&lt;=(Results!$C$1/2)+1,IF(B126&lt;=0,"",LN(B126)),"")</f>
        <v/>
      </c>
      <c r="D126" s="1" t="str">
        <f ca="1">IF(ROW()&lt;=(Results!$C$1/2)+1,INDEX(Data!$X:$X,CEILING((COUNTA(Data!$X:$X)-1)*RAND()+1,1)),"")</f>
        <v/>
      </c>
      <c r="E126" s="1" t="str">
        <f>IF(ROW()&lt;=(Results!$C$1/2)+1,VLOOKUP($D126,Data!$X$2:$Y$117,2,TRUE),"")</f>
        <v/>
      </c>
      <c r="F126" s="14" t="str">
        <f>IF(ROW()&lt;=(Results!$C$1/2)+1,IF(E126&lt;=0,"",LN(E126)),"")</f>
        <v/>
      </c>
    </row>
    <row r="127" spans="1:6" x14ac:dyDescent="0.25">
      <c r="A127" s="1" t="str">
        <f ca="1">IF(ROW()&lt;=(Results!$C$1/2)+1,INDEX(Data!$V:$V,CEILING((COUNTA(Data!$V:$V)-1)*RAND()+1,1)),"")</f>
        <v/>
      </c>
      <c r="B127" s="1" t="str">
        <f>IF(ROW()&lt;=(Results!$C$1/2)+1,VLOOKUP($A127,Data!$V$2:$W$117,2,TRUE),"")</f>
        <v/>
      </c>
      <c r="C127" s="14" t="str">
        <f>IF(ROW()&lt;=(Results!$C$1/2)+1,IF(B127&lt;=0,"",LN(B127)),"")</f>
        <v/>
      </c>
      <c r="D127" s="1" t="str">
        <f ca="1">IF(ROW()&lt;=(Results!$C$1/2)+1,INDEX(Data!$X:$X,CEILING((COUNTA(Data!$X:$X)-1)*RAND()+1,1)),"")</f>
        <v/>
      </c>
      <c r="E127" s="1" t="str">
        <f>IF(ROW()&lt;=(Results!$C$1/2)+1,VLOOKUP($D127,Data!$X$2:$Y$117,2,TRUE),"")</f>
        <v/>
      </c>
      <c r="F127" s="14" t="str">
        <f>IF(ROW()&lt;=(Results!$C$1/2)+1,IF(E127&lt;=0,"",LN(E127)),"")</f>
        <v/>
      </c>
    </row>
    <row r="128" spans="1:6" x14ac:dyDescent="0.25">
      <c r="A128" s="1" t="str">
        <f ca="1">IF(ROW()&lt;=(Results!$C$1/2)+1,INDEX(Data!$V:$V,CEILING((COUNTA(Data!$V:$V)-1)*RAND()+1,1)),"")</f>
        <v/>
      </c>
      <c r="B128" s="1" t="str">
        <f>IF(ROW()&lt;=(Results!$C$1/2)+1,VLOOKUP($A128,Data!$V$2:$W$117,2,TRUE),"")</f>
        <v/>
      </c>
      <c r="C128" s="14" t="str">
        <f>IF(ROW()&lt;=(Results!$C$1/2)+1,IF(B128&lt;=0,"",LN(B128)),"")</f>
        <v/>
      </c>
      <c r="D128" s="1" t="str">
        <f ca="1">IF(ROW()&lt;=(Results!$C$1/2)+1,INDEX(Data!$X:$X,CEILING((COUNTA(Data!$X:$X)-1)*RAND()+1,1)),"")</f>
        <v/>
      </c>
      <c r="E128" s="1" t="str">
        <f>IF(ROW()&lt;=(Results!$C$1/2)+1,VLOOKUP($D128,Data!$X$2:$Y$117,2,TRUE),"")</f>
        <v/>
      </c>
      <c r="F128" s="14" t="str">
        <f>IF(ROW()&lt;=(Results!$C$1/2)+1,IF(E128&lt;=0,"",LN(E128)),"")</f>
        <v/>
      </c>
    </row>
    <row r="129" spans="1:6" x14ac:dyDescent="0.25">
      <c r="A129" s="1" t="str">
        <f ca="1">IF(ROW()&lt;=(Results!$C$1/2)+1,INDEX(Data!$V:$V,CEILING((COUNTA(Data!$V:$V)-1)*RAND()+1,1)),"")</f>
        <v/>
      </c>
      <c r="B129" s="1" t="str">
        <f>IF(ROW()&lt;=(Results!$C$1/2)+1,VLOOKUP($A129,Data!$V$2:$W$117,2,TRUE),"")</f>
        <v/>
      </c>
      <c r="C129" s="14" t="str">
        <f>IF(ROW()&lt;=(Results!$C$1/2)+1,IF(B129&lt;=0,"",LN(B129)),"")</f>
        <v/>
      </c>
      <c r="D129" s="1" t="str">
        <f ca="1">IF(ROW()&lt;=(Results!$C$1/2)+1,INDEX(Data!$X:$X,CEILING((COUNTA(Data!$X:$X)-1)*RAND()+1,1)),"")</f>
        <v/>
      </c>
      <c r="E129" s="1" t="str">
        <f>IF(ROW()&lt;=(Results!$C$1/2)+1,VLOOKUP($D129,Data!$X$2:$Y$117,2,TRUE),"")</f>
        <v/>
      </c>
      <c r="F129" s="14" t="str">
        <f>IF(ROW()&lt;=(Results!$C$1/2)+1,IF(E129&lt;=0,"",LN(E129)),"")</f>
        <v/>
      </c>
    </row>
    <row r="130" spans="1:6" x14ac:dyDescent="0.25">
      <c r="A130" s="1" t="str">
        <f ca="1">IF(ROW()&lt;=(Results!$C$1/2)+1,INDEX(Data!$V:$V,CEILING((COUNTA(Data!$V:$V)-1)*RAND()+1,1)),"")</f>
        <v/>
      </c>
      <c r="B130" s="1" t="str">
        <f>IF(ROW()&lt;=(Results!$C$1/2)+1,VLOOKUP($A130,Data!$V$2:$W$117,2,TRUE),"")</f>
        <v/>
      </c>
      <c r="C130" s="14" t="str">
        <f>IF(ROW()&lt;=(Results!$C$1/2)+1,IF(B130&lt;=0,"",LN(B130)),"")</f>
        <v/>
      </c>
      <c r="D130" s="1" t="str">
        <f ca="1">IF(ROW()&lt;=(Results!$C$1/2)+1,INDEX(Data!$X:$X,CEILING((COUNTA(Data!$X:$X)-1)*RAND()+1,1)),"")</f>
        <v/>
      </c>
      <c r="E130" s="1" t="str">
        <f>IF(ROW()&lt;=(Results!$C$1/2)+1,VLOOKUP($D130,Data!$X$2:$Y$117,2,TRUE),"")</f>
        <v/>
      </c>
      <c r="F130" s="14" t="str">
        <f>IF(ROW()&lt;=(Results!$C$1/2)+1,IF(E130&lt;=0,"",LN(E130)),"")</f>
        <v/>
      </c>
    </row>
    <row r="131" spans="1:6" x14ac:dyDescent="0.25">
      <c r="A131" s="1" t="str">
        <f ca="1">IF(ROW()&lt;=(Results!$C$1/2)+1,INDEX(Data!$V:$V,CEILING((COUNTA(Data!$V:$V)-1)*RAND()+1,1)),"")</f>
        <v/>
      </c>
      <c r="B131" s="1" t="str">
        <f>IF(ROW()&lt;=(Results!$C$1/2)+1,VLOOKUP($A131,Data!$V$2:$W$117,2,TRUE),"")</f>
        <v/>
      </c>
      <c r="C131" s="14" t="str">
        <f>IF(ROW()&lt;=(Results!$C$1/2)+1,IF(B131&lt;=0,"",LN(B131)),"")</f>
        <v/>
      </c>
      <c r="D131" s="1" t="str">
        <f ca="1">IF(ROW()&lt;=(Results!$C$1/2)+1,INDEX(Data!$X:$X,CEILING((COUNTA(Data!$X:$X)-1)*RAND()+1,1)),"")</f>
        <v/>
      </c>
      <c r="E131" s="1" t="str">
        <f>IF(ROW()&lt;=(Results!$C$1/2)+1,VLOOKUP($D131,Data!$X$2:$Y$117,2,TRUE),"")</f>
        <v/>
      </c>
      <c r="F131" s="14" t="str">
        <f>IF(ROW()&lt;=(Results!$C$1/2)+1,IF(E131&lt;=0,"",LN(E131)),"")</f>
        <v/>
      </c>
    </row>
    <row r="132" spans="1:6" x14ac:dyDescent="0.25">
      <c r="A132" s="1" t="str">
        <f ca="1">IF(ROW()&lt;=(Results!$C$1/2)+1,INDEX(Data!$V:$V,CEILING((COUNTA(Data!$V:$V)-1)*RAND()+1,1)),"")</f>
        <v/>
      </c>
      <c r="B132" s="1" t="str">
        <f>IF(ROW()&lt;=(Results!$C$1/2)+1,VLOOKUP($A132,Data!$V$2:$W$117,2,TRUE),"")</f>
        <v/>
      </c>
      <c r="C132" s="14" t="str">
        <f>IF(ROW()&lt;=(Results!$C$1/2)+1,IF(B132&lt;=0,"",LN(B132)),"")</f>
        <v/>
      </c>
      <c r="D132" s="1" t="str">
        <f ca="1">IF(ROW()&lt;=(Results!$C$1/2)+1,INDEX(Data!$X:$X,CEILING((COUNTA(Data!$X:$X)-1)*RAND()+1,1)),"")</f>
        <v/>
      </c>
      <c r="E132" s="1" t="str">
        <f>IF(ROW()&lt;=(Results!$C$1/2)+1,VLOOKUP($D132,Data!$X$2:$Y$117,2,TRUE),"")</f>
        <v/>
      </c>
      <c r="F132" s="14" t="str">
        <f>IF(ROW()&lt;=(Results!$C$1/2)+1,IF(E132&lt;=0,"",LN(E132)),"")</f>
        <v/>
      </c>
    </row>
    <row r="133" spans="1:6" x14ac:dyDescent="0.25">
      <c r="A133" s="1" t="str">
        <f ca="1">IF(ROW()&lt;=(Results!$C$1/2)+1,INDEX(Data!$V:$V,CEILING((COUNTA(Data!$V:$V)-1)*RAND()+1,1)),"")</f>
        <v/>
      </c>
      <c r="B133" s="1" t="str">
        <f>IF(ROW()&lt;=(Results!$C$1/2)+1,VLOOKUP($A133,Data!$V$2:$W$117,2,TRUE),"")</f>
        <v/>
      </c>
      <c r="C133" s="14" t="str">
        <f>IF(ROW()&lt;=(Results!$C$1/2)+1,IF(B133&lt;=0,"",LN(B133)),"")</f>
        <v/>
      </c>
      <c r="D133" s="1" t="str">
        <f ca="1">IF(ROW()&lt;=(Results!$C$1/2)+1,INDEX(Data!$X:$X,CEILING((COUNTA(Data!$X:$X)-1)*RAND()+1,1)),"")</f>
        <v/>
      </c>
      <c r="E133" s="1" t="str">
        <f>IF(ROW()&lt;=(Results!$C$1/2)+1,VLOOKUP($D133,Data!$X$2:$Y$117,2,TRUE),"")</f>
        <v/>
      </c>
      <c r="F133" s="14" t="str">
        <f>IF(ROW()&lt;=(Results!$C$1/2)+1,IF(E133&lt;=0,"",LN(E133)),"")</f>
        <v/>
      </c>
    </row>
    <row r="134" spans="1:6" x14ac:dyDescent="0.25">
      <c r="A134" s="1" t="str">
        <f ca="1">IF(ROW()&lt;=(Results!$C$1/2)+1,INDEX(Data!$V:$V,CEILING((COUNTA(Data!$V:$V)-1)*RAND()+1,1)),"")</f>
        <v/>
      </c>
      <c r="B134" s="1" t="str">
        <f>IF(ROW()&lt;=(Results!$C$1/2)+1,VLOOKUP($A134,Data!$V$2:$W$117,2,TRUE),"")</f>
        <v/>
      </c>
      <c r="C134" s="14" t="str">
        <f>IF(ROW()&lt;=(Results!$C$1/2)+1,IF(B134&lt;=0,"",LN(B134)),"")</f>
        <v/>
      </c>
      <c r="D134" s="1" t="str">
        <f ca="1">IF(ROW()&lt;=(Results!$C$1/2)+1,INDEX(Data!$X:$X,CEILING((COUNTA(Data!$X:$X)-1)*RAND()+1,1)),"")</f>
        <v/>
      </c>
      <c r="E134" s="1" t="str">
        <f>IF(ROW()&lt;=(Results!$C$1/2)+1,VLOOKUP($D134,Data!$X$2:$Y$117,2,TRUE),"")</f>
        <v/>
      </c>
      <c r="F134" s="14" t="str">
        <f>IF(ROW()&lt;=(Results!$C$1/2)+1,IF(E134&lt;=0,"",LN(E134)),"")</f>
        <v/>
      </c>
    </row>
    <row r="135" spans="1:6" x14ac:dyDescent="0.25">
      <c r="A135" s="1" t="str">
        <f ca="1">IF(ROW()&lt;=(Results!$C$1/2)+1,INDEX(Data!$V:$V,CEILING((COUNTA(Data!$V:$V)-1)*RAND()+1,1)),"")</f>
        <v/>
      </c>
      <c r="B135" s="1" t="str">
        <f>IF(ROW()&lt;=(Results!$C$1/2)+1,VLOOKUP($A135,Data!$V$2:$W$117,2,TRUE),"")</f>
        <v/>
      </c>
      <c r="C135" s="14" t="str">
        <f>IF(ROW()&lt;=(Results!$C$1/2)+1,IF(B135&lt;=0,"",LN(B135)),"")</f>
        <v/>
      </c>
      <c r="D135" s="1" t="str">
        <f ca="1">IF(ROW()&lt;=(Results!$C$1/2)+1,INDEX(Data!$X:$X,CEILING((COUNTA(Data!$X:$X)-1)*RAND()+1,1)),"")</f>
        <v/>
      </c>
      <c r="E135" s="1" t="str">
        <f>IF(ROW()&lt;=(Results!$C$1/2)+1,VLOOKUP($D135,Data!$X$2:$Y$117,2,TRUE),"")</f>
        <v/>
      </c>
      <c r="F135" s="14" t="str">
        <f>IF(ROW()&lt;=(Results!$C$1/2)+1,IF(E135&lt;=0,"",LN(E135)),"")</f>
        <v/>
      </c>
    </row>
    <row r="136" spans="1:6" x14ac:dyDescent="0.25">
      <c r="A136" s="1" t="str">
        <f ca="1">IF(ROW()&lt;=(Results!$C$1/2)+1,INDEX(Data!$V:$V,CEILING((COUNTA(Data!$V:$V)-1)*RAND()+1,1)),"")</f>
        <v/>
      </c>
      <c r="B136" s="1" t="str">
        <f>IF(ROW()&lt;=(Results!$C$1/2)+1,VLOOKUP($A136,Data!$V$2:$W$117,2,TRUE),"")</f>
        <v/>
      </c>
      <c r="C136" s="14" t="str">
        <f>IF(ROW()&lt;=(Results!$C$1/2)+1,IF(B136&lt;=0,"",LN(B136)),"")</f>
        <v/>
      </c>
      <c r="D136" s="1" t="str">
        <f ca="1">IF(ROW()&lt;=(Results!$C$1/2)+1,INDEX(Data!$X:$X,CEILING((COUNTA(Data!$X:$X)-1)*RAND()+1,1)),"")</f>
        <v/>
      </c>
      <c r="E136" s="1" t="str">
        <f>IF(ROW()&lt;=(Results!$C$1/2)+1,VLOOKUP($D136,Data!$X$2:$Y$117,2,TRUE),"")</f>
        <v/>
      </c>
      <c r="F136" s="14" t="str">
        <f>IF(ROW()&lt;=(Results!$C$1/2)+1,IF(E136&lt;=0,"",LN(E136)),"")</f>
        <v/>
      </c>
    </row>
    <row r="137" spans="1:6" x14ac:dyDescent="0.25">
      <c r="A137" s="1" t="str">
        <f ca="1">IF(ROW()&lt;=(Results!$C$1/2)+1,INDEX(Data!$V:$V,CEILING((COUNTA(Data!$V:$V)-1)*RAND()+1,1)),"")</f>
        <v/>
      </c>
      <c r="B137" s="1" t="str">
        <f>IF(ROW()&lt;=(Results!$C$1/2)+1,VLOOKUP($A137,Data!$V$2:$W$117,2,TRUE),"")</f>
        <v/>
      </c>
      <c r="C137" s="14" t="str">
        <f>IF(ROW()&lt;=(Results!$C$1/2)+1,IF(B137&lt;=0,"",LN(B137)),"")</f>
        <v/>
      </c>
      <c r="D137" s="1" t="str">
        <f ca="1">IF(ROW()&lt;=(Results!$C$1/2)+1,INDEX(Data!$X:$X,CEILING((COUNTA(Data!$X:$X)-1)*RAND()+1,1)),"")</f>
        <v/>
      </c>
      <c r="E137" s="1" t="str">
        <f>IF(ROW()&lt;=(Results!$C$1/2)+1,VLOOKUP($D137,Data!$X$2:$Y$117,2,TRUE),"")</f>
        <v/>
      </c>
      <c r="F137" s="14" t="str">
        <f>IF(ROW()&lt;=(Results!$C$1/2)+1,IF(E137&lt;=0,"",LN(E137)),"")</f>
        <v/>
      </c>
    </row>
    <row r="138" spans="1:6" x14ac:dyDescent="0.25">
      <c r="A138" s="1" t="str">
        <f ca="1">IF(ROW()&lt;=(Results!$C$1/2)+1,INDEX(Data!$V:$V,CEILING((COUNTA(Data!$V:$V)-1)*RAND()+1,1)),"")</f>
        <v/>
      </c>
      <c r="B138" s="1" t="str">
        <f>IF(ROW()&lt;=(Results!$C$1/2)+1,VLOOKUP($A138,Data!$V$2:$W$117,2,TRUE),"")</f>
        <v/>
      </c>
      <c r="C138" s="14" t="str">
        <f>IF(ROW()&lt;=(Results!$C$1/2)+1,IF(B138&lt;=0,"",LN(B138)),"")</f>
        <v/>
      </c>
      <c r="D138" s="1" t="str">
        <f ca="1">IF(ROW()&lt;=(Results!$C$1/2)+1,INDEX(Data!$X:$X,CEILING((COUNTA(Data!$X:$X)-1)*RAND()+1,1)),"")</f>
        <v/>
      </c>
      <c r="E138" s="1" t="str">
        <f>IF(ROW()&lt;=(Results!$C$1/2)+1,VLOOKUP($D138,Data!$X$2:$Y$117,2,TRUE),"")</f>
        <v/>
      </c>
      <c r="F138" s="14" t="str">
        <f>IF(ROW()&lt;=(Results!$C$1/2)+1,IF(E138&lt;=0,"",LN(E138)),"")</f>
        <v/>
      </c>
    </row>
    <row r="139" spans="1:6" x14ac:dyDescent="0.25">
      <c r="A139" s="1" t="str">
        <f ca="1">IF(ROW()&lt;=(Results!$C$1/2)+1,INDEX(Data!$V:$V,CEILING((COUNTA(Data!$V:$V)-1)*RAND()+1,1)),"")</f>
        <v/>
      </c>
      <c r="B139" s="1" t="str">
        <f>IF(ROW()&lt;=(Results!$C$1/2)+1,VLOOKUP($A139,Data!$V$2:$W$117,2,TRUE),"")</f>
        <v/>
      </c>
      <c r="C139" s="14" t="str">
        <f>IF(ROW()&lt;=(Results!$C$1/2)+1,IF(B139&lt;=0,"",LN(B139)),"")</f>
        <v/>
      </c>
      <c r="D139" s="1" t="str">
        <f ca="1">IF(ROW()&lt;=(Results!$C$1/2)+1,INDEX(Data!$X:$X,CEILING((COUNTA(Data!$X:$X)-1)*RAND()+1,1)),"")</f>
        <v/>
      </c>
      <c r="E139" s="1" t="str">
        <f>IF(ROW()&lt;=(Results!$C$1/2)+1,VLOOKUP($D139,Data!$X$2:$Y$117,2,TRUE),"")</f>
        <v/>
      </c>
      <c r="F139" s="14" t="str">
        <f>IF(ROW()&lt;=(Results!$C$1/2)+1,IF(E139&lt;=0,"",LN(E139)),"")</f>
        <v/>
      </c>
    </row>
    <row r="140" spans="1:6" x14ac:dyDescent="0.25">
      <c r="A140" s="1" t="str">
        <f ca="1">IF(ROW()&lt;=(Results!$C$1/2)+1,INDEX(Data!$V:$V,CEILING((COUNTA(Data!$V:$V)-1)*RAND()+1,1)),"")</f>
        <v/>
      </c>
      <c r="B140" s="1" t="str">
        <f>IF(ROW()&lt;=(Results!$C$1/2)+1,VLOOKUP($A140,Data!$V$2:$W$117,2,TRUE),"")</f>
        <v/>
      </c>
      <c r="C140" s="14" t="str">
        <f>IF(ROW()&lt;=(Results!$C$1/2)+1,IF(B140&lt;=0,"",LN(B140)),"")</f>
        <v/>
      </c>
      <c r="D140" s="1" t="str">
        <f ca="1">IF(ROW()&lt;=(Results!$C$1/2)+1,INDEX(Data!$X:$X,CEILING((COUNTA(Data!$X:$X)-1)*RAND()+1,1)),"")</f>
        <v/>
      </c>
      <c r="E140" s="1" t="str">
        <f>IF(ROW()&lt;=(Results!$C$1/2)+1,VLOOKUP($D140,Data!$X$2:$Y$117,2,TRUE),"")</f>
        <v/>
      </c>
      <c r="F140" s="14" t="str">
        <f>IF(ROW()&lt;=(Results!$C$1/2)+1,IF(E140&lt;=0,"",LN(E140)),"")</f>
        <v/>
      </c>
    </row>
    <row r="141" spans="1:6" x14ac:dyDescent="0.25">
      <c r="A141" s="1" t="str">
        <f ca="1">IF(ROW()&lt;=(Results!$C$1/2)+1,INDEX(Data!$V:$V,CEILING((COUNTA(Data!$V:$V)-1)*RAND()+1,1)),"")</f>
        <v/>
      </c>
      <c r="B141" s="1" t="str">
        <f>IF(ROW()&lt;=(Results!$C$1/2)+1,VLOOKUP($A141,Data!$V$2:$W$117,2,TRUE),"")</f>
        <v/>
      </c>
      <c r="C141" s="14" t="str">
        <f>IF(ROW()&lt;=(Results!$C$1/2)+1,IF(B141&lt;=0,"",LN(B141)),"")</f>
        <v/>
      </c>
      <c r="D141" s="1" t="str">
        <f ca="1">IF(ROW()&lt;=(Results!$C$1/2)+1,INDEX(Data!$X:$X,CEILING((COUNTA(Data!$X:$X)-1)*RAND()+1,1)),"")</f>
        <v/>
      </c>
      <c r="E141" s="1" t="str">
        <f>IF(ROW()&lt;=(Results!$C$1/2)+1,VLOOKUP($D141,Data!$X$2:$Y$117,2,TRUE),"")</f>
        <v/>
      </c>
      <c r="F141" s="14" t="str">
        <f>IF(ROW()&lt;=(Results!$C$1/2)+1,IF(E141&lt;=0,"",LN(E141)),"")</f>
        <v/>
      </c>
    </row>
    <row r="142" spans="1:6" x14ac:dyDescent="0.25">
      <c r="A142" s="1" t="str">
        <f ca="1">IF(ROW()&lt;=(Results!$C$1/2)+1,INDEX(Data!$V:$V,CEILING((COUNTA(Data!$V:$V)-1)*RAND()+1,1)),"")</f>
        <v/>
      </c>
      <c r="B142" s="1" t="str">
        <f>IF(ROW()&lt;=(Results!$C$1/2)+1,VLOOKUP($A142,Data!$V$2:$W$117,2,TRUE),"")</f>
        <v/>
      </c>
      <c r="C142" s="14" t="str">
        <f>IF(ROW()&lt;=(Results!$C$1/2)+1,IF(B142&lt;=0,"",LN(B142)),"")</f>
        <v/>
      </c>
      <c r="D142" s="1" t="str">
        <f ca="1">IF(ROW()&lt;=(Results!$C$1/2)+1,INDEX(Data!$X:$X,CEILING((COUNTA(Data!$X:$X)-1)*RAND()+1,1)),"")</f>
        <v/>
      </c>
      <c r="E142" s="1" t="str">
        <f>IF(ROW()&lt;=(Results!$C$1/2)+1,VLOOKUP($D142,Data!$X$2:$Y$117,2,TRUE),"")</f>
        <v/>
      </c>
      <c r="F142" s="14" t="str">
        <f>IF(ROW()&lt;=(Results!$C$1/2)+1,IF(E142&lt;=0,"",LN(E142)),"")</f>
        <v/>
      </c>
    </row>
    <row r="143" spans="1:6" x14ac:dyDescent="0.25">
      <c r="A143" s="1" t="str">
        <f ca="1">IF(ROW()&lt;=(Results!$C$1/2)+1,INDEX(Data!$V:$V,CEILING((COUNTA(Data!$V:$V)-1)*RAND()+1,1)),"")</f>
        <v/>
      </c>
      <c r="B143" s="1" t="str">
        <f>IF(ROW()&lt;=(Results!$C$1/2)+1,VLOOKUP($A143,Data!$V$2:$W$117,2,TRUE),"")</f>
        <v/>
      </c>
      <c r="C143" s="14" t="str">
        <f>IF(ROW()&lt;=(Results!$C$1/2)+1,IF(B143&lt;=0,"",LN(B143)),"")</f>
        <v/>
      </c>
      <c r="D143" s="1" t="str">
        <f ca="1">IF(ROW()&lt;=(Results!$C$1/2)+1,INDEX(Data!$X:$X,CEILING((COUNTA(Data!$X:$X)-1)*RAND()+1,1)),"")</f>
        <v/>
      </c>
      <c r="E143" s="1" t="str">
        <f>IF(ROW()&lt;=(Results!$C$1/2)+1,VLOOKUP($D143,Data!$X$2:$Y$117,2,TRUE),"")</f>
        <v/>
      </c>
      <c r="F143" s="14" t="str">
        <f>IF(ROW()&lt;=(Results!$C$1/2)+1,IF(E143&lt;=0,"",LN(E143)),"")</f>
        <v/>
      </c>
    </row>
    <row r="144" spans="1:6" x14ac:dyDescent="0.25">
      <c r="A144" s="1" t="str">
        <f ca="1">IF(ROW()&lt;=(Results!$C$1/2)+1,INDEX(Data!$V:$V,CEILING((COUNTA(Data!$V:$V)-1)*RAND()+1,1)),"")</f>
        <v/>
      </c>
      <c r="B144" s="1" t="str">
        <f>IF(ROW()&lt;=(Results!$C$1/2)+1,VLOOKUP($A144,Data!$V$2:$W$117,2,TRUE),"")</f>
        <v/>
      </c>
      <c r="C144" s="14" t="str">
        <f>IF(ROW()&lt;=(Results!$C$1/2)+1,IF(B144&lt;=0,"",LN(B144)),"")</f>
        <v/>
      </c>
      <c r="D144" s="1" t="str">
        <f ca="1">IF(ROW()&lt;=(Results!$C$1/2)+1,INDEX(Data!$X:$X,CEILING((COUNTA(Data!$X:$X)-1)*RAND()+1,1)),"")</f>
        <v/>
      </c>
      <c r="E144" s="1" t="str">
        <f>IF(ROW()&lt;=(Results!$C$1/2)+1,VLOOKUP($D144,Data!$X$2:$Y$117,2,TRUE),"")</f>
        <v/>
      </c>
      <c r="F144" s="14" t="str">
        <f>IF(ROW()&lt;=(Results!$C$1/2)+1,IF(E144&lt;=0,"",LN(E144)),"")</f>
        <v/>
      </c>
    </row>
    <row r="145" spans="1:6" x14ac:dyDescent="0.25">
      <c r="A145" s="1" t="str">
        <f ca="1">IF(ROW()&lt;=(Results!$C$1/2)+1,INDEX(Data!$V:$V,CEILING((COUNTA(Data!$V:$V)-1)*RAND()+1,1)),"")</f>
        <v/>
      </c>
      <c r="B145" s="1" t="str">
        <f>IF(ROW()&lt;=(Results!$C$1/2)+1,VLOOKUP($A145,Data!$V$2:$W$117,2,TRUE),"")</f>
        <v/>
      </c>
      <c r="C145" s="14" t="str">
        <f>IF(ROW()&lt;=(Results!$C$1/2)+1,IF(B145&lt;=0,"",LN(B145)),"")</f>
        <v/>
      </c>
      <c r="D145" s="1" t="str">
        <f ca="1">IF(ROW()&lt;=(Results!$C$1/2)+1,INDEX(Data!$X:$X,CEILING((COUNTA(Data!$X:$X)-1)*RAND()+1,1)),"")</f>
        <v/>
      </c>
      <c r="E145" s="1" t="str">
        <f>IF(ROW()&lt;=(Results!$C$1/2)+1,VLOOKUP($D145,Data!$X$2:$Y$117,2,TRUE),"")</f>
        <v/>
      </c>
      <c r="F145" s="14" t="str">
        <f>IF(ROW()&lt;=(Results!$C$1/2)+1,IF(E145&lt;=0,"",LN(E145)),"")</f>
        <v/>
      </c>
    </row>
    <row r="146" spans="1:6" x14ac:dyDescent="0.25">
      <c r="A146" s="1" t="str">
        <f ca="1">IF(ROW()&lt;=(Results!$C$1/2)+1,INDEX(Data!$V:$V,CEILING((COUNTA(Data!$V:$V)-1)*RAND()+1,1)),"")</f>
        <v/>
      </c>
      <c r="B146" s="1" t="str">
        <f>IF(ROW()&lt;=(Results!$C$1/2)+1,VLOOKUP($A146,Data!$V$2:$W$117,2,TRUE),"")</f>
        <v/>
      </c>
      <c r="C146" s="14" t="str">
        <f>IF(ROW()&lt;=(Results!$C$1/2)+1,IF(B146&lt;=0,"",LN(B146)),"")</f>
        <v/>
      </c>
      <c r="D146" s="1" t="str">
        <f ca="1">IF(ROW()&lt;=(Results!$C$1/2)+1,INDEX(Data!$X:$X,CEILING((COUNTA(Data!$X:$X)-1)*RAND()+1,1)),"")</f>
        <v/>
      </c>
      <c r="E146" s="1" t="str">
        <f>IF(ROW()&lt;=(Results!$C$1/2)+1,VLOOKUP($D146,Data!$X$2:$Y$117,2,TRUE),"")</f>
        <v/>
      </c>
      <c r="F146" s="14" t="str">
        <f>IF(ROW()&lt;=(Results!$C$1/2)+1,IF(E146&lt;=0,"",LN(E146)),"")</f>
        <v/>
      </c>
    </row>
    <row r="147" spans="1:6" x14ac:dyDescent="0.25">
      <c r="A147" s="1" t="str">
        <f ca="1">IF(ROW()&lt;=(Results!$C$1/2)+1,INDEX(Data!$V:$V,CEILING((COUNTA(Data!$V:$V)-1)*RAND()+1,1)),"")</f>
        <v/>
      </c>
      <c r="B147" s="1" t="str">
        <f>IF(ROW()&lt;=(Results!$C$1/2)+1,VLOOKUP($A147,Data!$V$2:$W$117,2,TRUE),"")</f>
        <v/>
      </c>
      <c r="C147" s="14" t="str">
        <f>IF(ROW()&lt;=(Results!$C$1/2)+1,IF(B147&lt;=0,"",LN(B147)),"")</f>
        <v/>
      </c>
      <c r="D147" s="1" t="str">
        <f ca="1">IF(ROW()&lt;=(Results!$C$1/2)+1,INDEX(Data!$X:$X,CEILING((COUNTA(Data!$X:$X)-1)*RAND()+1,1)),"")</f>
        <v/>
      </c>
      <c r="E147" s="1" t="str">
        <f>IF(ROW()&lt;=(Results!$C$1/2)+1,VLOOKUP($D147,Data!$X$2:$Y$117,2,TRUE),"")</f>
        <v/>
      </c>
      <c r="F147" s="14" t="str">
        <f>IF(ROW()&lt;=(Results!$C$1/2)+1,IF(E147&lt;=0,"",LN(E147)),"")</f>
        <v/>
      </c>
    </row>
    <row r="148" spans="1:6" x14ac:dyDescent="0.25">
      <c r="A148" s="1" t="str">
        <f ca="1">IF(ROW()&lt;=(Results!$C$1/2)+1,INDEX(Data!$V:$V,CEILING((COUNTA(Data!$V:$V)-1)*RAND()+1,1)),"")</f>
        <v/>
      </c>
      <c r="B148" s="1" t="str">
        <f>IF(ROW()&lt;=(Results!$C$1/2)+1,VLOOKUP($A148,Data!$V$2:$W$117,2,TRUE),"")</f>
        <v/>
      </c>
      <c r="C148" s="14" t="str">
        <f>IF(ROW()&lt;=(Results!$C$1/2)+1,IF(B148&lt;=0,"",LN(B148)),"")</f>
        <v/>
      </c>
      <c r="D148" s="1" t="str">
        <f ca="1">IF(ROW()&lt;=(Results!$C$1/2)+1,INDEX(Data!$X:$X,CEILING((COUNTA(Data!$X:$X)-1)*RAND()+1,1)),"")</f>
        <v/>
      </c>
      <c r="E148" s="1" t="str">
        <f>IF(ROW()&lt;=(Results!$C$1/2)+1,VLOOKUP($D148,Data!$X$2:$Y$117,2,TRUE),"")</f>
        <v/>
      </c>
      <c r="F148" s="14" t="str">
        <f>IF(ROW()&lt;=(Results!$C$1/2)+1,IF(E148&lt;=0,"",LN(E148)),"")</f>
        <v/>
      </c>
    </row>
    <row r="149" spans="1:6" x14ac:dyDescent="0.25">
      <c r="A149" s="1" t="str">
        <f ca="1">IF(ROW()&lt;=(Results!$C$1/2)+1,INDEX(Data!$V:$V,CEILING((COUNTA(Data!$V:$V)-1)*RAND()+1,1)),"")</f>
        <v/>
      </c>
      <c r="B149" s="1" t="str">
        <f>IF(ROW()&lt;=(Results!$C$1/2)+1,VLOOKUP($A149,Data!$V$2:$W$117,2,TRUE),"")</f>
        <v/>
      </c>
      <c r="C149" s="14" t="str">
        <f>IF(ROW()&lt;=(Results!$C$1/2)+1,IF(B149&lt;=0,"",LN(B149)),"")</f>
        <v/>
      </c>
      <c r="D149" s="1" t="str">
        <f ca="1">IF(ROW()&lt;=(Results!$C$1/2)+1,INDEX(Data!$X:$X,CEILING((COUNTA(Data!$X:$X)-1)*RAND()+1,1)),"")</f>
        <v/>
      </c>
      <c r="E149" s="1" t="str">
        <f>IF(ROW()&lt;=(Results!$C$1/2)+1,VLOOKUP($D149,Data!$X$2:$Y$117,2,TRUE),"")</f>
        <v/>
      </c>
      <c r="F149" s="14" t="str">
        <f>IF(ROW()&lt;=(Results!$C$1/2)+1,IF(E149&lt;=0,"",LN(E149)),"")</f>
        <v/>
      </c>
    </row>
    <row r="150" spans="1:6" x14ac:dyDescent="0.25">
      <c r="A150" s="1" t="str">
        <f ca="1">IF(ROW()&lt;=(Results!$C$1/2)+1,INDEX(Data!$V:$V,CEILING((COUNTA(Data!$V:$V)-1)*RAND()+1,1)),"")</f>
        <v/>
      </c>
      <c r="B150" s="1" t="str">
        <f>IF(ROW()&lt;=(Results!$C$1/2)+1,VLOOKUP($A150,Data!$V$2:$W$117,2,TRUE),"")</f>
        <v/>
      </c>
      <c r="C150" s="14" t="str">
        <f>IF(ROW()&lt;=(Results!$C$1/2)+1,IF(B150&lt;=0,"",LN(B150)),"")</f>
        <v/>
      </c>
      <c r="D150" s="1" t="str">
        <f ca="1">IF(ROW()&lt;=(Results!$C$1/2)+1,INDEX(Data!$X:$X,CEILING((COUNTA(Data!$X:$X)-1)*RAND()+1,1)),"")</f>
        <v/>
      </c>
      <c r="E150" s="1" t="str">
        <f>IF(ROW()&lt;=(Results!$C$1/2)+1,VLOOKUP($D150,Data!$X$2:$Y$117,2,TRUE),"")</f>
        <v/>
      </c>
      <c r="F150" s="14" t="str">
        <f>IF(ROW()&lt;=(Results!$C$1/2)+1,IF(E150&lt;=0,"",LN(E150)),"")</f>
        <v/>
      </c>
    </row>
    <row r="151" spans="1:6" x14ac:dyDescent="0.25">
      <c r="A151" s="1" t="str">
        <f ca="1">IF(ROW()&lt;=(Results!$C$1/2)+1,INDEX(Data!$V:$V,CEILING((COUNTA(Data!$V:$V)-1)*RAND()+1,1)),"")</f>
        <v/>
      </c>
      <c r="B151" s="1" t="str">
        <f>IF(ROW()&lt;=(Results!$C$1/2)+1,VLOOKUP($A151,Data!$V$2:$W$117,2,TRUE),"")</f>
        <v/>
      </c>
      <c r="C151" s="14" t="str">
        <f>IF(ROW()&lt;=(Results!$C$1/2)+1,IF(B151&lt;=0,"",LN(B151)),"")</f>
        <v/>
      </c>
      <c r="D151" s="1" t="str">
        <f ca="1">IF(ROW()&lt;=(Results!$C$1/2)+1,INDEX(Data!$X:$X,CEILING((COUNTA(Data!$X:$X)-1)*RAND()+1,1)),"")</f>
        <v/>
      </c>
      <c r="E151" s="1" t="str">
        <f>IF(ROW()&lt;=(Results!$C$1/2)+1,VLOOKUP($D151,Data!$X$2:$Y$117,2,TRUE),"")</f>
        <v/>
      </c>
      <c r="F151" s="14" t="str">
        <f>IF(ROW()&lt;=(Results!$C$1/2)+1,IF(E151&lt;=0,"",LN(E151)),"")</f>
        <v/>
      </c>
    </row>
    <row r="152" spans="1:6" x14ac:dyDescent="0.25">
      <c r="A152" s="1" t="str">
        <f ca="1">IF(ROW()&lt;=(Results!$C$1/2)+1,INDEX(Data!$V:$V,CEILING((COUNTA(Data!$V:$V)-1)*RAND()+1,1)),"")</f>
        <v/>
      </c>
      <c r="B152" s="1" t="str">
        <f>IF(ROW()&lt;=(Results!$C$1/2)+1,VLOOKUP($A152,Data!$V$2:$W$117,2,TRUE),"")</f>
        <v/>
      </c>
      <c r="C152" s="14" t="str">
        <f>IF(ROW()&lt;=(Results!$C$1/2)+1,IF(B152&lt;=0,"",LN(B152)),"")</f>
        <v/>
      </c>
      <c r="D152" s="1" t="str">
        <f ca="1">IF(ROW()&lt;=(Results!$C$1/2)+1,INDEX(Data!$X:$X,CEILING((COUNTA(Data!$X:$X)-1)*RAND()+1,1)),"")</f>
        <v/>
      </c>
      <c r="E152" s="1" t="str">
        <f>IF(ROW()&lt;=(Results!$C$1/2)+1,VLOOKUP($D152,Data!$X$2:$Y$117,2,TRUE),"")</f>
        <v/>
      </c>
      <c r="F152" s="14" t="str">
        <f>IF(ROW()&lt;=(Results!$C$1/2)+1,IF(E152&lt;=0,"",LN(E152)),"")</f>
        <v/>
      </c>
    </row>
    <row r="153" spans="1:6" x14ac:dyDescent="0.25">
      <c r="A153" s="1" t="str">
        <f ca="1">IF(ROW()&lt;=(Results!$C$1/2)+1,INDEX(Data!$V:$V,CEILING((COUNTA(Data!$V:$V)-1)*RAND()+1,1)),"")</f>
        <v/>
      </c>
      <c r="B153" s="1" t="str">
        <f>IF(ROW()&lt;=(Results!$C$1/2)+1,VLOOKUP($A153,Data!$V$2:$W$117,2,TRUE),"")</f>
        <v/>
      </c>
      <c r="C153" s="14" t="str">
        <f>IF(ROW()&lt;=(Results!$C$1/2)+1,IF(B153&lt;=0,"",LN(B153)),"")</f>
        <v/>
      </c>
      <c r="D153" s="1" t="str">
        <f ca="1">IF(ROW()&lt;=(Results!$C$1/2)+1,INDEX(Data!$X:$X,CEILING((COUNTA(Data!$X:$X)-1)*RAND()+1,1)),"")</f>
        <v/>
      </c>
      <c r="E153" s="1" t="str">
        <f>IF(ROW()&lt;=(Results!$C$1/2)+1,VLOOKUP($D153,Data!$X$2:$Y$117,2,TRUE),"")</f>
        <v/>
      </c>
      <c r="F153" s="14" t="str">
        <f>IF(ROW()&lt;=(Results!$C$1/2)+1,IF(E153&lt;=0,"",LN(E153)),"")</f>
        <v/>
      </c>
    </row>
    <row r="154" spans="1:6" x14ac:dyDescent="0.25">
      <c r="A154" s="1" t="str">
        <f ca="1">IF(ROW()&lt;=(Results!$C$1/2)+1,INDEX(Data!$V:$V,CEILING((COUNTA(Data!$V:$V)-1)*RAND()+1,1)),"")</f>
        <v/>
      </c>
      <c r="B154" s="1" t="str">
        <f>IF(ROW()&lt;=(Results!$C$1/2)+1,VLOOKUP($A154,Data!$V$2:$W$117,2,TRUE),"")</f>
        <v/>
      </c>
      <c r="C154" s="14" t="str">
        <f>IF(ROW()&lt;=(Results!$C$1/2)+1,IF(B154&lt;=0,"",LN(B154)),"")</f>
        <v/>
      </c>
      <c r="D154" s="1" t="str">
        <f ca="1">IF(ROW()&lt;=(Results!$C$1/2)+1,INDEX(Data!$X:$X,CEILING((COUNTA(Data!$X:$X)-1)*RAND()+1,1)),"")</f>
        <v/>
      </c>
      <c r="E154" s="1" t="str">
        <f>IF(ROW()&lt;=(Results!$C$1/2)+1,VLOOKUP($D154,Data!$X$2:$Y$117,2,TRUE),"")</f>
        <v/>
      </c>
      <c r="F154" s="14" t="str">
        <f>IF(ROW()&lt;=(Results!$C$1/2)+1,IF(E154&lt;=0,"",LN(E154)),"")</f>
        <v/>
      </c>
    </row>
    <row r="155" spans="1:6" x14ac:dyDescent="0.25">
      <c r="A155" s="1" t="str">
        <f ca="1">IF(ROW()&lt;=(Results!$C$1/2)+1,INDEX(Data!$V:$V,CEILING((COUNTA(Data!$V:$V)-1)*RAND()+1,1)),"")</f>
        <v/>
      </c>
      <c r="B155" s="1" t="str">
        <f>IF(ROW()&lt;=(Results!$C$1/2)+1,VLOOKUP($A155,Data!$V$2:$W$117,2,TRUE),"")</f>
        <v/>
      </c>
      <c r="C155" s="14" t="str">
        <f>IF(ROW()&lt;=(Results!$C$1/2)+1,IF(B155&lt;=0,"",LN(B155)),"")</f>
        <v/>
      </c>
      <c r="D155" s="1" t="str">
        <f ca="1">IF(ROW()&lt;=(Results!$C$1/2)+1,INDEX(Data!$X:$X,CEILING((COUNTA(Data!$X:$X)-1)*RAND()+1,1)),"")</f>
        <v/>
      </c>
      <c r="E155" s="1" t="str">
        <f>IF(ROW()&lt;=(Results!$C$1/2)+1,VLOOKUP($D155,Data!$X$2:$Y$117,2,TRUE),"")</f>
        <v/>
      </c>
      <c r="F155" s="14" t="str">
        <f>IF(ROW()&lt;=(Results!$C$1/2)+1,IF(E155&lt;=0,"",LN(E155)),"")</f>
        <v/>
      </c>
    </row>
    <row r="156" spans="1:6" x14ac:dyDescent="0.25">
      <c r="A156" s="1" t="str">
        <f ca="1">IF(ROW()&lt;=(Results!$C$1/2)+1,INDEX(Data!$V:$V,CEILING((COUNTA(Data!$V:$V)-1)*RAND()+1,1)),"")</f>
        <v/>
      </c>
      <c r="B156" s="1" t="str">
        <f>IF(ROW()&lt;=(Results!$C$1/2)+1,VLOOKUP($A156,Data!$V$2:$W$117,2,TRUE),"")</f>
        <v/>
      </c>
      <c r="C156" s="14" t="str">
        <f>IF(ROW()&lt;=(Results!$C$1/2)+1,IF(B156&lt;=0,"",LN(B156)),"")</f>
        <v/>
      </c>
      <c r="D156" s="1" t="str">
        <f ca="1">IF(ROW()&lt;=(Results!$C$1/2)+1,INDEX(Data!$X:$X,CEILING((COUNTA(Data!$X:$X)-1)*RAND()+1,1)),"")</f>
        <v/>
      </c>
      <c r="E156" s="1" t="str">
        <f>IF(ROW()&lt;=(Results!$C$1/2)+1,VLOOKUP($D156,Data!$X$2:$Y$117,2,TRUE),"")</f>
        <v/>
      </c>
      <c r="F156" s="14" t="str">
        <f>IF(ROW()&lt;=(Results!$C$1/2)+1,IF(E156&lt;=0,"",LN(E156)),"")</f>
        <v/>
      </c>
    </row>
    <row r="157" spans="1:6" x14ac:dyDescent="0.25">
      <c r="A157" s="1" t="str">
        <f ca="1">IF(ROW()&lt;=(Results!$C$1/2)+1,INDEX(Data!$V:$V,CEILING((COUNTA(Data!$V:$V)-1)*RAND()+1,1)),"")</f>
        <v/>
      </c>
      <c r="B157" s="1" t="str">
        <f>IF(ROW()&lt;=(Results!$C$1/2)+1,VLOOKUP($A157,Data!$V$2:$W$117,2,TRUE),"")</f>
        <v/>
      </c>
      <c r="C157" s="14" t="str">
        <f>IF(ROW()&lt;=(Results!$C$1/2)+1,IF(B157&lt;=0,"",LN(B157)),"")</f>
        <v/>
      </c>
      <c r="D157" s="1" t="str">
        <f ca="1">IF(ROW()&lt;=(Results!$C$1/2)+1,INDEX(Data!$X:$X,CEILING((COUNTA(Data!$X:$X)-1)*RAND()+1,1)),"")</f>
        <v/>
      </c>
      <c r="E157" s="1" t="str">
        <f>IF(ROW()&lt;=(Results!$C$1/2)+1,VLOOKUP($D157,Data!$X$2:$Y$117,2,TRUE),"")</f>
        <v/>
      </c>
      <c r="F157" s="14" t="str">
        <f>IF(ROW()&lt;=(Results!$C$1/2)+1,IF(E157&lt;=0,"",LN(E157)),"")</f>
        <v/>
      </c>
    </row>
    <row r="158" spans="1:6" x14ac:dyDescent="0.25">
      <c r="A158" s="1" t="str">
        <f ca="1">IF(ROW()&lt;=(Results!$C$1/2)+1,INDEX(Data!$V:$V,CEILING((COUNTA(Data!$V:$V)-1)*RAND()+1,1)),"")</f>
        <v/>
      </c>
      <c r="B158" s="1" t="str">
        <f>IF(ROW()&lt;=(Results!$C$1/2)+1,VLOOKUP($A158,Data!$V$2:$W$117,2,TRUE),"")</f>
        <v/>
      </c>
      <c r="C158" s="14" t="str">
        <f>IF(ROW()&lt;=(Results!$C$1/2)+1,IF(B158&lt;=0,"",LN(B158)),"")</f>
        <v/>
      </c>
      <c r="D158" s="1" t="str">
        <f ca="1">IF(ROW()&lt;=(Results!$C$1/2)+1,INDEX(Data!$X:$X,CEILING((COUNTA(Data!$X:$X)-1)*RAND()+1,1)),"")</f>
        <v/>
      </c>
      <c r="E158" s="1" t="str">
        <f>IF(ROW()&lt;=(Results!$C$1/2)+1,VLOOKUP($D158,Data!$X$2:$Y$117,2,TRUE),"")</f>
        <v/>
      </c>
      <c r="F158" s="14" t="str">
        <f>IF(ROW()&lt;=(Results!$C$1/2)+1,IF(E158&lt;=0,"",LN(E158)),"")</f>
        <v/>
      </c>
    </row>
    <row r="159" spans="1:6" x14ac:dyDescent="0.25">
      <c r="A159" s="1" t="str">
        <f ca="1">IF(ROW()&lt;=(Results!$C$1/2)+1,INDEX(Data!$V:$V,CEILING((COUNTA(Data!$V:$V)-1)*RAND()+1,1)),"")</f>
        <v/>
      </c>
      <c r="B159" s="1" t="str">
        <f>IF(ROW()&lt;=(Results!$C$1/2)+1,VLOOKUP($A159,Data!$V$2:$W$117,2,TRUE),"")</f>
        <v/>
      </c>
      <c r="C159" s="14" t="str">
        <f>IF(ROW()&lt;=(Results!$C$1/2)+1,IF(B159&lt;=0,"",LN(B159)),"")</f>
        <v/>
      </c>
      <c r="D159" s="1" t="str">
        <f ca="1">IF(ROW()&lt;=(Results!$C$1/2)+1,INDEX(Data!$X:$X,CEILING((COUNTA(Data!$X:$X)-1)*RAND()+1,1)),"")</f>
        <v/>
      </c>
      <c r="E159" s="1" t="str">
        <f>IF(ROW()&lt;=(Results!$C$1/2)+1,VLOOKUP($D159,Data!$X$2:$Y$117,2,TRUE),"")</f>
        <v/>
      </c>
      <c r="F159" s="14" t="str">
        <f>IF(ROW()&lt;=(Results!$C$1/2)+1,IF(E159&lt;=0,"",LN(E159)),"")</f>
        <v/>
      </c>
    </row>
    <row r="160" spans="1:6" x14ac:dyDescent="0.25">
      <c r="A160" s="1" t="str">
        <f ca="1">IF(ROW()&lt;=(Results!$C$1/2)+1,INDEX(Data!$V:$V,CEILING((COUNTA(Data!$V:$V)-1)*RAND()+1,1)),"")</f>
        <v/>
      </c>
      <c r="B160" s="1" t="str">
        <f>IF(ROW()&lt;=(Results!$C$1/2)+1,VLOOKUP($A160,Data!$V$2:$W$117,2,TRUE),"")</f>
        <v/>
      </c>
      <c r="C160" s="14" t="str">
        <f>IF(ROW()&lt;=(Results!$C$1/2)+1,IF(B160&lt;=0,"",LN(B160)),"")</f>
        <v/>
      </c>
      <c r="D160" s="1" t="str">
        <f ca="1">IF(ROW()&lt;=(Results!$C$1/2)+1,INDEX(Data!$X:$X,CEILING((COUNTA(Data!$X:$X)-1)*RAND()+1,1)),"")</f>
        <v/>
      </c>
      <c r="E160" s="1" t="str">
        <f>IF(ROW()&lt;=(Results!$C$1/2)+1,VLOOKUP($D160,Data!$X$2:$Y$117,2,TRUE),"")</f>
        <v/>
      </c>
      <c r="F160" s="14" t="str">
        <f>IF(ROW()&lt;=(Results!$C$1/2)+1,IF(E160&lt;=0,"",LN(E160)),"")</f>
        <v/>
      </c>
    </row>
    <row r="161" spans="1:6" x14ac:dyDescent="0.25">
      <c r="A161" s="1" t="str">
        <f ca="1">IF(ROW()&lt;=(Results!$C$1/2)+1,INDEX(Data!$V:$V,CEILING((COUNTA(Data!$V:$V)-1)*RAND()+1,1)),"")</f>
        <v/>
      </c>
      <c r="B161" s="1" t="str">
        <f>IF(ROW()&lt;=(Results!$C$1/2)+1,VLOOKUP($A161,Data!$V$2:$W$117,2,TRUE),"")</f>
        <v/>
      </c>
      <c r="C161" s="14" t="str">
        <f>IF(ROW()&lt;=(Results!$C$1/2)+1,IF(B161&lt;=0,"",LN(B161)),"")</f>
        <v/>
      </c>
      <c r="D161" s="1" t="str">
        <f ca="1">IF(ROW()&lt;=(Results!$C$1/2)+1,INDEX(Data!$X:$X,CEILING((COUNTA(Data!$X:$X)-1)*RAND()+1,1)),"")</f>
        <v/>
      </c>
      <c r="E161" s="1" t="str">
        <f>IF(ROW()&lt;=(Results!$C$1/2)+1,VLOOKUP($D161,Data!$X$2:$Y$117,2,TRUE),"")</f>
        <v/>
      </c>
      <c r="F161" s="14" t="str">
        <f>IF(ROW()&lt;=(Results!$C$1/2)+1,IF(E161&lt;=0,"",LN(E161)),"")</f>
        <v/>
      </c>
    </row>
    <row r="162" spans="1:6" x14ac:dyDescent="0.25">
      <c r="A162" s="1" t="str">
        <f ca="1">IF(ROW()&lt;=(Results!$C$1/2)+1,INDEX(Data!$V:$V,CEILING((COUNTA(Data!$V:$V)-1)*RAND()+1,1)),"")</f>
        <v/>
      </c>
      <c r="B162" s="1" t="str">
        <f>IF(ROW()&lt;=(Results!$C$1/2)+1,VLOOKUP($A162,Data!$V$2:$W$117,2,TRUE),"")</f>
        <v/>
      </c>
      <c r="C162" s="14" t="str">
        <f>IF(ROW()&lt;=(Results!$C$1/2)+1,IF(B162&lt;=0,"",LN(B162)),"")</f>
        <v/>
      </c>
      <c r="D162" s="1" t="str">
        <f ca="1">IF(ROW()&lt;=(Results!$C$1/2)+1,INDEX(Data!$X:$X,CEILING((COUNTA(Data!$X:$X)-1)*RAND()+1,1)),"")</f>
        <v/>
      </c>
      <c r="E162" s="1" t="str">
        <f>IF(ROW()&lt;=(Results!$C$1/2)+1,VLOOKUP($D162,Data!$X$2:$Y$117,2,TRUE),"")</f>
        <v/>
      </c>
      <c r="F162" s="14" t="str">
        <f>IF(ROW()&lt;=(Results!$C$1/2)+1,IF(E162&lt;=0,"",LN(E162)),"")</f>
        <v/>
      </c>
    </row>
    <row r="163" spans="1:6" x14ac:dyDescent="0.25">
      <c r="A163" s="1" t="str">
        <f ca="1">IF(ROW()&lt;=(Results!$C$1/2)+1,INDEX(Data!$V:$V,CEILING((COUNTA(Data!$V:$V)-1)*RAND()+1,1)),"")</f>
        <v/>
      </c>
      <c r="B163" s="1" t="str">
        <f>IF(ROW()&lt;=(Results!$C$1/2)+1,VLOOKUP($A163,Data!$V$2:$W$117,2,TRUE),"")</f>
        <v/>
      </c>
      <c r="C163" s="14" t="str">
        <f>IF(ROW()&lt;=(Results!$C$1/2)+1,IF(B163&lt;=0,"",LN(B163)),"")</f>
        <v/>
      </c>
      <c r="D163" s="1" t="str">
        <f ca="1">IF(ROW()&lt;=(Results!$C$1/2)+1,INDEX(Data!$X:$X,CEILING((COUNTA(Data!$X:$X)-1)*RAND()+1,1)),"")</f>
        <v/>
      </c>
      <c r="E163" s="1" t="str">
        <f>IF(ROW()&lt;=(Results!$C$1/2)+1,VLOOKUP($D163,Data!$X$2:$Y$117,2,TRUE),"")</f>
        <v/>
      </c>
      <c r="F163" s="14" t="str">
        <f>IF(ROW()&lt;=(Results!$C$1/2)+1,IF(E163&lt;=0,"",LN(E163)),"")</f>
        <v/>
      </c>
    </row>
    <row r="164" spans="1:6" x14ac:dyDescent="0.25">
      <c r="A164" s="1" t="str">
        <f ca="1">IF(ROW()&lt;=(Results!$C$1/2)+1,INDEX(Data!$V:$V,CEILING((COUNTA(Data!$V:$V)-1)*RAND()+1,1)),"")</f>
        <v/>
      </c>
      <c r="B164" s="1" t="str">
        <f>IF(ROW()&lt;=(Results!$C$1/2)+1,VLOOKUP($A164,Data!$V$2:$W$117,2,TRUE),"")</f>
        <v/>
      </c>
      <c r="C164" s="14" t="str">
        <f>IF(ROW()&lt;=(Results!$C$1/2)+1,IF(B164&lt;=0,"",LN(B164)),"")</f>
        <v/>
      </c>
      <c r="D164" s="1" t="str">
        <f ca="1">IF(ROW()&lt;=(Results!$C$1/2)+1,INDEX(Data!$X:$X,CEILING((COUNTA(Data!$X:$X)-1)*RAND()+1,1)),"")</f>
        <v/>
      </c>
      <c r="E164" s="1" t="str">
        <f>IF(ROW()&lt;=(Results!$C$1/2)+1,VLOOKUP($D164,Data!$X$2:$Y$117,2,TRUE),"")</f>
        <v/>
      </c>
      <c r="F164" s="14" t="str">
        <f>IF(ROW()&lt;=(Results!$C$1/2)+1,IF(E164&lt;=0,"",LN(E164)),"")</f>
        <v/>
      </c>
    </row>
    <row r="165" spans="1:6" x14ac:dyDescent="0.25">
      <c r="A165" s="1" t="str">
        <f ca="1">IF(ROW()&lt;=(Results!$C$1/2)+1,INDEX(Data!$V:$V,CEILING((COUNTA(Data!$V:$V)-1)*RAND()+1,1)),"")</f>
        <v/>
      </c>
      <c r="B165" s="1" t="str">
        <f>IF(ROW()&lt;=(Results!$C$1/2)+1,VLOOKUP($A165,Data!$V$2:$W$117,2,TRUE),"")</f>
        <v/>
      </c>
      <c r="C165" s="14" t="str">
        <f>IF(ROW()&lt;=(Results!$C$1/2)+1,IF(B165&lt;=0,"",LN(B165)),"")</f>
        <v/>
      </c>
      <c r="D165" s="1" t="str">
        <f ca="1">IF(ROW()&lt;=(Results!$C$1/2)+1,INDEX(Data!$X:$X,CEILING((COUNTA(Data!$X:$X)-1)*RAND()+1,1)),"")</f>
        <v/>
      </c>
      <c r="E165" s="1" t="str">
        <f>IF(ROW()&lt;=(Results!$C$1/2)+1,VLOOKUP($D165,Data!$X$2:$Y$117,2,TRUE),"")</f>
        <v/>
      </c>
      <c r="F165" s="14" t="str">
        <f>IF(ROW()&lt;=(Results!$C$1/2)+1,IF(E165&lt;=0,"",LN(E165)),"")</f>
        <v/>
      </c>
    </row>
    <row r="166" spans="1:6" x14ac:dyDescent="0.25">
      <c r="A166" s="1" t="str">
        <f ca="1">IF(ROW()&lt;=(Results!$C$1/2)+1,INDEX(Data!$V:$V,CEILING((COUNTA(Data!$V:$V)-1)*RAND()+1,1)),"")</f>
        <v/>
      </c>
      <c r="B166" s="1" t="str">
        <f>IF(ROW()&lt;=(Results!$C$1/2)+1,VLOOKUP($A166,Data!$V$2:$W$117,2,TRUE),"")</f>
        <v/>
      </c>
      <c r="C166" s="14" t="str">
        <f>IF(ROW()&lt;=(Results!$C$1/2)+1,IF(B166&lt;=0,"",LN(B166)),"")</f>
        <v/>
      </c>
      <c r="D166" s="1" t="str">
        <f ca="1">IF(ROW()&lt;=(Results!$C$1/2)+1,INDEX(Data!$X:$X,CEILING((COUNTA(Data!$X:$X)-1)*RAND()+1,1)),"")</f>
        <v/>
      </c>
      <c r="E166" s="1" t="str">
        <f>IF(ROW()&lt;=(Results!$C$1/2)+1,VLOOKUP($D166,Data!$X$2:$Y$117,2,TRUE),"")</f>
        <v/>
      </c>
      <c r="F166" s="14" t="str">
        <f>IF(ROW()&lt;=(Results!$C$1/2)+1,IF(E166&lt;=0,"",LN(E166)),"")</f>
        <v/>
      </c>
    </row>
    <row r="167" spans="1:6" x14ac:dyDescent="0.25">
      <c r="A167" s="1" t="str">
        <f ca="1">IF(ROW()&lt;=(Results!$C$1/2)+1,INDEX(Data!$V:$V,CEILING((COUNTA(Data!$V:$V)-1)*RAND()+1,1)),"")</f>
        <v/>
      </c>
      <c r="B167" s="1" t="str">
        <f>IF(ROW()&lt;=(Results!$C$1/2)+1,VLOOKUP($A167,Data!$V$2:$W$117,2,TRUE),"")</f>
        <v/>
      </c>
      <c r="C167" s="14" t="str">
        <f>IF(ROW()&lt;=(Results!$C$1/2)+1,IF(B167&lt;=0,"",LN(B167)),"")</f>
        <v/>
      </c>
      <c r="D167" s="1" t="str">
        <f ca="1">IF(ROW()&lt;=(Results!$C$1/2)+1,INDEX(Data!$X:$X,CEILING((COUNTA(Data!$X:$X)-1)*RAND()+1,1)),"")</f>
        <v/>
      </c>
      <c r="E167" s="1" t="str">
        <f>IF(ROW()&lt;=(Results!$C$1/2)+1,VLOOKUP($D167,Data!$X$2:$Y$117,2,TRUE),"")</f>
        <v/>
      </c>
      <c r="F167" s="14" t="str">
        <f>IF(ROW()&lt;=(Results!$C$1/2)+1,IF(E167&lt;=0,"",LN(E167)),"")</f>
        <v/>
      </c>
    </row>
    <row r="168" spans="1:6" x14ac:dyDescent="0.25">
      <c r="A168" s="1" t="str">
        <f ca="1">IF(ROW()&lt;=(Results!$C$1/2)+1,INDEX(Data!$V:$V,CEILING((COUNTA(Data!$V:$V)-1)*RAND()+1,1)),"")</f>
        <v/>
      </c>
      <c r="B168" s="1" t="str">
        <f>IF(ROW()&lt;=(Results!$C$1/2)+1,VLOOKUP($A168,Data!$V$2:$W$117,2,TRUE),"")</f>
        <v/>
      </c>
      <c r="C168" s="14" t="str">
        <f>IF(ROW()&lt;=(Results!$C$1/2)+1,IF(B168&lt;=0,"",LN(B168)),"")</f>
        <v/>
      </c>
      <c r="D168" s="1" t="str">
        <f ca="1">IF(ROW()&lt;=(Results!$C$1/2)+1,INDEX(Data!$X:$X,CEILING((COUNTA(Data!$X:$X)-1)*RAND()+1,1)),"")</f>
        <v/>
      </c>
      <c r="E168" s="1" t="str">
        <f>IF(ROW()&lt;=(Results!$C$1/2)+1,VLOOKUP($D168,Data!$X$2:$Y$117,2,TRUE),"")</f>
        <v/>
      </c>
      <c r="F168" s="14" t="str">
        <f>IF(ROW()&lt;=(Results!$C$1/2)+1,IF(E168&lt;=0,"",LN(E168)),"")</f>
        <v/>
      </c>
    </row>
    <row r="169" spans="1:6" x14ac:dyDescent="0.25">
      <c r="A169" s="1" t="str">
        <f ca="1">IF(ROW()&lt;=(Results!$C$1/2)+1,INDEX(Data!$V:$V,CEILING((COUNTA(Data!$V:$V)-1)*RAND()+1,1)),"")</f>
        <v/>
      </c>
      <c r="B169" s="1" t="str">
        <f>IF(ROW()&lt;=(Results!$C$1/2)+1,VLOOKUP($A169,Data!$V$2:$W$117,2,TRUE),"")</f>
        <v/>
      </c>
      <c r="C169" s="14" t="str">
        <f>IF(ROW()&lt;=(Results!$C$1/2)+1,IF(B169&lt;=0,"",LN(B169)),"")</f>
        <v/>
      </c>
      <c r="D169" s="1" t="str">
        <f ca="1">IF(ROW()&lt;=(Results!$C$1/2)+1,INDEX(Data!$X:$X,CEILING((COUNTA(Data!$X:$X)-1)*RAND()+1,1)),"")</f>
        <v/>
      </c>
      <c r="E169" s="1" t="str">
        <f>IF(ROW()&lt;=(Results!$C$1/2)+1,VLOOKUP($D169,Data!$X$2:$Y$117,2,TRUE),"")</f>
        <v/>
      </c>
      <c r="F169" s="14" t="str">
        <f>IF(ROW()&lt;=(Results!$C$1/2)+1,IF(E169&lt;=0,"",LN(E169)),"")</f>
        <v/>
      </c>
    </row>
    <row r="170" spans="1:6" x14ac:dyDescent="0.25">
      <c r="A170" s="1" t="str">
        <f ca="1">IF(ROW()&lt;=(Results!$C$1/2)+1,INDEX(Data!$V:$V,CEILING((COUNTA(Data!$V:$V)-1)*RAND()+1,1)),"")</f>
        <v/>
      </c>
      <c r="B170" s="1" t="str">
        <f>IF(ROW()&lt;=(Results!$C$1/2)+1,VLOOKUP($A170,Data!$V$2:$W$117,2,TRUE),"")</f>
        <v/>
      </c>
      <c r="C170" s="14" t="str">
        <f>IF(ROW()&lt;=(Results!$C$1/2)+1,IF(B170&lt;=0,"",LN(B170)),"")</f>
        <v/>
      </c>
      <c r="D170" s="1" t="str">
        <f ca="1">IF(ROW()&lt;=(Results!$C$1/2)+1,INDEX(Data!$X:$X,CEILING((COUNTA(Data!$X:$X)-1)*RAND()+1,1)),"")</f>
        <v/>
      </c>
      <c r="E170" s="1" t="str">
        <f>IF(ROW()&lt;=(Results!$C$1/2)+1,VLOOKUP($D170,Data!$X$2:$Y$117,2,TRUE),"")</f>
        <v/>
      </c>
      <c r="F170" s="14" t="str">
        <f>IF(ROW()&lt;=(Results!$C$1/2)+1,IF(E170&lt;=0,"",LN(E170)),"")</f>
        <v/>
      </c>
    </row>
    <row r="171" spans="1:6" x14ac:dyDescent="0.25">
      <c r="A171" s="1" t="str">
        <f ca="1">IF(ROW()&lt;=(Results!$C$1/2)+1,INDEX(Data!$V:$V,CEILING((COUNTA(Data!$V:$V)-1)*RAND()+1,1)),"")</f>
        <v/>
      </c>
      <c r="B171" s="1" t="str">
        <f>IF(ROW()&lt;=(Results!$C$1/2)+1,VLOOKUP($A171,Data!$V$2:$W$117,2,TRUE),"")</f>
        <v/>
      </c>
      <c r="C171" s="14" t="str">
        <f>IF(ROW()&lt;=(Results!$C$1/2)+1,IF(B171&lt;=0,"",LN(B171)),"")</f>
        <v/>
      </c>
      <c r="D171" s="1" t="str">
        <f ca="1">IF(ROW()&lt;=(Results!$C$1/2)+1,INDEX(Data!$X:$X,CEILING((COUNTA(Data!$X:$X)-1)*RAND()+1,1)),"")</f>
        <v/>
      </c>
      <c r="E171" s="1" t="str">
        <f>IF(ROW()&lt;=(Results!$C$1/2)+1,VLOOKUP($D171,Data!$X$2:$Y$117,2,TRUE),"")</f>
        <v/>
      </c>
      <c r="F171" s="14" t="str">
        <f>IF(ROW()&lt;=(Results!$C$1/2)+1,IF(E171&lt;=0,"",LN(E171)),"")</f>
        <v/>
      </c>
    </row>
    <row r="172" spans="1:6" x14ac:dyDescent="0.25">
      <c r="A172" s="1" t="str">
        <f ca="1">IF(ROW()&lt;=(Results!$C$1/2)+1,INDEX(Data!$V:$V,CEILING((COUNTA(Data!$V:$V)-1)*RAND()+1,1)),"")</f>
        <v/>
      </c>
      <c r="B172" s="1" t="str">
        <f>IF(ROW()&lt;=(Results!$C$1/2)+1,VLOOKUP($A172,Data!$V$2:$W$117,2,TRUE),"")</f>
        <v/>
      </c>
      <c r="C172" s="14" t="str">
        <f>IF(ROW()&lt;=(Results!$C$1/2)+1,IF(B172&lt;=0,"",LN(B172)),"")</f>
        <v/>
      </c>
      <c r="D172" s="1" t="str">
        <f ca="1">IF(ROW()&lt;=(Results!$C$1/2)+1,INDEX(Data!$X:$X,CEILING((COUNTA(Data!$X:$X)-1)*RAND()+1,1)),"")</f>
        <v/>
      </c>
      <c r="E172" s="1" t="str">
        <f>IF(ROW()&lt;=(Results!$C$1/2)+1,VLOOKUP($D172,Data!$X$2:$Y$117,2,TRUE),"")</f>
        <v/>
      </c>
      <c r="F172" s="14" t="str">
        <f>IF(ROW()&lt;=(Results!$C$1/2)+1,IF(E172&lt;=0,"",LN(E172)),"")</f>
        <v/>
      </c>
    </row>
    <row r="173" spans="1:6" x14ac:dyDescent="0.25">
      <c r="A173" s="1" t="str">
        <f ca="1">IF(ROW()&lt;=(Results!$C$1/2)+1,INDEX(Data!$V:$V,CEILING((COUNTA(Data!$V:$V)-1)*RAND()+1,1)),"")</f>
        <v/>
      </c>
      <c r="B173" s="1" t="str">
        <f>IF(ROW()&lt;=(Results!$C$1/2)+1,VLOOKUP($A173,Data!$V$2:$W$117,2,TRUE),"")</f>
        <v/>
      </c>
      <c r="C173" s="14" t="str">
        <f>IF(ROW()&lt;=(Results!$C$1/2)+1,IF(B173&lt;=0,"",LN(B173)),"")</f>
        <v/>
      </c>
      <c r="D173" s="1" t="str">
        <f ca="1">IF(ROW()&lt;=(Results!$C$1/2)+1,INDEX(Data!$X:$X,CEILING((COUNTA(Data!$X:$X)-1)*RAND()+1,1)),"")</f>
        <v/>
      </c>
      <c r="E173" s="1" t="str">
        <f>IF(ROW()&lt;=(Results!$C$1/2)+1,VLOOKUP($D173,Data!$X$2:$Y$117,2,TRUE),"")</f>
        <v/>
      </c>
      <c r="F173" s="14" t="str">
        <f>IF(ROW()&lt;=(Results!$C$1/2)+1,IF(E173&lt;=0,"",LN(E173)),"")</f>
        <v/>
      </c>
    </row>
    <row r="174" spans="1:6" x14ac:dyDescent="0.25">
      <c r="A174" s="1" t="str">
        <f ca="1">IF(ROW()&lt;=(Results!$C$1/2)+1,INDEX(Data!$V:$V,CEILING((COUNTA(Data!$V:$V)-1)*RAND()+1,1)),"")</f>
        <v/>
      </c>
      <c r="B174" s="1" t="str">
        <f>IF(ROW()&lt;=(Results!$C$1/2)+1,VLOOKUP($A174,Data!$V$2:$W$117,2,TRUE),"")</f>
        <v/>
      </c>
      <c r="C174" s="14" t="str">
        <f>IF(ROW()&lt;=(Results!$C$1/2)+1,IF(B174&lt;=0,"",LN(B174)),"")</f>
        <v/>
      </c>
      <c r="D174" s="1" t="str">
        <f ca="1">IF(ROW()&lt;=(Results!$C$1/2)+1,INDEX(Data!$X:$X,CEILING((COUNTA(Data!$X:$X)-1)*RAND()+1,1)),"")</f>
        <v/>
      </c>
      <c r="E174" s="1" t="str">
        <f>IF(ROW()&lt;=(Results!$C$1/2)+1,VLOOKUP($D174,Data!$X$2:$Y$117,2,TRUE),"")</f>
        <v/>
      </c>
      <c r="F174" s="14" t="str">
        <f>IF(ROW()&lt;=(Results!$C$1/2)+1,IF(E174&lt;=0,"",LN(E174)),"")</f>
        <v/>
      </c>
    </row>
    <row r="175" spans="1:6" x14ac:dyDescent="0.25">
      <c r="A175" s="1" t="str">
        <f ca="1">IF(ROW()&lt;=(Results!$C$1/2)+1,INDEX(Data!$V:$V,CEILING((COUNTA(Data!$V:$V)-1)*RAND()+1,1)),"")</f>
        <v/>
      </c>
      <c r="B175" s="1" t="str">
        <f>IF(ROW()&lt;=(Results!$C$1/2)+1,VLOOKUP($A175,Data!$V$2:$W$117,2,TRUE),"")</f>
        <v/>
      </c>
      <c r="C175" s="14" t="str">
        <f>IF(ROW()&lt;=(Results!$C$1/2)+1,IF(B175&lt;=0,"",LN(B175)),"")</f>
        <v/>
      </c>
      <c r="D175" s="1" t="str">
        <f ca="1">IF(ROW()&lt;=(Results!$C$1/2)+1,INDEX(Data!$X:$X,CEILING((COUNTA(Data!$X:$X)-1)*RAND()+1,1)),"")</f>
        <v/>
      </c>
      <c r="E175" s="1" t="str">
        <f>IF(ROW()&lt;=(Results!$C$1/2)+1,VLOOKUP($D175,Data!$X$2:$Y$117,2,TRUE),"")</f>
        <v/>
      </c>
      <c r="F175" s="14" t="str">
        <f>IF(ROW()&lt;=(Results!$C$1/2)+1,IF(E175&lt;=0,"",LN(E175)),"")</f>
        <v/>
      </c>
    </row>
    <row r="176" spans="1:6" x14ac:dyDescent="0.25">
      <c r="A176" s="1" t="str">
        <f ca="1">IF(ROW()&lt;=(Results!$C$1/2)+1,INDEX(Data!$V:$V,CEILING((COUNTA(Data!$V:$V)-1)*RAND()+1,1)),"")</f>
        <v/>
      </c>
      <c r="B176" s="1" t="str">
        <f>IF(ROW()&lt;=(Results!$C$1/2)+1,VLOOKUP($A176,Data!$V$2:$W$117,2,TRUE),"")</f>
        <v/>
      </c>
      <c r="C176" s="14" t="str">
        <f>IF(ROW()&lt;=(Results!$C$1/2)+1,IF(B176&lt;=0,"",LN(B176)),"")</f>
        <v/>
      </c>
      <c r="D176" s="1" t="str">
        <f ca="1">IF(ROW()&lt;=(Results!$C$1/2)+1,INDEX(Data!$X:$X,CEILING((COUNTA(Data!$X:$X)-1)*RAND()+1,1)),"")</f>
        <v/>
      </c>
      <c r="E176" s="1" t="str">
        <f>IF(ROW()&lt;=(Results!$C$1/2)+1,VLOOKUP($D176,Data!$X$2:$Y$117,2,TRUE),"")</f>
        <v/>
      </c>
      <c r="F176" s="14" t="str">
        <f>IF(ROW()&lt;=(Results!$C$1/2)+1,IF(E176&lt;=0,"",LN(E176)),"")</f>
        <v/>
      </c>
    </row>
    <row r="177" spans="1:6" x14ac:dyDescent="0.25">
      <c r="A177" s="1" t="str">
        <f ca="1">IF(ROW()&lt;=(Results!$C$1/2)+1,INDEX(Data!$V:$V,CEILING((COUNTA(Data!$V:$V)-1)*RAND()+1,1)),"")</f>
        <v/>
      </c>
      <c r="B177" s="1" t="str">
        <f>IF(ROW()&lt;=(Results!$C$1/2)+1,VLOOKUP($A177,Data!$V$2:$W$117,2,TRUE),"")</f>
        <v/>
      </c>
      <c r="C177" s="14" t="str">
        <f>IF(ROW()&lt;=(Results!$C$1/2)+1,IF(B177&lt;=0,"",LN(B177)),"")</f>
        <v/>
      </c>
      <c r="D177" s="1" t="str">
        <f ca="1">IF(ROW()&lt;=(Results!$C$1/2)+1,INDEX(Data!$X:$X,CEILING((COUNTA(Data!$X:$X)-1)*RAND()+1,1)),"")</f>
        <v/>
      </c>
      <c r="E177" s="1" t="str">
        <f>IF(ROW()&lt;=(Results!$C$1/2)+1,VLOOKUP($D177,Data!$X$2:$Y$117,2,TRUE),"")</f>
        <v/>
      </c>
      <c r="F177" s="14" t="str">
        <f>IF(ROW()&lt;=(Results!$C$1/2)+1,IF(E177&lt;=0,"",LN(E177)),"")</f>
        <v/>
      </c>
    </row>
    <row r="178" spans="1:6" x14ac:dyDescent="0.25">
      <c r="A178" s="1" t="str">
        <f ca="1">IF(ROW()&lt;=(Results!$C$1/2)+1,INDEX(Data!$V:$V,CEILING((COUNTA(Data!$V:$V)-1)*RAND()+1,1)),"")</f>
        <v/>
      </c>
      <c r="B178" s="1" t="str">
        <f>IF(ROW()&lt;=(Results!$C$1/2)+1,VLOOKUP($A178,Data!$V$2:$W$117,2,TRUE),"")</f>
        <v/>
      </c>
      <c r="C178" s="14" t="str">
        <f>IF(ROW()&lt;=(Results!$C$1/2)+1,IF(B178&lt;=0,"",LN(B178)),"")</f>
        <v/>
      </c>
      <c r="D178" s="1" t="str">
        <f ca="1">IF(ROW()&lt;=(Results!$C$1/2)+1,INDEX(Data!$X:$X,CEILING((COUNTA(Data!$X:$X)-1)*RAND()+1,1)),"")</f>
        <v/>
      </c>
      <c r="E178" s="1" t="str">
        <f>IF(ROW()&lt;=(Results!$C$1/2)+1,VLOOKUP($D178,Data!$X$2:$Y$117,2,TRUE),"")</f>
        <v/>
      </c>
      <c r="F178" s="14" t="str">
        <f>IF(ROW()&lt;=(Results!$C$1/2)+1,IF(E178&lt;=0,"",LN(E178)),"")</f>
        <v/>
      </c>
    </row>
    <row r="179" spans="1:6" x14ac:dyDescent="0.25">
      <c r="A179" s="1" t="str">
        <f ca="1">IF(ROW()&lt;=(Results!$C$1/2)+1,INDEX(Data!$V:$V,CEILING((COUNTA(Data!$V:$V)-1)*RAND()+1,1)),"")</f>
        <v/>
      </c>
      <c r="B179" s="1" t="str">
        <f>IF(ROW()&lt;=(Results!$C$1/2)+1,VLOOKUP($A179,Data!$V$2:$W$117,2,TRUE),"")</f>
        <v/>
      </c>
      <c r="C179" s="14" t="str">
        <f>IF(ROW()&lt;=(Results!$C$1/2)+1,IF(B179&lt;=0,"",LN(B179)),"")</f>
        <v/>
      </c>
      <c r="D179" s="1" t="str">
        <f ca="1">IF(ROW()&lt;=(Results!$C$1/2)+1,INDEX(Data!$X:$X,CEILING((COUNTA(Data!$X:$X)-1)*RAND()+1,1)),"")</f>
        <v/>
      </c>
      <c r="E179" s="1" t="str">
        <f>IF(ROW()&lt;=(Results!$C$1/2)+1,VLOOKUP($D179,Data!$X$2:$Y$117,2,TRUE),"")</f>
        <v/>
      </c>
      <c r="F179" s="14" t="str">
        <f>IF(ROW()&lt;=(Results!$C$1/2)+1,IF(E179&lt;=0,"",LN(E179)),"")</f>
        <v/>
      </c>
    </row>
    <row r="180" spans="1:6" x14ac:dyDescent="0.25">
      <c r="A180" s="1" t="str">
        <f ca="1">IF(ROW()&lt;=(Results!$C$1/2)+1,INDEX(Data!$V:$V,CEILING((COUNTA(Data!$V:$V)-1)*RAND()+1,1)),"")</f>
        <v/>
      </c>
      <c r="B180" s="1" t="str">
        <f>IF(ROW()&lt;=(Results!$C$1/2)+1,VLOOKUP($A180,Data!$V$2:$W$117,2,TRUE),"")</f>
        <v/>
      </c>
      <c r="C180" s="14" t="str">
        <f>IF(ROW()&lt;=(Results!$C$1/2)+1,IF(B180&lt;=0,"",LN(B180)),"")</f>
        <v/>
      </c>
      <c r="D180" s="1" t="str">
        <f ca="1">IF(ROW()&lt;=(Results!$C$1/2)+1,INDEX(Data!$X:$X,CEILING((COUNTA(Data!$X:$X)-1)*RAND()+1,1)),"")</f>
        <v/>
      </c>
      <c r="E180" s="1" t="str">
        <f>IF(ROW()&lt;=(Results!$C$1/2)+1,VLOOKUP($D180,Data!$X$2:$Y$117,2,TRUE),"")</f>
        <v/>
      </c>
      <c r="F180" s="14" t="str">
        <f>IF(ROW()&lt;=(Results!$C$1/2)+1,IF(E180&lt;=0,"",LN(E180)),"")</f>
        <v/>
      </c>
    </row>
    <row r="181" spans="1:6" x14ac:dyDescent="0.25">
      <c r="A181" s="1" t="str">
        <f ca="1">IF(ROW()&lt;=(Results!$C$1/2)+1,INDEX(Data!$V:$V,CEILING((COUNTA(Data!$V:$V)-1)*RAND()+1,1)),"")</f>
        <v/>
      </c>
      <c r="B181" s="1" t="str">
        <f>IF(ROW()&lt;=(Results!$C$1/2)+1,VLOOKUP($A181,Data!$V$2:$W$117,2,TRUE),"")</f>
        <v/>
      </c>
      <c r="C181" s="14" t="str">
        <f>IF(ROW()&lt;=(Results!$C$1/2)+1,IF(B181&lt;=0,"",LN(B181)),"")</f>
        <v/>
      </c>
      <c r="D181" s="1" t="str">
        <f ca="1">IF(ROW()&lt;=(Results!$C$1/2)+1,INDEX(Data!$X:$X,CEILING((COUNTA(Data!$X:$X)-1)*RAND()+1,1)),"")</f>
        <v/>
      </c>
      <c r="E181" s="1" t="str">
        <f>IF(ROW()&lt;=(Results!$C$1/2)+1,VLOOKUP($D181,Data!$X$2:$Y$117,2,TRUE),"")</f>
        <v/>
      </c>
      <c r="F181" s="14" t="str">
        <f>IF(ROW()&lt;=(Results!$C$1/2)+1,IF(E181&lt;=0,"",LN(E181)),"")</f>
        <v/>
      </c>
    </row>
    <row r="182" spans="1:6" x14ac:dyDescent="0.25">
      <c r="A182" s="1" t="str">
        <f ca="1">IF(ROW()&lt;=(Results!$C$1/2)+1,INDEX(Data!$V:$V,CEILING((COUNTA(Data!$V:$V)-1)*RAND()+1,1)),"")</f>
        <v/>
      </c>
      <c r="B182" s="1" t="str">
        <f>IF(ROW()&lt;=(Results!$C$1/2)+1,VLOOKUP($A182,Data!$V$2:$W$117,2,TRUE),"")</f>
        <v/>
      </c>
      <c r="C182" s="14" t="str">
        <f>IF(ROW()&lt;=(Results!$C$1/2)+1,IF(B182&lt;=0,"",LN(B182)),"")</f>
        <v/>
      </c>
      <c r="D182" s="1" t="str">
        <f ca="1">IF(ROW()&lt;=(Results!$C$1/2)+1,INDEX(Data!$X:$X,CEILING((COUNTA(Data!$X:$X)-1)*RAND()+1,1)),"")</f>
        <v/>
      </c>
      <c r="E182" s="1" t="str">
        <f>IF(ROW()&lt;=(Results!$C$1/2)+1,VLOOKUP($D182,Data!$X$2:$Y$117,2,TRUE),"")</f>
        <v/>
      </c>
      <c r="F182" s="14" t="str">
        <f>IF(ROW()&lt;=(Results!$C$1/2)+1,IF(E182&lt;=0,"",LN(E182)),"")</f>
        <v/>
      </c>
    </row>
    <row r="183" spans="1:6" x14ac:dyDescent="0.25">
      <c r="A183" s="1" t="str">
        <f ca="1">IF(ROW()&lt;=(Results!$C$1/2)+1,INDEX(Data!$V:$V,CEILING((COUNTA(Data!$V:$V)-1)*RAND()+1,1)),"")</f>
        <v/>
      </c>
      <c r="B183" s="1" t="str">
        <f>IF(ROW()&lt;=(Results!$C$1/2)+1,VLOOKUP($A183,Data!$V$2:$W$117,2,TRUE),"")</f>
        <v/>
      </c>
      <c r="C183" s="14" t="str">
        <f>IF(ROW()&lt;=(Results!$C$1/2)+1,IF(B183&lt;=0,"",LN(B183)),"")</f>
        <v/>
      </c>
      <c r="D183" s="1" t="str">
        <f ca="1">IF(ROW()&lt;=(Results!$C$1/2)+1,INDEX(Data!$X:$X,CEILING((COUNTA(Data!$X:$X)-1)*RAND()+1,1)),"")</f>
        <v/>
      </c>
      <c r="E183" s="1" t="str">
        <f>IF(ROW()&lt;=(Results!$C$1/2)+1,VLOOKUP($D183,Data!$X$2:$Y$117,2,TRUE),"")</f>
        <v/>
      </c>
      <c r="F183" s="14" t="str">
        <f>IF(ROW()&lt;=(Results!$C$1/2)+1,IF(E183&lt;=0,"",LN(E183)),"")</f>
        <v/>
      </c>
    </row>
    <row r="184" spans="1:6" x14ac:dyDescent="0.25">
      <c r="A184" s="1" t="str">
        <f ca="1">IF(ROW()&lt;=(Results!$C$1/2)+1,INDEX(Data!$V:$V,CEILING((COUNTA(Data!$V:$V)-1)*RAND()+1,1)),"")</f>
        <v/>
      </c>
      <c r="B184" s="1" t="str">
        <f>IF(ROW()&lt;=(Results!$C$1/2)+1,VLOOKUP($A184,Data!$V$2:$W$117,2,TRUE),"")</f>
        <v/>
      </c>
      <c r="C184" s="14" t="str">
        <f>IF(ROW()&lt;=(Results!$C$1/2)+1,IF(B184&lt;=0,"",LN(B184)),"")</f>
        <v/>
      </c>
      <c r="D184" s="1" t="str">
        <f ca="1">IF(ROW()&lt;=(Results!$C$1/2)+1,INDEX(Data!$X:$X,CEILING((COUNTA(Data!$X:$X)-1)*RAND()+1,1)),"")</f>
        <v/>
      </c>
      <c r="E184" s="1" t="str">
        <f>IF(ROW()&lt;=(Results!$C$1/2)+1,VLOOKUP($D184,Data!$X$2:$Y$117,2,TRUE),"")</f>
        <v/>
      </c>
      <c r="F184" s="14" t="str">
        <f>IF(ROW()&lt;=(Results!$C$1/2)+1,IF(E184&lt;=0,"",LN(E184)),"")</f>
        <v/>
      </c>
    </row>
    <row r="185" spans="1:6" x14ac:dyDescent="0.25">
      <c r="A185" s="1" t="str">
        <f ca="1">IF(ROW()&lt;=(Results!$C$1/2)+1,INDEX(Data!$V:$V,CEILING((COUNTA(Data!$V:$V)-1)*RAND()+1,1)),"")</f>
        <v/>
      </c>
      <c r="B185" s="1" t="str">
        <f>IF(ROW()&lt;=(Results!$C$1/2)+1,VLOOKUP($A185,Data!$V$2:$W$117,2,TRUE),"")</f>
        <v/>
      </c>
      <c r="C185" s="14" t="str">
        <f>IF(ROW()&lt;=(Results!$C$1/2)+1,IF(B185&lt;=0,"",LN(B185)),"")</f>
        <v/>
      </c>
      <c r="D185" s="1" t="str">
        <f ca="1">IF(ROW()&lt;=(Results!$C$1/2)+1,INDEX(Data!$X:$X,CEILING((COUNTA(Data!$X:$X)-1)*RAND()+1,1)),"")</f>
        <v/>
      </c>
      <c r="E185" s="1" t="str">
        <f>IF(ROW()&lt;=(Results!$C$1/2)+1,VLOOKUP($D185,Data!$X$2:$Y$117,2,TRUE),"")</f>
        <v/>
      </c>
      <c r="F185" s="14" t="str">
        <f>IF(ROW()&lt;=(Results!$C$1/2)+1,IF(E185&lt;=0,"",LN(E185)),"")</f>
        <v/>
      </c>
    </row>
    <row r="186" spans="1:6" x14ac:dyDescent="0.25">
      <c r="A186" s="1" t="str">
        <f ca="1">IF(ROW()&lt;=(Results!$C$1/2)+1,INDEX(Data!$V:$V,CEILING((COUNTA(Data!$V:$V)-1)*RAND()+1,1)),"")</f>
        <v/>
      </c>
      <c r="B186" s="1" t="str">
        <f>IF(ROW()&lt;=(Results!$C$1/2)+1,VLOOKUP($A186,Data!$V$2:$W$117,2,TRUE),"")</f>
        <v/>
      </c>
      <c r="C186" s="14" t="str">
        <f>IF(ROW()&lt;=(Results!$C$1/2)+1,IF(B186&lt;=0,"",LN(B186)),"")</f>
        <v/>
      </c>
      <c r="D186" s="1" t="str">
        <f ca="1">IF(ROW()&lt;=(Results!$C$1/2)+1,INDEX(Data!$X:$X,CEILING((COUNTA(Data!$X:$X)-1)*RAND()+1,1)),"")</f>
        <v/>
      </c>
      <c r="E186" s="1" t="str">
        <f>IF(ROW()&lt;=(Results!$C$1/2)+1,VLOOKUP($D186,Data!$X$2:$Y$117,2,TRUE),"")</f>
        <v/>
      </c>
      <c r="F186" s="14" t="str">
        <f>IF(ROW()&lt;=(Results!$C$1/2)+1,IF(E186&lt;=0,"",LN(E186)),"")</f>
        <v/>
      </c>
    </row>
    <row r="187" spans="1:6" x14ac:dyDescent="0.25">
      <c r="A187" s="1" t="str">
        <f ca="1">IF(ROW()&lt;=(Results!$C$1/2)+1,INDEX(Data!$V:$V,CEILING((COUNTA(Data!$V:$V)-1)*RAND()+1,1)),"")</f>
        <v/>
      </c>
      <c r="B187" s="1" t="str">
        <f>IF(ROW()&lt;=(Results!$C$1/2)+1,VLOOKUP($A187,Data!$V$2:$W$117,2,TRUE),"")</f>
        <v/>
      </c>
      <c r="C187" s="14" t="str">
        <f>IF(ROW()&lt;=(Results!$C$1/2)+1,IF(B187&lt;=0,"",LN(B187)),"")</f>
        <v/>
      </c>
      <c r="D187" s="1" t="str">
        <f ca="1">IF(ROW()&lt;=(Results!$C$1/2)+1,INDEX(Data!$X:$X,CEILING((COUNTA(Data!$X:$X)-1)*RAND()+1,1)),"")</f>
        <v/>
      </c>
      <c r="E187" s="1" t="str">
        <f>IF(ROW()&lt;=(Results!$C$1/2)+1,VLOOKUP($D187,Data!$X$2:$Y$117,2,TRUE),"")</f>
        <v/>
      </c>
      <c r="F187" s="14" t="str">
        <f>IF(ROW()&lt;=(Results!$C$1/2)+1,IF(E187&lt;=0,"",LN(E187)),"")</f>
        <v/>
      </c>
    </row>
    <row r="188" spans="1:6" x14ac:dyDescent="0.25">
      <c r="A188" s="1" t="str">
        <f ca="1">IF(ROW()&lt;=(Results!$C$1/2)+1,INDEX(Data!$V:$V,CEILING((COUNTA(Data!$V:$V)-1)*RAND()+1,1)),"")</f>
        <v/>
      </c>
      <c r="B188" s="1" t="str">
        <f>IF(ROW()&lt;=(Results!$C$1/2)+1,VLOOKUP($A188,Data!$V$2:$W$117,2,TRUE),"")</f>
        <v/>
      </c>
      <c r="C188" s="14" t="str">
        <f>IF(ROW()&lt;=(Results!$C$1/2)+1,IF(B188&lt;=0,"",LN(B188)),"")</f>
        <v/>
      </c>
      <c r="D188" s="1" t="str">
        <f ca="1">IF(ROW()&lt;=(Results!$C$1/2)+1,INDEX(Data!$X:$X,CEILING((COUNTA(Data!$X:$X)-1)*RAND()+1,1)),"")</f>
        <v/>
      </c>
      <c r="E188" s="1" t="str">
        <f>IF(ROW()&lt;=(Results!$C$1/2)+1,VLOOKUP($D188,Data!$X$2:$Y$117,2,TRUE),"")</f>
        <v/>
      </c>
      <c r="F188" s="14" t="str">
        <f>IF(ROW()&lt;=(Results!$C$1/2)+1,IF(E188&lt;=0,"",LN(E188)),"")</f>
        <v/>
      </c>
    </row>
    <row r="189" spans="1:6" x14ac:dyDescent="0.25">
      <c r="A189" s="1" t="str">
        <f ca="1">IF(ROW()&lt;=(Results!$C$1/2)+1,INDEX(Data!$V:$V,CEILING((COUNTA(Data!$V:$V)-1)*RAND()+1,1)),"")</f>
        <v/>
      </c>
      <c r="B189" s="1" t="str">
        <f>IF(ROW()&lt;=(Results!$C$1/2)+1,VLOOKUP($A189,Data!$V$2:$W$117,2,TRUE),"")</f>
        <v/>
      </c>
      <c r="C189" s="14" t="str">
        <f>IF(ROW()&lt;=(Results!$C$1/2)+1,IF(B189&lt;=0,"",LN(B189)),"")</f>
        <v/>
      </c>
      <c r="D189" s="1" t="str">
        <f ca="1">IF(ROW()&lt;=(Results!$C$1/2)+1,INDEX(Data!$X:$X,CEILING((COUNTA(Data!$X:$X)-1)*RAND()+1,1)),"")</f>
        <v/>
      </c>
      <c r="E189" s="1" t="str">
        <f>IF(ROW()&lt;=(Results!$C$1/2)+1,VLOOKUP($D189,Data!$X$2:$Y$117,2,TRUE),"")</f>
        <v/>
      </c>
      <c r="F189" s="14" t="str">
        <f>IF(ROW()&lt;=(Results!$C$1/2)+1,IF(E189&lt;=0,"",LN(E189)),"")</f>
        <v/>
      </c>
    </row>
    <row r="190" spans="1:6" x14ac:dyDescent="0.25">
      <c r="A190" s="1" t="str">
        <f ca="1">IF(ROW()&lt;=(Results!$C$1/2)+1,INDEX(Data!$V:$V,CEILING((COUNTA(Data!$V:$V)-1)*RAND()+1,1)),"")</f>
        <v/>
      </c>
      <c r="B190" s="1" t="str">
        <f>IF(ROW()&lt;=(Results!$C$1/2)+1,VLOOKUP($A190,Data!$V$2:$W$117,2,TRUE),"")</f>
        <v/>
      </c>
      <c r="C190" s="14" t="str">
        <f>IF(ROW()&lt;=(Results!$C$1/2)+1,IF(B190&lt;=0,"",LN(B190)),"")</f>
        <v/>
      </c>
      <c r="D190" s="1" t="str">
        <f ca="1">IF(ROW()&lt;=(Results!$C$1/2)+1,INDEX(Data!$X:$X,CEILING((COUNTA(Data!$X:$X)-1)*RAND()+1,1)),"")</f>
        <v/>
      </c>
      <c r="E190" s="1" t="str">
        <f>IF(ROW()&lt;=(Results!$C$1/2)+1,VLOOKUP($D190,Data!$X$2:$Y$117,2,TRUE),"")</f>
        <v/>
      </c>
      <c r="F190" s="14" t="str">
        <f>IF(ROW()&lt;=(Results!$C$1/2)+1,IF(E190&lt;=0,"",LN(E190)),"")</f>
        <v/>
      </c>
    </row>
    <row r="191" spans="1:6" x14ac:dyDescent="0.25">
      <c r="A191" s="1" t="str">
        <f ca="1">IF(ROW()&lt;=(Results!$C$1/2)+1,INDEX(Data!$V:$V,CEILING((COUNTA(Data!$V:$V)-1)*RAND()+1,1)),"")</f>
        <v/>
      </c>
      <c r="B191" s="1" t="str">
        <f>IF(ROW()&lt;=(Results!$C$1/2)+1,VLOOKUP($A191,Data!$V$2:$W$117,2,TRUE),"")</f>
        <v/>
      </c>
      <c r="C191" s="14" t="str">
        <f>IF(ROW()&lt;=(Results!$C$1/2)+1,IF(B191&lt;=0,"",LN(B191)),"")</f>
        <v/>
      </c>
      <c r="D191" s="1" t="str">
        <f ca="1">IF(ROW()&lt;=(Results!$C$1/2)+1,INDEX(Data!$X:$X,CEILING((COUNTA(Data!$X:$X)-1)*RAND()+1,1)),"")</f>
        <v/>
      </c>
      <c r="E191" s="1" t="str">
        <f>IF(ROW()&lt;=(Results!$C$1/2)+1,VLOOKUP($D191,Data!$X$2:$Y$117,2,TRUE),"")</f>
        <v/>
      </c>
      <c r="F191" s="14" t="str">
        <f>IF(ROW()&lt;=(Results!$C$1/2)+1,IF(E191&lt;=0,"",LN(E191)),"")</f>
        <v/>
      </c>
    </row>
    <row r="192" spans="1:6" x14ac:dyDescent="0.25">
      <c r="A192" s="1" t="str">
        <f ca="1">IF(ROW()&lt;=(Results!$C$1/2)+1,INDEX(Data!$V:$V,CEILING((COUNTA(Data!$V:$V)-1)*RAND()+1,1)),"")</f>
        <v/>
      </c>
      <c r="B192" s="1" t="str">
        <f>IF(ROW()&lt;=(Results!$C$1/2)+1,VLOOKUP($A192,Data!$V$2:$W$117,2,TRUE),"")</f>
        <v/>
      </c>
      <c r="C192" s="14" t="str">
        <f>IF(ROW()&lt;=(Results!$C$1/2)+1,IF(B192&lt;=0,"",LN(B192)),"")</f>
        <v/>
      </c>
      <c r="D192" s="1" t="str">
        <f ca="1">IF(ROW()&lt;=(Results!$C$1/2)+1,INDEX(Data!$X:$X,CEILING((COUNTA(Data!$X:$X)-1)*RAND()+1,1)),"")</f>
        <v/>
      </c>
      <c r="E192" s="1" t="str">
        <f>IF(ROW()&lt;=(Results!$C$1/2)+1,VLOOKUP($D192,Data!$X$2:$Y$117,2,TRUE),"")</f>
        <v/>
      </c>
      <c r="F192" s="14" t="str">
        <f>IF(ROW()&lt;=(Results!$C$1/2)+1,IF(E192&lt;=0,"",LN(E192)),"")</f>
        <v/>
      </c>
    </row>
    <row r="193" spans="1:6" x14ac:dyDescent="0.25">
      <c r="A193" s="1" t="str">
        <f ca="1">IF(ROW()&lt;=(Results!$C$1/2)+1,INDEX(Data!$V:$V,CEILING((COUNTA(Data!$V:$V)-1)*RAND()+1,1)),"")</f>
        <v/>
      </c>
      <c r="B193" s="1" t="str">
        <f>IF(ROW()&lt;=(Results!$C$1/2)+1,VLOOKUP($A193,Data!$V$2:$W$117,2,TRUE),"")</f>
        <v/>
      </c>
      <c r="C193" s="14" t="str">
        <f>IF(ROW()&lt;=(Results!$C$1/2)+1,IF(B193&lt;=0,"",LN(B193)),"")</f>
        <v/>
      </c>
      <c r="D193" s="1" t="str">
        <f ca="1">IF(ROW()&lt;=(Results!$C$1/2)+1,INDEX(Data!$X:$X,CEILING((COUNTA(Data!$X:$X)-1)*RAND()+1,1)),"")</f>
        <v/>
      </c>
      <c r="E193" s="1" t="str">
        <f>IF(ROW()&lt;=(Results!$C$1/2)+1,VLOOKUP($D193,Data!$X$2:$Y$117,2,TRUE),"")</f>
        <v/>
      </c>
      <c r="F193" s="14" t="str">
        <f>IF(ROW()&lt;=(Results!$C$1/2)+1,IF(E193&lt;=0,"",LN(E193)),"")</f>
        <v/>
      </c>
    </row>
    <row r="194" spans="1:6" x14ac:dyDescent="0.25">
      <c r="A194" s="1" t="str">
        <f ca="1">IF(ROW()&lt;=(Results!$C$1/2)+1,INDEX(Data!$V:$V,CEILING((COUNTA(Data!$V:$V)-1)*RAND()+1,1)),"")</f>
        <v/>
      </c>
      <c r="B194" s="1" t="str">
        <f>IF(ROW()&lt;=(Results!$C$1/2)+1,VLOOKUP($A194,Data!$V$2:$W$117,2,TRUE),"")</f>
        <v/>
      </c>
      <c r="C194" s="14" t="str">
        <f>IF(ROW()&lt;=(Results!$C$1/2)+1,IF(B194&lt;=0,"",LN(B194)),"")</f>
        <v/>
      </c>
      <c r="D194" s="1" t="str">
        <f ca="1">IF(ROW()&lt;=(Results!$C$1/2)+1,INDEX(Data!$X:$X,CEILING((COUNTA(Data!$X:$X)-1)*RAND()+1,1)),"")</f>
        <v/>
      </c>
      <c r="E194" s="1" t="str">
        <f>IF(ROW()&lt;=(Results!$C$1/2)+1,VLOOKUP($D194,Data!$X$2:$Y$117,2,TRUE),"")</f>
        <v/>
      </c>
      <c r="F194" s="14" t="str">
        <f>IF(ROW()&lt;=(Results!$C$1/2)+1,IF(E194&lt;=0,"",LN(E194)),"")</f>
        <v/>
      </c>
    </row>
    <row r="195" spans="1:6" x14ac:dyDescent="0.25">
      <c r="A195" s="1" t="str">
        <f ca="1">IF(ROW()&lt;=(Results!$C$1/2)+1,INDEX(Data!$V:$V,CEILING((COUNTA(Data!$V:$V)-1)*RAND()+1,1)),"")</f>
        <v/>
      </c>
      <c r="B195" s="1" t="str">
        <f>IF(ROW()&lt;=(Results!$C$1/2)+1,VLOOKUP($A195,Data!$V$2:$W$117,2,TRUE),"")</f>
        <v/>
      </c>
      <c r="C195" s="14" t="str">
        <f>IF(ROW()&lt;=(Results!$C$1/2)+1,IF(B195&lt;=0,"",LN(B195)),"")</f>
        <v/>
      </c>
      <c r="D195" s="1" t="str">
        <f ca="1">IF(ROW()&lt;=(Results!$C$1/2)+1,INDEX(Data!$X:$X,CEILING((COUNTA(Data!$X:$X)-1)*RAND()+1,1)),"")</f>
        <v/>
      </c>
      <c r="E195" s="1" t="str">
        <f>IF(ROW()&lt;=(Results!$C$1/2)+1,VLOOKUP($D195,Data!$X$2:$Y$117,2,TRUE),"")</f>
        <v/>
      </c>
      <c r="F195" s="14" t="str">
        <f>IF(ROW()&lt;=(Results!$C$1/2)+1,IF(E195&lt;=0,"",LN(E195)),"")</f>
        <v/>
      </c>
    </row>
    <row r="196" spans="1:6" x14ac:dyDescent="0.25">
      <c r="A196" s="1" t="str">
        <f ca="1">IF(ROW()&lt;=(Results!$C$1/2)+1,INDEX(Data!$V:$V,CEILING((COUNTA(Data!$V:$V)-1)*RAND()+1,1)),"")</f>
        <v/>
      </c>
      <c r="B196" s="1" t="str">
        <f>IF(ROW()&lt;=(Results!$C$1/2)+1,VLOOKUP($A196,Data!$V$2:$W$117,2,TRUE),"")</f>
        <v/>
      </c>
      <c r="C196" s="14" t="str">
        <f>IF(ROW()&lt;=(Results!$C$1/2)+1,IF(B196&lt;=0,"",LN(B196)),"")</f>
        <v/>
      </c>
      <c r="D196" s="1" t="str">
        <f ca="1">IF(ROW()&lt;=(Results!$C$1/2)+1,INDEX(Data!$X:$X,CEILING((COUNTA(Data!$X:$X)-1)*RAND()+1,1)),"")</f>
        <v/>
      </c>
      <c r="E196" s="1" t="str">
        <f>IF(ROW()&lt;=(Results!$C$1/2)+1,VLOOKUP($D196,Data!$X$2:$Y$117,2,TRUE),"")</f>
        <v/>
      </c>
      <c r="F196" s="14" t="str">
        <f>IF(ROW()&lt;=(Results!$C$1/2)+1,IF(E196&lt;=0,"",LN(E196)),"")</f>
        <v/>
      </c>
    </row>
    <row r="197" spans="1:6" x14ac:dyDescent="0.25">
      <c r="A197" s="1" t="str">
        <f ca="1">IF(ROW()&lt;=(Results!$C$1/2)+1,INDEX(Data!$V:$V,CEILING((COUNTA(Data!$V:$V)-1)*RAND()+1,1)),"")</f>
        <v/>
      </c>
      <c r="B197" s="1" t="str">
        <f>IF(ROW()&lt;=(Results!$C$1/2)+1,VLOOKUP($A197,Data!$V$2:$W$117,2,TRUE),"")</f>
        <v/>
      </c>
      <c r="C197" s="14" t="str">
        <f>IF(ROW()&lt;=(Results!$C$1/2)+1,IF(B197&lt;=0,"",LN(B197)),"")</f>
        <v/>
      </c>
      <c r="D197" s="1" t="str">
        <f ca="1">IF(ROW()&lt;=(Results!$C$1/2)+1,INDEX(Data!$X:$X,CEILING((COUNTA(Data!$X:$X)-1)*RAND()+1,1)),"")</f>
        <v/>
      </c>
      <c r="E197" s="1" t="str">
        <f>IF(ROW()&lt;=(Results!$C$1/2)+1,VLOOKUP($D197,Data!$X$2:$Y$117,2,TRUE),"")</f>
        <v/>
      </c>
      <c r="F197" s="14" t="str">
        <f>IF(ROW()&lt;=(Results!$C$1/2)+1,IF(E197&lt;=0,"",LN(E197)),"")</f>
        <v/>
      </c>
    </row>
    <row r="198" spans="1:6" x14ac:dyDescent="0.25">
      <c r="A198" s="1" t="str">
        <f ca="1">IF(ROW()&lt;=(Results!$C$1/2)+1,INDEX(Data!$V:$V,CEILING((COUNTA(Data!$V:$V)-1)*RAND()+1,1)),"")</f>
        <v/>
      </c>
      <c r="B198" s="1" t="str">
        <f>IF(ROW()&lt;=(Results!$C$1/2)+1,VLOOKUP($A198,Data!$V$2:$W$117,2,TRUE),"")</f>
        <v/>
      </c>
      <c r="C198" s="14" t="str">
        <f>IF(ROW()&lt;=(Results!$C$1/2)+1,IF(B198&lt;=0,"",LN(B198)),"")</f>
        <v/>
      </c>
      <c r="D198" s="1" t="str">
        <f ca="1">IF(ROW()&lt;=(Results!$C$1/2)+1,INDEX(Data!$X:$X,CEILING((COUNTA(Data!$X:$X)-1)*RAND()+1,1)),"")</f>
        <v/>
      </c>
      <c r="E198" s="1" t="str">
        <f>IF(ROW()&lt;=(Results!$C$1/2)+1,VLOOKUP($D198,Data!$X$2:$Y$117,2,TRUE),"")</f>
        <v/>
      </c>
      <c r="F198" s="14" t="str">
        <f>IF(ROW()&lt;=(Results!$C$1/2)+1,IF(E198&lt;=0,"",LN(E198)),"")</f>
        <v/>
      </c>
    </row>
    <row r="199" spans="1:6" x14ac:dyDescent="0.25">
      <c r="A199" s="1" t="str">
        <f ca="1">IF(ROW()&lt;=(Results!$C$1/2)+1,INDEX(Data!$V:$V,CEILING((COUNTA(Data!$V:$V)-1)*RAND()+1,1)),"")</f>
        <v/>
      </c>
      <c r="B199" s="1" t="str">
        <f>IF(ROW()&lt;=(Results!$C$1/2)+1,VLOOKUP($A199,Data!$V$2:$W$117,2,TRUE),"")</f>
        <v/>
      </c>
      <c r="C199" s="14" t="str">
        <f>IF(ROW()&lt;=(Results!$C$1/2)+1,IF(B199&lt;=0,"",LN(B199)),"")</f>
        <v/>
      </c>
      <c r="D199" s="1" t="str">
        <f ca="1">IF(ROW()&lt;=(Results!$C$1/2)+1,INDEX(Data!$X:$X,CEILING((COUNTA(Data!$X:$X)-1)*RAND()+1,1)),"")</f>
        <v/>
      </c>
      <c r="E199" s="1" t="str">
        <f>IF(ROW()&lt;=(Results!$C$1/2)+1,VLOOKUP($D199,Data!$X$2:$Y$117,2,TRUE),"")</f>
        <v/>
      </c>
      <c r="F199" s="14" t="str">
        <f>IF(ROW()&lt;=(Results!$C$1/2)+1,IF(E199&lt;=0,"",LN(E199)),"")</f>
        <v/>
      </c>
    </row>
    <row r="200" spans="1:6" x14ac:dyDescent="0.25">
      <c r="A200" s="1" t="str">
        <f ca="1">IF(ROW()&lt;=(Results!$C$1/2)+1,INDEX(Data!$V:$V,CEILING((COUNTA(Data!$V:$V)-1)*RAND()+1,1)),"")</f>
        <v/>
      </c>
      <c r="B200" s="1" t="str">
        <f>IF(ROW()&lt;=(Results!$C$1/2)+1,VLOOKUP($A200,Data!$V$2:$W$117,2,TRUE),"")</f>
        <v/>
      </c>
      <c r="C200" s="14" t="str">
        <f>IF(ROW()&lt;=(Results!$C$1/2)+1,IF(B200&lt;=0,"",LN(B200)),"")</f>
        <v/>
      </c>
      <c r="D200" s="1" t="str">
        <f ca="1">IF(ROW()&lt;=(Results!$C$1/2)+1,INDEX(Data!$X:$X,CEILING((COUNTA(Data!$X:$X)-1)*RAND()+1,1)),"")</f>
        <v/>
      </c>
      <c r="E200" s="1" t="str">
        <f>IF(ROW()&lt;=(Results!$C$1/2)+1,VLOOKUP($D200,Data!$X$2:$Y$117,2,TRUE),"")</f>
        <v/>
      </c>
      <c r="F200" s="14" t="str">
        <f>IF(ROW()&lt;=(Results!$C$1/2)+1,IF(E200&lt;=0,"",LN(E200)),"")</f>
        <v/>
      </c>
    </row>
    <row r="201" spans="1:6" x14ac:dyDescent="0.25">
      <c r="A201" s="1" t="str">
        <f ca="1">IF(ROW()&lt;=(Results!$C$1/2)+1,INDEX(Data!$V:$V,CEILING((COUNTA(Data!$V:$V)-1)*RAND()+1,1)),"")</f>
        <v/>
      </c>
      <c r="B201" s="1" t="str">
        <f>IF(ROW()&lt;=(Results!$C$1/2)+1,VLOOKUP($A201,Data!$V$2:$W$117,2,TRUE),"")</f>
        <v/>
      </c>
      <c r="C201" s="14" t="str">
        <f>IF(ROW()&lt;=(Results!$C$1/2)+1,IF(B201&lt;=0,"",LN(B201)),"")</f>
        <v/>
      </c>
      <c r="D201" s="1" t="str">
        <f ca="1">IF(ROW()&lt;=(Results!$C$1/2)+1,INDEX(Data!$X:$X,CEILING((COUNTA(Data!$X:$X)-1)*RAND()+1,1)),"")</f>
        <v/>
      </c>
      <c r="E201" s="1" t="str">
        <f>IF(ROW()&lt;=(Results!$C$1/2)+1,VLOOKUP($D201,Data!$X$2:$Y$117,2,TRUE),"")</f>
        <v/>
      </c>
      <c r="F201" s="14" t="str">
        <f>IF(ROW()&lt;=(Results!$C$1/2)+1,IF(E201&lt;=0,"",LN(E201)),"")</f>
        <v/>
      </c>
    </row>
    <row r="202" spans="1:6" x14ac:dyDescent="0.25">
      <c r="A202" s="1" t="str">
        <f ca="1">IF(ROW()&lt;=(Results!$C$1/2)+1,INDEX(Data!$V:$V,CEILING((COUNTA(Data!$V:$V)-1)*RAND()+1,1)),"")</f>
        <v/>
      </c>
      <c r="B202" s="1" t="str">
        <f>IF(ROW()&lt;=(Results!$C$1/2)+1,VLOOKUP($A202,Data!$V$2:$W$117,2,TRUE),"")</f>
        <v/>
      </c>
      <c r="C202" s="14" t="str">
        <f>IF(ROW()&lt;=(Results!$C$1/2)+1,IF(B202&lt;=0,"",LN(B202)),"")</f>
        <v/>
      </c>
      <c r="D202" s="1" t="str">
        <f ca="1">IF(ROW()&lt;=(Results!$C$1/2)+1,INDEX(Data!$X:$X,CEILING((COUNTA(Data!$X:$X)-1)*RAND()+1,1)),"")</f>
        <v/>
      </c>
      <c r="E202" s="1" t="str">
        <f>IF(ROW()&lt;=(Results!$C$1/2)+1,VLOOKUP($D202,Data!$X$2:$Y$117,2,TRUE),"")</f>
        <v/>
      </c>
      <c r="F202" s="14" t="str">
        <f>IF(ROW()&lt;=(Results!$C$1/2)+1,IF(E202&lt;=0,"",LN(E202)),"")</f>
        <v/>
      </c>
    </row>
    <row r="203" spans="1:6" x14ac:dyDescent="0.25">
      <c r="A203" s="1" t="str">
        <f ca="1">IF(ROW()&lt;=(Results!$C$1/2)+1,INDEX(Data!$V:$V,CEILING((COUNTA(Data!$V:$V)-1)*RAND()+1,1)),"")</f>
        <v/>
      </c>
      <c r="B203" s="1" t="str">
        <f>IF(ROW()&lt;=(Results!$C$1/2)+1,VLOOKUP($A203,Data!$V$2:$W$117,2,TRUE),"")</f>
        <v/>
      </c>
      <c r="C203" s="14" t="str">
        <f>IF(ROW()&lt;=(Results!$C$1/2)+1,IF(B203&lt;=0,"",LN(B203)),"")</f>
        <v/>
      </c>
      <c r="D203" s="1" t="str">
        <f ca="1">IF(ROW()&lt;=(Results!$C$1/2)+1,INDEX(Data!$X:$X,CEILING((COUNTA(Data!$X:$X)-1)*RAND()+1,1)),"")</f>
        <v/>
      </c>
      <c r="E203" s="1" t="str">
        <f>IF(ROW()&lt;=(Results!$C$1/2)+1,VLOOKUP($D203,Data!$X$2:$Y$117,2,TRUE),"")</f>
        <v/>
      </c>
      <c r="F203" s="14" t="str">
        <f>IF(ROW()&lt;=(Results!$C$1/2)+1,IF(E203&lt;=0,"",LN(E203)),"")</f>
        <v/>
      </c>
    </row>
    <row r="204" spans="1:6" x14ac:dyDescent="0.25">
      <c r="A204" s="1" t="str">
        <f ca="1">IF(ROW()&lt;=(Results!$C$1/2)+1,INDEX(Data!$V:$V,CEILING((COUNTA(Data!$V:$V)-1)*RAND()+1,1)),"")</f>
        <v/>
      </c>
      <c r="B204" s="1" t="str">
        <f>IF(ROW()&lt;=(Results!$C$1/2)+1,VLOOKUP($A204,Data!$V$2:$W$117,2,TRUE),"")</f>
        <v/>
      </c>
      <c r="C204" s="14" t="str">
        <f>IF(ROW()&lt;=(Results!$C$1/2)+1,IF(B204&lt;=0,"",LN(B204)),"")</f>
        <v/>
      </c>
      <c r="D204" s="1" t="str">
        <f ca="1">IF(ROW()&lt;=(Results!$C$1/2)+1,INDEX(Data!$X:$X,CEILING((COUNTA(Data!$X:$X)-1)*RAND()+1,1)),"")</f>
        <v/>
      </c>
      <c r="E204" s="1" t="str">
        <f>IF(ROW()&lt;=(Results!$C$1/2)+1,VLOOKUP($D204,Data!$X$2:$Y$117,2,TRUE),"")</f>
        <v/>
      </c>
      <c r="F204" s="14" t="str">
        <f>IF(ROW()&lt;=(Results!$C$1/2)+1,IF(E204&lt;=0,"",LN(E204)),"")</f>
        <v/>
      </c>
    </row>
    <row r="205" spans="1:6" x14ac:dyDescent="0.25">
      <c r="A205" s="1" t="str">
        <f ca="1">IF(ROW()&lt;=(Results!$C$1/2)+1,INDEX(Data!$V:$V,CEILING((COUNTA(Data!$V:$V)-1)*RAND()+1,1)),"")</f>
        <v/>
      </c>
      <c r="B205" s="1" t="str">
        <f>IF(ROW()&lt;=(Results!$C$1/2)+1,VLOOKUP($A205,Data!$V$2:$W$117,2,TRUE),"")</f>
        <v/>
      </c>
      <c r="C205" s="14" t="str">
        <f>IF(ROW()&lt;=(Results!$C$1/2)+1,IF(B205&lt;=0,"",LN(B205)),"")</f>
        <v/>
      </c>
      <c r="D205" s="1" t="str">
        <f ca="1">IF(ROW()&lt;=(Results!$C$1/2)+1,INDEX(Data!$X:$X,CEILING((COUNTA(Data!$X:$X)-1)*RAND()+1,1)),"")</f>
        <v/>
      </c>
      <c r="E205" s="1" t="str">
        <f>IF(ROW()&lt;=(Results!$C$1/2)+1,VLOOKUP($D205,Data!$X$2:$Y$117,2,TRUE),"")</f>
        <v/>
      </c>
      <c r="F205" s="14" t="str">
        <f>IF(ROW()&lt;=(Results!$C$1/2)+1,IF(E205&lt;=0,"",LN(E205)),"")</f>
        <v/>
      </c>
    </row>
    <row r="206" spans="1:6" x14ac:dyDescent="0.25">
      <c r="A206" s="1" t="str">
        <f ca="1">IF(ROW()&lt;=(Results!$C$1/2)+1,INDEX(Data!$V:$V,CEILING((COUNTA(Data!$V:$V)-1)*RAND()+1,1)),"")</f>
        <v/>
      </c>
      <c r="B206" s="1" t="str">
        <f>IF(ROW()&lt;=(Results!$C$1/2)+1,VLOOKUP($A206,Data!$V$2:$W$117,2,TRUE),"")</f>
        <v/>
      </c>
      <c r="C206" s="14" t="str">
        <f>IF(ROW()&lt;=(Results!$C$1/2)+1,IF(B206&lt;=0,"",LN(B206)),"")</f>
        <v/>
      </c>
      <c r="D206" s="1" t="str">
        <f ca="1">IF(ROW()&lt;=(Results!$C$1/2)+1,INDEX(Data!$X:$X,CEILING((COUNTA(Data!$X:$X)-1)*RAND()+1,1)),"")</f>
        <v/>
      </c>
      <c r="E206" s="1" t="str">
        <f>IF(ROW()&lt;=(Results!$C$1/2)+1,VLOOKUP($D206,Data!$X$2:$Y$117,2,TRUE),"")</f>
        <v/>
      </c>
      <c r="F206" s="14" t="str">
        <f>IF(ROW()&lt;=(Results!$C$1/2)+1,IF(E206&lt;=0,"",LN(E206)),"")</f>
        <v/>
      </c>
    </row>
    <row r="207" spans="1:6" x14ac:dyDescent="0.25">
      <c r="A207" s="1" t="str">
        <f ca="1">IF(ROW()&lt;=(Results!$C$1/2)+1,INDEX(Data!$V:$V,CEILING((COUNTA(Data!$V:$V)-1)*RAND()+1,1)),"")</f>
        <v/>
      </c>
      <c r="B207" s="1" t="str">
        <f>IF(ROW()&lt;=(Results!$C$1/2)+1,VLOOKUP($A207,Data!$V$2:$W$117,2,TRUE),"")</f>
        <v/>
      </c>
      <c r="C207" s="14" t="str">
        <f>IF(ROW()&lt;=(Results!$C$1/2)+1,IF(B207&lt;=0,"",LN(B207)),"")</f>
        <v/>
      </c>
      <c r="D207" s="1" t="str">
        <f ca="1">IF(ROW()&lt;=(Results!$C$1/2)+1,INDEX(Data!$X:$X,CEILING((COUNTA(Data!$X:$X)-1)*RAND()+1,1)),"")</f>
        <v/>
      </c>
      <c r="E207" s="1" t="str">
        <f>IF(ROW()&lt;=(Results!$C$1/2)+1,VLOOKUP($D207,Data!$X$2:$Y$117,2,TRUE),"")</f>
        <v/>
      </c>
      <c r="F207" s="14" t="str">
        <f>IF(ROW()&lt;=(Results!$C$1/2)+1,IF(E207&lt;=0,"",LN(E207)),"")</f>
        <v/>
      </c>
    </row>
    <row r="208" spans="1:6" x14ac:dyDescent="0.25">
      <c r="A208" s="1" t="str">
        <f ca="1">IF(ROW()&lt;=(Results!$C$1/2)+1,INDEX(Data!$V:$V,CEILING((COUNTA(Data!$V:$V)-1)*RAND()+1,1)),"")</f>
        <v/>
      </c>
      <c r="B208" s="1" t="str">
        <f>IF(ROW()&lt;=(Results!$C$1/2)+1,VLOOKUP($A208,Data!$V$2:$W$117,2,TRUE),"")</f>
        <v/>
      </c>
      <c r="C208" s="14" t="str">
        <f>IF(ROW()&lt;=(Results!$C$1/2)+1,IF(B208&lt;=0,"",LN(B208)),"")</f>
        <v/>
      </c>
      <c r="D208" s="1" t="str">
        <f ca="1">IF(ROW()&lt;=(Results!$C$1/2)+1,INDEX(Data!$X:$X,CEILING((COUNTA(Data!$X:$X)-1)*RAND()+1,1)),"")</f>
        <v/>
      </c>
      <c r="E208" s="1" t="str">
        <f>IF(ROW()&lt;=(Results!$C$1/2)+1,VLOOKUP($D208,Data!$X$2:$Y$117,2,TRUE),"")</f>
        <v/>
      </c>
      <c r="F208" s="14" t="str">
        <f>IF(ROW()&lt;=(Results!$C$1/2)+1,IF(E208&lt;=0,"",LN(E208)),"")</f>
        <v/>
      </c>
    </row>
    <row r="209" spans="1:6" x14ac:dyDescent="0.25">
      <c r="A209" s="1" t="str">
        <f ca="1">IF(ROW()&lt;=(Results!$C$1/2)+1,INDEX(Data!$V:$V,CEILING((COUNTA(Data!$V:$V)-1)*RAND()+1,1)),"")</f>
        <v/>
      </c>
      <c r="B209" s="1" t="str">
        <f>IF(ROW()&lt;=(Results!$C$1/2)+1,VLOOKUP($A209,Data!$V$2:$W$117,2,TRUE),"")</f>
        <v/>
      </c>
      <c r="C209" s="14" t="str">
        <f>IF(ROW()&lt;=(Results!$C$1/2)+1,IF(B209&lt;=0,"",LN(B209)),"")</f>
        <v/>
      </c>
      <c r="D209" s="1" t="str">
        <f ca="1">IF(ROW()&lt;=(Results!$C$1/2)+1,INDEX(Data!$X:$X,CEILING((COUNTA(Data!$X:$X)-1)*RAND()+1,1)),"")</f>
        <v/>
      </c>
      <c r="E209" s="1" t="str">
        <f>IF(ROW()&lt;=(Results!$C$1/2)+1,VLOOKUP($D209,Data!$X$2:$Y$117,2,TRUE),"")</f>
        <v/>
      </c>
      <c r="F209" s="14" t="str">
        <f>IF(ROW()&lt;=(Results!$C$1/2)+1,IF(E209&lt;=0,"",LN(E209)),"")</f>
        <v/>
      </c>
    </row>
    <row r="210" spans="1:6" x14ac:dyDescent="0.25">
      <c r="A210" s="1" t="str">
        <f ca="1">IF(ROW()&lt;=(Results!$C$1/2)+1,INDEX(Data!$V:$V,CEILING((COUNTA(Data!$V:$V)-1)*RAND()+1,1)),"")</f>
        <v/>
      </c>
      <c r="B210" s="1" t="str">
        <f>IF(ROW()&lt;=(Results!$C$1/2)+1,VLOOKUP($A210,Data!$V$2:$W$117,2,TRUE),"")</f>
        <v/>
      </c>
      <c r="C210" s="14" t="str">
        <f>IF(ROW()&lt;=(Results!$C$1/2)+1,IF(B210&lt;=0,"",LN(B210)),"")</f>
        <v/>
      </c>
      <c r="D210" s="1" t="str">
        <f ca="1">IF(ROW()&lt;=(Results!$C$1/2)+1,INDEX(Data!$X:$X,CEILING((COUNTA(Data!$X:$X)-1)*RAND()+1,1)),"")</f>
        <v/>
      </c>
      <c r="E210" s="1" t="str">
        <f>IF(ROW()&lt;=(Results!$C$1/2)+1,VLOOKUP($D210,Data!$X$2:$Y$117,2,TRUE),"")</f>
        <v/>
      </c>
      <c r="F210" s="14" t="str">
        <f>IF(ROW()&lt;=(Results!$C$1/2)+1,IF(E210&lt;=0,"",LN(E210)),"")</f>
        <v/>
      </c>
    </row>
    <row r="211" spans="1:6" x14ac:dyDescent="0.25">
      <c r="A211" s="1" t="str">
        <f ca="1">IF(ROW()&lt;=(Results!$C$1/2)+1,INDEX(Data!$V:$V,CEILING((COUNTA(Data!$V:$V)-1)*RAND()+1,1)),"")</f>
        <v/>
      </c>
      <c r="B211" s="1" t="str">
        <f>IF(ROW()&lt;=(Results!$C$1/2)+1,VLOOKUP($A211,Data!$V$2:$W$117,2,TRUE),"")</f>
        <v/>
      </c>
      <c r="C211" s="14" t="str">
        <f>IF(ROW()&lt;=(Results!$C$1/2)+1,IF(B211&lt;=0,"",LN(B211)),"")</f>
        <v/>
      </c>
      <c r="D211" s="1" t="str">
        <f ca="1">IF(ROW()&lt;=(Results!$C$1/2)+1,INDEX(Data!$X:$X,CEILING((COUNTA(Data!$X:$X)-1)*RAND()+1,1)),"")</f>
        <v/>
      </c>
      <c r="E211" s="1" t="str">
        <f>IF(ROW()&lt;=(Results!$C$1/2)+1,VLOOKUP($D211,Data!$X$2:$Y$117,2,TRUE),"")</f>
        <v/>
      </c>
      <c r="F211" s="14" t="str">
        <f>IF(ROW()&lt;=(Results!$C$1/2)+1,IF(E211&lt;=0,"",LN(E211)),"")</f>
        <v/>
      </c>
    </row>
    <row r="212" spans="1:6" x14ac:dyDescent="0.25">
      <c r="A212" s="1" t="str">
        <f ca="1">IF(ROW()&lt;=(Results!$C$1/2)+1,INDEX(Data!$V:$V,CEILING((COUNTA(Data!$V:$V)-1)*RAND()+1,1)),"")</f>
        <v/>
      </c>
      <c r="B212" s="1" t="str">
        <f>IF(ROW()&lt;=(Results!$C$1/2)+1,VLOOKUP($A212,Data!$V$2:$W$117,2,TRUE),"")</f>
        <v/>
      </c>
      <c r="C212" s="14" t="str">
        <f>IF(ROW()&lt;=(Results!$C$1/2)+1,IF(B212&lt;=0,"",LN(B212)),"")</f>
        <v/>
      </c>
      <c r="D212" s="1" t="str">
        <f ca="1">IF(ROW()&lt;=(Results!$C$1/2)+1,INDEX(Data!$X:$X,CEILING((COUNTA(Data!$X:$X)-1)*RAND()+1,1)),"")</f>
        <v/>
      </c>
      <c r="E212" s="1" t="str">
        <f>IF(ROW()&lt;=(Results!$C$1/2)+1,VLOOKUP($D212,Data!$X$2:$Y$117,2,TRUE),"")</f>
        <v/>
      </c>
      <c r="F212" s="14" t="str">
        <f>IF(ROW()&lt;=(Results!$C$1/2)+1,IF(E212&lt;=0,"",LN(E212)),"")</f>
        <v/>
      </c>
    </row>
    <row r="213" spans="1:6" x14ac:dyDescent="0.25">
      <c r="A213" s="1" t="str">
        <f ca="1">IF(ROW()&lt;=(Results!$C$1/2)+1,INDEX(Data!$V:$V,CEILING((COUNTA(Data!$V:$V)-1)*RAND()+1,1)),"")</f>
        <v/>
      </c>
      <c r="B213" s="1" t="str">
        <f>IF(ROW()&lt;=(Results!$C$1/2)+1,VLOOKUP($A213,Data!$V$2:$W$117,2,TRUE),"")</f>
        <v/>
      </c>
      <c r="C213" s="14" t="str">
        <f>IF(ROW()&lt;=(Results!$C$1/2)+1,IF(B213&lt;=0,"",LN(B213)),"")</f>
        <v/>
      </c>
      <c r="D213" s="1" t="str">
        <f ca="1">IF(ROW()&lt;=(Results!$C$1/2)+1,INDEX(Data!$X:$X,CEILING((COUNTA(Data!$X:$X)-1)*RAND()+1,1)),"")</f>
        <v/>
      </c>
      <c r="E213" s="1" t="str">
        <f>IF(ROW()&lt;=(Results!$C$1/2)+1,VLOOKUP($D213,Data!$X$2:$Y$117,2,TRUE),"")</f>
        <v/>
      </c>
      <c r="F213" s="14" t="str">
        <f>IF(ROW()&lt;=(Results!$C$1/2)+1,IF(E213&lt;=0,"",LN(E213)),"")</f>
        <v/>
      </c>
    </row>
    <row r="214" spans="1:6" x14ac:dyDescent="0.25">
      <c r="A214" s="1" t="str">
        <f ca="1">IF(ROW()&lt;=(Results!$C$1/2)+1,INDEX(Data!$V:$V,CEILING((COUNTA(Data!$V:$V)-1)*RAND()+1,1)),"")</f>
        <v/>
      </c>
      <c r="B214" s="1" t="str">
        <f>IF(ROW()&lt;=(Results!$C$1/2)+1,VLOOKUP($A214,Data!$V$2:$W$117,2,TRUE),"")</f>
        <v/>
      </c>
      <c r="C214" s="14" t="str">
        <f>IF(ROW()&lt;=(Results!$C$1/2)+1,IF(B214&lt;=0,"",LN(B214)),"")</f>
        <v/>
      </c>
      <c r="D214" s="1" t="str">
        <f ca="1">IF(ROW()&lt;=(Results!$C$1/2)+1,INDEX(Data!$X:$X,CEILING((COUNTA(Data!$X:$X)-1)*RAND()+1,1)),"")</f>
        <v/>
      </c>
      <c r="E214" s="1" t="str">
        <f>IF(ROW()&lt;=(Results!$C$1/2)+1,VLOOKUP($D214,Data!$X$2:$Y$117,2,TRUE),"")</f>
        <v/>
      </c>
      <c r="F214" s="14" t="str">
        <f>IF(ROW()&lt;=(Results!$C$1/2)+1,IF(E214&lt;=0,"",LN(E214)),"")</f>
        <v/>
      </c>
    </row>
    <row r="215" spans="1:6" x14ac:dyDescent="0.25">
      <c r="A215" s="1" t="str">
        <f ca="1">IF(ROW()&lt;=(Results!$C$1/2)+1,INDEX(Data!$V:$V,CEILING((COUNTA(Data!$V:$V)-1)*RAND()+1,1)),"")</f>
        <v/>
      </c>
      <c r="B215" s="1" t="str">
        <f>IF(ROW()&lt;=(Results!$C$1/2)+1,VLOOKUP($A215,Data!$V$2:$W$117,2,TRUE),"")</f>
        <v/>
      </c>
      <c r="C215" s="14" t="str">
        <f>IF(ROW()&lt;=(Results!$C$1/2)+1,IF(B215&lt;=0,"",LN(B215)),"")</f>
        <v/>
      </c>
      <c r="D215" s="1" t="str">
        <f ca="1">IF(ROW()&lt;=(Results!$C$1/2)+1,INDEX(Data!$X:$X,CEILING((COUNTA(Data!$X:$X)-1)*RAND()+1,1)),"")</f>
        <v/>
      </c>
      <c r="E215" s="1" t="str">
        <f>IF(ROW()&lt;=(Results!$C$1/2)+1,VLOOKUP($D215,Data!$X$2:$Y$117,2,TRUE),"")</f>
        <v/>
      </c>
      <c r="F215" s="14" t="str">
        <f>IF(ROW()&lt;=(Results!$C$1/2)+1,IF(E215&lt;=0,"",LN(E215)),"")</f>
        <v/>
      </c>
    </row>
    <row r="216" spans="1:6" x14ac:dyDescent="0.25">
      <c r="A216" s="1" t="str">
        <f ca="1">IF(ROW()&lt;=(Results!$C$1/2)+1,INDEX(Data!$V:$V,CEILING((COUNTA(Data!$V:$V)-1)*RAND()+1,1)),"")</f>
        <v/>
      </c>
      <c r="B216" s="1" t="str">
        <f>IF(ROW()&lt;=(Results!$C$1/2)+1,VLOOKUP($A216,Data!$V$2:$W$117,2,TRUE),"")</f>
        <v/>
      </c>
      <c r="C216" s="14" t="str">
        <f>IF(ROW()&lt;=(Results!$C$1/2)+1,IF(B216&lt;=0,"",LN(B216)),"")</f>
        <v/>
      </c>
      <c r="D216" s="1" t="str">
        <f ca="1">IF(ROW()&lt;=(Results!$C$1/2)+1,INDEX(Data!$X:$X,CEILING((COUNTA(Data!$X:$X)-1)*RAND()+1,1)),"")</f>
        <v/>
      </c>
      <c r="E216" s="1" t="str">
        <f>IF(ROW()&lt;=(Results!$C$1/2)+1,VLOOKUP($D216,Data!$X$2:$Y$117,2,TRUE),"")</f>
        <v/>
      </c>
      <c r="F216" s="14" t="str">
        <f>IF(ROW()&lt;=(Results!$C$1/2)+1,IF(E216&lt;=0,"",LN(E216)),"")</f>
        <v/>
      </c>
    </row>
    <row r="217" spans="1:6" x14ac:dyDescent="0.25">
      <c r="A217" s="1" t="str">
        <f ca="1">IF(ROW()&lt;=(Results!$C$1/2)+1,INDEX(Data!$V:$V,CEILING((COUNTA(Data!$V:$V)-1)*RAND()+1,1)),"")</f>
        <v/>
      </c>
      <c r="B217" s="1" t="str">
        <f>IF(ROW()&lt;=(Results!$C$1/2)+1,VLOOKUP($A217,Data!$V$2:$W$117,2,TRUE),"")</f>
        <v/>
      </c>
      <c r="C217" s="14" t="str">
        <f>IF(ROW()&lt;=(Results!$C$1/2)+1,IF(B217&lt;=0,"",LN(B217)),"")</f>
        <v/>
      </c>
      <c r="D217" s="1" t="str">
        <f ca="1">IF(ROW()&lt;=(Results!$C$1/2)+1,INDEX(Data!$X:$X,CEILING((COUNTA(Data!$X:$X)-1)*RAND()+1,1)),"")</f>
        <v/>
      </c>
      <c r="E217" s="1" t="str">
        <f>IF(ROW()&lt;=(Results!$C$1/2)+1,VLOOKUP($D217,Data!$X$2:$Y$117,2,TRUE),"")</f>
        <v/>
      </c>
      <c r="F217" s="14" t="str">
        <f>IF(ROW()&lt;=(Results!$C$1/2)+1,IF(E217&lt;=0,"",LN(E217)),"")</f>
        <v/>
      </c>
    </row>
    <row r="218" spans="1:6" x14ac:dyDescent="0.25">
      <c r="A218" s="1" t="str">
        <f ca="1">IF(ROW()&lt;=(Results!$C$1/2)+1,INDEX(Data!$V:$V,CEILING((COUNTA(Data!$V:$V)-1)*RAND()+1,1)),"")</f>
        <v/>
      </c>
      <c r="B218" s="1" t="str">
        <f>IF(ROW()&lt;=(Results!$C$1/2)+1,VLOOKUP($A218,Data!$V$2:$W$117,2,TRUE),"")</f>
        <v/>
      </c>
      <c r="C218" s="14" t="str">
        <f>IF(ROW()&lt;=(Results!$C$1/2)+1,IF(B218&lt;=0,"",LN(B218)),"")</f>
        <v/>
      </c>
      <c r="D218" s="1" t="str">
        <f ca="1">IF(ROW()&lt;=(Results!$C$1/2)+1,INDEX(Data!$X:$X,CEILING((COUNTA(Data!$X:$X)-1)*RAND()+1,1)),"")</f>
        <v/>
      </c>
      <c r="E218" s="1" t="str">
        <f>IF(ROW()&lt;=(Results!$C$1/2)+1,VLOOKUP($D218,Data!$X$2:$Y$117,2,TRUE),"")</f>
        <v/>
      </c>
      <c r="F218" s="14" t="str">
        <f>IF(ROW()&lt;=(Results!$C$1/2)+1,IF(E218&lt;=0,"",LN(E218)),"")</f>
        <v/>
      </c>
    </row>
    <row r="219" spans="1:6" x14ac:dyDescent="0.25">
      <c r="A219" s="1" t="str">
        <f ca="1">IF(ROW()&lt;=(Results!$C$1/2)+1,INDEX(Data!$V:$V,CEILING((COUNTA(Data!$V:$V)-1)*RAND()+1,1)),"")</f>
        <v/>
      </c>
      <c r="B219" s="1" t="str">
        <f>IF(ROW()&lt;=(Results!$C$1/2)+1,VLOOKUP($A219,Data!$V$2:$W$117,2,TRUE),"")</f>
        <v/>
      </c>
      <c r="C219" s="14" t="str">
        <f>IF(ROW()&lt;=(Results!$C$1/2)+1,IF(B219&lt;=0,"",LN(B219)),"")</f>
        <v/>
      </c>
      <c r="D219" s="1" t="str">
        <f ca="1">IF(ROW()&lt;=(Results!$C$1/2)+1,INDEX(Data!$X:$X,CEILING((COUNTA(Data!$X:$X)-1)*RAND()+1,1)),"")</f>
        <v/>
      </c>
      <c r="E219" s="1" t="str">
        <f>IF(ROW()&lt;=(Results!$C$1/2)+1,VLOOKUP($D219,Data!$X$2:$Y$117,2,TRUE),"")</f>
        <v/>
      </c>
      <c r="F219" s="14" t="str">
        <f>IF(ROW()&lt;=(Results!$C$1/2)+1,IF(E219&lt;=0,"",LN(E219)),"")</f>
        <v/>
      </c>
    </row>
    <row r="220" spans="1:6" x14ac:dyDescent="0.25">
      <c r="A220" s="1" t="str">
        <f ca="1">IF(ROW()&lt;=(Results!$C$1/2)+1,INDEX(Data!$V:$V,CEILING((COUNTA(Data!$V:$V)-1)*RAND()+1,1)),"")</f>
        <v/>
      </c>
      <c r="B220" s="1" t="str">
        <f>IF(ROW()&lt;=(Results!$C$1/2)+1,VLOOKUP($A220,Data!$V$2:$W$117,2,TRUE),"")</f>
        <v/>
      </c>
      <c r="C220" s="14" t="str">
        <f>IF(ROW()&lt;=(Results!$C$1/2)+1,IF(B220&lt;=0,"",LN(B220)),"")</f>
        <v/>
      </c>
      <c r="D220" s="1" t="str">
        <f ca="1">IF(ROW()&lt;=(Results!$C$1/2)+1,INDEX(Data!$X:$X,CEILING((COUNTA(Data!$X:$X)-1)*RAND()+1,1)),"")</f>
        <v/>
      </c>
      <c r="E220" s="1" t="str">
        <f>IF(ROW()&lt;=(Results!$C$1/2)+1,VLOOKUP($D220,Data!$X$2:$Y$117,2,TRUE),"")</f>
        <v/>
      </c>
      <c r="F220" s="14" t="str">
        <f>IF(ROW()&lt;=(Results!$C$1/2)+1,IF(E220&lt;=0,"",LN(E220)),"")</f>
        <v/>
      </c>
    </row>
    <row r="221" spans="1:6" x14ac:dyDescent="0.25">
      <c r="A221" s="1" t="str">
        <f ca="1">IF(ROW()&lt;=(Results!$C$1/2)+1,INDEX(Data!$V:$V,CEILING((COUNTA(Data!$V:$V)-1)*RAND()+1,1)),"")</f>
        <v/>
      </c>
      <c r="B221" s="1" t="str">
        <f>IF(ROW()&lt;=(Results!$C$1/2)+1,VLOOKUP($A221,Data!$V$2:$W$117,2,TRUE),"")</f>
        <v/>
      </c>
      <c r="C221" s="14" t="str">
        <f>IF(ROW()&lt;=(Results!$C$1/2)+1,IF(B221&lt;=0,"",LN(B221)),"")</f>
        <v/>
      </c>
      <c r="D221" s="1" t="str">
        <f ca="1">IF(ROW()&lt;=(Results!$C$1/2)+1,INDEX(Data!$X:$X,CEILING((COUNTA(Data!$X:$X)-1)*RAND()+1,1)),"")</f>
        <v/>
      </c>
      <c r="E221" s="1" t="str">
        <f>IF(ROW()&lt;=(Results!$C$1/2)+1,VLOOKUP($D221,Data!$X$2:$Y$117,2,TRUE),"")</f>
        <v/>
      </c>
      <c r="F221" s="14" t="str">
        <f>IF(ROW()&lt;=(Results!$C$1/2)+1,IF(E221&lt;=0,"",LN(E221)),"")</f>
        <v/>
      </c>
    </row>
    <row r="222" spans="1:6" x14ac:dyDescent="0.25">
      <c r="A222" s="1" t="str">
        <f ca="1">IF(ROW()&lt;=(Results!$C$1/2)+1,INDEX(Data!$V:$V,CEILING((COUNTA(Data!$V:$V)-1)*RAND()+1,1)),"")</f>
        <v/>
      </c>
      <c r="B222" s="1" t="str">
        <f>IF(ROW()&lt;=(Results!$C$1/2)+1,VLOOKUP($A222,Data!$V$2:$W$117,2,TRUE),"")</f>
        <v/>
      </c>
      <c r="C222" s="14" t="str">
        <f>IF(ROW()&lt;=(Results!$C$1/2)+1,IF(B222&lt;=0,"",LN(B222)),"")</f>
        <v/>
      </c>
      <c r="D222" s="1" t="str">
        <f ca="1">IF(ROW()&lt;=(Results!$C$1/2)+1,INDEX(Data!$X:$X,CEILING((COUNTA(Data!$X:$X)-1)*RAND()+1,1)),"")</f>
        <v/>
      </c>
      <c r="E222" s="1" t="str">
        <f>IF(ROW()&lt;=(Results!$C$1/2)+1,VLOOKUP($D222,Data!$X$2:$Y$117,2,TRUE),"")</f>
        <v/>
      </c>
      <c r="F222" s="14" t="str">
        <f>IF(ROW()&lt;=(Results!$C$1/2)+1,IF(E222&lt;=0,"",LN(E222)),"")</f>
        <v/>
      </c>
    </row>
    <row r="223" spans="1:6" x14ac:dyDescent="0.25">
      <c r="A223" s="1" t="str">
        <f ca="1">IF(ROW()&lt;=(Results!$C$1/2)+1,INDEX(Data!$V:$V,CEILING((COUNTA(Data!$V:$V)-1)*RAND()+1,1)),"")</f>
        <v/>
      </c>
      <c r="B223" s="1" t="str">
        <f>IF(ROW()&lt;=(Results!$C$1/2)+1,VLOOKUP($A223,Data!$V$2:$W$117,2,TRUE),"")</f>
        <v/>
      </c>
      <c r="C223" s="14" t="str">
        <f>IF(ROW()&lt;=(Results!$C$1/2)+1,IF(B223&lt;=0,"",LN(B223)),"")</f>
        <v/>
      </c>
      <c r="D223" s="1" t="str">
        <f ca="1">IF(ROW()&lt;=(Results!$C$1/2)+1,INDEX(Data!$X:$X,CEILING((COUNTA(Data!$X:$X)-1)*RAND()+1,1)),"")</f>
        <v/>
      </c>
      <c r="E223" s="1" t="str">
        <f>IF(ROW()&lt;=(Results!$C$1/2)+1,VLOOKUP($D223,Data!$X$2:$Y$117,2,TRUE),"")</f>
        <v/>
      </c>
      <c r="F223" s="14" t="str">
        <f>IF(ROW()&lt;=(Results!$C$1/2)+1,IF(E223&lt;=0,"",LN(E223)),"")</f>
        <v/>
      </c>
    </row>
    <row r="224" spans="1:6" x14ac:dyDescent="0.25">
      <c r="A224" s="1" t="str">
        <f ca="1">IF(ROW()&lt;=(Results!$C$1/2)+1,INDEX(Data!$V:$V,CEILING((COUNTA(Data!$V:$V)-1)*RAND()+1,1)),"")</f>
        <v/>
      </c>
      <c r="B224" s="1" t="str">
        <f>IF(ROW()&lt;=(Results!$C$1/2)+1,VLOOKUP($A224,Data!$V$2:$W$117,2,TRUE),"")</f>
        <v/>
      </c>
      <c r="C224" s="14" t="str">
        <f>IF(ROW()&lt;=(Results!$C$1/2)+1,IF(B224&lt;=0,"",LN(B224)),"")</f>
        <v/>
      </c>
      <c r="D224" s="1" t="str">
        <f ca="1">IF(ROW()&lt;=(Results!$C$1/2)+1,INDEX(Data!$X:$X,CEILING((COUNTA(Data!$X:$X)-1)*RAND()+1,1)),"")</f>
        <v/>
      </c>
      <c r="E224" s="1" t="str">
        <f>IF(ROW()&lt;=(Results!$C$1/2)+1,VLOOKUP($D224,Data!$X$2:$Y$117,2,TRUE),"")</f>
        <v/>
      </c>
      <c r="F224" s="14" t="str">
        <f>IF(ROW()&lt;=(Results!$C$1/2)+1,IF(E224&lt;=0,"",LN(E224)),"")</f>
        <v/>
      </c>
    </row>
    <row r="225" spans="1:6" x14ac:dyDescent="0.25">
      <c r="A225" s="1" t="str">
        <f ca="1">IF(ROW()&lt;=(Results!$C$1/2)+1,INDEX(Data!$V:$V,CEILING((COUNTA(Data!$V:$V)-1)*RAND()+1,1)),"")</f>
        <v/>
      </c>
      <c r="B225" s="1" t="str">
        <f>IF(ROW()&lt;=(Results!$C$1/2)+1,VLOOKUP($A225,Data!$V$2:$W$117,2,TRUE),"")</f>
        <v/>
      </c>
      <c r="C225" s="14" t="str">
        <f>IF(ROW()&lt;=(Results!$C$1/2)+1,IF(B225&lt;=0,"",LN(B225)),"")</f>
        <v/>
      </c>
      <c r="D225" s="1" t="str">
        <f ca="1">IF(ROW()&lt;=(Results!$C$1/2)+1,INDEX(Data!$X:$X,CEILING((COUNTA(Data!$X:$X)-1)*RAND()+1,1)),"")</f>
        <v/>
      </c>
      <c r="E225" s="1" t="str">
        <f>IF(ROW()&lt;=(Results!$C$1/2)+1,VLOOKUP($D225,Data!$X$2:$Y$117,2,TRUE),"")</f>
        <v/>
      </c>
      <c r="F225" s="14" t="str">
        <f>IF(ROW()&lt;=(Results!$C$1/2)+1,IF(E225&lt;=0,"",LN(E225)),"")</f>
        <v/>
      </c>
    </row>
    <row r="226" spans="1:6" x14ac:dyDescent="0.25">
      <c r="A226" s="1" t="str">
        <f ca="1">IF(ROW()&lt;=(Results!$C$1/2)+1,INDEX(Data!$V:$V,CEILING((COUNTA(Data!$V:$V)-1)*RAND()+1,1)),"")</f>
        <v/>
      </c>
      <c r="B226" s="1" t="str">
        <f>IF(ROW()&lt;=(Results!$C$1/2)+1,VLOOKUP($A226,Data!$V$2:$W$117,2,TRUE),"")</f>
        <v/>
      </c>
      <c r="C226" s="14" t="str">
        <f>IF(ROW()&lt;=(Results!$C$1/2)+1,IF(B226&lt;=0,"",LN(B226)),"")</f>
        <v/>
      </c>
      <c r="D226" s="1" t="str">
        <f ca="1">IF(ROW()&lt;=(Results!$C$1/2)+1,INDEX(Data!$X:$X,CEILING((COUNTA(Data!$X:$X)-1)*RAND()+1,1)),"")</f>
        <v/>
      </c>
      <c r="E226" s="1" t="str">
        <f>IF(ROW()&lt;=(Results!$C$1/2)+1,VLOOKUP($D226,Data!$X$2:$Y$117,2,TRUE),"")</f>
        <v/>
      </c>
      <c r="F226" s="14" t="str">
        <f>IF(ROW()&lt;=(Results!$C$1/2)+1,IF(E226&lt;=0,"",LN(E226)),"")</f>
        <v/>
      </c>
    </row>
    <row r="227" spans="1:6" x14ac:dyDescent="0.25">
      <c r="A227" s="1" t="str">
        <f ca="1">IF(ROW()&lt;=(Results!$C$1/2)+1,INDEX(Data!$V:$V,CEILING((COUNTA(Data!$V:$V)-1)*RAND()+1,1)),"")</f>
        <v/>
      </c>
      <c r="B227" s="1" t="str">
        <f>IF(ROW()&lt;=(Results!$C$1/2)+1,VLOOKUP($A227,Data!$V$2:$W$117,2,TRUE),"")</f>
        <v/>
      </c>
      <c r="C227" s="14" t="str">
        <f>IF(ROW()&lt;=(Results!$C$1/2)+1,IF(B227&lt;=0,"",LN(B227)),"")</f>
        <v/>
      </c>
      <c r="D227" s="1" t="str">
        <f ca="1">IF(ROW()&lt;=(Results!$C$1/2)+1,INDEX(Data!$X:$X,CEILING((COUNTA(Data!$X:$X)-1)*RAND()+1,1)),"")</f>
        <v/>
      </c>
      <c r="E227" s="1" t="str">
        <f>IF(ROW()&lt;=(Results!$C$1/2)+1,VLOOKUP($D227,Data!$X$2:$Y$117,2,TRUE),"")</f>
        <v/>
      </c>
      <c r="F227" s="14" t="str">
        <f>IF(ROW()&lt;=(Results!$C$1/2)+1,IF(E227&lt;=0,"",LN(E227)),"")</f>
        <v/>
      </c>
    </row>
    <row r="228" spans="1:6" x14ac:dyDescent="0.25">
      <c r="A228" s="1" t="str">
        <f ca="1">IF(ROW()&lt;=(Results!$C$1/2)+1,INDEX(Data!$V:$V,CEILING((COUNTA(Data!$V:$V)-1)*RAND()+1,1)),"")</f>
        <v/>
      </c>
      <c r="B228" s="1" t="str">
        <f>IF(ROW()&lt;=(Results!$C$1/2)+1,VLOOKUP($A228,Data!$V$2:$W$117,2,TRUE),"")</f>
        <v/>
      </c>
      <c r="C228" s="14" t="str">
        <f>IF(ROW()&lt;=(Results!$C$1/2)+1,IF(B228&lt;=0,"",LN(B228)),"")</f>
        <v/>
      </c>
      <c r="D228" s="1" t="str">
        <f ca="1">IF(ROW()&lt;=(Results!$C$1/2)+1,INDEX(Data!$X:$X,CEILING((COUNTA(Data!$X:$X)-1)*RAND()+1,1)),"")</f>
        <v/>
      </c>
      <c r="E228" s="1" t="str">
        <f>IF(ROW()&lt;=(Results!$C$1/2)+1,VLOOKUP($D228,Data!$X$2:$Y$117,2,TRUE),"")</f>
        <v/>
      </c>
      <c r="F228" s="14" t="str">
        <f>IF(ROW()&lt;=(Results!$C$1/2)+1,IF(E228&lt;=0,"",LN(E228)),"")</f>
        <v/>
      </c>
    </row>
    <row r="229" spans="1:6" x14ac:dyDescent="0.25">
      <c r="A229" s="1" t="str">
        <f ca="1">IF(ROW()&lt;=(Results!$C$1/2)+1,INDEX(Data!$V:$V,CEILING((COUNTA(Data!$V:$V)-1)*RAND()+1,1)),"")</f>
        <v/>
      </c>
      <c r="B229" s="1" t="str">
        <f>IF(ROW()&lt;=(Results!$C$1/2)+1,VLOOKUP($A229,Data!$V$2:$W$117,2,TRUE),"")</f>
        <v/>
      </c>
      <c r="C229" s="14" t="str">
        <f>IF(ROW()&lt;=(Results!$C$1/2)+1,IF(B229&lt;=0,"",LN(B229)),"")</f>
        <v/>
      </c>
      <c r="D229" s="1" t="str">
        <f ca="1">IF(ROW()&lt;=(Results!$C$1/2)+1,INDEX(Data!$X:$X,CEILING((COUNTA(Data!$X:$X)-1)*RAND()+1,1)),"")</f>
        <v/>
      </c>
      <c r="E229" s="1" t="str">
        <f>IF(ROW()&lt;=(Results!$C$1/2)+1,VLOOKUP($D229,Data!$X$2:$Y$117,2,TRUE),"")</f>
        <v/>
      </c>
      <c r="F229" s="14" t="str">
        <f>IF(ROW()&lt;=(Results!$C$1/2)+1,IF(E229&lt;=0,"",LN(E229)),"")</f>
        <v/>
      </c>
    </row>
    <row r="230" spans="1:6" x14ac:dyDescent="0.25">
      <c r="A230" s="1" t="str">
        <f ca="1">IF(ROW()&lt;=(Results!$C$1/2)+1,INDEX(Data!$V:$V,CEILING((COUNTA(Data!$V:$V)-1)*RAND()+1,1)),"")</f>
        <v/>
      </c>
      <c r="B230" s="1" t="str">
        <f>IF(ROW()&lt;=(Results!$C$1/2)+1,VLOOKUP($A230,Data!$V$2:$W$117,2,TRUE),"")</f>
        <v/>
      </c>
      <c r="C230" s="14" t="str">
        <f>IF(ROW()&lt;=(Results!$C$1/2)+1,IF(B230&lt;=0,"",LN(B230)),"")</f>
        <v/>
      </c>
      <c r="D230" s="1" t="str">
        <f ca="1">IF(ROW()&lt;=(Results!$C$1/2)+1,INDEX(Data!$X:$X,CEILING((COUNTA(Data!$X:$X)-1)*RAND()+1,1)),"")</f>
        <v/>
      </c>
      <c r="E230" s="1" t="str">
        <f>IF(ROW()&lt;=(Results!$C$1/2)+1,VLOOKUP($D230,Data!$X$2:$Y$117,2,TRUE),"")</f>
        <v/>
      </c>
      <c r="F230" s="14" t="str">
        <f>IF(ROW()&lt;=(Results!$C$1/2)+1,IF(E230&lt;=0,"",LN(E230)),"")</f>
        <v/>
      </c>
    </row>
    <row r="231" spans="1:6" x14ac:dyDescent="0.25">
      <c r="A231" s="1" t="str">
        <f ca="1">IF(ROW()&lt;=(Results!$C$1/2)+1,INDEX(Data!$V:$V,CEILING((COUNTA(Data!$V:$V)-1)*RAND()+1,1)),"")</f>
        <v/>
      </c>
      <c r="B231" s="1" t="str">
        <f>IF(ROW()&lt;=(Results!$C$1/2)+1,VLOOKUP($A231,Data!$V$2:$W$117,2,TRUE),"")</f>
        <v/>
      </c>
      <c r="C231" s="14" t="str">
        <f>IF(ROW()&lt;=(Results!$C$1/2)+1,IF(B231&lt;=0,"",LN(B231)),"")</f>
        <v/>
      </c>
      <c r="D231" s="1" t="str">
        <f ca="1">IF(ROW()&lt;=(Results!$C$1/2)+1,INDEX(Data!$X:$X,CEILING((COUNTA(Data!$X:$X)-1)*RAND()+1,1)),"")</f>
        <v/>
      </c>
      <c r="E231" s="1" t="str">
        <f>IF(ROW()&lt;=(Results!$C$1/2)+1,VLOOKUP($D231,Data!$X$2:$Y$117,2,TRUE),"")</f>
        <v/>
      </c>
      <c r="F231" s="14" t="str">
        <f>IF(ROW()&lt;=(Results!$C$1/2)+1,IF(E231&lt;=0,"",LN(E231)),"")</f>
        <v/>
      </c>
    </row>
    <row r="232" spans="1:6" x14ac:dyDescent="0.25">
      <c r="A232" s="1" t="str">
        <f ca="1">IF(ROW()&lt;=(Results!$C$1/2)+1,INDEX(Data!$V:$V,CEILING((COUNTA(Data!$V:$V)-1)*RAND()+1,1)),"")</f>
        <v/>
      </c>
      <c r="B232" s="1" t="str">
        <f>IF(ROW()&lt;=(Results!$C$1/2)+1,VLOOKUP($A232,Data!$V$2:$W$117,2,TRUE),"")</f>
        <v/>
      </c>
      <c r="C232" s="14" t="str">
        <f>IF(ROW()&lt;=(Results!$C$1/2)+1,IF(B232&lt;=0,"",LN(B232)),"")</f>
        <v/>
      </c>
      <c r="D232" s="1" t="str">
        <f ca="1">IF(ROW()&lt;=(Results!$C$1/2)+1,INDEX(Data!$X:$X,CEILING((COUNTA(Data!$X:$X)-1)*RAND()+1,1)),"")</f>
        <v/>
      </c>
      <c r="E232" s="1" t="str">
        <f>IF(ROW()&lt;=(Results!$C$1/2)+1,VLOOKUP($D232,Data!$X$2:$Y$117,2,TRUE),"")</f>
        <v/>
      </c>
      <c r="F232" s="14" t="str">
        <f>IF(ROW()&lt;=(Results!$C$1/2)+1,IF(E232&lt;=0,"",LN(E232)),"")</f>
        <v/>
      </c>
    </row>
    <row r="233" spans="1:6" x14ac:dyDescent="0.25">
      <c r="A233" s="1" t="str">
        <f ca="1">IF(ROW()&lt;=(Results!$C$1/2)+1,INDEX(Data!$V:$V,CEILING((COUNTA(Data!$V:$V)-1)*RAND()+1,1)),"")</f>
        <v/>
      </c>
      <c r="B233" s="1" t="str">
        <f>IF(ROW()&lt;=(Results!$C$1/2)+1,VLOOKUP($A233,Data!$V$2:$W$117,2,TRUE),"")</f>
        <v/>
      </c>
      <c r="C233" s="14" t="str">
        <f>IF(ROW()&lt;=(Results!$C$1/2)+1,IF(B233&lt;=0,"",LN(B233)),"")</f>
        <v/>
      </c>
      <c r="D233" s="1" t="str">
        <f ca="1">IF(ROW()&lt;=(Results!$C$1/2)+1,INDEX(Data!$X:$X,CEILING((COUNTA(Data!$X:$X)-1)*RAND()+1,1)),"")</f>
        <v/>
      </c>
      <c r="E233" s="1" t="str">
        <f>IF(ROW()&lt;=(Results!$C$1/2)+1,VLOOKUP($D233,Data!$X$2:$Y$117,2,TRUE),"")</f>
        <v/>
      </c>
      <c r="F233" s="14" t="str">
        <f>IF(ROW()&lt;=(Results!$C$1/2)+1,IF(E233&lt;=0,"",LN(E233)),"")</f>
        <v/>
      </c>
    </row>
    <row r="234" spans="1:6" x14ac:dyDescent="0.25">
      <c r="A234" s="1" t="str">
        <f ca="1">IF(ROW()&lt;=(Results!$C$1/2)+1,INDEX(Data!$V:$V,CEILING((COUNTA(Data!$V:$V)-1)*RAND()+1,1)),"")</f>
        <v/>
      </c>
      <c r="B234" s="1" t="str">
        <f>IF(ROW()&lt;=(Results!$C$1/2)+1,VLOOKUP($A234,Data!$V$2:$W$117,2,TRUE),"")</f>
        <v/>
      </c>
      <c r="C234" s="14" t="str">
        <f>IF(ROW()&lt;=(Results!$C$1/2)+1,IF(B234&lt;=0,"",LN(B234)),"")</f>
        <v/>
      </c>
      <c r="D234" s="1" t="str">
        <f ca="1">IF(ROW()&lt;=(Results!$C$1/2)+1,INDEX(Data!$X:$X,CEILING((COUNTA(Data!$X:$X)-1)*RAND()+1,1)),"")</f>
        <v/>
      </c>
      <c r="E234" s="1" t="str">
        <f>IF(ROW()&lt;=(Results!$C$1/2)+1,VLOOKUP($D234,Data!$X$2:$Y$117,2,TRUE),"")</f>
        <v/>
      </c>
      <c r="F234" s="14" t="str">
        <f>IF(ROW()&lt;=(Results!$C$1/2)+1,IF(E234&lt;=0,"",LN(E234)),"")</f>
        <v/>
      </c>
    </row>
    <row r="235" spans="1:6" x14ac:dyDescent="0.25">
      <c r="A235" s="1" t="str">
        <f ca="1">IF(ROW()&lt;=(Results!$C$1/2)+1,INDEX(Data!$V:$V,CEILING((COUNTA(Data!$V:$V)-1)*RAND()+1,1)),"")</f>
        <v/>
      </c>
      <c r="B235" s="1" t="str">
        <f>IF(ROW()&lt;=(Results!$C$1/2)+1,VLOOKUP($A235,Data!$V$2:$W$117,2,TRUE),"")</f>
        <v/>
      </c>
      <c r="C235" s="14" t="str">
        <f>IF(ROW()&lt;=(Results!$C$1/2)+1,IF(B235&lt;=0,"",LN(B235)),"")</f>
        <v/>
      </c>
      <c r="D235" s="1" t="str">
        <f ca="1">IF(ROW()&lt;=(Results!$C$1/2)+1,INDEX(Data!$X:$X,CEILING((COUNTA(Data!$X:$X)-1)*RAND()+1,1)),"")</f>
        <v/>
      </c>
      <c r="E235" s="1" t="str">
        <f>IF(ROW()&lt;=(Results!$C$1/2)+1,VLOOKUP($D235,Data!$X$2:$Y$117,2,TRUE),"")</f>
        <v/>
      </c>
      <c r="F235" s="14" t="str">
        <f>IF(ROW()&lt;=(Results!$C$1/2)+1,IF(E235&lt;=0,"",LN(E235)),"")</f>
        <v/>
      </c>
    </row>
    <row r="236" spans="1:6" x14ac:dyDescent="0.25">
      <c r="A236" s="1" t="str">
        <f ca="1">IF(ROW()&lt;=(Results!$C$1/2)+1,INDEX(Data!$V:$V,CEILING((COUNTA(Data!$V:$V)-1)*RAND()+1,1)),"")</f>
        <v/>
      </c>
      <c r="B236" s="1" t="str">
        <f>IF(ROW()&lt;=(Results!$C$1/2)+1,VLOOKUP($A236,Data!$V$2:$W$117,2,TRUE),"")</f>
        <v/>
      </c>
      <c r="C236" s="14" t="str">
        <f>IF(ROW()&lt;=(Results!$C$1/2)+1,IF(B236&lt;=0,"",LN(B236)),"")</f>
        <v/>
      </c>
      <c r="D236" s="1" t="str">
        <f ca="1">IF(ROW()&lt;=(Results!$C$1/2)+1,INDEX(Data!$X:$X,CEILING((COUNTA(Data!$X:$X)-1)*RAND()+1,1)),"")</f>
        <v/>
      </c>
      <c r="E236" s="1" t="str">
        <f>IF(ROW()&lt;=(Results!$C$1/2)+1,VLOOKUP($D236,Data!$X$2:$Y$117,2,TRUE),"")</f>
        <v/>
      </c>
      <c r="F236" s="14" t="str">
        <f>IF(ROW()&lt;=(Results!$C$1/2)+1,IF(E236&lt;=0,"",LN(E236)),"")</f>
        <v/>
      </c>
    </row>
    <row r="237" spans="1:6" x14ac:dyDescent="0.25">
      <c r="A237" s="1" t="str">
        <f ca="1">IF(ROW()&lt;=(Results!$C$1/2)+1,INDEX(Data!$V:$V,CEILING((COUNTA(Data!$V:$V)-1)*RAND()+1,1)),"")</f>
        <v/>
      </c>
      <c r="B237" s="1" t="str">
        <f>IF(ROW()&lt;=(Results!$C$1/2)+1,VLOOKUP($A237,Data!$V$2:$W$117,2,TRUE),"")</f>
        <v/>
      </c>
      <c r="C237" s="14" t="str">
        <f>IF(ROW()&lt;=(Results!$C$1/2)+1,IF(B237&lt;=0,"",LN(B237)),"")</f>
        <v/>
      </c>
      <c r="D237" s="1" t="str">
        <f ca="1">IF(ROW()&lt;=(Results!$C$1/2)+1,INDEX(Data!$X:$X,CEILING((COUNTA(Data!$X:$X)-1)*RAND()+1,1)),"")</f>
        <v/>
      </c>
      <c r="E237" s="1" t="str">
        <f>IF(ROW()&lt;=(Results!$C$1/2)+1,VLOOKUP($D237,Data!$X$2:$Y$117,2,TRUE),"")</f>
        <v/>
      </c>
      <c r="F237" s="14" t="str">
        <f>IF(ROW()&lt;=(Results!$C$1/2)+1,IF(E237&lt;=0,"",LN(E237)),"")</f>
        <v/>
      </c>
    </row>
    <row r="238" spans="1:6" x14ac:dyDescent="0.25">
      <c r="A238" s="1" t="str">
        <f ca="1">IF(ROW()&lt;=(Results!$C$1/2)+1,INDEX(Data!$V:$V,CEILING((COUNTA(Data!$V:$V)-1)*RAND()+1,1)),"")</f>
        <v/>
      </c>
      <c r="B238" s="1" t="str">
        <f>IF(ROW()&lt;=(Results!$C$1/2)+1,VLOOKUP($A238,Data!$V$2:$W$117,2,TRUE),"")</f>
        <v/>
      </c>
      <c r="C238" s="14" t="str">
        <f>IF(ROW()&lt;=(Results!$C$1/2)+1,IF(B238&lt;=0,"",LN(B238)),"")</f>
        <v/>
      </c>
      <c r="D238" s="1" t="str">
        <f ca="1">IF(ROW()&lt;=(Results!$C$1/2)+1,INDEX(Data!$X:$X,CEILING((COUNTA(Data!$X:$X)-1)*RAND()+1,1)),"")</f>
        <v/>
      </c>
      <c r="E238" s="1" t="str">
        <f>IF(ROW()&lt;=(Results!$C$1/2)+1,VLOOKUP($D238,Data!$X$2:$Y$117,2,TRUE),"")</f>
        <v/>
      </c>
      <c r="F238" s="14" t="str">
        <f>IF(ROW()&lt;=(Results!$C$1/2)+1,IF(E238&lt;=0,"",LN(E238)),"")</f>
        <v/>
      </c>
    </row>
    <row r="239" spans="1:6" x14ac:dyDescent="0.25">
      <c r="A239" s="1" t="str">
        <f ca="1">IF(ROW()&lt;=(Results!$C$1/2)+1,INDEX(Data!$V:$V,CEILING((COUNTA(Data!$V:$V)-1)*RAND()+1,1)),"")</f>
        <v/>
      </c>
      <c r="B239" s="1" t="str">
        <f>IF(ROW()&lt;=(Results!$C$1/2)+1,VLOOKUP($A239,Data!$V$2:$W$117,2,TRUE),"")</f>
        <v/>
      </c>
      <c r="C239" s="14" t="str">
        <f>IF(ROW()&lt;=(Results!$C$1/2)+1,IF(B239&lt;=0,"",LN(B239)),"")</f>
        <v/>
      </c>
      <c r="D239" s="1" t="str">
        <f ca="1">IF(ROW()&lt;=(Results!$C$1/2)+1,INDEX(Data!$X:$X,CEILING((COUNTA(Data!$X:$X)-1)*RAND()+1,1)),"")</f>
        <v/>
      </c>
      <c r="E239" s="1" t="str">
        <f>IF(ROW()&lt;=(Results!$C$1/2)+1,VLOOKUP($D239,Data!$X$2:$Y$117,2,TRUE),"")</f>
        <v/>
      </c>
      <c r="F239" s="14" t="str">
        <f>IF(ROW()&lt;=(Results!$C$1/2)+1,IF(E239&lt;=0,"",LN(E239)),"")</f>
        <v/>
      </c>
    </row>
    <row r="240" spans="1:6" x14ac:dyDescent="0.25">
      <c r="A240" s="1" t="str">
        <f ca="1">IF(ROW()&lt;=(Results!$C$1/2)+1,INDEX(Data!$V:$V,CEILING((COUNTA(Data!$V:$V)-1)*RAND()+1,1)),"")</f>
        <v/>
      </c>
      <c r="B240" s="1" t="str">
        <f>IF(ROW()&lt;=(Results!$C$1/2)+1,VLOOKUP($A240,Data!$V$2:$W$117,2,TRUE),"")</f>
        <v/>
      </c>
      <c r="C240" s="14" t="str">
        <f>IF(ROW()&lt;=(Results!$C$1/2)+1,IF(B240&lt;=0,"",LN(B240)),"")</f>
        <v/>
      </c>
      <c r="D240" s="1" t="str">
        <f ca="1">IF(ROW()&lt;=(Results!$C$1/2)+1,INDEX(Data!$X:$X,CEILING((COUNTA(Data!$X:$X)-1)*RAND()+1,1)),"")</f>
        <v/>
      </c>
      <c r="E240" s="1" t="str">
        <f>IF(ROW()&lt;=(Results!$C$1/2)+1,VLOOKUP($D240,Data!$X$2:$Y$117,2,TRUE),"")</f>
        <v/>
      </c>
      <c r="F240" s="14" t="str">
        <f>IF(ROW()&lt;=(Results!$C$1/2)+1,IF(E240&lt;=0,"",LN(E240)),"")</f>
        <v/>
      </c>
    </row>
    <row r="241" spans="1:6" x14ac:dyDescent="0.25">
      <c r="A241" s="1" t="str">
        <f ca="1">IF(ROW()&lt;=(Results!$C$1/2)+1,INDEX(Data!$V:$V,CEILING((COUNTA(Data!$V:$V)-1)*RAND()+1,1)),"")</f>
        <v/>
      </c>
      <c r="B241" s="1" t="str">
        <f>IF(ROW()&lt;=(Results!$C$1/2)+1,VLOOKUP($A241,Data!$V$2:$W$117,2,TRUE),"")</f>
        <v/>
      </c>
      <c r="C241" s="14" t="str">
        <f>IF(ROW()&lt;=(Results!$C$1/2)+1,IF(B241&lt;=0,"",LN(B241)),"")</f>
        <v/>
      </c>
      <c r="D241" s="1" t="str">
        <f ca="1">IF(ROW()&lt;=(Results!$C$1/2)+1,INDEX(Data!$X:$X,CEILING((COUNTA(Data!$X:$X)-1)*RAND()+1,1)),"")</f>
        <v/>
      </c>
      <c r="E241" s="1" t="str">
        <f>IF(ROW()&lt;=(Results!$C$1/2)+1,VLOOKUP($D241,Data!$X$2:$Y$117,2,TRUE),"")</f>
        <v/>
      </c>
      <c r="F241" s="14" t="str">
        <f>IF(ROW()&lt;=(Results!$C$1/2)+1,IF(E241&lt;=0,"",LN(E241)),"")</f>
        <v/>
      </c>
    </row>
    <row r="242" spans="1:6" x14ac:dyDescent="0.25">
      <c r="A242" s="1" t="str">
        <f ca="1">IF(ROW()&lt;=(Results!$C$1/2)+1,INDEX(Data!$V:$V,CEILING((COUNTA(Data!$V:$V)-1)*RAND()+1,1)),"")</f>
        <v/>
      </c>
      <c r="B242" s="1" t="str">
        <f>IF(ROW()&lt;=(Results!$C$1/2)+1,VLOOKUP($A242,Data!$V$2:$W$117,2,TRUE),"")</f>
        <v/>
      </c>
      <c r="C242" s="14" t="str">
        <f>IF(ROW()&lt;=(Results!$C$1/2)+1,IF(B242&lt;=0,"",LN(B242)),"")</f>
        <v/>
      </c>
      <c r="D242" s="1" t="str">
        <f ca="1">IF(ROW()&lt;=(Results!$C$1/2)+1,INDEX(Data!$X:$X,CEILING((COUNTA(Data!$X:$X)-1)*RAND()+1,1)),"")</f>
        <v/>
      </c>
      <c r="E242" s="1" t="str">
        <f>IF(ROW()&lt;=(Results!$C$1/2)+1,VLOOKUP($D242,Data!$X$2:$Y$117,2,TRUE),"")</f>
        <v/>
      </c>
      <c r="F242" s="14" t="str">
        <f>IF(ROW()&lt;=(Results!$C$1/2)+1,IF(E242&lt;=0,"",LN(E242)),"")</f>
        <v/>
      </c>
    </row>
    <row r="243" spans="1:6" x14ac:dyDescent="0.25">
      <c r="A243" s="1" t="str">
        <f ca="1">IF(ROW()&lt;=(Results!$C$1/2)+1,INDEX(Data!$V:$V,CEILING((COUNTA(Data!$V:$V)-1)*RAND()+1,1)),"")</f>
        <v/>
      </c>
      <c r="B243" s="1" t="str">
        <f>IF(ROW()&lt;=(Results!$C$1/2)+1,VLOOKUP($A243,Data!$V$2:$W$117,2,TRUE),"")</f>
        <v/>
      </c>
      <c r="C243" s="14" t="str">
        <f>IF(ROW()&lt;=(Results!$C$1/2)+1,IF(B243&lt;=0,"",LN(B243)),"")</f>
        <v/>
      </c>
      <c r="D243" s="1" t="str">
        <f ca="1">IF(ROW()&lt;=(Results!$C$1/2)+1,INDEX(Data!$X:$X,CEILING((COUNTA(Data!$X:$X)-1)*RAND()+1,1)),"")</f>
        <v/>
      </c>
      <c r="E243" s="1" t="str">
        <f>IF(ROW()&lt;=(Results!$C$1/2)+1,VLOOKUP($D243,Data!$X$2:$Y$117,2,TRUE),"")</f>
        <v/>
      </c>
      <c r="F243" s="14" t="str">
        <f>IF(ROW()&lt;=(Results!$C$1/2)+1,IF(E243&lt;=0,"",LN(E243)),"")</f>
        <v/>
      </c>
    </row>
    <row r="244" spans="1:6" x14ac:dyDescent="0.25">
      <c r="A244" s="1" t="str">
        <f ca="1">IF(ROW()&lt;=(Results!$C$1/2)+1,INDEX(Data!$V:$V,CEILING((COUNTA(Data!$V:$V)-1)*RAND()+1,1)),"")</f>
        <v/>
      </c>
      <c r="B244" s="1" t="str">
        <f>IF(ROW()&lt;=(Results!$C$1/2)+1,VLOOKUP($A244,Data!$V$2:$W$117,2,TRUE),"")</f>
        <v/>
      </c>
      <c r="C244" s="14" t="str">
        <f>IF(ROW()&lt;=(Results!$C$1/2)+1,IF(B244&lt;=0,"",LN(B244)),"")</f>
        <v/>
      </c>
      <c r="D244" s="1" t="str">
        <f ca="1">IF(ROW()&lt;=(Results!$C$1/2)+1,INDEX(Data!$X:$X,CEILING((COUNTA(Data!$X:$X)-1)*RAND()+1,1)),"")</f>
        <v/>
      </c>
      <c r="E244" s="1" t="str">
        <f>IF(ROW()&lt;=(Results!$C$1/2)+1,VLOOKUP($D244,Data!$X$2:$Y$117,2,TRUE),"")</f>
        <v/>
      </c>
      <c r="F244" s="14" t="str">
        <f>IF(ROW()&lt;=(Results!$C$1/2)+1,IF(E244&lt;=0,"",LN(E244)),"")</f>
        <v/>
      </c>
    </row>
    <row r="245" spans="1:6" x14ac:dyDescent="0.25">
      <c r="A245" s="1" t="str">
        <f ca="1">IF(ROW()&lt;=(Results!$C$1/2)+1,INDEX(Data!$V:$V,CEILING((COUNTA(Data!$V:$V)-1)*RAND()+1,1)),"")</f>
        <v/>
      </c>
      <c r="B245" s="1" t="str">
        <f>IF(ROW()&lt;=(Results!$C$1/2)+1,VLOOKUP($A245,Data!$V$2:$W$117,2,TRUE),"")</f>
        <v/>
      </c>
      <c r="C245" s="14" t="str">
        <f>IF(ROW()&lt;=(Results!$C$1/2)+1,IF(B245&lt;=0,"",LN(B245)),"")</f>
        <v/>
      </c>
      <c r="D245" s="1" t="str">
        <f ca="1">IF(ROW()&lt;=(Results!$C$1/2)+1,INDEX(Data!$X:$X,CEILING((COUNTA(Data!$X:$X)-1)*RAND()+1,1)),"")</f>
        <v/>
      </c>
      <c r="E245" s="1" t="str">
        <f>IF(ROW()&lt;=(Results!$C$1/2)+1,VLOOKUP($D245,Data!$X$2:$Y$117,2,TRUE),"")</f>
        <v/>
      </c>
      <c r="F245" s="14" t="str">
        <f>IF(ROW()&lt;=(Results!$C$1/2)+1,IF(E245&lt;=0,"",LN(E245)),"")</f>
        <v/>
      </c>
    </row>
    <row r="246" spans="1:6" x14ac:dyDescent="0.25">
      <c r="A246" s="1" t="str">
        <f ca="1">IF(ROW()&lt;=(Results!$C$1/2)+1,INDEX(Data!$V:$V,CEILING((COUNTA(Data!$V:$V)-1)*RAND()+1,1)),"")</f>
        <v/>
      </c>
      <c r="B246" s="1" t="str">
        <f>IF(ROW()&lt;=(Results!$C$1/2)+1,VLOOKUP($A246,Data!$V$2:$W$117,2,TRUE),"")</f>
        <v/>
      </c>
      <c r="C246" s="14" t="str">
        <f>IF(ROW()&lt;=(Results!$C$1/2)+1,IF(B246&lt;=0,"",LN(B246)),"")</f>
        <v/>
      </c>
      <c r="D246" s="1" t="str">
        <f ca="1">IF(ROW()&lt;=(Results!$C$1/2)+1,INDEX(Data!$X:$X,CEILING((COUNTA(Data!$X:$X)-1)*RAND()+1,1)),"")</f>
        <v/>
      </c>
      <c r="E246" s="1" t="str">
        <f>IF(ROW()&lt;=(Results!$C$1/2)+1,VLOOKUP($D246,Data!$X$2:$Y$117,2,TRUE),"")</f>
        <v/>
      </c>
      <c r="F246" s="14" t="str">
        <f>IF(ROW()&lt;=(Results!$C$1/2)+1,IF(E246&lt;=0,"",LN(E246)),"")</f>
        <v/>
      </c>
    </row>
    <row r="247" spans="1:6" x14ac:dyDescent="0.25">
      <c r="A247" s="1" t="str">
        <f ca="1">IF(ROW()&lt;=(Results!$C$1/2)+1,INDEX(Data!$V:$V,CEILING((COUNTA(Data!$V:$V)-1)*RAND()+1,1)),"")</f>
        <v/>
      </c>
      <c r="B247" s="1" t="str">
        <f>IF(ROW()&lt;=(Results!$C$1/2)+1,VLOOKUP($A247,Data!$V$2:$W$117,2,TRUE),"")</f>
        <v/>
      </c>
      <c r="C247" s="14" t="str">
        <f>IF(ROW()&lt;=(Results!$C$1/2)+1,IF(B247&lt;=0,"",LN(B247)),"")</f>
        <v/>
      </c>
      <c r="D247" s="1" t="str">
        <f ca="1">IF(ROW()&lt;=(Results!$C$1/2)+1,INDEX(Data!$X:$X,CEILING((COUNTA(Data!$X:$X)-1)*RAND()+1,1)),"")</f>
        <v/>
      </c>
      <c r="E247" s="1" t="str">
        <f>IF(ROW()&lt;=(Results!$C$1/2)+1,VLOOKUP($D247,Data!$X$2:$Y$117,2,TRUE),"")</f>
        <v/>
      </c>
      <c r="F247" s="14" t="str">
        <f>IF(ROW()&lt;=(Results!$C$1/2)+1,IF(E247&lt;=0,"",LN(E247)),"")</f>
        <v/>
      </c>
    </row>
    <row r="248" spans="1:6" x14ac:dyDescent="0.25">
      <c r="A248" s="1" t="str">
        <f ca="1">IF(ROW()&lt;=(Results!$C$1/2)+1,INDEX(Data!$V:$V,CEILING((COUNTA(Data!$V:$V)-1)*RAND()+1,1)),"")</f>
        <v/>
      </c>
      <c r="B248" s="1" t="str">
        <f>IF(ROW()&lt;=(Results!$C$1/2)+1,VLOOKUP($A248,Data!$V$2:$W$117,2,TRUE),"")</f>
        <v/>
      </c>
      <c r="C248" s="14" t="str">
        <f>IF(ROW()&lt;=(Results!$C$1/2)+1,IF(B248&lt;=0,"",LN(B248)),"")</f>
        <v/>
      </c>
      <c r="D248" s="1" t="str">
        <f ca="1">IF(ROW()&lt;=(Results!$C$1/2)+1,INDEX(Data!$X:$X,CEILING((COUNTA(Data!$X:$X)-1)*RAND()+1,1)),"")</f>
        <v/>
      </c>
      <c r="E248" s="1" t="str">
        <f>IF(ROW()&lt;=(Results!$C$1/2)+1,VLOOKUP($D248,Data!$X$2:$Y$117,2,TRUE),"")</f>
        <v/>
      </c>
      <c r="F248" s="14" t="str">
        <f>IF(ROW()&lt;=(Results!$C$1/2)+1,IF(E248&lt;=0,"",LN(E248)),"")</f>
        <v/>
      </c>
    </row>
    <row r="249" spans="1:6" x14ac:dyDescent="0.25">
      <c r="A249" s="1" t="str">
        <f ca="1">IF(ROW()&lt;=(Results!$C$1/2)+1,INDEX(Data!$V:$V,CEILING((COUNTA(Data!$V:$V)-1)*RAND()+1,1)),"")</f>
        <v/>
      </c>
      <c r="B249" s="1" t="str">
        <f>IF(ROW()&lt;=(Results!$C$1/2)+1,VLOOKUP($A249,Data!$V$2:$W$117,2,TRUE),"")</f>
        <v/>
      </c>
      <c r="C249" s="14" t="str">
        <f>IF(ROW()&lt;=(Results!$C$1/2)+1,IF(B249&lt;=0,"",LN(B249)),"")</f>
        <v/>
      </c>
      <c r="D249" s="1" t="str">
        <f ca="1">IF(ROW()&lt;=(Results!$C$1/2)+1,INDEX(Data!$X:$X,CEILING((COUNTA(Data!$X:$X)-1)*RAND()+1,1)),"")</f>
        <v/>
      </c>
      <c r="E249" s="1" t="str">
        <f>IF(ROW()&lt;=(Results!$C$1/2)+1,VLOOKUP($D249,Data!$X$2:$Y$117,2,TRUE),"")</f>
        <v/>
      </c>
      <c r="F249" s="14" t="str">
        <f>IF(ROW()&lt;=(Results!$C$1/2)+1,IF(E249&lt;=0,"",LN(E249)),"")</f>
        <v/>
      </c>
    </row>
    <row r="250" spans="1:6" x14ac:dyDescent="0.25">
      <c r="A250" s="1" t="str">
        <f ca="1">IF(ROW()&lt;=(Results!$C$1/2)+1,INDEX(Data!$V:$V,CEILING((COUNTA(Data!$V:$V)-1)*RAND()+1,1)),"")</f>
        <v/>
      </c>
      <c r="B250" s="1" t="str">
        <f>IF(ROW()&lt;=(Results!$C$1/2)+1,VLOOKUP($A250,Data!$V$2:$W$117,2,TRUE),"")</f>
        <v/>
      </c>
      <c r="C250" s="14" t="str">
        <f>IF(ROW()&lt;=(Results!$C$1/2)+1,IF(B250&lt;=0,"",LN(B250)),"")</f>
        <v/>
      </c>
      <c r="D250" s="1" t="str">
        <f ca="1">IF(ROW()&lt;=(Results!$C$1/2)+1,INDEX(Data!$X:$X,CEILING((COUNTA(Data!$X:$X)-1)*RAND()+1,1)),"")</f>
        <v/>
      </c>
      <c r="E250" s="1" t="str">
        <f>IF(ROW()&lt;=(Results!$C$1/2)+1,VLOOKUP($D250,Data!$X$2:$Y$117,2,TRUE),"")</f>
        <v/>
      </c>
      <c r="F250" s="14" t="str">
        <f>IF(ROW()&lt;=(Results!$C$1/2)+1,IF(E250&lt;=0,"",LN(E250)),"")</f>
        <v/>
      </c>
    </row>
    <row r="251" spans="1:6" x14ac:dyDescent="0.25">
      <c r="A251" s="1" t="str">
        <f ca="1">IF(ROW()&lt;=(Results!$C$1/2)+1,INDEX(Data!$V:$V,CEILING((COUNTA(Data!$V:$V)-1)*RAND()+1,1)),"")</f>
        <v/>
      </c>
      <c r="B251" s="1" t="str">
        <f>IF(ROW()&lt;=(Results!$C$1/2)+1,VLOOKUP($A251,Data!$V$2:$W$117,2,TRUE),"")</f>
        <v/>
      </c>
      <c r="C251" s="14" t="str">
        <f>IF(ROW()&lt;=(Results!$C$1/2)+1,IF(B251&lt;=0,"",LN(B251)),"")</f>
        <v/>
      </c>
      <c r="D251" s="1" t="str">
        <f ca="1">IF(ROW()&lt;=(Results!$C$1/2)+1,INDEX(Data!$X:$X,CEILING((COUNTA(Data!$X:$X)-1)*RAND()+1,1)),"")</f>
        <v/>
      </c>
      <c r="E251" s="1" t="str">
        <f>IF(ROW()&lt;=(Results!$C$1/2)+1,VLOOKUP($D251,Data!$X$2:$Y$117,2,TRUE),"")</f>
        <v/>
      </c>
      <c r="F251" s="14" t="str">
        <f>IF(ROW()&lt;=(Results!$C$1/2)+1,IF(E251&lt;=0,"",LN(E251)),"")</f>
        <v/>
      </c>
    </row>
    <row r="252" spans="1:6" x14ac:dyDescent="0.25">
      <c r="A252" s="1" t="str">
        <f ca="1">IF(ROW()&lt;=(Results!$C$1/2)+1,INDEX(Data!$V:$V,CEILING((COUNTA(Data!$V:$V)-1)*RAND()+1,1)),"")</f>
        <v/>
      </c>
      <c r="B252" s="1" t="str">
        <f>IF(ROW()&lt;=(Results!$C$1/2)+1,VLOOKUP($A252,Data!$V$2:$W$117,2,TRUE),"")</f>
        <v/>
      </c>
      <c r="C252" s="14" t="str">
        <f>IF(ROW()&lt;=(Results!$C$1/2)+1,IF(B252&lt;=0,"",LN(B252)),"")</f>
        <v/>
      </c>
      <c r="D252" s="1" t="str">
        <f ca="1">IF(ROW()&lt;=(Results!$C$1/2)+1,INDEX(Data!$X:$X,CEILING((COUNTA(Data!$X:$X)-1)*RAND()+1,1)),"")</f>
        <v/>
      </c>
      <c r="E252" s="1" t="str">
        <f>IF(ROW()&lt;=(Results!$C$1/2)+1,VLOOKUP($D252,Data!$X$2:$Y$117,2,TRUE),"")</f>
        <v/>
      </c>
      <c r="F252" s="14" t="str">
        <f>IF(ROW()&lt;=(Results!$C$1/2)+1,IF(E252&lt;=0,"",LN(E252)),"")</f>
        <v/>
      </c>
    </row>
    <row r="253" spans="1:6" x14ac:dyDescent="0.25">
      <c r="A253" s="1" t="str">
        <f ca="1">IF(ROW()&lt;=(Results!$C$1/2)+1,INDEX(Data!$V:$V,CEILING((COUNTA(Data!$V:$V)-1)*RAND()+1,1)),"")</f>
        <v/>
      </c>
      <c r="B253" s="1" t="str">
        <f>IF(ROW()&lt;=(Results!$C$1/2)+1,VLOOKUP($A253,Data!$V$2:$W$117,2,TRUE),"")</f>
        <v/>
      </c>
      <c r="C253" s="14" t="str">
        <f>IF(ROW()&lt;=(Results!$C$1/2)+1,IF(B253&lt;=0,"",LN(B253)),"")</f>
        <v/>
      </c>
      <c r="D253" s="1" t="str">
        <f ca="1">IF(ROW()&lt;=(Results!$C$1/2)+1,INDEX(Data!$X:$X,CEILING((COUNTA(Data!$X:$X)-1)*RAND()+1,1)),"")</f>
        <v/>
      </c>
      <c r="E253" s="1" t="str">
        <f>IF(ROW()&lt;=(Results!$C$1/2)+1,VLOOKUP($D253,Data!$X$2:$Y$117,2,TRUE),"")</f>
        <v/>
      </c>
      <c r="F253" s="14" t="str">
        <f>IF(ROW()&lt;=(Results!$C$1/2)+1,IF(E253&lt;=0,"",LN(E253)),"")</f>
        <v/>
      </c>
    </row>
    <row r="254" spans="1:6" x14ac:dyDescent="0.25">
      <c r="A254" s="1" t="str">
        <f ca="1">IF(ROW()&lt;=(Results!$C$1/2)+1,INDEX(Data!$V:$V,CEILING((COUNTA(Data!$V:$V)-1)*RAND()+1,1)),"")</f>
        <v/>
      </c>
      <c r="B254" s="1" t="str">
        <f>IF(ROW()&lt;=(Results!$C$1/2)+1,VLOOKUP($A254,Data!$V$2:$W$117,2,TRUE),"")</f>
        <v/>
      </c>
      <c r="C254" s="14" t="str">
        <f>IF(ROW()&lt;=(Results!$C$1/2)+1,IF(B254&lt;=0,"",LN(B254)),"")</f>
        <v/>
      </c>
      <c r="D254" s="1" t="str">
        <f ca="1">IF(ROW()&lt;=(Results!$C$1/2)+1,INDEX(Data!$X:$X,CEILING((COUNTA(Data!$X:$X)-1)*RAND()+1,1)),"")</f>
        <v/>
      </c>
      <c r="E254" s="1" t="str">
        <f>IF(ROW()&lt;=(Results!$C$1/2)+1,VLOOKUP($D254,Data!$X$2:$Y$117,2,TRUE),"")</f>
        <v/>
      </c>
      <c r="F254" s="14" t="str">
        <f>IF(ROW()&lt;=(Results!$C$1/2)+1,IF(E254&lt;=0,"",LN(E254)),"")</f>
        <v/>
      </c>
    </row>
    <row r="255" spans="1:6" x14ac:dyDescent="0.25">
      <c r="A255" s="1" t="str">
        <f ca="1">IF(ROW()&lt;=(Results!$C$1/2)+1,INDEX(Data!$V:$V,CEILING((COUNTA(Data!$V:$V)-1)*RAND()+1,1)),"")</f>
        <v/>
      </c>
      <c r="B255" s="1" t="str">
        <f>IF(ROW()&lt;=(Results!$C$1/2)+1,VLOOKUP($A255,Data!$V$2:$W$117,2,TRUE),"")</f>
        <v/>
      </c>
      <c r="C255" s="14" t="str">
        <f>IF(ROW()&lt;=(Results!$C$1/2)+1,IF(B255&lt;=0,"",LN(B255)),"")</f>
        <v/>
      </c>
      <c r="D255" s="1" t="str">
        <f ca="1">IF(ROW()&lt;=(Results!$C$1/2)+1,INDEX(Data!$X:$X,CEILING((COUNTA(Data!$X:$X)-1)*RAND()+1,1)),"")</f>
        <v/>
      </c>
      <c r="E255" s="1" t="str">
        <f>IF(ROW()&lt;=(Results!$C$1/2)+1,VLOOKUP($D255,Data!$X$2:$Y$117,2,TRUE),"")</f>
        <v/>
      </c>
      <c r="F255" s="14" t="str">
        <f>IF(ROW()&lt;=(Results!$C$1/2)+1,IF(E255&lt;=0,"",LN(E255)),"")</f>
        <v/>
      </c>
    </row>
    <row r="256" spans="1:6" x14ac:dyDescent="0.25">
      <c r="A256" s="1" t="str">
        <f ca="1">IF(ROW()&lt;=(Results!$C$1/2)+1,INDEX(Data!$V:$V,CEILING((COUNTA(Data!$V:$V)-1)*RAND()+1,1)),"")</f>
        <v/>
      </c>
      <c r="B256" s="1" t="str">
        <f>IF(ROW()&lt;=(Results!$C$1/2)+1,VLOOKUP($A256,Data!$V$2:$W$117,2,TRUE),"")</f>
        <v/>
      </c>
      <c r="C256" s="14" t="str">
        <f>IF(ROW()&lt;=(Results!$C$1/2)+1,IF(B256&lt;=0,"",LN(B256)),"")</f>
        <v/>
      </c>
      <c r="D256" s="1" t="str">
        <f ca="1">IF(ROW()&lt;=(Results!$C$1/2)+1,INDEX(Data!$X:$X,CEILING((COUNTA(Data!$X:$X)-1)*RAND()+1,1)),"")</f>
        <v/>
      </c>
      <c r="E256" s="1" t="str">
        <f>IF(ROW()&lt;=(Results!$C$1/2)+1,VLOOKUP($D256,Data!$X$2:$Y$117,2,TRUE),"")</f>
        <v/>
      </c>
      <c r="F256" s="14" t="str">
        <f>IF(ROW()&lt;=(Results!$C$1/2)+1,IF(E256&lt;=0,"",LN(E256)),"")</f>
        <v/>
      </c>
    </row>
    <row r="257" spans="1:6" x14ac:dyDescent="0.25">
      <c r="A257" s="1" t="str">
        <f ca="1">IF(ROW()&lt;=(Results!$C$1/2)+1,INDEX(Data!$V:$V,CEILING((COUNTA(Data!$V:$V)-1)*RAND()+1,1)),"")</f>
        <v/>
      </c>
      <c r="B257" s="1" t="str">
        <f>IF(ROW()&lt;=(Results!$C$1/2)+1,VLOOKUP($A257,Data!$V$2:$W$117,2,TRUE),"")</f>
        <v/>
      </c>
      <c r="C257" s="14" t="str">
        <f>IF(ROW()&lt;=(Results!$C$1/2)+1,IF(B257&lt;=0,"",LN(B257)),"")</f>
        <v/>
      </c>
      <c r="D257" s="1" t="str">
        <f ca="1">IF(ROW()&lt;=(Results!$C$1/2)+1,INDEX(Data!$X:$X,CEILING((COUNTA(Data!$X:$X)-1)*RAND()+1,1)),"")</f>
        <v/>
      </c>
      <c r="E257" s="1" t="str">
        <f>IF(ROW()&lt;=(Results!$C$1/2)+1,VLOOKUP($D257,Data!$X$2:$Y$117,2,TRUE),"")</f>
        <v/>
      </c>
      <c r="F257" s="14" t="str">
        <f>IF(ROW()&lt;=(Results!$C$1/2)+1,IF(E257&lt;=0,"",LN(E257)),"")</f>
        <v/>
      </c>
    </row>
    <row r="258" spans="1:6" x14ac:dyDescent="0.25">
      <c r="A258" s="1" t="str">
        <f ca="1">IF(ROW()&lt;=(Results!$C$1/2)+1,INDEX(Data!$V:$V,CEILING((COUNTA(Data!$V:$V)-1)*RAND()+1,1)),"")</f>
        <v/>
      </c>
      <c r="B258" s="1" t="str">
        <f>IF(ROW()&lt;=(Results!$C$1/2)+1,VLOOKUP($A258,Data!$V$2:$W$117,2,TRUE),"")</f>
        <v/>
      </c>
      <c r="C258" s="14" t="str">
        <f>IF(ROW()&lt;=(Results!$C$1/2)+1,IF(B258&lt;=0,"",LN(B258)),"")</f>
        <v/>
      </c>
      <c r="D258" s="1" t="str">
        <f ca="1">IF(ROW()&lt;=(Results!$C$1/2)+1,INDEX(Data!$X:$X,CEILING((COUNTA(Data!$X:$X)-1)*RAND()+1,1)),"")</f>
        <v/>
      </c>
      <c r="E258" s="1" t="str">
        <f>IF(ROW()&lt;=(Results!$C$1/2)+1,VLOOKUP($D258,Data!$X$2:$Y$117,2,TRUE),"")</f>
        <v/>
      </c>
      <c r="F258" s="14" t="str">
        <f>IF(ROW()&lt;=(Results!$C$1/2)+1,IF(E258&lt;=0,"",LN(E258)),"")</f>
        <v/>
      </c>
    </row>
    <row r="259" spans="1:6" x14ac:dyDescent="0.25">
      <c r="A259" s="1" t="str">
        <f ca="1">IF(ROW()&lt;=(Results!$C$1/2)+1,INDEX(Data!$V:$V,CEILING((COUNTA(Data!$V:$V)-1)*RAND()+1,1)),"")</f>
        <v/>
      </c>
      <c r="B259" s="1" t="str">
        <f>IF(ROW()&lt;=(Results!$C$1/2)+1,VLOOKUP($A259,Data!$V$2:$W$117,2,TRUE),"")</f>
        <v/>
      </c>
      <c r="C259" s="14" t="str">
        <f>IF(ROW()&lt;=(Results!$C$1/2)+1,IF(B259&lt;=0,"",LN(B259)),"")</f>
        <v/>
      </c>
      <c r="D259" s="1" t="str">
        <f ca="1">IF(ROW()&lt;=(Results!$C$1/2)+1,INDEX(Data!$X:$X,CEILING((COUNTA(Data!$X:$X)-1)*RAND()+1,1)),"")</f>
        <v/>
      </c>
      <c r="E259" s="1" t="str">
        <f>IF(ROW()&lt;=(Results!$C$1/2)+1,VLOOKUP($D259,Data!$X$2:$Y$117,2,TRUE),"")</f>
        <v/>
      </c>
      <c r="F259" s="14" t="str">
        <f>IF(ROW()&lt;=(Results!$C$1/2)+1,IF(E259&lt;=0,"",LN(E259)),"")</f>
        <v/>
      </c>
    </row>
    <row r="260" spans="1:6" x14ac:dyDescent="0.25">
      <c r="A260" s="1" t="str">
        <f ca="1">IF(ROW()&lt;=(Results!$C$1/2)+1,INDEX(Data!$V:$V,CEILING((COUNTA(Data!$V:$V)-1)*RAND()+1,1)),"")</f>
        <v/>
      </c>
      <c r="B260" s="1" t="str">
        <f>IF(ROW()&lt;=(Results!$C$1/2)+1,VLOOKUP($A260,Data!$V$2:$W$117,2,TRUE),"")</f>
        <v/>
      </c>
      <c r="C260" s="14" t="str">
        <f>IF(ROW()&lt;=(Results!$C$1/2)+1,IF(B260&lt;=0,"",LN(B260)),"")</f>
        <v/>
      </c>
      <c r="D260" s="1" t="str">
        <f ca="1">IF(ROW()&lt;=(Results!$C$1/2)+1,INDEX(Data!$X:$X,CEILING((COUNTA(Data!$X:$X)-1)*RAND()+1,1)),"")</f>
        <v/>
      </c>
      <c r="E260" s="1" t="str">
        <f>IF(ROW()&lt;=(Results!$C$1/2)+1,VLOOKUP($D260,Data!$X$2:$Y$117,2,TRUE),"")</f>
        <v/>
      </c>
      <c r="F260" s="14" t="str">
        <f>IF(ROW()&lt;=(Results!$C$1/2)+1,IF(E260&lt;=0,"",LN(E260)),"")</f>
        <v/>
      </c>
    </row>
    <row r="261" spans="1:6" x14ac:dyDescent="0.25">
      <c r="A261" s="1" t="str">
        <f ca="1">IF(ROW()&lt;=(Results!$C$1/2)+1,INDEX(Data!$V:$V,CEILING((COUNTA(Data!$V:$V)-1)*RAND()+1,1)),"")</f>
        <v/>
      </c>
      <c r="B261" s="1" t="str">
        <f>IF(ROW()&lt;=(Results!$C$1/2)+1,VLOOKUP($A261,Data!$V$2:$W$117,2,TRUE),"")</f>
        <v/>
      </c>
      <c r="C261" s="14" t="str">
        <f>IF(ROW()&lt;=(Results!$C$1/2)+1,IF(B261&lt;=0,"",LN(B261)),"")</f>
        <v/>
      </c>
      <c r="D261" s="1" t="str">
        <f ca="1">IF(ROW()&lt;=(Results!$C$1/2)+1,INDEX(Data!$X:$X,CEILING((COUNTA(Data!$X:$X)-1)*RAND()+1,1)),"")</f>
        <v/>
      </c>
      <c r="E261" s="1" t="str">
        <f>IF(ROW()&lt;=(Results!$C$1/2)+1,VLOOKUP($D261,Data!$X$2:$Y$117,2,TRUE),"")</f>
        <v/>
      </c>
      <c r="F261" s="14" t="str">
        <f>IF(ROW()&lt;=(Results!$C$1/2)+1,IF(E261&lt;=0,"",LN(E261)),"")</f>
        <v/>
      </c>
    </row>
    <row r="262" spans="1:6" x14ac:dyDescent="0.25">
      <c r="A262" s="1" t="str">
        <f ca="1">IF(ROW()&lt;=(Results!$C$1/2)+1,INDEX(Data!$V:$V,CEILING((COUNTA(Data!$V:$V)-1)*RAND()+1,1)),"")</f>
        <v/>
      </c>
      <c r="B262" s="1" t="str">
        <f>IF(ROW()&lt;=(Results!$C$1/2)+1,VLOOKUP($A262,Data!$V$2:$W$117,2,TRUE),"")</f>
        <v/>
      </c>
      <c r="C262" s="14" t="str">
        <f>IF(ROW()&lt;=(Results!$C$1/2)+1,IF(B262&lt;=0,"",LN(B262)),"")</f>
        <v/>
      </c>
      <c r="D262" s="1" t="str">
        <f ca="1">IF(ROW()&lt;=(Results!$C$1/2)+1,INDEX(Data!$X:$X,CEILING((COUNTA(Data!$X:$X)-1)*RAND()+1,1)),"")</f>
        <v/>
      </c>
      <c r="E262" s="1" t="str">
        <f>IF(ROW()&lt;=(Results!$C$1/2)+1,VLOOKUP($D262,Data!$X$2:$Y$117,2,TRUE),"")</f>
        <v/>
      </c>
      <c r="F262" s="14" t="str">
        <f>IF(ROW()&lt;=(Results!$C$1/2)+1,IF(E262&lt;=0,"",LN(E262)),"")</f>
        <v/>
      </c>
    </row>
    <row r="263" spans="1:6" x14ac:dyDescent="0.25">
      <c r="A263" s="1" t="str">
        <f ca="1">IF(ROW()&lt;=(Results!$C$1/2)+1,INDEX(Data!$V:$V,CEILING((COUNTA(Data!$V:$V)-1)*RAND()+1,1)),"")</f>
        <v/>
      </c>
      <c r="B263" s="1" t="str">
        <f>IF(ROW()&lt;=(Results!$C$1/2)+1,VLOOKUP($A263,Data!$V$2:$W$117,2,TRUE),"")</f>
        <v/>
      </c>
      <c r="C263" s="14" t="str">
        <f>IF(ROW()&lt;=(Results!$C$1/2)+1,IF(B263&lt;=0,"",LN(B263)),"")</f>
        <v/>
      </c>
      <c r="D263" s="1" t="str">
        <f ca="1">IF(ROW()&lt;=(Results!$C$1/2)+1,INDEX(Data!$X:$X,CEILING((COUNTA(Data!$X:$X)-1)*RAND()+1,1)),"")</f>
        <v/>
      </c>
      <c r="E263" s="1" t="str">
        <f>IF(ROW()&lt;=(Results!$C$1/2)+1,VLOOKUP($D263,Data!$X$2:$Y$117,2,TRUE),"")</f>
        <v/>
      </c>
      <c r="F263" s="14" t="str">
        <f>IF(ROW()&lt;=(Results!$C$1/2)+1,IF(E263&lt;=0,"",LN(E263)),"")</f>
        <v/>
      </c>
    </row>
    <row r="264" spans="1:6" x14ac:dyDescent="0.25">
      <c r="A264" s="1" t="str">
        <f ca="1">IF(ROW()&lt;=(Results!$C$1/2)+1,INDEX(Data!$V:$V,CEILING((COUNTA(Data!$V:$V)-1)*RAND()+1,1)),"")</f>
        <v/>
      </c>
      <c r="B264" s="1" t="str">
        <f>IF(ROW()&lt;=(Results!$C$1/2)+1,VLOOKUP($A264,Data!$V$2:$W$117,2,TRUE),"")</f>
        <v/>
      </c>
      <c r="C264" s="14" t="str">
        <f>IF(ROW()&lt;=(Results!$C$1/2)+1,IF(B264&lt;=0,"",LN(B264)),"")</f>
        <v/>
      </c>
      <c r="D264" s="1" t="str">
        <f ca="1">IF(ROW()&lt;=(Results!$C$1/2)+1,INDEX(Data!$X:$X,CEILING((COUNTA(Data!$X:$X)-1)*RAND()+1,1)),"")</f>
        <v/>
      </c>
      <c r="E264" s="1" t="str">
        <f>IF(ROW()&lt;=(Results!$C$1/2)+1,VLOOKUP($D264,Data!$X$2:$Y$117,2,TRUE),"")</f>
        <v/>
      </c>
      <c r="F264" s="14" t="str">
        <f>IF(ROW()&lt;=(Results!$C$1/2)+1,IF(E264&lt;=0,"",LN(E264)),"")</f>
        <v/>
      </c>
    </row>
    <row r="265" spans="1:6" x14ac:dyDescent="0.25">
      <c r="A265" s="1" t="str">
        <f ca="1">IF(ROW()&lt;=(Results!$C$1/2)+1,INDEX(Data!$V:$V,CEILING((COUNTA(Data!$V:$V)-1)*RAND()+1,1)),"")</f>
        <v/>
      </c>
      <c r="B265" s="1" t="str">
        <f>IF(ROW()&lt;=(Results!$C$1/2)+1,VLOOKUP($A265,Data!$V$2:$W$117,2,TRUE),"")</f>
        <v/>
      </c>
      <c r="C265" s="14" t="str">
        <f>IF(ROW()&lt;=(Results!$C$1/2)+1,IF(B265&lt;=0,"",LN(B265)),"")</f>
        <v/>
      </c>
      <c r="D265" s="1" t="str">
        <f ca="1">IF(ROW()&lt;=(Results!$C$1/2)+1,INDEX(Data!$X:$X,CEILING((COUNTA(Data!$X:$X)-1)*RAND()+1,1)),"")</f>
        <v/>
      </c>
      <c r="E265" s="1" t="str">
        <f>IF(ROW()&lt;=(Results!$C$1/2)+1,VLOOKUP($D265,Data!$X$2:$Y$117,2,TRUE),"")</f>
        <v/>
      </c>
      <c r="F265" s="14" t="str">
        <f>IF(ROW()&lt;=(Results!$C$1/2)+1,IF(E265&lt;=0,"",LN(E265)),"")</f>
        <v/>
      </c>
    </row>
    <row r="266" spans="1:6" x14ac:dyDescent="0.25">
      <c r="A266" s="1" t="str">
        <f ca="1">IF(ROW()&lt;=(Results!$C$1/2)+1,INDEX(Data!$V:$V,CEILING((COUNTA(Data!$V:$V)-1)*RAND()+1,1)),"")</f>
        <v/>
      </c>
      <c r="B266" s="1" t="str">
        <f>IF(ROW()&lt;=(Results!$C$1/2)+1,VLOOKUP($A266,Data!$V$2:$W$117,2,TRUE),"")</f>
        <v/>
      </c>
      <c r="C266" s="14" t="str">
        <f>IF(ROW()&lt;=(Results!$C$1/2)+1,IF(B266&lt;=0,"",LN(B266)),"")</f>
        <v/>
      </c>
      <c r="D266" s="1" t="str">
        <f ca="1">IF(ROW()&lt;=(Results!$C$1/2)+1,INDEX(Data!$X:$X,CEILING((COUNTA(Data!$X:$X)-1)*RAND()+1,1)),"")</f>
        <v/>
      </c>
      <c r="E266" s="1" t="str">
        <f>IF(ROW()&lt;=(Results!$C$1/2)+1,VLOOKUP($D266,Data!$X$2:$Y$117,2,TRUE),"")</f>
        <v/>
      </c>
      <c r="F266" s="14" t="str">
        <f>IF(ROW()&lt;=(Results!$C$1/2)+1,IF(E266&lt;=0,"",LN(E266)),"")</f>
        <v/>
      </c>
    </row>
    <row r="267" spans="1:6" x14ac:dyDescent="0.25">
      <c r="A267" s="1" t="str">
        <f ca="1">IF(ROW()&lt;=(Results!$C$1/2)+1,INDEX(Data!$V:$V,CEILING((COUNTA(Data!$V:$V)-1)*RAND()+1,1)),"")</f>
        <v/>
      </c>
      <c r="B267" s="1" t="str">
        <f>IF(ROW()&lt;=(Results!$C$1/2)+1,VLOOKUP($A267,Data!$V$2:$W$117,2,TRUE),"")</f>
        <v/>
      </c>
      <c r="C267" s="14" t="str">
        <f>IF(ROW()&lt;=(Results!$C$1/2)+1,IF(B267&lt;=0,"",LN(B267)),"")</f>
        <v/>
      </c>
      <c r="D267" s="1" t="str">
        <f ca="1">IF(ROW()&lt;=(Results!$C$1/2)+1,INDEX(Data!$X:$X,CEILING((COUNTA(Data!$X:$X)-1)*RAND()+1,1)),"")</f>
        <v/>
      </c>
      <c r="E267" s="1" t="str">
        <f>IF(ROW()&lt;=(Results!$C$1/2)+1,VLOOKUP($D267,Data!$X$2:$Y$117,2,TRUE),"")</f>
        <v/>
      </c>
      <c r="F267" s="14" t="str">
        <f>IF(ROW()&lt;=(Results!$C$1/2)+1,IF(E267&lt;=0,"",LN(E267)),"")</f>
        <v/>
      </c>
    </row>
    <row r="268" spans="1:6" x14ac:dyDescent="0.25">
      <c r="A268" s="1" t="str">
        <f ca="1">IF(ROW()&lt;=(Results!$C$1/2)+1,INDEX(Data!$V:$V,CEILING((COUNTA(Data!$V:$V)-1)*RAND()+1,1)),"")</f>
        <v/>
      </c>
      <c r="B268" s="1" t="str">
        <f>IF(ROW()&lt;=(Results!$C$1/2)+1,VLOOKUP($A268,Data!$V$2:$W$117,2,TRUE),"")</f>
        <v/>
      </c>
      <c r="C268" s="14" t="str">
        <f>IF(ROW()&lt;=(Results!$C$1/2)+1,IF(B268&lt;=0,"",LN(B268)),"")</f>
        <v/>
      </c>
      <c r="D268" s="1" t="str">
        <f ca="1">IF(ROW()&lt;=(Results!$C$1/2)+1,INDEX(Data!$X:$X,CEILING((COUNTA(Data!$X:$X)-1)*RAND()+1,1)),"")</f>
        <v/>
      </c>
      <c r="E268" s="1" t="str">
        <f>IF(ROW()&lt;=(Results!$C$1/2)+1,VLOOKUP($D268,Data!$X$2:$Y$117,2,TRUE),"")</f>
        <v/>
      </c>
      <c r="F268" s="14" t="str">
        <f>IF(ROW()&lt;=(Results!$C$1/2)+1,IF(E268&lt;=0,"",LN(E268)),"")</f>
        <v/>
      </c>
    </row>
    <row r="269" spans="1:6" x14ac:dyDescent="0.25">
      <c r="A269" s="1" t="str">
        <f ca="1">IF(ROW()&lt;=(Results!$C$1/2)+1,INDEX(Data!$V:$V,CEILING((COUNTA(Data!$V:$V)-1)*RAND()+1,1)),"")</f>
        <v/>
      </c>
      <c r="B269" s="1" t="str">
        <f>IF(ROW()&lt;=(Results!$C$1/2)+1,VLOOKUP($A269,Data!$V$2:$W$117,2,TRUE),"")</f>
        <v/>
      </c>
      <c r="C269" s="14" t="str">
        <f>IF(ROW()&lt;=(Results!$C$1/2)+1,IF(B269&lt;=0,"",LN(B269)),"")</f>
        <v/>
      </c>
      <c r="D269" s="1" t="str">
        <f ca="1">IF(ROW()&lt;=(Results!$C$1/2)+1,INDEX(Data!$X:$X,CEILING((COUNTA(Data!$X:$X)-1)*RAND()+1,1)),"")</f>
        <v/>
      </c>
      <c r="E269" s="1" t="str">
        <f>IF(ROW()&lt;=(Results!$C$1/2)+1,VLOOKUP($D269,Data!$X$2:$Y$117,2,TRUE),"")</f>
        <v/>
      </c>
      <c r="F269" s="14" t="str">
        <f>IF(ROW()&lt;=(Results!$C$1/2)+1,IF(E269&lt;=0,"",LN(E269)),"")</f>
        <v/>
      </c>
    </row>
    <row r="270" spans="1:6" x14ac:dyDescent="0.25">
      <c r="A270" s="1" t="str">
        <f ca="1">IF(ROW()&lt;=(Results!$C$1/2)+1,INDEX(Data!$V:$V,CEILING((COUNTA(Data!$V:$V)-1)*RAND()+1,1)),"")</f>
        <v/>
      </c>
      <c r="B270" s="1" t="str">
        <f>IF(ROW()&lt;=(Results!$C$1/2)+1,VLOOKUP($A270,Data!$V$2:$W$117,2,TRUE),"")</f>
        <v/>
      </c>
      <c r="C270" s="14" t="str">
        <f>IF(ROW()&lt;=(Results!$C$1/2)+1,IF(B270&lt;=0,"",LN(B270)),"")</f>
        <v/>
      </c>
      <c r="D270" s="1" t="str">
        <f ca="1">IF(ROW()&lt;=(Results!$C$1/2)+1,INDEX(Data!$X:$X,CEILING((COUNTA(Data!$X:$X)-1)*RAND()+1,1)),"")</f>
        <v/>
      </c>
      <c r="E270" s="1" t="str">
        <f>IF(ROW()&lt;=(Results!$C$1/2)+1,VLOOKUP($D270,Data!$X$2:$Y$117,2,TRUE),"")</f>
        <v/>
      </c>
      <c r="F270" s="14" t="str">
        <f>IF(ROW()&lt;=(Results!$C$1/2)+1,IF(E270&lt;=0,"",LN(E270)),"")</f>
        <v/>
      </c>
    </row>
    <row r="271" spans="1:6" x14ac:dyDescent="0.25">
      <c r="A271" s="1" t="str">
        <f ca="1">IF(ROW()&lt;=(Results!$C$1/2)+1,INDEX(Data!$V:$V,CEILING((COUNTA(Data!$V:$V)-1)*RAND()+1,1)),"")</f>
        <v/>
      </c>
      <c r="B271" s="1" t="str">
        <f>IF(ROW()&lt;=(Results!$C$1/2)+1,VLOOKUP($A271,Data!$V$2:$W$117,2,TRUE),"")</f>
        <v/>
      </c>
      <c r="C271" s="14" t="str">
        <f>IF(ROW()&lt;=(Results!$C$1/2)+1,IF(B271&lt;=0,"",LN(B271)),"")</f>
        <v/>
      </c>
      <c r="D271" s="1" t="str">
        <f ca="1">IF(ROW()&lt;=(Results!$C$1/2)+1,INDEX(Data!$X:$X,CEILING((COUNTA(Data!$X:$X)-1)*RAND()+1,1)),"")</f>
        <v/>
      </c>
      <c r="E271" s="1" t="str">
        <f>IF(ROW()&lt;=(Results!$C$1/2)+1,VLOOKUP($D271,Data!$X$2:$Y$117,2,TRUE),"")</f>
        <v/>
      </c>
      <c r="F271" s="14" t="str">
        <f>IF(ROW()&lt;=(Results!$C$1/2)+1,IF(E271&lt;=0,"",LN(E271)),"")</f>
        <v/>
      </c>
    </row>
    <row r="272" spans="1:6" x14ac:dyDescent="0.25">
      <c r="A272" s="1" t="str">
        <f ca="1">IF(ROW()&lt;=(Results!$C$1/2)+1,INDEX(Data!$V:$V,CEILING((COUNTA(Data!$V:$V)-1)*RAND()+1,1)),"")</f>
        <v/>
      </c>
      <c r="B272" s="1" t="str">
        <f>IF(ROW()&lt;=(Results!$C$1/2)+1,VLOOKUP($A272,Data!$V$2:$W$117,2,TRUE),"")</f>
        <v/>
      </c>
      <c r="C272" s="14" t="str">
        <f>IF(ROW()&lt;=(Results!$C$1/2)+1,IF(B272&lt;=0,"",LN(B272)),"")</f>
        <v/>
      </c>
      <c r="D272" s="1" t="str">
        <f ca="1">IF(ROW()&lt;=(Results!$C$1/2)+1,INDEX(Data!$X:$X,CEILING((COUNTA(Data!$X:$X)-1)*RAND()+1,1)),"")</f>
        <v/>
      </c>
      <c r="E272" s="1" t="str">
        <f>IF(ROW()&lt;=(Results!$C$1/2)+1,VLOOKUP($D272,Data!$X$2:$Y$117,2,TRUE),"")</f>
        <v/>
      </c>
      <c r="F272" s="14" t="str">
        <f>IF(ROW()&lt;=(Results!$C$1/2)+1,IF(E272&lt;=0,"",LN(E272)),"")</f>
        <v/>
      </c>
    </row>
    <row r="273" spans="1:6" x14ac:dyDescent="0.25">
      <c r="A273" s="1" t="str">
        <f ca="1">IF(ROW()&lt;=(Results!$C$1/2)+1,INDEX(Data!$V:$V,CEILING((COUNTA(Data!$V:$V)-1)*RAND()+1,1)),"")</f>
        <v/>
      </c>
      <c r="B273" s="1" t="str">
        <f>IF(ROW()&lt;=(Results!$C$1/2)+1,VLOOKUP($A273,Data!$V$2:$W$117,2,TRUE),"")</f>
        <v/>
      </c>
      <c r="C273" s="14" t="str">
        <f>IF(ROW()&lt;=(Results!$C$1/2)+1,IF(B273&lt;=0,"",LN(B273)),"")</f>
        <v/>
      </c>
      <c r="D273" s="1" t="str">
        <f ca="1">IF(ROW()&lt;=(Results!$C$1/2)+1,INDEX(Data!$X:$X,CEILING((COUNTA(Data!$X:$X)-1)*RAND()+1,1)),"")</f>
        <v/>
      </c>
      <c r="E273" s="1" t="str">
        <f>IF(ROW()&lt;=(Results!$C$1/2)+1,VLOOKUP($D273,Data!$X$2:$Y$117,2,TRUE),"")</f>
        <v/>
      </c>
      <c r="F273" s="14" t="str">
        <f>IF(ROW()&lt;=(Results!$C$1/2)+1,IF(E273&lt;=0,"",LN(E273)),"")</f>
        <v/>
      </c>
    </row>
    <row r="274" spans="1:6" x14ac:dyDescent="0.25">
      <c r="A274" s="1" t="str">
        <f ca="1">IF(ROW()&lt;=(Results!$C$1/2)+1,INDEX(Data!$V:$V,CEILING((COUNTA(Data!$V:$V)-1)*RAND()+1,1)),"")</f>
        <v/>
      </c>
      <c r="B274" s="1" t="str">
        <f>IF(ROW()&lt;=(Results!$C$1/2)+1,VLOOKUP($A274,Data!$V$2:$W$117,2,TRUE),"")</f>
        <v/>
      </c>
      <c r="C274" s="14" t="str">
        <f>IF(ROW()&lt;=(Results!$C$1/2)+1,IF(B274&lt;=0,"",LN(B274)),"")</f>
        <v/>
      </c>
      <c r="D274" s="1" t="str">
        <f ca="1">IF(ROW()&lt;=(Results!$C$1/2)+1,INDEX(Data!$X:$X,CEILING((COUNTA(Data!$X:$X)-1)*RAND()+1,1)),"")</f>
        <v/>
      </c>
      <c r="E274" s="1" t="str">
        <f>IF(ROW()&lt;=(Results!$C$1/2)+1,VLOOKUP($D274,Data!$X$2:$Y$117,2,TRUE),"")</f>
        <v/>
      </c>
      <c r="F274" s="14" t="str">
        <f>IF(ROW()&lt;=(Results!$C$1/2)+1,IF(E274&lt;=0,"",LN(E274)),"")</f>
        <v/>
      </c>
    </row>
    <row r="275" spans="1:6" x14ac:dyDescent="0.25">
      <c r="A275" s="1" t="str">
        <f ca="1">IF(ROW()&lt;=(Results!$C$1/2)+1,INDEX(Data!$V:$V,CEILING((COUNTA(Data!$V:$V)-1)*RAND()+1,1)),"")</f>
        <v/>
      </c>
      <c r="B275" s="1" t="str">
        <f>IF(ROW()&lt;=(Results!$C$1/2)+1,VLOOKUP($A275,Data!$V$2:$W$117,2,TRUE),"")</f>
        <v/>
      </c>
      <c r="C275" s="14" t="str">
        <f>IF(ROW()&lt;=(Results!$C$1/2)+1,IF(B275&lt;=0,"",LN(B275)),"")</f>
        <v/>
      </c>
      <c r="D275" s="1" t="str">
        <f ca="1">IF(ROW()&lt;=(Results!$C$1/2)+1,INDEX(Data!$X:$X,CEILING((COUNTA(Data!$X:$X)-1)*RAND()+1,1)),"")</f>
        <v/>
      </c>
      <c r="E275" s="1" t="str">
        <f>IF(ROW()&lt;=(Results!$C$1/2)+1,VLOOKUP($D275,Data!$X$2:$Y$117,2,TRUE),"")</f>
        <v/>
      </c>
      <c r="F275" s="14" t="str">
        <f>IF(ROW()&lt;=(Results!$C$1/2)+1,IF(E275&lt;=0,"",LN(E275)),"")</f>
        <v/>
      </c>
    </row>
    <row r="276" spans="1:6" x14ac:dyDescent="0.25">
      <c r="A276" s="1" t="str">
        <f ca="1">IF(ROW()&lt;=(Results!$C$1/2)+1,INDEX(Data!$V:$V,CEILING((COUNTA(Data!$V:$V)-1)*RAND()+1,1)),"")</f>
        <v/>
      </c>
      <c r="B276" s="1" t="str">
        <f>IF(ROW()&lt;=(Results!$C$1/2)+1,VLOOKUP($A276,Data!$V$2:$W$117,2,TRUE),"")</f>
        <v/>
      </c>
      <c r="C276" s="14" t="str">
        <f>IF(ROW()&lt;=(Results!$C$1/2)+1,IF(B276&lt;=0,"",LN(B276)),"")</f>
        <v/>
      </c>
      <c r="D276" s="1" t="str">
        <f ca="1">IF(ROW()&lt;=(Results!$C$1/2)+1,INDEX(Data!$X:$X,CEILING((COUNTA(Data!$X:$X)-1)*RAND()+1,1)),"")</f>
        <v/>
      </c>
      <c r="E276" s="1" t="str">
        <f>IF(ROW()&lt;=(Results!$C$1/2)+1,VLOOKUP($D276,Data!$X$2:$Y$117,2,TRUE),"")</f>
        <v/>
      </c>
      <c r="F276" s="14" t="str">
        <f>IF(ROW()&lt;=(Results!$C$1/2)+1,IF(E276&lt;=0,"",LN(E276)),"")</f>
        <v/>
      </c>
    </row>
    <row r="277" spans="1:6" x14ac:dyDescent="0.25">
      <c r="A277" s="1" t="str">
        <f ca="1">IF(ROW()&lt;=(Results!$C$1/2)+1,INDEX(Data!$V:$V,CEILING((COUNTA(Data!$V:$V)-1)*RAND()+1,1)),"")</f>
        <v/>
      </c>
      <c r="B277" s="1" t="str">
        <f>IF(ROW()&lt;=(Results!$C$1/2)+1,VLOOKUP($A277,Data!$V$2:$W$117,2,TRUE),"")</f>
        <v/>
      </c>
      <c r="C277" s="14" t="str">
        <f>IF(ROW()&lt;=(Results!$C$1/2)+1,IF(B277&lt;=0,"",LN(B277)),"")</f>
        <v/>
      </c>
      <c r="D277" s="1" t="str">
        <f ca="1">IF(ROW()&lt;=(Results!$C$1/2)+1,INDEX(Data!$X:$X,CEILING((COUNTA(Data!$X:$X)-1)*RAND()+1,1)),"")</f>
        <v/>
      </c>
      <c r="E277" s="1" t="str">
        <f>IF(ROW()&lt;=(Results!$C$1/2)+1,VLOOKUP($D277,Data!$X$2:$Y$117,2,TRUE),"")</f>
        <v/>
      </c>
      <c r="F277" s="14" t="str">
        <f>IF(ROW()&lt;=(Results!$C$1/2)+1,IF(E277&lt;=0,"",LN(E277)),"")</f>
        <v/>
      </c>
    </row>
    <row r="278" spans="1:6" x14ac:dyDescent="0.25">
      <c r="A278" s="1" t="str">
        <f ca="1">IF(ROW()&lt;=(Results!$C$1/2)+1,INDEX(Data!$V:$V,CEILING((COUNTA(Data!$V:$V)-1)*RAND()+1,1)),"")</f>
        <v/>
      </c>
      <c r="B278" s="1" t="str">
        <f>IF(ROW()&lt;=(Results!$C$1/2)+1,VLOOKUP($A278,Data!$V$2:$W$117,2,TRUE),"")</f>
        <v/>
      </c>
      <c r="C278" s="14" t="str">
        <f>IF(ROW()&lt;=(Results!$C$1/2)+1,IF(B278&lt;=0,"",LN(B278)),"")</f>
        <v/>
      </c>
      <c r="D278" s="1" t="str">
        <f ca="1">IF(ROW()&lt;=(Results!$C$1/2)+1,INDEX(Data!$X:$X,CEILING((COUNTA(Data!$X:$X)-1)*RAND()+1,1)),"")</f>
        <v/>
      </c>
      <c r="E278" s="1" t="str">
        <f>IF(ROW()&lt;=(Results!$C$1/2)+1,VLOOKUP($D278,Data!$X$2:$Y$117,2,TRUE),"")</f>
        <v/>
      </c>
      <c r="F278" s="14" t="str">
        <f>IF(ROW()&lt;=(Results!$C$1/2)+1,IF(E278&lt;=0,"",LN(E278)),"")</f>
        <v/>
      </c>
    </row>
    <row r="279" spans="1:6" x14ac:dyDescent="0.25">
      <c r="A279" s="1" t="str">
        <f ca="1">IF(ROW()&lt;=(Results!$C$1/2)+1,INDEX(Data!$V:$V,CEILING((COUNTA(Data!$V:$V)-1)*RAND()+1,1)),"")</f>
        <v/>
      </c>
      <c r="B279" s="1" t="str">
        <f>IF(ROW()&lt;=(Results!$C$1/2)+1,VLOOKUP($A279,Data!$V$2:$W$117,2,TRUE),"")</f>
        <v/>
      </c>
      <c r="C279" s="14" t="str">
        <f>IF(ROW()&lt;=(Results!$C$1/2)+1,IF(B279&lt;=0,"",LN(B279)),"")</f>
        <v/>
      </c>
      <c r="D279" s="1" t="str">
        <f ca="1">IF(ROW()&lt;=(Results!$C$1/2)+1,INDEX(Data!$X:$X,CEILING((COUNTA(Data!$X:$X)-1)*RAND()+1,1)),"")</f>
        <v/>
      </c>
      <c r="E279" s="1" t="str">
        <f>IF(ROW()&lt;=(Results!$C$1/2)+1,VLOOKUP($D279,Data!$X$2:$Y$117,2,TRUE),"")</f>
        <v/>
      </c>
      <c r="F279" s="14" t="str">
        <f>IF(ROW()&lt;=(Results!$C$1/2)+1,IF(E279&lt;=0,"",LN(E279)),"")</f>
        <v/>
      </c>
    </row>
    <row r="280" spans="1:6" x14ac:dyDescent="0.25">
      <c r="A280" s="1" t="str">
        <f ca="1">IF(ROW()&lt;=(Results!$C$1/2)+1,INDEX(Data!$V:$V,CEILING((COUNTA(Data!$V:$V)-1)*RAND()+1,1)),"")</f>
        <v/>
      </c>
      <c r="B280" s="1" t="str">
        <f>IF(ROW()&lt;=(Results!$C$1/2)+1,VLOOKUP($A280,Data!$V$2:$W$117,2,TRUE),"")</f>
        <v/>
      </c>
      <c r="C280" s="14" t="str">
        <f>IF(ROW()&lt;=(Results!$C$1/2)+1,IF(B280&lt;=0,"",LN(B280)),"")</f>
        <v/>
      </c>
      <c r="D280" s="1" t="str">
        <f ca="1">IF(ROW()&lt;=(Results!$C$1/2)+1,INDEX(Data!$X:$X,CEILING((COUNTA(Data!$X:$X)-1)*RAND()+1,1)),"")</f>
        <v/>
      </c>
      <c r="E280" s="1" t="str">
        <f>IF(ROW()&lt;=(Results!$C$1/2)+1,VLOOKUP($D280,Data!$X$2:$Y$117,2,TRUE),"")</f>
        <v/>
      </c>
      <c r="F280" s="14" t="str">
        <f>IF(ROW()&lt;=(Results!$C$1/2)+1,IF(E280&lt;=0,"",LN(E280)),"")</f>
        <v/>
      </c>
    </row>
    <row r="281" spans="1:6" x14ac:dyDescent="0.25">
      <c r="A281" s="1" t="str">
        <f ca="1">IF(ROW()&lt;=(Results!$C$1/2)+1,INDEX(Data!$V:$V,CEILING((COUNTA(Data!$V:$V)-1)*RAND()+1,1)),"")</f>
        <v/>
      </c>
      <c r="B281" s="1" t="str">
        <f>IF(ROW()&lt;=(Results!$C$1/2)+1,VLOOKUP($A281,Data!$V$2:$W$117,2,TRUE),"")</f>
        <v/>
      </c>
      <c r="C281" s="14" t="str">
        <f>IF(ROW()&lt;=(Results!$C$1/2)+1,IF(B281&lt;=0,"",LN(B281)),"")</f>
        <v/>
      </c>
      <c r="D281" s="1" t="str">
        <f ca="1">IF(ROW()&lt;=(Results!$C$1/2)+1,INDEX(Data!$X:$X,CEILING((COUNTA(Data!$X:$X)-1)*RAND()+1,1)),"")</f>
        <v/>
      </c>
      <c r="E281" s="1" t="str">
        <f>IF(ROW()&lt;=(Results!$C$1/2)+1,VLOOKUP($D281,Data!$X$2:$Y$117,2,TRUE),"")</f>
        <v/>
      </c>
      <c r="F281" s="14" t="str">
        <f>IF(ROW()&lt;=(Results!$C$1/2)+1,IF(E281&lt;=0,"",LN(E281)),"")</f>
        <v/>
      </c>
    </row>
    <row r="282" spans="1:6" x14ac:dyDescent="0.25">
      <c r="A282" s="1" t="str">
        <f ca="1">IF(ROW()&lt;=(Results!$C$1/2)+1,INDEX(Data!$V:$V,CEILING((COUNTA(Data!$V:$V)-1)*RAND()+1,1)),"")</f>
        <v/>
      </c>
      <c r="B282" s="1" t="str">
        <f>IF(ROW()&lt;=(Results!$C$1/2)+1,VLOOKUP($A282,Data!$V$2:$W$117,2,TRUE),"")</f>
        <v/>
      </c>
      <c r="C282" s="14" t="str">
        <f>IF(ROW()&lt;=(Results!$C$1/2)+1,IF(B282&lt;=0,"",LN(B282)),"")</f>
        <v/>
      </c>
      <c r="D282" s="1" t="str">
        <f ca="1">IF(ROW()&lt;=(Results!$C$1/2)+1,INDEX(Data!$X:$X,CEILING((COUNTA(Data!$X:$X)-1)*RAND()+1,1)),"")</f>
        <v/>
      </c>
      <c r="E282" s="1" t="str">
        <f>IF(ROW()&lt;=(Results!$C$1/2)+1,VLOOKUP($D282,Data!$X$2:$Y$117,2,TRUE),"")</f>
        <v/>
      </c>
      <c r="F282" s="14" t="str">
        <f>IF(ROW()&lt;=(Results!$C$1/2)+1,IF(E282&lt;=0,"",LN(E282)),"")</f>
        <v/>
      </c>
    </row>
    <row r="283" spans="1:6" x14ac:dyDescent="0.25">
      <c r="A283" s="1" t="str">
        <f ca="1">IF(ROW()&lt;=(Results!$C$1/2)+1,INDEX(Data!$V:$V,CEILING((COUNTA(Data!$V:$V)-1)*RAND()+1,1)),"")</f>
        <v/>
      </c>
      <c r="B283" s="1" t="str">
        <f>IF(ROW()&lt;=(Results!$C$1/2)+1,VLOOKUP($A283,Data!$V$2:$W$117,2,TRUE),"")</f>
        <v/>
      </c>
      <c r="C283" s="14" t="str">
        <f>IF(ROW()&lt;=(Results!$C$1/2)+1,IF(B283&lt;=0,"",LN(B283)),"")</f>
        <v/>
      </c>
      <c r="D283" s="1" t="str">
        <f ca="1">IF(ROW()&lt;=(Results!$C$1/2)+1,INDEX(Data!$X:$X,CEILING((COUNTA(Data!$X:$X)-1)*RAND()+1,1)),"")</f>
        <v/>
      </c>
      <c r="E283" s="1" t="str">
        <f>IF(ROW()&lt;=(Results!$C$1/2)+1,VLOOKUP($D283,Data!$X$2:$Y$117,2,TRUE),"")</f>
        <v/>
      </c>
      <c r="F283" s="14" t="str">
        <f>IF(ROW()&lt;=(Results!$C$1/2)+1,IF(E283&lt;=0,"",LN(E283)),"")</f>
        <v/>
      </c>
    </row>
    <row r="284" spans="1:6" x14ac:dyDescent="0.25">
      <c r="A284" s="1" t="str">
        <f ca="1">IF(ROW()&lt;=(Results!$C$1/2)+1,INDEX(Data!$V:$V,CEILING((COUNTA(Data!$V:$V)-1)*RAND()+1,1)),"")</f>
        <v/>
      </c>
      <c r="B284" s="1" t="str">
        <f>IF(ROW()&lt;=(Results!$C$1/2)+1,VLOOKUP($A284,Data!$V$2:$W$117,2,TRUE),"")</f>
        <v/>
      </c>
      <c r="C284" s="14" t="str">
        <f>IF(ROW()&lt;=(Results!$C$1/2)+1,IF(B284&lt;=0,"",LN(B284)),"")</f>
        <v/>
      </c>
      <c r="D284" s="1" t="str">
        <f ca="1">IF(ROW()&lt;=(Results!$C$1/2)+1,INDEX(Data!$X:$X,CEILING((COUNTA(Data!$X:$X)-1)*RAND()+1,1)),"")</f>
        <v/>
      </c>
      <c r="E284" s="1" t="str">
        <f>IF(ROW()&lt;=(Results!$C$1/2)+1,VLOOKUP($D284,Data!$X$2:$Y$117,2,TRUE),"")</f>
        <v/>
      </c>
      <c r="F284" s="14" t="str">
        <f>IF(ROW()&lt;=(Results!$C$1/2)+1,IF(E284&lt;=0,"",LN(E284)),"")</f>
        <v/>
      </c>
    </row>
    <row r="285" spans="1:6" x14ac:dyDescent="0.25">
      <c r="A285" s="1" t="str">
        <f ca="1">IF(ROW()&lt;=(Results!$C$1/2)+1,INDEX(Data!$V:$V,CEILING((COUNTA(Data!$V:$V)-1)*RAND()+1,1)),"")</f>
        <v/>
      </c>
      <c r="B285" s="1" t="str">
        <f>IF(ROW()&lt;=(Results!$C$1/2)+1,VLOOKUP($A285,Data!$V$2:$W$117,2,TRUE),"")</f>
        <v/>
      </c>
      <c r="C285" s="14" t="str">
        <f>IF(ROW()&lt;=(Results!$C$1/2)+1,IF(B285&lt;=0,"",LN(B285)),"")</f>
        <v/>
      </c>
      <c r="D285" s="1" t="str">
        <f ca="1">IF(ROW()&lt;=(Results!$C$1/2)+1,INDEX(Data!$X:$X,CEILING((COUNTA(Data!$X:$X)-1)*RAND()+1,1)),"")</f>
        <v/>
      </c>
      <c r="E285" s="1" t="str">
        <f>IF(ROW()&lt;=(Results!$C$1/2)+1,VLOOKUP($D285,Data!$X$2:$Y$117,2,TRUE),"")</f>
        <v/>
      </c>
      <c r="F285" s="14" t="str">
        <f>IF(ROW()&lt;=(Results!$C$1/2)+1,IF(E285&lt;=0,"",LN(E285)),"")</f>
        <v/>
      </c>
    </row>
    <row r="286" spans="1:6" x14ac:dyDescent="0.25">
      <c r="A286" s="1" t="str">
        <f ca="1">IF(ROW()&lt;=(Results!$C$1/2)+1,INDEX(Data!$V:$V,CEILING((COUNTA(Data!$V:$V)-1)*RAND()+1,1)),"")</f>
        <v/>
      </c>
      <c r="B286" s="1" t="str">
        <f>IF(ROW()&lt;=(Results!$C$1/2)+1,VLOOKUP($A286,Data!$V$2:$W$117,2,TRUE),"")</f>
        <v/>
      </c>
      <c r="C286" s="14" t="str">
        <f>IF(ROW()&lt;=(Results!$C$1/2)+1,IF(B286&lt;=0,"",LN(B286)),"")</f>
        <v/>
      </c>
      <c r="D286" s="1" t="str">
        <f ca="1">IF(ROW()&lt;=(Results!$C$1/2)+1,INDEX(Data!$X:$X,CEILING((COUNTA(Data!$X:$X)-1)*RAND()+1,1)),"")</f>
        <v/>
      </c>
      <c r="E286" s="1" t="str">
        <f>IF(ROW()&lt;=(Results!$C$1/2)+1,VLOOKUP($D286,Data!$X$2:$Y$117,2,TRUE),"")</f>
        <v/>
      </c>
      <c r="F286" s="14" t="str">
        <f>IF(ROW()&lt;=(Results!$C$1/2)+1,IF(E286&lt;=0,"",LN(E286)),"")</f>
        <v/>
      </c>
    </row>
    <row r="287" spans="1:6" x14ac:dyDescent="0.25">
      <c r="A287" s="1" t="str">
        <f ca="1">IF(ROW()&lt;=(Results!$C$1/2)+1,INDEX(Data!$V:$V,CEILING((COUNTA(Data!$V:$V)-1)*RAND()+1,1)),"")</f>
        <v/>
      </c>
      <c r="B287" s="1" t="str">
        <f>IF(ROW()&lt;=(Results!$C$1/2)+1,VLOOKUP($A287,Data!$V$2:$W$117,2,TRUE),"")</f>
        <v/>
      </c>
      <c r="C287" s="14" t="str">
        <f>IF(ROW()&lt;=(Results!$C$1/2)+1,IF(B287&lt;=0,"",LN(B287)),"")</f>
        <v/>
      </c>
      <c r="D287" s="1" t="str">
        <f ca="1">IF(ROW()&lt;=(Results!$C$1/2)+1,INDEX(Data!$X:$X,CEILING((COUNTA(Data!$X:$X)-1)*RAND()+1,1)),"")</f>
        <v/>
      </c>
      <c r="E287" s="1" t="str">
        <f>IF(ROW()&lt;=(Results!$C$1/2)+1,VLOOKUP($D287,Data!$X$2:$Y$117,2,TRUE),"")</f>
        <v/>
      </c>
      <c r="F287" s="14" t="str">
        <f>IF(ROW()&lt;=(Results!$C$1/2)+1,IF(E287&lt;=0,"",LN(E287)),"")</f>
        <v/>
      </c>
    </row>
    <row r="288" spans="1:6" x14ac:dyDescent="0.25">
      <c r="A288" s="1" t="str">
        <f ca="1">IF(ROW()&lt;=(Results!$C$1/2)+1,INDEX(Data!$V:$V,CEILING((COUNTA(Data!$V:$V)-1)*RAND()+1,1)),"")</f>
        <v/>
      </c>
      <c r="B288" s="1" t="str">
        <f>IF(ROW()&lt;=(Results!$C$1/2)+1,VLOOKUP($A288,Data!$V$2:$W$117,2,TRUE),"")</f>
        <v/>
      </c>
      <c r="C288" s="14" t="str">
        <f>IF(ROW()&lt;=(Results!$C$1/2)+1,IF(B288&lt;=0,"",LN(B288)),"")</f>
        <v/>
      </c>
      <c r="D288" s="1" t="str">
        <f ca="1">IF(ROW()&lt;=(Results!$C$1/2)+1,INDEX(Data!$X:$X,CEILING((COUNTA(Data!$X:$X)-1)*RAND()+1,1)),"")</f>
        <v/>
      </c>
      <c r="E288" s="1" t="str">
        <f>IF(ROW()&lt;=(Results!$C$1/2)+1,VLOOKUP($D288,Data!$X$2:$Y$117,2,TRUE),"")</f>
        <v/>
      </c>
      <c r="F288" s="14" t="str">
        <f>IF(ROW()&lt;=(Results!$C$1/2)+1,IF(E288&lt;=0,"",LN(E288)),"")</f>
        <v/>
      </c>
    </row>
    <row r="289" spans="1:6" x14ac:dyDescent="0.25">
      <c r="A289" s="1" t="str">
        <f ca="1">IF(ROW()&lt;=(Results!$C$1/2)+1,INDEX(Data!$V:$V,CEILING((COUNTA(Data!$V:$V)-1)*RAND()+1,1)),"")</f>
        <v/>
      </c>
      <c r="B289" s="1" t="str">
        <f>IF(ROW()&lt;=(Results!$C$1/2)+1,VLOOKUP($A289,Data!$V$2:$W$117,2,TRUE),"")</f>
        <v/>
      </c>
      <c r="C289" s="14" t="str">
        <f>IF(ROW()&lt;=(Results!$C$1/2)+1,IF(B289&lt;=0,"",LN(B289)),"")</f>
        <v/>
      </c>
      <c r="D289" s="1" t="str">
        <f ca="1">IF(ROW()&lt;=(Results!$C$1/2)+1,INDEX(Data!$X:$X,CEILING((COUNTA(Data!$X:$X)-1)*RAND()+1,1)),"")</f>
        <v/>
      </c>
      <c r="E289" s="1" t="str">
        <f>IF(ROW()&lt;=(Results!$C$1/2)+1,VLOOKUP($D289,Data!$X$2:$Y$117,2,TRUE),"")</f>
        <v/>
      </c>
      <c r="F289" s="14" t="str">
        <f>IF(ROW()&lt;=(Results!$C$1/2)+1,IF(E289&lt;=0,"",LN(E289)),"")</f>
        <v/>
      </c>
    </row>
    <row r="290" spans="1:6" x14ac:dyDescent="0.25">
      <c r="A290" s="1" t="str">
        <f ca="1">IF(ROW()&lt;=(Results!$C$1/2)+1,INDEX(Data!$V:$V,CEILING((COUNTA(Data!$V:$V)-1)*RAND()+1,1)),"")</f>
        <v/>
      </c>
      <c r="B290" s="1" t="str">
        <f>IF(ROW()&lt;=(Results!$C$1/2)+1,VLOOKUP($A290,Data!$V$2:$W$117,2,TRUE),"")</f>
        <v/>
      </c>
      <c r="C290" s="14" t="str">
        <f>IF(ROW()&lt;=(Results!$C$1/2)+1,IF(B290&lt;=0,"",LN(B290)),"")</f>
        <v/>
      </c>
      <c r="D290" s="1" t="str">
        <f ca="1">IF(ROW()&lt;=(Results!$C$1/2)+1,INDEX(Data!$X:$X,CEILING((COUNTA(Data!$X:$X)-1)*RAND()+1,1)),"")</f>
        <v/>
      </c>
      <c r="E290" s="1" t="str">
        <f>IF(ROW()&lt;=(Results!$C$1/2)+1,VLOOKUP($D290,Data!$X$2:$Y$117,2,TRUE),"")</f>
        <v/>
      </c>
      <c r="F290" s="14" t="str">
        <f>IF(ROW()&lt;=(Results!$C$1/2)+1,IF(E290&lt;=0,"",LN(E290)),"")</f>
        <v/>
      </c>
    </row>
    <row r="291" spans="1:6" x14ac:dyDescent="0.25">
      <c r="A291" s="1" t="str">
        <f ca="1">IF(ROW()&lt;=(Results!$C$1/2)+1,INDEX(Data!$V:$V,CEILING((COUNTA(Data!$V:$V)-1)*RAND()+1,1)),"")</f>
        <v/>
      </c>
      <c r="B291" s="1" t="str">
        <f>IF(ROW()&lt;=(Results!$C$1/2)+1,VLOOKUP($A291,Data!$V$2:$W$117,2,TRUE),"")</f>
        <v/>
      </c>
      <c r="C291" s="14" t="str">
        <f>IF(ROW()&lt;=(Results!$C$1/2)+1,IF(B291&lt;=0,"",LN(B291)),"")</f>
        <v/>
      </c>
      <c r="D291" s="1" t="str">
        <f ca="1">IF(ROW()&lt;=(Results!$C$1/2)+1,INDEX(Data!$X:$X,CEILING((COUNTA(Data!$X:$X)-1)*RAND()+1,1)),"")</f>
        <v/>
      </c>
      <c r="E291" s="1" t="str">
        <f>IF(ROW()&lt;=(Results!$C$1/2)+1,VLOOKUP($D291,Data!$X$2:$Y$117,2,TRUE),"")</f>
        <v/>
      </c>
      <c r="F291" s="14" t="str">
        <f>IF(ROW()&lt;=(Results!$C$1/2)+1,IF(E291&lt;=0,"",LN(E291)),"")</f>
        <v/>
      </c>
    </row>
    <row r="292" spans="1:6" x14ac:dyDescent="0.25">
      <c r="A292" s="1" t="str">
        <f ca="1">IF(ROW()&lt;=(Results!$C$1/2)+1,INDEX(Data!$V:$V,CEILING((COUNTA(Data!$V:$V)-1)*RAND()+1,1)),"")</f>
        <v/>
      </c>
      <c r="B292" s="1" t="str">
        <f>IF(ROW()&lt;=(Results!$C$1/2)+1,VLOOKUP($A292,Data!$V$2:$W$117,2,TRUE),"")</f>
        <v/>
      </c>
      <c r="C292" s="14" t="str">
        <f>IF(ROW()&lt;=(Results!$C$1/2)+1,IF(B292&lt;=0,"",LN(B292)),"")</f>
        <v/>
      </c>
      <c r="D292" s="1" t="str">
        <f ca="1">IF(ROW()&lt;=(Results!$C$1/2)+1,INDEX(Data!$X:$X,CEILING((COUNTA(Data!$X:$X)-1)*RAND()+1,1)),"")</f>
        <v/>
      </c>
      <c r="E292" s="1" t="str">
        <f>IF(ROW()&lt;=(Results!$C$1/2)+1,VLOOKUP($D292,Data!$X$2:$Y$117,2,TRUE),"")</f>
        <v/>
      </c>
      <c r="F292" s="14" t="str">
        <f>IF(ROW()&lt;=(Results!$C$1/2)+1,IF(E292&lt;=0,"",LN(E292)),"")</f>
        <v/>
      </c>
    </row>
    <row r="293" spans="1:6" x14ac:dyDescent="0.25">
      <c r="A293" s="1" t="str">
        <f ca="1">IF(ROW()&lt;=(Results!$C$1/2)+1,INDEX(Data!$V:$V,CEILING((COUNTA(Data!$V:$V)-1)*RAND()+1,1)),"")</f>
        <v/>
      </c>
      <c r="B293" s="1" t="str">
        <f>IF(ROW()&lt;=(Results!$C$1/2)+1,VLOOKUP($A293,Data!$V$2:$W$117,2,TRUE),"")</f>
        <v/>
      </c>
      <c r="C293" s="14" t="str">
        <f>IF(ROW()&lt;=(Results!$C$1/2)+1,IF(B293&lt;=0,"",LN(B293)),"")</f>
        <v/>
      </c>
      <c r="D293" s="1" t="str">
        <f ca="1">IF(ROW()&lt;=(Results!$C$1/2)+1,INDEX(Data!$X:$X,CEILING((COUNTA(Data!$X:$X)-1)*RAND()+1,1)),"")</f>
        <v/>
      </c>
      <c r="E293" s="1" t="str">
        <f>IF(ROW()&lt;=(Results!$C$1/2)+1,VLOOKUP($D293,Data!$X$2:$Y$117,2,TRUE),"")</f>
        <v/>
      </c>
      <c r="F293" s="14" t="str">
        <f>IF(ROW()&lt;=(Results!$C$1/2)+1,IF(E293&lt;=0,"",LN(E293)),"")</f>
        <v/>
      </c>
    </row>
    <row r="294" spans="1:6" x14ac:dyDescent="0.25">
      <c r="A294" s="1" t="str">
        <f ca="1">IF(ROW()&lt;=(Results!$C$1/2)+1,INDEX(Data!$V:$V,CEILING((COUNTA(Data!$V:$V)-1)*RAND()+1,1)),"")</f>
        <v/>
      </c>
      <c r="B294" s="1" t="str">
        <f>IF(ROW()&lt;=(Results!$C$1/2)+1,VLOOKUP($A294,Data!$V$2:$W$117,2,TRUE),"")</f>
        <v/>
      </c>
      <c r="C294" s="14" t="str">
        <f>IF(ROW()&lt;=(Results!$C$1/2)+1,IF(B294&lt;=0,"",LN(B294)),"")</f>
        <v/>
      </c>
      <c r="D294" s="1" t="str">
        <f ca="1">IF(ROW()&lt;=(Results!$C$1/2)+1,INDEX(Data!$X:$X,CEILING((COUNTA(Data!$X:$X)-1)*RAND()+1,1)),"")</f>
        <v/>
      </c>
      <c r="E294" s="1" t="str">
        <f>IF(ROW()&lt;=(Results!$C$1/2)+1,VLOOKUP($D294,Data!$X$2:$Y$117,2,TRUE),"")</f>
        <v/>
      </c>
      <c r="F294" s="14" t="str">
        <f>IF(ROW()&lt;=(Results!$C$1/2)+1,IF(E294&lt;=0,"",LN(E294)),"")</f>
        <v/>
      </c>
    </row>
    <row r="295" spans="1:6" x14ac:dyDescent="0.25">
      <c r="A295" s="1" t="str">
        <f ca="1">IF(ROW()&lt;=(Results!$C$1/2)+1,INDEX(Data!$V:$V,CEILING((COUNTA(Data!$V:$V)-1)*RAND()+1,1)),"")</f>
        <v/>
      </c>
      <c r="B295" s="1" t="str">
        <f>IF(ROW()&lt;=(Results!$C$1/2)+1,VLOOKUP($A295,Data!$V$2:$W$117,2,TRUE),"")</f>
        <v/>
      </c>
      <c r="C295" s="14" t="str">
        <f>IF(ROW()&lt;=(Results!$C$1/2)+1,IF(B295&lt;=0,"",LN(B295)),"")</f>
        <v/>
      </c>
      <c r="D295" s="1" t="str">
        <f ca="1">IF(ROW()&lt;=(Results!$C$1/2)+1,INDEX(Data!$X:$X,CEILING((COUNTA(Data!$X:$X)-1)*RAND()+1,1)),"")</f>
        <v/>
      </c>
      <c r="E295" s="1" t="str">
        <f>IF(ROW()&lt;=(Results!$C$1/2)+1,VLOOKUP($D295,Data!$X$2:$Y$117,2,TRUE),"")</f>
        <v/>
      </c>
      <c r="F295" s="14" t="str">
        <f>IF(ROW()&lt;=(Results!$C$1/2)+1,IF(E295&lt;=0,"",LN(E295)),"")</f>
        <v/>
      </c>
    </row>
    <row r="296" spans="1:6" x14ac:dyDescent="0.25">
      <c r="A296" s="1" t="str">
        <f ca="1">IF(ROW()&lt;=(Results!$C$1/2)+1,INDEX(Data!$V:$V,CEILING((COUNTA(Data!$V:$V)-1)*RAND()+1,1)),"")</f>
        <v/>
      </c>
      <c r="B296" s="1" t="str">
        <f>IF(ROW()&lt;=(Results!$C$1/2)+1,VLOOKUP($A296,Data!$V$2:$W$117,2,TRUE),"")</f>
        <v/>
      </c>
      <c r="C296" s="14" t="str">
        <f>IF(ROW()&lt;=(Results!$C$1/2)+1,IF(B296&lt;=0,"",LN(B296)),"")</f>
        <v/>
      </c>
      <c r="D296" s="1" t="str">
        <f ca="1">IF(ROW()&lt;=(Results!$C$1/2)+1,INDEX(Data!$X:$X,CEILING((COUNTA(Data!$X:$X)-1)*RAND()+1,1)),"")</f>
        <v/>
      </c>
      <c r="E296" s="1" t="str">
        <f>IF(ROW()&lt;=(Results!$C$1/2)+1,VLOOKUP($D296,Data!$X$2:$Y$117,2,TRUE),"")</f>
        <v/>
      </c>
      <c r="F296" s="14" t="str">
        <f>IF(ROW()&lt;=(Results!$C$1/2)+1,IF(E296&lt;=0,"",LN(E296)),"")</f>
        <v/>
      </c>
    </row>
    <row r="297" spans="1:6" x14ac:dyDescent="0.25">
      <c r="A297" s="1" t="str">
        <f ca="1">IF(ROW()&lt;=(Results!$C$1/2)+1,INDEX(Data!$V:$V,CEILING((COUNTA(Data!$V:$V)-1)*RAND()+1,1)),"")</f>
        <v/>
      </c>
      <c r="B297" s="1" t="str">
        <f>IF(ROW()&lt;=(Results!$C$1/2)+1,VLOOKUP($A297,Data!$V$2:$W$117,2,TRUE),"")</f>
        <v/>
      </c>
      <c r="C297" s="14" t="str">
        <f>IF(ROW()&lt;=(Results!$C$1/2)+1,IF(B297&lt;=0,"",LN(B297)),"")</f>
        <v/>
      </c>
      <c r="D297" s="1" t="str">
        <f ca="1">IF(ROW()&lt;=(Results!$C$1/2)+1,INDEX(Data!$X:$X,CEILING((COUNTA(Data!$X:$X)-1)*RAND()+1,1)),"")</f>
        <v/>
      </c>
      <c r="E297" s="1" t="str">
        <f>IF(ROW()&lt;=(Results!$C$1/2)+1,VLOOKUP($D297,Data!$X$2:$Y$117,2,TRUE),"")</f>
        <v/>
      </c>
      <c r="F297" s="14" t="str">
        <f>IF(ROW()&lt;=(Results!$C$1/2)+1,IF(E297&lt;=0,"",LN(E297)),"")</f>
        <v/>
      </c>
    </row>
    <row r="298" spans="1:6" x14ac:dyDescent="0.25">
      <c r="A298" s="1" t="str">
        <f ca="1">IF(ROW()&lt;=(Results!$C$1/2)+1,INDEX(Data!$V:$V,CEILING((COUNTA(Data!$V:$V)-1)*RAND()+1,1)),"")</f>
        <v/>
      </c>
      <c r="B298" s="1" t="str">
        <f>IF(ROW()&lt;=(Results!$C$1/2)+1,VLOOKUP($A298,Data!$V$2:$W$117,2,TRUE),"")</f>
        <v/>
      </c>
      <c r="C298" s="14" t="str">
        <f>IF(ROW()&lt;=(Results!$C$1/2)+1,IF(B298&lt;=0,"",LN(B298)),"")</f>
        <v/>
      </c>
      <c r="D298" s="1" t="str">
        <f ca="1">IF(ROW()&lt;=(Results!$C$1/2)+1,INDEX(Data!$X:$X,CEILING((COUNTA(Data!$X:$X)-1)*RAND()+1,1)),"")</f>
        <v/>
      </c>
      <c r="E298" s="1" t="str">
        <f>IF(ROW()&lt;=(Results!$C$1/2)+1,VLOOKUP($D298,Data!$X$2:$Y$117,2,TRUE),"")</f>
        <v/>
      </c>
      <c r="F298" s="14" t="str">
        <f>IF(ROW()&lt;=(Results!$C$1/2)+1,IF(E298&lt;=0,"",LN(E298)),"")</f>
        <v/>
      </c>
    </row>
    <row r="299" spans="1:6" x14ac:dyDescent="0.25">
      <c r="A299" s="1" t="str">
        <f ca="1">IF(ROW()&lt;=(Results!$C$1/2)+1,INDEX(Data!$V:$V,CEILING((COUNTA(Data!$V:$V)-1)*RAND()+1,1)),"")</f>
        <v/>
      </c>
      <c r="B299" s="1" t="str">
        <f>IF(ROW()&lt;=(Results!$C$1/2)+1,VLOOKUP($A299,Data!$V$2:$W$117,2,TRUE),"")</f>
        <v/>
      </c>
      <c r="C299" s="14" t="str">
        <f>IF(ROW()&lt;=(Results!$C$1/2)+1,IF(B299&lt;=0,"",LN(B299)),"")</f>
        <v/>
      </c>
      <c r="D299" s="1" t="str">
        <f ca="1">IF(ROW()&lt;=(Results!$C$1/2)+1,INDEX(Data!$X:$X,CEILING((COUNTA(Data!$X:$X)-1)*RAND()+1,1)),"")</f>
        <v/>
      </c>
      <c r="E299" s="1" t="str">
        <f>IF(ROW()&lt;=(Results!$C$1/2)+1,VLOOKUP($D299,Data!$X$2:$Y$117,2,TRUE),"")</f>
        <v/>
      </c>
      <c r="F299" s="14" t="str">
        <f>IF(ROW()&lt;=(Results!$C$1/2)+1,IF(E299&lt;=0,"",LN(E299)),"")</f>
        <v/>
      </c>
    </row>
    <row r="300" spans="1:6" x14ac:dyDescent="0.25">
      <c r="A300" s="1" t="str">
        <f ca="1">IF(ROW()&lt;=(Results!$C$1/2)+1,INDEX(Data!$V:$V,CEILING((COUNTA(Data!$V:$V)-1)*RAND()+1,1)),"")</f>
        <v/>
      </c>
      <c r="B300" s="1" t="str">
        <f>IF(ROW()&lt;=(Results!$C$1/2)+1,VLOOKUP($A300,Data!$V$2:$W$117,2,TRUE),"")</f>
        <v/>
      </c>
      <c r="C300" s="14" t="str">
        <f>IF(ROW()&lt;=(Results!$C$1/2)+1,IF(B300&lt;=0,"",LN(B300)),"")</f>
        <v/>
      </c>
      <c r="D300" s="1" t="str">
        <f ca="1">IF(ROW()&lt;=(Results!$C$1/2)+1,INDEX(Data!$X:$X,CEILING((COUNTA(Data!$X:$X)-1)*RAND()+1,1)),"")</f>
        <v/>
      </c>
      <c r="E300" s="1" t="str">
        <f>IF(ROW()&lt;=(Results!$C$1/2)+1,VLOOKUP($D300,Data!$X$2:$Y$117,2,TRUE),"")</f>
        <v/>
      </c>
      <c r="F300" s="14" t="str">
        <f>IF(ROW()&lt;=(Results!$C$1/2)+1,IF(E300&lt;=0,"",LN(E300)),"")</f>
        <v/>
      </c>
    </row>
    <row r="301" spans="1:6" x14ac:dyDescent="0.25">
      <c r="A301" s="1" t="str">
        <f ca="1">IF(ROW()&lt;=(Results!$C$1/2)+1,INDEX(Data!$V:$V,CEILING((COUNTA(Data!$V:$V)-1)*RAND()+1,1)),"")</f>
        <v/>
      </c>
      <c r="B301" s="1" t="str">
        <f>IF(ROW()&lt;=(Results!$C$1/2)+1,VLOOKUP($A301,Data!$V$2:$W$117,2,TRUE),"")</f>
        <v/>
      </c>
      <c r="C301" s="14" t="str">
        <f>IF(ROW()&lt;=(Results!$C$1/2)+1,IF(B301&lt;=0,"",LN(B301)),"")</f>
        <v/>
      </c>
      <c r="D301" s="1" t="str">
        <f ca="1">IF(ROW()&lt;=(Results!$C$1/2)+1,INDEX(Data!$X:$X,CEILING((COUNTA(Data!$X:$X)-1)*RAND()+1,1)),"")</f>
        <v/>
      </c>
      <c r="E301" s="1" t="str">
        <f>IF(ROW()&lt;=(Results!$C$1/2)+1,VLOOKUP($D301,Data!$X$2:$Y$117,2,TRUE),"")</f>
        <v/>
      </c>
      <c r="F301" s="14" t="str">
        <f>IF(ROW()&lt;=(Results!$C$1/2)+1,IF(E301&lt;=0,"",LN(E301)),"")</f>
        <v/>
      </c>
    </row>
    <row r="302" spans="1:6" x14ac:dyDescent="0.25">
      <c r="A302" s="1" t="str">
        <f ca="1">IF(ROW()&lt;=(Results!$C$1/2)+1,INDEX(Data!$V:$V,CEILING((COUNTA(Data!$V:$V)-1)*RAND()+1,1)),"")</f>
        <v/>
      </c>
      <c r="B302" s="1" t="str">
        <f>IF(ROW()&lt;=(Results!$C$1/2)+1,VLOOKUP($A302,Data!$V$2:$W$117,2,TRUE),"")</f>
        <v/>
      </c>
      <c r="C302" s="14" t="str">
        <f>IF(ROW()&lt;=(Results!$C$1/2)+1,IF(B302&lt;=0,"",LN(B302)),"")</f>
        <v/>
      </c>
      <c r="D302" s="1" t="str">
        <f ca="1">IF(ROW()&lt;=(Results!$C$1/2)+1,INDEX(Data!$X:$X,CEILING((COUNTA(Data!$X:$X)-1)*RAND()+1,1)),"")</f>
        <v/>
      </c>
      <c r="E302" s="1" t="str">
        <f>IF(ROW()&lt;=(Results!$C$1/2)+1,VLOOKUP($D302,Data!$X$2:$Y$117,2,TRUE),"")</f>
        <v/>
      </c>
      <c r="F302" s="14" t="str">
        <f>IF(ROW()&lt;=(Results!$C$1/2)+1,IF(E302&lt;=0,"",LN(E302)),"")</f>
        <v/>
      </c>
    </row>
    <row r="303" spans="1:6" x14ac:dyDescent="0.25">
      <c r="A303" s="1" t="str">
        <f ca="1">IF(ROW()&lt;=(Results!$C$1/2)+1,INDEX(Data!$V:$V,CEILING((COUNTA(Data!$V:$V)-1)*RAND()+1,1)),"")</f>
        <v/>
      </c>
      <c r="B303" s="1" t="str">
        <f>IF(ROW()&lt;=(Results!$C$1/2)+1,VLOOKUP($A303,Data!$V$2:$W$117,2,TRUE),"")</f>
        <v/>
      </c>
      <c r="C303" s="14" t="str">
        <f>IF(ROW()&lt;=(Results!$C$1/2)+1,IF(B303&lt;=0,"",LN(B303)),"")</f>
        <v/>
      </c>
      <c r="D303" s="1" t="str">
        <f ca="1">IF(ROW()&lt;=(Results!$C$1/2)+1,INDEX(Data!$X:$X,CEILING((COUNTA(Data!$X:$X)-1)*RAND()+1,1)),"")</f>
        <v/>
      </c>
      <c r="E303" s="1" t="str">
        <f>IF(ROW()&lt;=(Results!$C$1/2)+1,VLOOKUP($D303,Data!$X$2:$Y$117,2,TRUE),"")</f>
        <v/>
      </c>
      <c r="F303" s="14" t="str">
        <f>IF(ROW()&lt;=(Results!$C$1/2)+1,IF(E303&lt;=0,"",LN(E303)),"")</f>
        <v/>
      </c>
    </row>
    <row r="304" spans="1:6" x14ac:dyDescent="0.25">
      <c r="A304" s="1" t="str">
        <f ca="1">IF(ROW()&lt;=(Results!$C$1/2)+1,INDEX(Data!$V:$V,CEILING((COUNTA(Data!$V:$V)-1)*RAND()+1,1)),"")</f>
        <v/>
      </c>
      <c r="B304" s="1" t="str">
        <f>IF(ROW()&lt;=(Results!$C$1/2)+1,VLOOKUP($A304,Data!$V$2:$W$117,2,TRUE),"")</f>
        <v/>
      </c>
      <c r="C304" s="14" t="str">
        <f>IF(ROW()&lt;=(Results!$C$1/2)+1,IF(B304&lt;=0,"",LN(B304)),"")</f>
        <v/>
      </c>
      <c r="D304" s="1" t="str">
        <f ca="1">IF(ROW()&lt;=(Results!$C$1/2)+1,INDEX(Data!$X:$X,CEILING((COUNTA(Data!$X:$X)-1)*RAND()+1,1)),"")</f>
        <v/>
      </c>
      <c r="E304" s="1" t="str">
        <f>IF(ROW()&lt;=(Results!$C$1/2)+1,VLOOKUP($D304,Data!$X$2:$Y$117,2,TRUE),"")</f>
        <v/>
      </c>
      <c r="F304" s="14" t="str">
        <f>IF(ROW()&lt;=(Results!$C$1/2)+1,IF(E304&lt;=0,"",LN(E304)),"")</f>
        <v/>
      </c>
    </row>
    <row r="305" spans="1:6" x14ac:dyDescent="0.25">
      <c r="A305" s="1" t="str">
        <f ca="1">IF(ROW()&lt;=(Results!$C$1/2)+1,INDEX(Data!$V:$V,CEILING((COUNTA(Data!$V:$V)-1)*RAND()+1,1)),"")</f>
        <v/>
      </c>
      <c r="B305" s="1" t="str">
        <f>IF(ROW()&lt;=(Results!$C$1/2)+1,VLOOKUP($A305,Data!$V$2:$W$117,2,TRUE),"")</f>
        <v/>
      </c>
      <c r="C305" s="14" t="str">
        <f>IF(ROW()&lt;=(Results!$C$1/2)+1,IF(B305&lt;=0,"",LN(B305)),"")</f>
        <v/>
      </c>
      <c r="D305" s="1" t="str">
        <f ca="1">IF(ROW()&lt;=(Results!$C$1/2)+1,INDEX(Data!$X:$X,CEILING((COUNTA(Data!$X:$X)-1)*RAND()+1,1)),"")</f>
        <v/>
      </c>
      <c r="E305" s="1" t="str">
        <f>IF(ROW()&lt;=(Results!$C$1/2)+1,VLOOKUP($D305,Data!$X$2:$Y$117,2,TRUE),"")</f>
        <v/>
      </c>
      <c r="F305" s="14" t="str">
        <f>IF(ROW()&lt;=(Results!$C$1/2)+1,IF(E305&lt;=0,"",LN(E305)),"")</f>
        <v/>
      </c>
    </row>
    <row r="306" spans="1:6" x14ac:dyDescent="0.25">
      <c r="A306" s="1" t="str">
        <f ca="1">IF(ROW()&lt;=(Results!$C$1/2)+1,INDEX(Data!$V:$V,CEILING((COUNTA(Data!$V:$V)-1)*RAND()+1,1)),"")</f>
        <v/>
      </c>
      <c r="B306" s="1" t="str">
        <f>IF(ROW()&lt;=(Results!$C$1/2)+1,VLOOKUP($A306,Data!$V$2:$W$117,2,TRUE),"")</f>
        <v/>
      </c>
      <c r="C306" s="14" t="str">
        <f>IF(ROW()&lt;=(Results!$C$1/2)+1,IF(B306&lt;=0,"",LN(B306)),"")</f>
        <v/>
      </c>
      <c r="D306" s="1" t="str">
        <f ca="1">IF(ROW()&lt;=(Results!$C$1/2)+1,INDEX(Data!$X:$X,CEILING((COUNTA(Data!$X:$X)-1)*RAND()+1,1)),"")</f>
        <v/>
      </c>
      <c r="E306" s="1" t="str">
        <f>IF(ROW()&lt;=(Results!$C$1/2)+1,VLOOKUP($D306,Data!$X$2:$Y$117,2,TRUE),"")</f>
        <v/>
      </c>
      <c r="F306" s="14" t="str">
        <f>IF(ROW()&lt;=(Results!$C$1/2)+1,IF(E306&lt;=0,"",LN(E306)),"")</f>
        <v/>
      </c>
    </row>
    <row r="307" spans="1:6" x14ac:dyDescent="0.25">
      <c r="A307" s="1" t="str">
        <f ca="1">IF(ROW()&lt;=(Results!$C$1/2)+1,INDEX(Data!$V:$V,CEILING((COUNTA(Data!$V:$V)-1)*RAND()+1,1)),"")</f>
        <v/>
      </c>
      <c r="B307" s="1" t="str">
        <f>IF(ROW()&lt;=(Results!$C$1/2)+1,VLOOKUP($A307,Data!$V$2:$W$117,2,TRUE),"")</f>
        <v/>
      </c>
      <c r="C307" s="14" t="str">
        <f>IF(ROW()&lt;=(Results!$C$1/2)+1,IF(B307&lt;=0,"",LN(B307)),"")</f>
        <v/>
      </c>
      <c r="D307" s="1" t="str">
        <f ca="1">IF(ROW()&lt;=(Results!$C$1/2)+1,INDEX(Data!$X:$X,CEILING((COUNTA(Data!$X:$X)-1)*RAND()+1,1)),"")</f>
        <v/>
      </c>
      <c r="E307" s="1" t="str">
        <f>IF(ROW()&lt;=(Results!$C$1/2)+1,VLOOKUP($D307,Data!$X$2:$Y$117,2,TRUE),"")</f>
        <v/>
      </c>
      <c r="F307" s="14" t="str">
        <f>IF(ROW()&lt;=(Results!$C$1/2)+1,IF(E307&lt;=0,"",LN(E307)),"")</f>
        <v/>
      </c>
    </row>
    <row r="308" spans="1:6" x14ac:dyDescent="0.25">
      <c r="A308" s="1" t="str">
        <f ca="1">IF(ROW()&lt;=(Results!$C$1/2)+1,INDEX(Data!$V:$V,CEILING((COUNTA(Data!$V:$V)-1)*RAND()+1,1)),"")</f>
        <v/>
      </c>
      <c r="B308" s="1" t="str">
        <f>IF(ROW()&lt;=(Results!$C$1/2)+1,VLOOKUP($A308,Data!$V$2:$W$117,2,TRUE),"")</f>
        <v/>
      </c>
      <c r="C308" s="14" t="str">
        <f>IF(ROW()&lt;=(Results!$C$1/2)+1,IF(B308&lt;=0,"",LN(B308)),"")</f>
        <v/>
      </c>
      <c r="D308" s="1" t="str">
        <f ca="1">IF(ROW()&lt;=(Results!$C$1/2)+1,INDEX(Data!$X:$X,CEILING((COUNTA(Data!$X:$X)-1)*RAND()+1,1)),"")</f>
        <v/>
      </c>
      <c r="E308" s="1" t="str">
        <f>IF(ROW()&lt;=(Results!$C$1/2)+1,VLOOKUP($D308,Data!$X$2:$Y$117,2,TRUE),"")</f>
        <v/>
      </c>
      <c r="F308" s="14" t="str">
        <f>IF(ROW()&lt;=(Results!$C$1/2)+1,IF(E308&lt;=0,"",LN(E308)),"")</f>
        <v/>
      </c>
    </row>
    <row r="309" spans="1:6" x14ac:dyDescent="0.25">
      <c r="A309" s="1" t="str">
        <f ca="1">IF(ROW()&lt;=(Results!$C$1/2)+1,INDEX(Data!$V:$V,CEILING((COUNTA(Data!$V:$V)-1)*RAND()+1,1)),"")</f>
        <v/>
      </c>
      <c r="B309" s="1" t="str">
        <f>IF(ROW()&lt;=(Results!$C$1/2)+1,VLOOKUP($A309,Data!$V$2:$W$117,2,TRUE),"")</f>
        <v/>
      </c>
      <c r="C309" s="14" t="str">
        <f>IF(ROW()&lt;=(Results!$C$1/2)+1,IF(B309&lt;=0,"",LN(B309)),"")</f>
        <v/>
      </c>
      <c r="D309" s="1" t="str">
        <f ca="1">IF(ROW()&lt;=(Results!$C$1/2)+1,INDEX(Data!$X:$X,CEILING((COUNTA(Data!$X:$X)-1)*RAND()+1,1)),"")</f>
        <v/>
      </c>
      <c r="E309" s="1" t="str">
        <f>IF(ROW()&lt;=(Results!$C$1/2)+1,VLOOKUP($D309,Data!$X$2:$Y$117,2,TRUE),"")</f>
        <v/>
      </c>
      <c r="F309" s="14" t="str">
        <f>IF(ROW()&lt;=(Results!$C$1/2)+1,IF(E309&lt;=0,"",LN(E309)),"")</f>
        <v/>
      </c>
    </row>
    <row r="310" spans="1:6" x14ac:dyDescent="0.25">
      <c r="A310" s="1" t="str">
        <f ca="1">IF(ROW()&lt;=(Results!$C$1/2)+1,INDEX(Data!$V:$V,CEILING((COUNTA(Data!$V:$V)-1)*RAND()+1,1)),"")</f>
        <v/>
      </c>
      <c r="B310" s="1" t="str">
        <f>IF(ROW()&lt;=(Results!$C$1/2)+1,VLOOKUP($A310,Data!$V$2:$W$117,2,TRUE),"")</f>
        <v/>
      </c>
      <c r="C310" s="14" t="str">
        <f>IF(ROW()&lt;=(Results!$C$1/2)+1,IF(B310&lt;=0,"",LN(B310)),"")</f>
        <v/>
      </c>
      <c r="D310" s="1" t="str">
        <f ca="1">IF(ROW()&lt;=(Results!$C$1/2)+1,INDEX(Data!$X:$X,CEILING((COUNTA(Data!$X:$X)-1)*RAND()+1,1)),"")</f>
        <v/>
      </c>
      <c r="E310" s="1" t="str">
        <f>IF(ROW()&lt;=(Results!$C$1/2)+1,VLOOKUP($D310,Data!$X$2:$Y$117,2,TRUE),"")</f>
        <v/>
      </c>
      <c r="F310" s="14" t="str">
        <f>IF(ROW()&lt;=(Results!$C$1/2)+1,IF(E310&lt;=0,"",LN(E310)),"")</f>
        <v/>
      </c>
    </row>
    <row r="311" spans="1:6" x14ac:dyDescent="0.25">
      <c r="A311" s="1" t="str">
        <f ca="1">IF(ROW()&lt;=(Results!$C$1/2)+1,INDEX(Data!$V:$V,CEILING((COUNTA(Data!$V:$V)-1)*RAND()+1,1)),"")</f>
        <v/>
      </c>
      <c r="B311" s="1" t="str">
        <f>IF(ROW()&lt;=(Results!$C$1/2)+1,VLOOKUP($A311,Data!$V$2:$W$117,2,TRUE),"")</f>
        <v/>
      </c>
      <c r="C311" s="14" t="str">
        <f>IF(ROW()&lt;=(Results!$C$1/2)+1,IF(B311&lt;=0,"",LN(B311)),"")</f>
        <v/>
      </c>
      <c r="D311" s="1" t="str">
        <f ca="1">IF(ROW()&lt;=(Results!$C$1/2)+1,INDEX(Data!$X:$X,CEILING((COUNTA(Data!$X:$X)-1)*RAND()+1,1)),"")</f>
        <v/>
      </c>
      <c r="E311" s="1" t="str">
        <f>IF(ROW()&lt;=(Results!$C$1/2)+1,VLOOKUP($D311,Data!$X$2:$Y$117,2,TRUE),"")</f>
        <v/>
      </c>
      <c r="F311" s="14" t="str">
        <f>IF(ROW()&lt;=(Results!$C$1/2)+1,IF(E311&lt;=0,"",LN(E311)),"")</f>
        <v/>
      </c>
    </row>
    <row r="312" spans="1:6" x14ac:dyDescent="0.25">
      <c r="A312" s="1" t="str">
        <f ca="1">IF(ROW()&lt;=(Results!$C$1/2)+1,INDEX(Data!$V:$V,CEILING((COUNTA(Data!$V:$V)-1)*RAND()+1,1)),"")</f>
        <v/>
      </c>
      <c r="B312" s="1" t="str">
        <f>IF(ROW()&lt;=(Results!$C$1/2)+1,VLOOKUP($A312,Data!$V$2:$W$117,2,TRUE),"")</f>
        <v/>
      </c>
      <c r="C312" s="14" t="str">
        <f>IF(ROW()&lt;=(Results!$C$1/2)+1,IF(B312&lt;=0,"",LN(B312)),"")</f>
        <v/>
      </c>
      <c r="D312" s="1" t="str">
        <f ca="1">IF(ROW()&lt;=(Results!$C$1/2)+1,INDEX(Data!$X:$X,CEILING((COUNTA(Data!$X:$X)-1)*RAND()+1,1)),"")</f>
        <v/>
      </c>
      <c r="E312" s="1" t="str">
        <f>IF(ROW()&lt;=(Results!$C$1/2)+1,VLOOKUP($D312,Data!$X$2:$Y$117,2,TRUE),"")</f>
        <v/>
      </c>
      <c r="F312" s="14" t="str">
        <f>IF(ROW()&lt;=(Results!$C$1/2)+1,IF(E312&lt;=0,"",LN(E312)),"")</f>
        <v/>
      </c>
    </row>
    <row r="313" spans="1:6" x14ac:dyDescent="0.25">
      <c r="A313" s="1" t="str">
        <f ca="1">IF(ROW()&lt;=(Results!$C$1/2)+1,INDEX(Data!$V:$V,CEILING((COUNTA(Data!$V:$V)-1)*RAND()+1,1)),"")</f>
        <v/>
      </c>
      <c r="B313" s="1" t="str">
        <f>IF(ROW()&lt;=(Results!$C$1/2)+1,VLOOKUP($A313,Data!$V$2:$W$117,2,TRUE),"")</f>
        <v/>
      </c>
      <c r="C313" s="14" t="str">
        <f>IF(ROW()&lt;=(Results!$C$1/2)+1,IF(B313&lt;=0,"",LN(B313)),"")</f>
        <v/>
      </c>
      <c r="D313" s="1" t="str">
        <f ca="1">IF(ROW()&lt;=(Results!$C$1/2)+1,INDEX(Data!$X:$X,CEILING((COUNTA(Data!$X:$X)-1)*RAND()+1,1)),"")</f>
        <v/>
      </c>
      <c r="E313" s="1" t="str">
        <f>IF(ROW()&lt;=(Results!$C$1/2)+1,VLOOKUP($D313,Data!$X$2:$Y$117,2,TRUE),"")</f>
        <v/>
      </c>
      <c r="F313" s="14" t="str">
        <f>IF(ROW()&lt;=(Results!$C$1/2)+1,IF(E313&lt;=0,"",LN(E313)),"")</f>
        <v/>
      </c>
    </row>
    <row r="314" spans="1:6" x14ac:dyDescent="0.25">
      <c r="A314" s="1" t="str">
        <f ca="1">IF(ROW()&lt;=(Results!$C$1/2)+1,INDEX(Data!$V:$V,CEILING((COUNTA(Data!$V:$V)-1)*RAND()+1,1)),"")</f>
        <v/>
      </c>
      <c r="B314" s="1" t="str">
        <f>IF(ROW()&lt;=(Results!$C$1/2)+1,VLOOKUP($A314,Data!$V$2:$W$117,2,TRUE),"")</f>
        <v/>
      </c>
      <c r="C314" s="14" t="str">
        <f>IF(ROW()&lt;=(Results!$C$1/2)+1,IF(B314&lt;=0,"",LN(B314)),"")</f>
        <v/>
      </c>
      <c r="D314" s="1" t="str">
        <f ca="1">IF(ROW()&lt;=(Results!$C$1/2)+1,INDEX(Data!$X:$X,CEILING((COUNTA(Data!$X:$X)-1)*RAND()+1,1)),"")</f>
        <v/>
      </c>
      <c r="E314" s="1" t="str">
        <f>IF(ROW()&lt;=(Results!$C$1/2)+1,VLOOKUP($D314,Data!$X$2:$Y$117,2,TRUE),"")</f>
        <v/>
      </c>
      <c r="F314" s="14" t="str">
        <f>IF(ROW()&lt;=(Results!$C$1/2)+1,IF(E314&lt;=0,"",LN(E314)),"")</f>
        <v/>
      </c>
    </row>
    <row r="315" spans="1:6" x14ac:dyDescent="0.25">
      <c r="A315" s="1" t="str">
        <f ca="1">IF(ROW()&lt;=(Results!$C$1/2)+1,INDEX(Data!$V:$V,CEILING((COUNTA(Data!$V:$V)-1)*RAND()+1,1)),"")</f>
        <v/>
      </c>
      <c r="B315" s="1" t="str">
        <f>IF(ROW()&lt;=(Results!$C$1/2)+1,VLOOKUP($A315,Data!$V$2:$W$117,2,TRUE),"")</f>
        <v/>
      </c>
      <c r="C315" s="14" t="str">
        <f>IF(ROW()&lt;=(Results!$C$1/2)+1,IF(B315&lt;=0,"",LN(B315)),"")</f>
        <v/>
      </c>
      <c r="D315" s="1" t="str">
        <f ca="1">IF(ROW()&lt;=(Results!$C$1/2)+1,INDEX(Data!$X:$X,CEILING((COUNTA(Data!$X:$X)-1)*RAND()+1,1)),"")</f>
        <v/>
      </c>
      <c r="E315" s="1" t="str">
        <f>IF(ROW()&lt;=(Results!$C$1/2)+1,VLOOKUP($D315,Data!$X$2:$Y$117,2,TRUE),"")</f>
        <v/>
      </c>
      <c r="F315" s="14" t="str">
        <f>IF(ROW()&lt;=(Results!$C$1/2)+1,IF(E315&lt;=0,"",LN(E315)),"")</f>
        <v/>
      </c>
    </row>
    <row r="316" spans="1:6" x14ac:dyDescent="0.25">
      <c r="A316" s="1" t="str">
        <f ca="1">IF(ROW()&lt;=(Results!$C$1/2)+1,INDEX(Data!$V:$V,CEILING((COUNTA(Data!$V:$V)-1)*RAND()+1,1)),"")</f>
        <v/>
      </c>
      <c r="B316" s="1" t="str">
        <f>IF(ROW()&lt;=(Results!$C$1/2)+1,VLOOKUP($A316,Data!$V$2:$W$117,2,TRUE),"")</f>
        <v/>
      </c>
      <c r="C316" s="14" t="str">
        <f>IF(ROW()&lt;=(Results!$C$1/2)+1,IF(B316&lt;=0,"",LN(B316)),"")</f>
        <v/>
      </c>
      <c r="D316" s="1" t="str">
        <f ca="1">IF(ROW()&lt;=(Results!$C$1/2)+1,INDEX(Data!$X:$X,CEILING((COUNTA(Data!$X:$X)-1)*RAND()+1,1)),"")</f>
        <v/>
      </c>
      <c r="E316" s="1" t="str">
        <f>IF(ROW()&lt;=(Results!$C$1/2)+1,VLOOKUP($D316,Data!$X$2:$Y$117,2,TRUE),"")</f>
        <v/>
      </c>
      <c r="F316" s="14" t="str">
        <f>IF(ROW()&lt;=(Results!$C$1/2)+1,IF(E316&lt;=0,"",LN(E316)),"")</f>
        <v/>
      </c>
    </row>
    <row r="317" spans="1:6" x14ac:dyDescent="0.25">
      <c r="A317" s="1" t="str">
        <f ca="1">IF(ROW()&lt;=(Results!$C$1/2)+1,INDEX(Data!$V:$V,CEILING((COUNTA(Data!$V:$V)-1)*RAND()+1,1)),"")</f>
        <v/>
      </c>
      <c r="B317" s="1" t="str">
        <f>IF(ROW()&lt;=(Results!$C$1/2)+1,VLOOKUP($A317,Data!$V$2:$W$117,2,TRUE),"")</f>
        <v/>
      </c>
      <c r="C317" s="14" t="str">
        <f>IF(ROW()&lt;=(Results!$C$1/2)+1,IF(B317&lt;=0,"",LN(B317)),"")</f>
        <v/>
      </c>
      <c r="D317" s="1" t="str">
        <f ca="1">IF(ROW()&lt;=(Results!$C$1/2)+1,INDEX(Data!$X:$X,CEILING((COUNTA(Data!$X:$X)-1)*RAND()+1,1)),"")</f>
        <v/>
      </c>
      <c r="E317" s="1" t="str">
        <f>IF(ROW()&lt;=(Results!$C$1/2)+1,VLOOKUP($D317,Data!$X$2:$Y$117,2,TRUE),"")</f>
        <v/>
      </c>
      <c r="F317" s="14" t="str">
        <f>IF(ROW()&lt;=(Results!$C$1/2)+1,IF(E317&lt;=0,"",LN(E317)),"")</f>
        <v/>
      </c>
    </row>
    <row r="318" spans="1:6" x14ac:dyDescent="0.25">
      <c r="A318" s="1" t="str">
        <f ca="1">IF(ROW()&lt;=(Results!$C$1/2)+1,INDEX(Data!$V:$V,CEILING((COUNTA(Data!$V:$V)-1)*RAND()+1,1)),"")</f>
        <v/>
      </c>
      <c r="B318" s="1" t="str">
        <f>IF(ROW()&lt;=(Results!$C$1/2)+1,VLOOKUP($A318,Data!$V$2:$W$117,2,TRUE),"")</f>
        <v/>
      </c>
      <c r="C318" s="14" t="str">
        <f>IF(ROW()&lt;=(Results!$C$1/2)+1,IF(B318&lt;=0,"",LN(B318)),"")</f>
        <v/>
      </c>
      <c r="D318" s="1" t="str">
        <f ca="1">IF(ROW()&lt;=(Results!$C$1/2)+1,INDEX(Data!$X:$X,CEILING((COUNTA(Data!$X:$X)-1)*RAND()+1,1)),"")</f>
        <v/>
      </c>
      <c r="E318" s="1" t="str">
        <f>IF(ROW()&lt;=(Results!$C$1/2)+1,VLOOKUP($D318,Data!$X$2:$Y$117,2,TRUE),"")</f>
        <v/>
      </c>
      <c r="F318" s="14" t="str">
        <f>IF(ROW()&lt;=(Results!$C$1/2)+1,IF(E318&lt;=0,"",LN(E318)),"")</f>
        <v/>
      </c>
    </row>
    <row r="319" spans="1:6" x14ac:dyDescent="0.25">
      <c r="A319" s="1" t="str">
        <f ca="1">IF(ROW()&lt;=(Results!$C$1/2)+1,INDEX(Data!$V:$V,CEILING((COUNTA(Data!$V:$V)-1)*RAND()+1,1)),"")</f>
        <v/>
      </c>
      <c r="B319" s="1" t="str">
        <f>IF(ROW()&lt;=(Results!$C$1/2)+1,VLOOKUP($A319,Data!$V$2:$W$117,2,TRUE),"")</f>
        <v/>
      </c>
      <c r="C319" s="14" t="str">
        <f>IF(ROW()&lt;=(Results!$C$1/2)+1,IF(B319&lt;=0,"",LN(B319)),"")</f>
        <v/>
      </c>
      <c r="D319" s="1" t="str">
        <f ca="1">IF(ROW()&lt;=(Results!$C$1/2)+1,INDEX(Data!$X:$X,CEILING((COUNTA(Data!$X:$X)-1)*RAND()+1,1)),"")</f>
        <v/>
      </c>
      <c r="E319" s="1" t="str">
        <f>IF(ROW()&lt;=(Results!$C$1/2)+1,VLOOKUP($D319,Data!$X$2:$Y$117,2,TRUE),"")</f>
        <v/>
      </c>
      <c r="F319" s="14" t="str">
        <f>IF(ROW()&lt;=(Results!$C$1/2)+1,IF(E319&lt;=0,"",LN(E319)),"")</f>
        <v/>
      </c>
    </row>
    <row r="320" spans="1:6" x14ac:dyDescent="0.25">
      <c r="A320" s="1" t="str">
        <f ca="1">IF(ROW()&lt;=(Results!$C$1/2)+1,INDEX(Data!$V:$V,CEILING((COUNTA(Data!$V:$V)-1)*RAND()+1,1)),"")</f>
        <v/>
      </c>
      <c r="B320" s="1" t="str">
        <f>IF(ROW()&lt;=(Results!$C$1/2)+1,VLOOKUP($A320,Data!$V$2:$W$117,2,TRUE),"")</f>
        <v/>
      </c>
      <c r="C320" s="14" t="str">
        <f>IF(ROW()&lt;=(Results!$C$1/2)+1,IF(B320&lt;=0,"",LN(B320)),"")</f>
        <v/>
      </c>
      <c r="D320" s="1" t="str">
        <f ca="1">IF(ROW()&lt;=(Results!$C$1/2)+1,INDEX(Data!$X:$X,CEILING((COUNTA(Data!$X:$X)-1)*RAND()+1,1)),"")</f>
        <v/>
      </c>
      <c r="E320" s="1" t="str">
        <f>IF(ROW()&lt;=(Results!$C$1/2)+1,VLOOKUP($D320,Data!$X$2:$Y$117,2,TRUE),"")</f>
        <v/>
      </c>
      <c r="F320" s="14" t="str">
        <f>IF(ROW()&lt;=(Results!$C$1/2)+1,IF(E320&lt;=0,"",LN(E320)),"")</f>
        <v/>
      </c>
    </row>
    <row r="321" spans="1:6" x14ac:dyDescent="0.25">
      <c r="A321" s="1" t="str">
        <f ca="1">IF(ROW()&lt;=(Results!$C$1/2)+1,INDEX(Data!$V:$V,CEILING((COUNTA(Data!$V:$V)-1)*RAND()+1,1)),"")</f>
        <v/>
      </c>
      <c r="B321" s="1" t="str">
        <f>IF(ROW()&lt;=(Results!$C$1/2)+1,VLOOKUP($A321,Data!$V$2:$W$117,2,TRUE),"")</f>
        <v/>
      </c>
      <c r="C321" s="14" t="str">
        <f>IF(ROW()&lt;=(Results!$C$1/2)+1,IF(B321&lt;=0,"",LN(B321)),"")</f>
        <v/>
      </c>
      <c r="D321" s="1" t="str">
        <f ca="1">IF(ROW()&lt;=(Results!$C$1/2)+1,INDEX(Data!$X:$X,CEILING((COUNTA(Data!$X:$X)-1)*RAND()+1,1)),"")</f>
        <v/>
      </c>
      <c r="E321" s="1" t="str">
        <f>IF(ROW()&lt;=(Results!$C$1/2)+1,VLOOKUP($D321,Data!$X$2:$Y$117,2,TRUE),"")</f>
        <v/>
      </c>
      <c r="F321" s="14" t="str">
        <f>IF(ROW()&lt;=(Results!$C$1/2)+1,IF(E321&lt;=0,"",LN(E321)),"")</f>
        <v/>
      </c>
    </row>
    <row r="322" spans="1:6" x14ac:dyDescent="0.25">
      <c r="A322" s="1" t="str">
        <f ca="1">IF(ROW()&lt;=(Results!$C$1/2)+1,INDEX(Data!$V:$V,CEILING((COUNTA(Data!$V:$V)-1)*RAND()+1,1)),"")</f>
        <v/>
      </c>
      <c r="B322" s="1" t="str">
        <f>IF(ROW()&lt;=(Results!$C$1/2)+1,VLOOKUP($A322,Data!$V$2:$W$117,2,TRUE),"")</f>
        <v/>
      </c>
      <c r="C322" s="14" t="str">
        <f>IF(ROW()&lt;=(Results!$C$1/2)+1,IF(B322&lt;=0,"",LN(B322)),"")</f>
        <v/>
      </c>
      <c r="D322" s="1" t="str">
        <f ca="1">IF(ROW()&lt;=(Results!$C$1/2)+1,INDEX(Data!$X:$X,CEILING((COUNTA(Data!$X:$X)-1)*RAND()+1,1)),"")</f>
        <v/>
      </c>
      <c r="E322" s="1" t="str">
        <f>IF(ROW()&lt;=(Results!$C$1/2)+1,VLOOKUP($D322,Data!$X$2:$Y$117,2,TRUE),"")</f>
        <v/>
      </c>
      <c r="F322" s="14" t="str">
        <f>IF(ROW()&lt;=(Results!$C$1/2)+1,IF(E322&lt;=0,"",LN(E322)),"")</f>
        <v/>
      </c>
    </row>
    <row r="323" spans="1:6" x14ac:dyDescent="0.25">
      <c r="A323" s="1" t="str">
        <f ca="1">IF(ROW()&lt;=(Results!$C$1/2)+1,INDEX(Data!$V:$V,CEILING((COUNTA(Data!$V:$V)-1)*RAND()+1,1)),"")</f>
        <v/>
      </c>
      <c r="B323" s="1" t="str">
        <f>IF(ROW()&lt;=(Results!$C$1/2)+1,VLOOKUP($A323,Data!$V$2:$W$117,2,TRUE),"")</f>
        <v/>
      </c>
      <c r="C323" s="14" t="str">
        <f>IF(ROW()&lt;=(Results!$C$1/2)+1,IF(B323&lt;=0,"",LN(B323)),"")</f>
        <v/>
      </c>
      <c r="D323" s="1" t="str">
        <f ca="1">IF(ROW()&lt;=(Results!$C$1/2)+1,INDEX(Data!$X:$X,CEILING((COUNTA(Data!$X:$X)-1)*RAND()+1,1)),"")</f>
        <v/>
      </c>
      <c r="E323" s="1" t="str">
        <f>IF(ROW()&lt;=(Results!$C$1/2)+1,VLOOKUP($D323,Data!$X$2:$Y$117,2,TRUE),"")</f>
        <v/>
      </c>
      <c r="F323" s="14" t="str">
        <f>IF(ROW()&lt;=(Results!$C$1/2)+1,IF(E323&lt;=0,"",LN(E323)),"")</f>
        <v/>
      </c>
    </row>
    <row r="324" spans="1:6" x14ac:dyDescent="0.25">
      <c r="A324" s="1" t="str">
        <f ca="1">IF(ROW()&lt;=(Results!$C$1/2)+1,INDEX(Data!$V:$V,CEILING((COUNTA(Data!$V:$V)-1)*RAND()+1,1)),"")</f>
        <v/>
      </c>
      <c r="B324" s="1" t="str">
        <f>IF(ROW()&lt;=(Results!$C$1/2)+1,VLOOKUP($A324,Data!$V$2:$W$117,2,TRUE),"")</f>
        <v/>
      </c>
      <c r="C324" s="14" t="str">
        <f>IF(ROW()&lt;=(Results!$C$1/2)+1,IF(B324&lt;=0,"",LN(B324)),"")</f>
        <v/>
      </c>
      <c r="D324" s="1" t="str">
        <f ca="1">IF(ROW()&lt;=(Results!$C$1/2)+1,INDEX(Data!$X:$X,CEILING((COUNTA(Data!$X:$X)-1)*RAND()+1,1)),"")</f>
        <v/>
      </c>
      <c r="E324" s="1" t="str">
        <f>IF(ROW()&lt;=(Results!$C$1/2)+1,VLOOKUP($D324,Data!$X$2:$Y$117,2,TRUE),"")</f>
        <v/>
      </c>
      <c r="F324" s="14" t="str">
        <f>IF(ROW()&lt;=(Results!$C$1/2)+1,IF(E324&lt;=0,"",LN(E324)),"")</f>
        <v/>
      </c>
    </row>
    <row r="325" spans="1:6" x14ac:dyDescent="0.25">
      <c r="A325" s="1" t="str">
        <f ca="1">IF(ROW()&lt;=(Results!$C$1/2)+1,INDEX(Data!$V:$V,CEILING((COUNTA(Data!$V:$V)-1)*RAND()+1,1)),"")</f>
        <v/>
      </c>
      <c r="B325" s="1" t="str">
        <f>IF(ROW()&lt;=(Results!$C$1/2)+1,VLOOKUP($A325,Data!$V$2:$W$117,2,TRUE),"")</f>
        <v/>
      </c>
      <c r="C325" s="14" t="str">
        <f>IF(ROW()&lt;=(Results!$C$1/2)+1,IF(B325&lt;=0,"",LN(B325)),"")</f>
        <v/>
      </c>
      <c r="D325" s="1" t="str">
        <f ca="1">IF(ROW()&lt;=(Results!$C$1/2)+1,INDEX(Data!$X:$X,CEILING((COUNTA(Data!$X:$X)-1)*RAND()+1,1)),"")</f>
        <v/>
      </c>
      <c r="E325" s="1" t="str">
        <f>IF(ROW()&lt;=(Results!$C$1/2)+1,VLOOKUP($D325,Data!$X$2:$Y$117,2,TRUE),"")</f>
        <v/>
      </c>
      <c r="F325" s="14" t="str">
        <f>IF(ROW()&lt;=(Results!$C$1/2)+1,IF(E325&lt;=0,"",LN(E325)),"")</f>
        <v/>
      </c>
    </row>
    <row r="326" spans="1:6" x14ac:dyDescent="0.25">
      <c r="A326" s="1" t="str">
        <f ca="1">IF(ROW()&lt;=(Results!$C$1/2)+1,INDEX(Data!$V:$V,CEILING((COUNTA(Data!$V:$V)-1)*RAND()+1,1)),"")</f>
        <v/>
      </c>
      <c r="B326" s="1" t="str">
        <f>IF(ROW()&lt;=(Results!$C$1/2)+1,VLOOKUP($A326,Data!$V$2:$W$117,2,TRUE),"")</f>
        <v/>
      </c>
      <c r="C326" s="14" t="str">
        <f>IF(ROW()&lt;=(Results!$C$1/2)+1,IF(B326&lt;=0,"",LN(B326)),"")</f>
        <v/>
      </c>
      <c r="D326" s="1" t="str">
        <f ca="1">IF(ROW()&lt;=(Results!$C$1/2)+1,INDEX(Data!$X:$X,CEILING((COUNTA(Data!$X:$X)-1)*RAND()+1,1)),"")</f>
        <v/>
      </c>
      <c r="E326" s="1" t="str">
        <f>IF(ROW()&lt;=(Results!$C$1/2)+1,VLOOKUP($D326,Data!$X$2:$Y$117,2,TRUE),"")</f>
        <v/>
      </c>
      <c r="F326" s="14" t="str">
        <f>IF(ROW()&lt;=(Results!$C$1/2)+1,IF(E326&lt;=0,"",LN(E326)),"")</f>
        <v/>
      </c>
    </row>
    <row r="327" spans="1:6" x14ac:dyDescent="0.25">
      <c r="A327" s="1" t="str">
        <f ca="1">IF(ROW()&lt;=(Results!$C$1/2)+1,INDEX(Data!$V:$V,CEILING((COUNTA(Data!$V:$V)-1)*RAND()+1,1)),"")</f>
        <v/>
      </c>
      <c r="B327" s="1" t="str">
        <f>IF(ROW()&lt;=(Results!$C$1/2)+1,VLOOKUP($A327,Data!$V$2:$W$117,2,TRUE),"")</f>
        <v/>
      </c>
      <c r="C327" s="14" t="str">
        <f>IF(ROW()&lt;=(Results!$C$1/2)+1,IF(B327&lt;=0,"",LN(B327)),"")</f>
        <v/>
      </c>
      <c r="D327" s="1" t="str">
        <f ca="1">IF(ROW()&lt;=(Results!$C$1/2)+1,INDEX(Data!$X:$X,CEILING((COUNTA(Data!$X:$X)-1)*RAND()+1,1)),"")</f>
        <v/>
      </c>
      <c r="E327" s="1" t="str">
        <f>IF(ROW()&lt;=(Results!$C$1/2)+1,VLOOKUP($D327,Data!$X$2:$Y$117,2,TRUE),"")</f>
        <v/>
      </c>
      <c r="F327" s="14" t="str">
        <f>IF(ROW()&lt;=(Results!$C$1/2)+1,IF(E327&lt;=0,"",LN(E327)),"")</f>
        <v/>
      </c>
    </row>
    <row r="328" spans="1:6" x14ac:dyDescent="0.25">
      <c r="A328" s="1" t="str">
        <f ca="1">IF(ROW()&lt;=(Results!$C$1/2)+1,INDEX(Data!$V:$V,CEILING((COUNTA(Data!$V:$V)-1)*RAND()+1,1)),"")</f>
        <v/>
      </c>
      <c r="B328" s="1" t="str">
        <f>IF(ROW()&lt;=(Results!$C$1/2)+1,VLOOKUP($A328,Data!$V$2:$W$117,2,TRUE),"")</f>
        <v/>
      </c>
      <c r="C328" s="14" t="str">
        <f>IF(ROW()&lt;=(Results!$C$1/2)+1,IF(B328&lt;=0,"",LN(B328)),"")</f>
        <v/>
      </c>
      <c r="D328" s="1" t="str">
        <f ca="1">IF(ROW()&lt;=(Results!$C$1/2)+1,INDEX(Data!$X:$X,CEILING((COUNTA(Data!$X:$X)-1)*RAND()+1,1)),"")</f>
        <v/>
      </c>
      <c r="E328" s="1" t="str">
        <f>IF(ROW()&lt;=(Results!$C$1/2)+1,VLOOKUP($D328,Data!$X$2:$Y$117,2,TRUE),"")</f>
        <v/>
      </c>
      <c r="F328" s="14" t="str">
        <f>IF(ROW()&lt;=(Results!$C$1/2)+1,IF(E328&lt;=0,"",LN(E328)),"")</f>
        <v/>
      </c>
    </row>
    <row r="329" spans="1:6" x14ac:dyDescent="0.25">
      <c r="A329" s="1" t="str">
        <f ca="1">IF(ROW()&lt;=(Results!$C$1/2)+1,INDEX(Data!$V:$V,CEILING((COUNTA(Data!$V:$V)-1)*RAND()+1,1)),"")</f>
        <v/>
      </c>
      <c r="B329" s="1" t="str">
        <f>IF(ROW()&lt;=(Results!$C$1/2)+1,VLOOKUP($A329,Data!$V$2:$W$117,2,TRUE),"")</f>
        <v/>
      </c>
      <c r="C329" s="14" t="str">
        <f>IF(ROW()&lt;=(Results!$C$1/2)+1,IF(B329&lt;=0,"",LN(B329)),"")</f>
        <v/>
      </c>
      <c r="D329" s="1" t="str">
        <f ca="1">IF(ROW()&lt;=(Results!$C$1/2)+1,INDEX(Data!$X:$X,CEILING((COUNTA(Data!$X:$X)-1)*RAND()+1,1)),"")</f>
        <v/>
      </c>
      <c r="E329" s="1" t="str">
        <f>IF(ROW()&lt;=(Results!$C$1/2)+1,VLOOKUP($D329,Data!$X$2:$Y$117,2,TRUE),"")</f>
        <v/>
      </c>
      <c r="F329" s="14" t="str">
        <f>IF(ROW()&lt;=(Results!$C$1/2)+1,IF(E329&lt;=0,"",LN(E329)),"")</f>
        <v/>
      </c>
    </row>
    <row r="330" spans="1:6" x14ac:dyDescent="0.25">
      <c r="A330" s="1" t="str">
        <f ca="1">IF(ROW()&lt;=(Results!$C$1/2)+1,INDEX(Data!$V:$V,CEILING((COUNTA(Data!$V:$V)-1)*RAND()+1,1)),"")</f>
        <v/>
      </c>
      <c r="B330" s="1" t="str">
        <f>IF(ROW()&lt;=(Results!$C$1/2)+1,VLOOKUP($A330,Data!$V$2:$W$117,2,TRUE),"")</f>
        <v/>
      </c>
      <c r="C330" s="14" t="str">
        <f>IF(ROW()&lt;=(Results!$C$1/2)+1,IF(B330&lt;=0,"",LN(B330)),"")</f>
        <v/>
      </c>
      <c r="D330" s="1" t="str">
        <f ca="1">IF(ROW()&lt;=(Results!$C$1/2)+1,INDEX(Data!$X:$X,CEILING((COUNTA(Data!$X:$X)-1)*RAND()+1,1)),"")</f>
        <v/>
      </c>
      <c r="E330" s="1" t="str">
        <f>IF(ROW()&lt;=(Results!$C$1/2)+1,VLOOKUP($D330,Data!$X$2:$Y$117,2,TRUE),"")</f>
        <v/>
      </c>
      <c r="F330" s="14" t="str">
        <f>IF(ROW()&lt;=(Results!$C$1/2)+1,IF(E330&lt;=0,"",LN(E330)),"")</f>
        <v/>
      </c>
    </row>
    <row r="331" spans="1:6" x14ac:dyDescent="0.25">
      <c r="A331" s="1" t="str">
        <f ca="1">IF(ROW()&lt;=(Results!$C$1/2)+1,INDEX(Data!$V:$V,CEILING((COUNTA(Data!$V:$V)-1)*RAND()+1,1)),"")</f>
        <v/>
      </c>
      <c r="B331" s="1" t="str">
        <f>IF(ROW()&lt;=(Results!$C$1/2)+1,VLOOKUP($A331,Data!$V$2:$W$117,2,TRUE),"")</f>
        <v/>
      </c>
      <c r="C331" s="14" t="str">
        <f>IF(ROW()&lt;=(Results!$C$1/2)+1,IF(B331&lt;=0,"",LN(B331)),"")</f>
        <v/>
      </c>
      <c r="D331" s="1" t="str">
        <f ca="1">IF(ROW()&lt;=(Results!$C$1/2)+1,INDEX(Data!$X:$X,CEILING((COUNTA(Data!$X:$X)-1)*RAND()+1,1)),"")</f>
        <v/>
      </c>
      <c r="E331" s="1" t="str">
        <f>IF(ROW()&lt;=(Results!$C$1/2)+1,VLOOKUP($D331,Data!$X$2:$Y$117,2,TRUE),"")</f>
        <v/>
      </c>
      <c r="F331" s="14" t="str">
        <f>IF(ROW()&lt;=(Results!$C$1/2)+1,IF(E331&lt;=0,"",LN(E331)),"")</f>
        <v/>
      </c>
    </row>
    <row r="332" spans="1:6" x14ac:dyDescent="0.25">
      <c r="A332" s="1" t="str">
        <f ca="1">IF(ROW()&lt;=(Results!$C$1/2)+1,INDEX(Data!$V:$V,CEILING((COUNTA(Data!$V:$V)-1)*RAND()+1,1)),"")</f>
        <v/>
      </c>
      <c r="B332" s="1" t="str">
        <f>IF(ROW()&lt;=(Results!$C$1/2)+1,VLOOKUP($A332,Data!$V$2:$W$117,2,TRUE),"")</f>
        <v/>
      </c>
      <c r="C332" s="14" t="str">
        <f>IF(ROW()&lt;=(Results!$C$1/2)+1,IF(B332&lt;=0,"",LN(B332)),"")</f>
        <v/>
      </c>
      <c r="D332" s="1" t="str">
        <f ca="1">IF(ROW()&lt;=(Results!$C$1/2)+1,INDEX(Data!$X:$X,CEILING((COUNTA(Data!$X:$X)-1)*RAND()+1,1)),"")</f>
        <v/>
      </c>
      <c r="E332" s="1" t="str">
        <f>IF(ROW()&lt;=(Results!$C$1/2)+1,VLOOKUP($D332,Data!$X$2:$Y$117,2,TRUE),"")</f>
        <v/>
      </c>
      <c r="F332" s="14" t="str">
        <f>IF(ROW()&lt;=(Results!$C$1/2)+1,IF(E332&lt;=0,"",LN(E332)),"")</f>
        <v/>
      </c>
    </row>
    <row r="333" spans="1:6" x14ac:dyDescent="0.25">
      <c r="A333" s="1" t="str">
        <f ca="1">IF(ROW()&lt;=(Results!$C$1/2)+1,INDEX(Data!$V:$V,CEILING((COUNTA(Data!$V:$V)-1)*RAND()+1,1)),"")</f>
        <v/>
      </c>
      <c r="B333" s="1" t="str">
        <f>IF(ROW()&lt;=(Results!$C$1/2)+1,VLOOKUP($A333,Data!$V$2:$W$117,2,TRUE),"")</f>
        <v/>
      </c>
      <c r="C333" s="14" t="str">
        <f>IF(ROW()&lt;=(Results!$C$1/2)+1,IF(B333&lt;=0,"",LN(B333)),"")</f>
        <v/>
      </c>
      <c r="D333" s="1" t="str">
        <f ca="1">IF(ROW()&lt;=(Results!$C$1/2)+1,INDEX(Data!$X:$X,CEILING((COUNTA(Data!$X:$X)-1)*RAND()+1,1)),"")</f>
        <v/>
      </c>
      <c r="E333" s="1" t="str">
        <f>IF(ROW()&lt;=(Results!$C$1/2)+1,VLOOKUP($D333,Data!$X$2:$Y$117,2,TRUE),"")</f>
        <v/>
      </c>
      <c r="F333" s="14" t="str">
        <f>IF(ROW()&lt;=(Results!$C$1/2)+1,IF(E333&lt;=0,"",LN(E333)),"")</f>
        <v/>
      </c>
    </row>
    <row r="334" spans="1:6" x14ac:dyDescent="0.25">
      <c r="A334" s="1" t="str">
        <f ca="1">IF(ROW()&lt;=(Results!$C$1/2)+1,INDEX(Data!$V:$V,CEILING((COUNTA(Data!$V:$V)-1)*RAND()+1,1)),"")</f>
        <v/>
      </c>
      <c r="B334" s="1" t="str">
        <f>IF(ROW()&lt;=(Results!$C$1/2)+1,VLOOKUP($A334,Data!$V$2:$W$117,2,TRUE),"")</f>
        <v/>
      </c>
      <c r="C334" s="14" t="str">
        <f>IF(ROW()&lt;=(Results!$C$1/2)+1,IF(B334&lt;=0,"",LN(B334)),"")</f>
        <v/>
      </c>
      <c r="D334" s="1" t="str">
        <f ca="1">IF(ROW()&lt;=(Results!$C$1/2)+1,INDEX(Data!$X:$X,CEILING((COUNTA(Data!$X:$X)-1)*RAND()+1,1)),"")</f>
        <v/>
      </c>
      <c r="E334" s="1" t="str">
        <f>IF(ROW()&lt;=(Results!$C$1/2)+1,VLOOKUP($D334,Data!$X$2:$Y$117,2,TRUE),"")</f>
        <v/>
      </c>
      <c r="F334" s="14" t="str">
        <f>IF(ROW()&lt;=(Results!$C$1/2)+1,IF(E334&lt;=0,"",LN(E334)),"")</f>
        <v/>
      </c>
    </row>
    <row r="335" spans="1:6" x14ac:dyDescent="0.25">
      <c r="A335" s="1" t="str">
        <f ca="1">IF(ROW()&lt;=(Results!$C$1/2)+1,INDEX(Data!$V:$V,CEILING((COUNTA(Data!$V:$V)-1)*RAND()+1,1)),"")</f>
        <v/>
      </c>
      <c r="B335" s="1" t="str">
        <f>IF(ROW()&lt;=(Results!$C$1/2)+1,VLOOKUP($A335,Data!$V$2:$W$117,2,TRUE),"")</f>
        <v/>
      </c>
      <c r="C335" s="14" t="str">
        <f>IF(ROW()&lt;=(Results!$C$1/2)+1,IF(B335&lt;=0,"",LN(B335)),"")</f>
        <v/>
      </c>
      <c r="D335" s="1" t="str">
        <f ca="1">IF(ROW()&lt;=(Results!$C$1/2)+1,INDEX(Data!$X:$X,CEILING((COUNTA(Data!$X:$X)-1)*RAND()+1,1)),"")</f>
        <v/>
      </c>
      <c r="E335" s="1" t="str">
        <f>IF(ROW()&lt;=(Results!$C$1/2)+1,VLOOKUP($D335,Data!$X$2:$Y$117,2,TRUE),"")</f>
        <v/>
      </c>
      <c r="F335" s="14" t="str">
        <f>IF(ROW()&lt;=(Results!$C$1/2)+1,IF(E335&lt;=0,"",LN(E335)),"")</f>
        <v/>
      </c>
    </row>
    <row r="336" spans="1:6" x14ac:dyDescent="0.25">
      <c r="A336" s="1" t="str">
        <f ca="1">IF(ROW()&lt;=(Results!$C$1/2)+1,INDEX(Data!$V:$V,CEILING((COUNTA(Data!$V:$V)-1)*RAND()+1,1)),"")</f>
        <v/>
      </c>
      <c r="B336" s="1" t="str">
        <f>IF(ROW()&lt;=(Results!$C$1/2)+1,VLOOKUP($A336,Data!$V$2:$W$117,2,TRUE),"")</f>
        <v/>
      </c>
      <c r="C336" s="14" t="str">
        <f>IF(ROW()&lt;=(Results!$C$1/2)+1,IF(B336&lt;=0,"",LN(B336)),"")</f>
        <v/>
      </c>
      <c r="D336" s="1" t="str">
        <f ca="1">IF(ROW()&lt;=(Results!$C$1/2)+1,INDEX(Data!$X:$X,CEILING((COUNTA(Data!$X:$X)-1)*RAND()+1,1)),"")</f>
        <v/>
      </c>
      <c r="E336" s="1" t="str">
        <f>IF(ROW()&lt;=(Results!$C$1/2)+1,VLOOKUP($D336,Data!$X$2:$Y$117,2,TRUE),"")</f>
        <v/>
      </c>
      <c r="F336" s="14" t="str">
        <f>IF(ROW()&lt;=(Results!$C$1/2)+1,IF(E336&lt;=0,"",LN(E336)),"")</f>
        <v/>
      </c>
    </row>
    <row r="337" spans="1:6" x14ac:dyDescent="0.25">
      <c r="A337" s="1" t="str">
        <f ca="1">IF(ROW()&lt;=(Results!$C$1/2)+1,INDEX(Data!$V:$V,CEILING((COUNTA(Data!$V:$V)-1)*RAND()+1,1)),"")</f>
        <v/>
      </c>
      <c r="B337" s="1" t="str">
        <f>IF(ROW()&lt;=(Results!$C$1/2)+1,VLOOKUP($A337,Data!$V$2:$W$117,2,TRUE),"")</f>
        <v/>
      </c>
      <c r="C337" s="14" t="str">
        <f>IF(ROW()&lt;=(Results!$C$1/2)+1,IF(B337&lt;=0,"",LN(B337)),"")</f>
        <v/>
      </c>
      <c r="D337" s="1" t="str">
        <f ca="1">IF(ROW()&lt;=(Results!$C$1/2)+1,INDEX(Data!$X:$X,CEILING((COUNTA(Data!$X:$X)-1)*RAND()+1,1)),"")</f>
        <v/>
      </c>
      <c r="E337" s="1" t="str">
        <f>IF(ROW()&lt;=(Results!$C$1/2)+1,VLOOKUP($D337,Data!$X$2:$Y$117,2,TRUE),"")</f>
        <v/>
      </c>
      <c r="F337" s="14" t="str">
        <f>IF(ROW()&lt;=(Results!$C$1/2)+1,IF(E337&lt;=0,"",LN(E337)),"")</f>
        <v/>
      </c>
    </row>
    <row r="338" spans="1:6" x14ac:dyDescent="0.25">
      <c r="A338" s="1" t="str">
        <f ca="1">IF(ROW()&lt;=(Results!$C$1/2)+1,INDEX(Data!$V:$V,CEILING((COUNTA(Data!$V:$V)-1)*RAND()+1,1)),"")</f>
        <v/>
      </c>
      <c r="B338" s="1" t="str">
        <f>IF(ROW()&lt;=(Results!$C$1/2)+1,VLOOKUP($A338,Data!$V$2:$W$117,2,TRUE),"")</f>
        <v/>
      </c>
      <c r="C338" s="14" t="str">
        <f>IF(ROW()&lt;=(Results!$C$1/2)+1,IF(B338&lt;=0,"",LN(B338)),"")</f>
        <v/>
      </c>
      <c r="D338" s="1" t="str">
        <f ca="1">IF(ROW()&lt;=(Results!$C$1/2)+1,INDEX(Data!$X:$X,CEILING((COUNTA(Data!$X:$X)-1)*RAND()+1,1)),"")</f>
        <v/>
      </c>
      <c r="E338" s="1" t="str">
        <f>IF(ROW()&lt;=(Results!$C$1/2)+1,VLOOKUP($D338,Data!$X$2:$Y$117,2,TRUE),"")</f>
        <v/>
      </c>
      <c r="F338" s="14" t="str">
        <f>IF(ROW()&lt;=(Results!$C$1/2)+1,IF(E338&lt;=0,"",LN(E338)),"")</f>
        <v/>
      </c>
    </row>
    <row r="339" spans="1:6" x14ac:dyDescent="0.25">
      <c r="A339" s="1" t="str">
        <f ca="1">IF(ROW()&lt;=(Results!$C$1/2)+1,INDEX(Data!$V:$V,CEILING((COUNTA(Data!$V:$V)-1)*RAND()+1,1)),"")</f>
        <v/>
      </c>
      <c r="B339" s="1" t="str">
        <f>IF(ROW()&lt;=(Results!$C$1/2)+1,VLOOKUP($A339,Data!$V$2:$W$117,2,TRUE),"")</f>
        <v/>
      </c>
      <c r="C339" s="14" t="str">
        <f>IF(ROW()&lt;=(Results!$C$1/2)+1,IF(B339&lt;=0,"",LN(B339)),"")</f>
        <v/>
      </c>
      <c r="D339" s="1" t="str">
        <f ca="1">IF(ROW()&lt;=(Results!$C$1/2)+1,INDEX(Data!$X:$X,CEILING((COUNTA(Data!$X:$X)-1)*RAND()+1,1)),"")</f>
        <v/>
      </c>
      <c r="E339" s="1" t="str">
        <f>IF(ROW()&lt;=(Results!$C$1/2)+1,VLOOKUP($D339,Data!$X$2:$Y$117,2,TRUE),"")</f>
        <v/>
      </c>
      <c r="F339" s="14" t="str">
        <f>IF(ROW()&lt;=(Results!$C$1/2)+1,IF(E339&lt;=0,"",LN(E339)),"")</f>
        <v/>
      </c>
    </row>
    <row r="340" spans="1:6" x14ac:dyDescent="0.25">
      <c r="A340" s="1" t="str">
        <f ca="1">IF(ROW()&lt;=(Results!$C$1/2)+1,INDEX(Data!$V:$V,CEILING((COUNTA(Data!$V:$V)-1)*RAND()+1,1)),"")</f>
        <v/>
      </c>
      <c r="B340" s="1" t="str">
        <f>IF(ROW()&lt;=(Results!$C$1/2)+1,VLOOKUP($A340,Data!$V$2:$W$117,2,TRUE),"")</f>
        <v/>
      </c>
      <c r="C340" s="14" t="str">
        <f>IF(ROW()&lt;=(Results!$C$1/2)+1,IF(B340&lt;=0,"",LN(B340)),"")</f>
        <v/>
      </c>
      <c r="D340" s="1" t="str">
        <f ca="1">IF(ROW()&lt;=(Results!$C$1/2)+1,INDEX(Data!$X:$X,CEILING((COUNTA(Data!$X:$X)-1)*RAND()+1,1)),"")</f>
        <v/>
      </c>
      <c r="E340" s="1" t="str">
        <f>IF(ROW()&lt;=(Results!$C$1/2)+1,VLOOKUP($D340,Data!$X$2:$Y$117,2,TRUE),"")</f>
        <v/>
      </c>
      <c r="F340" s="14" t="str">
        <f>IF(ROW()&lt;=(Results!$C$1/2)+1,IF(E340&lt;=0,"",LN(E340)),"")</f>
        <v/>
      </c>
    </row>
    <row r="341" spans="1:6" x14ac:dyDescent="0.25">
      <c r="A341" s="1" t="str">
        <f ca="1">IF(ROW()&lt;=(Results!$C$1/2)+1,INDEX(Data!$V:$V,CEILING((COUNTA(Data!$V:$V)-1)*RAND()+1,1)),"")</f>
        <v/>
      </c>
      <c r="B341" s="1" t="str">
        <f>IF(ROW()&lt;=(Results!$C$1/2)+1,VLOOKUP($A341,Data!$V$2:$W$117,2,TRUE),"")</f>
        <v/>
      </c>
      <c r="C341" s="14" t="str">
        <f>IF(ROW()&lt;=(Results!$C$1/2)+1,IF(B341&lt;=0,"",LN(B341)),"")</f>
        <v/>
      </c>
      <c r="D341" s="1" t="str">
        <f ca="1">IF(ROW()&lt;=(Results!$C$1/2)+1,INDEX(Data!$X:$X,CEILING((COUNTA(Data!$X:$X)-1)*RAND()+1,1)),"")</f>
        <v/>
      </c>
      <c r="E341" s="1" t="str">
        <f>IF(ROW()&lt;=(Results!$C$1/2)+1,VLOOKUP($D341,Data!$X$2:$Y$117,2,TRUE),"")</f>
        <v/>
      </c>
      <c r="F341" s="14" t="str">
        <f>IF(ROW()&lt;=(Results!$C$1/2)+1,IF(E341&lt;=0,"",LN(E341)),"")</f>
        <v/>
      </c>
    </row>
    <row r="342" spans="1:6" x14ac:dyDescent="0.25">
      <c r="A342" s="1" t="str">
        <f ca="1">IF(ROW()&lt;=(Results!$C$1/2)+1,INDEX(Data!$V:$V,CEILING((COUNTA(Data!$V:$V)-1)*RAND()+1,1)),"")</f>
        <v/>
      </c>
      <c r="B342" s="1" t="str">
        <f>IF(ROW()&lt;=(Results!$C$1/2)+1,VLOOKUP($A342,Data!$V$2:$W$117,2,TRUE),"")</f>
        <v/>
      </c>
      <c r="C342" s="14" t="str">
        <f>IF(ROW()&lt;=(Results!$C$1/2)+1,IF(B342&lt;=0,"",LN(B342)),"")</f>
        <v/>
      </c>
      <c r="D342" s="1" t="str">
        <f ca="1">IF(ROW()&lt;=(Results!$C$1/2)+1,INDEX(Data!$X:$X,CEILING((COUNTA(Data!$X:$X)-1)*RAND()+1,1)),"")</f>
        <v/>
      </c>
      <c r="E342" s="1" t="str">
        <f>IF(ROW()&lt;=(Results!$C$1/2)+1,VLOOKUP($D342,Data!$X$2:$Y$117,2,TRUE),"")</f>
        <v/>
      </c>
      <c r="F342" s="14" t="str">
        <f>IF(ROW()&lt;=(Results!$C$1/2)+1,IF(E342&lt;=0,"",LN(E342)),"")</f>
        <v/>
      </c>
    </row>
    <row r="343" spans="1:6" x14ac:dyDescent="0.25">
      <c r="A343" s="1" t="str">
        <f ca="1">IF(ROW()&lt;=(Results!$C$1/2)+1,INDEX(Data!$V:$V,CEILING((COUNTA(Data!$V:$V)-1)*RAND()+1,1)),"")</f>
        <v/>
      </c>
      <c r="B343" s="1" t="str">
        <f>IF(ROW()&lt;=(Results!$C$1/2)+1,VLOOKUP($A343,Data!$V$2:$W$117,2,TRUE),"")</f>
        <v/>
      </c>
      <c r="C343" s="14" t="str">
        <f>IF(ROW()&lt;=(Results!$C$1/2)+1,IF(B343&lt;=0,"",LN(B343)),"")</f>
        <v/>
      </c>
      <c r="D343" s="1" t="str">
        <f ca="1">IF(ROW()&lt;=(Results!$C$1/2)+1,INDEX(Data!$X:$X,CEILING((COUNTA(Data!$X:$X)-1)*RAND()+1,1)),"")</f>
        <v/>
      </c>
      <c r="E343" s="1" t="str">
        <f>IF(ROW()&lt;=(Results!$C$1/2)+1,VLOOKUP($D343,Data!$X$2:$Y$117,2,TRUE),"")</f>
        <v/>
      </c>
      <c r="F343" s="14" t="str">
        <f>IF(ROW()&lt;=(Results!$C$1/2)+1,IF(E343&lt;=0,"",LN(E343)),"")</f>
        <v/>
      </c>
    </row>
    <row r="344" spans="1:6" x14ac:dyDescent="0.25">
      <c r="A344" s="1" t="str">
        <f ca="1">IF(ROW()&lt;=(Results!$C$1/2)+1,INDEX(Data!$V:$V,CEILING((COUNTA(Data!$V:$V)-1)*RAND()+1,1)),"")</f>
        <v/>
      </c>
      <c r="B344" s="1" t="str">
        <f>IF(ROW()&lt;=(Results!$C$1/2)+1,VLOOKUP($A344,Data!$V$2:$W$117,2,TRUE),"")</f>
        <v/>
      </c>
      <c r="C344" s="14" t="str">
        <f>IF(ROW()&lt;=(Results!$C$1/2)+1,IF(B344&lt;=0,"",LN(B344)),"")</f>
        <v/>
      </c>
      <c r="D344" s="1" t="str">
        <f ca="1">IF(ROW()&lt;=(Results!$C$1/2)+1,INDEX(Data!$X:$X,CEILING((COUNTA(Data!$X:$X)-1)*RAND()+1,1)),"")</f>
        <v/>
      </c>
      <c r="E344" s="1" t="str">
        <f>IF(ROW()&lt;=(Results!$C$1/2)+1,VLOOKUP($D344,Data!$X$2:$Y$117,2,TRUE),"")</f>
        <v/>
      </c>
      <c r="F344" s="14" t="str">
        <f>IF(ROW()&lt;=(Results!$C$1/2)+1,IF(E344&lt;=0,"",LN(E344)),"")</f>
        <v/>
      </c>
    </row>
    <row r="345" spans="1:6" x14ac:dyDescent="0.25">
      <c r="A345" s="1" t="str">
        <f ca="1">IF(ROW()&lt;=(Results!$C$1/2)+1,INDEX(Data!$V:$V,CEILING((COUNTA(Data!$V:$V)-1)*RAND()+1,1)),"")</f>
        <v/>
      </c>
      <c r="B345" s="1" t="str">
        <f>IF(ROW()&lt;=(Results!$C$1/2)+1,VLOOKUP($A345,Data!$V$2:$W$117,2,TRUE),"")</f>
        <v/>
      </c>
      <c r="C345" s="14" t="str">
        <f>IF(ROW()&lt;=(Results!$C$1/2)+1,IF(B345&lt;=0,"",LN(B345)),"")</f>
        <v/>
      </c>
      <c r="D345" s="1" t="str">
        <f ca="1">IF(ROW()&lt;=(Results!$C$1/2)+1,INDEX(Data!$X:$X,CEILING((COUNTA(Data!$X:$X)-1)*RAND()+1,1)),"")</f>
        <v/>
      </c>
      <c r="E345" s="1" t="str">
        <f>IF(ROW()&lt;=(Results!$C$1/2)+1,VLOOKUP($D345,Data!$X$2:$Y$117,2,TRUE),"")</f>
        <v/>
      </c>
      <c r="F345" s="14" t="str">
        <f>IF(ROW()&lt;=(Results!$C$1/2)+1,IF(E345&lt;=0,"",LN(E345)),"")</f>
        <v/>
      </c>
    </row>
    <row r="346" spans="1:6" x14ac:dyDescent="0.25">
      <c r="A346" s="1" t="str">
        <f ca="1">IF(ROW()&lt;=(Results!$C$1/2)+1,INDEX(Data!$V:$V,CEILING((COUNTA(Data!$V:$V)-1)*RAND()+1,1)),"")</f>
        <v/>
      </c>
      <c r="B346" s="1" t="str">
        <f>IF(ROW()&lt;=(Results!$C$1/2)+1,VLOOKUP($A346,Data!$V$2:$W$117,2,TRUE),"")</f>
        <v/>
      </c>
      <c r="C346" s="14" t="str">
        <f>IF(ROW()&lt;=(Results!$C$1/2)+1,IF(B346&lt;=0,"",LN(B346)),"")</f>
        <v/>
      </c>
      <c r="D346" s="1" t="str">
        <f ca="1">IF(ROW()&lt;=(Results!$C$1/2)+1,INDEX(Data!$X:$X,CEILING((COUNTA(Data!$X:$X)-1)*RAND()+1,1)),"")</f>
        <v/>
      </c>
      <c r="E346" s="1" t="str">
        <f>IF(ROW()&lt;=(Results!$C$1/2)+1,VLOOKUP($D346,Data!$X$2:$Y$117,2,TRUE),"")</f>
        <v/>
      </c>
      <c r="F346" s="14" t="str">
        <f>IF(ROW()&lt;=(Results!$C$1/2)+1,IF(E346&lt;=0,"",LN(E346)),"")</f>
        <v/>
      </c>
    </row>
    <row r="347" spans="1:6" x14ac:dyDescent="0.25">
      <c r="A347" s="1" t="str">
        <f ca="1">IF(ROW()&lt;=(Results!$C$1/2)+1,INDEX(Data!$V:$V,CEILING((COUNTA(Data!$V:$V)-1)*RAND()+1,1)),"")</f>
        <v/>
      </c>
      <c r="B347" s="1" t="str">
        <f>IF(ROW()&lt;=(Results!$C$1/2)+1,VLOOKUP($A347,Data!$V$2:$W$117,2,TRUE),"")</f>
        <v/>
      </c>
      <c r="C347" s="14" t="str">
        <f>IF(ROW()&lt;=(Results!$C$1/2)+1,IF(B347&lt;=0,"",LN(B347)),"")</f>
        <v/>
      </c>
      <c r="D347" s="1" t="str">
        <f ca="1">IF(ROW()&lt;=(Results!$C$1/2)+1,INDEX(Data!$X:$X,CEILING((COUNTA(Data!$X:$X)-1)*RAND()+1,1)),"")</f>
        <v/>
      </c>
      <c r="E347" s="1" t="str">
        <f>IF(ROW()&lt;=(Results!$C$1/2)+1,VLOOKUP($D347,Data!$X$2:$Y$117,2,TRUE),"")</f>
        <v/>
      </c>
      <c r="F347" s="14" t="str">
        <f>IF(ROW()&lt;=(Results!$C$1/2)+1,IF(E347&lt;=0,"",LN(E347)),"")</f>
        <v/>
      </c>
    </row>
    <row r="348" spans="1:6" x14ac:dyDescent="0.25">
      <c r="A348" s="1" t="str">
        <f ca="1">IF(ROW()&lt;=(Results!$C$1/2)+1,INDEX(Data!$V:$V,CEILING((COUNTA(Data!$V:$V)-1)*RAND()+1,1)),"")</f>
        <v/>
      </c>
      <c r="B348" s="1" t="str">
        <f>IF(ROW()&lt;=(Results!$C$1/2)+1,VLOOKUP($A348,Data!$V$2:$W$117,2,TRUE),"")</f>
        <v/>
      </c>
      <c r="C348" s="14" t="str">
        <f>IF(ROW()&lt;=(Results!$C$1/2)+1,IF(B348&lt;=0,"",LN(B348)),"")</f>
        <v/>
      </c>
      <c r="D348" s="1" t="str">
        <f ca="1">IF(ROW()&lt;=(Results!$C$1/2)+1,INDEX(Data!$X:$X,CEILING((COUNTA(Data!$X:$X)-1)*RAND()+1,1)),"")</f>
        <v/>
      </c>
      <c r="E348" s="1" t="str">
        <f>IF(ROW()&lt;=(Results!$C$1/2)+1,VLOOKUP($D348,Data!$X$2:$Y$117,2,TRUE),"")</f>
        <v/>
      </c>
      <c r="F348" s="14" t="str">
        <f>IF(ROW()&lt;=(Results!$C$1/2)+1,IF(E348&lt;=0,"",LN(E348)),"")</f>
        <v/>
      </c>
    </row>
    <row r="349" spans="1:6" x14ac:dyDescent="0.25">
      <c r="A349" s="1" t="str">
        <f ca="1">IF(ROW()&lt;=(Results!$C$1/2)+1,INDEX(Data!$V:$V,CEILING((COUNTA(Data!$V:$V)-1)*RAND()+1,1)),"")</f>
        <v/>
      </c>
      <c r="B349" s="1" t="str">
        <f>IF(ROW()&lt;=(Results!$C$1/2)+1,VLOOKUP($A349,Data!$V$2:$W$117,2,TRUE),"")</f>
        <v/>
      </c>
      <c r="C349" s="14" t="str">
        <f>IF(ROW()&lt;=(Results!$C$1/2)+1,IF(B349&lt;=0,"",LN(B349)),"")</f>
        <v/>
      </c>
      <c r="D349" s="1" t="str">
        <f ca="1">IF(ROW()&lt;=(Results!$C$1/2)+1,INDEX(Data!$X:$X,CEILING((COUNTA(Data!$X:$X)-1)*RAND()+1,1)),"")</f>
        <v/>
      </c>
      <c r="E349" s="1" t="str">
        <f>IF(ROW()&lt;=(Results!$C$1/2)+1,VLOOKUP($D349,Data!$X$2:$Y$117,2,TRUE),"")</f>
        <v/>
      </c>
      <c r="F349" s="14" t="str">
        <f>IF(ROW()&lt;=(Results!$C$1/2)+1,IF(E349&lt;=0,"",LN(E349)),"")</f>
        <v/>
      </c>
    </row>
    <row r="350" spans="1:6" x14ac:dyDescent="0.25">
      <c r="A350" s="1" t="str">
        <f ca="1">IF(ROW()&lt;=(Results!$C$1/2)+1,INDEX(Data!$V:$V,CEILING((COUNTA(Data!$V:$V)-1)*RAND()+1,1)),"")</f>
        <v/>
      </c>
      <c r="B350" s="1" t="str">
        <f>IF(ROW()&lt;=(Results!$C$1/2)+1,VLOOKUP($A350,Data!$V$2:$W$117,2,TRUE),"")</f>
        <v/>
      </c>
      <c r="C350" s="14" t="str">
        <f>IF(ROW()&lt;=(Results!$C$1/2)+1,IF(B350&lt;=0,"",LN(B350)),"")</f>
        <v/>
      </c>
      <c r="D350" s="1" t="str">
        <f ca="1">IF(ROW()&lt;=(Results!$C$1/2)+1,INDEX(Data!$X:$X,CEILING((COUNTA(Data!$X:$X)-1)*RAND()+1,1)),"")</f>
        <v/>
      </c>
      <c r="E350" s="1" t="str">
        <f>IF(ROW()&lt;=(Results!$C$1/2)+1,VLOOKUP($D350,Data!$X$2:$Y$117,2,TRUE),"")</f>
        <v/>
      </c>
      <c r="F350" s="14" t="str">
        <f>IF(ROW()&lt;=(Results!$C$1/2)+1,IF(E350&lt;=0,"",LN(E350)),"")</f>
        <v/>
      </c>
    </row>
    <row r="351" spans="1:6" x14ac:dyDescent="0.25">
      <c r="A351" s="1" t="str">
        <f ca="1">IF(ROW()&lt;=(Results!$C$1/2)+1,INDEX(Data!$V:$V,CEILING((COUNTA(Data!$V:$V)-1)*RAND()+1,1)),"")</f>
        <v/>
      </c>
      <c r="B351" s="1" t="str">
        <f>IF(ROW()&lt;=(Results!$C$1/2)+1,VLOOKUP($A351,Data!$V$2:$W$117,2,TRUE),"")</f>
        <v/>
      </c>
      <c r="C351" s="14" t="str">
        <f>IF(ROW()&lt;=(Results!$C$1/2)+1,IF(B351&lt;=0,"",LN(B351)),"")</f>
        <v/>
      </c>
      <c r="D351" s="1" t="str">
        <f ca="1">IF(ROW()&lt;=(Results!$C$1/2)+1,INDEX(Data!$X:$X,CEILING((COUNTA(Data!$X:$X)-1)*RAND()+1,1)),"")</f>
        <v/>
      </c>
      <c r="E351" s="1" t="str">
        <f>IF(ROW()&lt;=(Results!$C$1/2)+1,VLOOKUP($D351,Data!$X$2:$Y$117,2,TRUE),"")</f>
        <v/>
      </c>
      <c r="F351" s="14" t="str">
        <f>IF(ROW()&lt;=(Results!$C$1/2)+1,IF(E351&lt;=0,"",LN(E351)),"")</f>
        <v/>
      </c>
    </row>
    <row r="352" spans="1:6" x14ac:dyDescent="0.25">
      <c r="A352" s="1" t="str">
        <f ca="1">IF(ROW()&lt;=(Results!$C$1/2)+1,INDEX(Data!$V:$V,CEILING((COUNTA(Data!$V:$V)-1)*RAND()+1,1)),"")</f>
        <v/>
      </c>
      <c r="B352" s="1" t="str">
        <f>IF(ROW()&lt;=(Results!$C$1/2)+1,VLOOKUP($A352,Data!$V$2:$W$117,2,TRUE),"")</f>
        <v/>
      </c>
      <c r="C352" s="14" t="str">
        <f>IF(ROW()&lt;=(Results!$C$1/2)+1,IF(B352&lt;=0,"",LN(B352)),"")</f>
        <v/>
      </c>
      <c r="D352" s="1" t="str">
        <f ca="1">IF(ROW()&lt;=(Results!$C$1/2)+1,INDEX(Data!$X:$X,CEILING((COUNTA(Data!$X:$X)-1)*RAND()+1,1)),"")</f>
        <v/>
      </c>
      <c r="E352" s="1" t="str">
        <f>IF(ROW()&lt;=(Results!$C$1/2)+1,VLOOKUP($D352,Data!$X$2:$Y$117,2,TRUE),"")</f>
        <v/>
      </c>
      <c r="F352" s="14" t="str">
        <f>IF(ROW()&lt;=(Results!$C$1/2)+1,IF(E352&lt;=0,"",LN(E352)),"")</f>
        <v/>
      </c>
    </row>
    <row r="353" spans="1:6" x14ac:dyDescent="0.25">
      <c r="A353" s="1" t="str">
        <f ca="1">IF(ROW()&lt;=(Results!$C$1/2)+1,INDEX(Data!$V:$V,CEILING((COUNTA(Data!$V:$V)-1)*RAND()+1,1)),"")</f>
        <v/>
      </c>
      <c r="B353" s="1" t="str">
        <f>IF(ROW()&lt;=(Results!$C$1/2)+1,VLOOKUP($A353,Data!$V$2:$W$117,2,TRUE),"")</f>
        <v/>
      </c>
      <c r="C353" s="14" t="str">
        <f>IF(ROW()&lt;=(Results!$C$1/2)+1,IF(B353&lt;=0,"",LN(B353)),"")</f>
        <v/>
      </c>
      <c r="D353" s="1" t="str">
        <f ca="1">IF(ROW()&lt;=(Results!$C$1/2)+1,INDEX(Data!$X:$X,CEILING((COUNTA(Data!$X:$X)-1)*RAND()+1,1)),"")</f>
        <v/>
      </c>
      <c r="E353" s="1" t="str">
        <f>IF(ROW()&lt;=(Results!$C$1/2)+1,VLOOKUP($D353,Data!$X$2:$Y$117,2,TRUE),"")</f>
        <v/>
      </c>
      <c r="F353" s="14" t="str">
        <f>IF(ROW()&lt;=(Results!$C$1/2)+1,IF(E353&lt;=0,"",LN(E353)),"")</f>
        <v/>
      </c>
    </row>
    <row r="354" spans="1:6" x14ac:dyDescent="0.25">
      <c r="A354" s="1" t="str">
        <f ca="1">IF(ROW()&lt;=(Results!$C$1/2)+1,INDEX(Data!$V:$V,CEILING((COUNTA(Data!$V:$V)-1)*RAND()+1,1)),"")</f>
        <v/>
      </c>
      <c r="B354" s="1" t="str">
        <f>IF(ROW()&lt;=(Results!$C$1/2)+1,VLOOKUP($A354,Data!$V$2:$W$117,2,TRUE),"")</f>
        <v/>
      </c>
      <c r="C354" s="14" t="str">
        <f>IF(ROW()&lt;=(Results!$C$1/2)+1,IF(B354&lt;=0,"",LN(B354)),"")</f>
        <v/>
      </c>
      <c r="D354" s="1" t="str">
        <f ca="1">IF(ROW()&lt;=(Results!$C$1/2)+1,INDEX(Data!$X:$X,CEILING((COUNTA(Data!$X:$X)-1)*RAND()+1,1)),"")</f>
        <v/>
      </c>
      <c r="E354" s="1" t="str">
        <f>IF(ROW()&lt;=(Results!$C$1/2)+1,VLOOKUP($D354,Data!$X$2:$Y$117,2,TRUE),"")</f>
        <v/>
      </c>
      <c r="F354" s="14" t="str">
        <f>IF(ROW()&lt;=(Results!$C$1/2)+1,IF(E354&lt;=0,"",LN(E354)),"")</f>
        <v/>
      </c>
    </row>
    <row r="355" spans="1:6" x14ac:dyDescent="0.25">
      <c r="A355" s="1" t="str">
        <f ca="1">IF(ROW()&lt;=(Results!$C$1/2)+1,INDEX(Data!$V:$V,CEILING((COUNTA(Data!$V:$V)-1)*RAND()+1,1)),"")</f>
        <v/>
      </c>
      <c r="B355" s="1" t="str">
        <f>IF(ROW()&lt;=(Results!$C$1/2)+1,VLOOKUP($A355,Data!$V$2:$W$117,2,TRUE),"")</f>
        <v/>
      </c>
      <c r="C355" s="14" t="str">
        <f>IF(ROW()&lt;=(Results!$C$1/2)+1,IF(B355&lt;=0,"",LN(B355)),"")</f>
        <v/>
      </c>
      <c r="D355" s="1" t="str">
        <f ca="1">IF(ROW()&lt;=(Results!$C$1/2)+1,INDEX(Data!$X:$X,CEILING((COUNTA(Data!$X:$X)-1)*RAND()+1,1)),"")</f>
        <v/>
      </c>
      <c r="E355" s="1" t="str">
        <f>IF(ROW()&lt;=(Results!$C$1/2)+1,VLOOKUP($D355,Data!$X$2:$Y$117,2,TRUE),"")</f>
        <v/>
      </c>
      <c r="F355" s="14" t="str">
        <f>IF(ROW()&lt;=(Results!$C$1/2)+1,IF(E355&lt;=0,"",LN(E355)),"")</f>
        <v/>
      </c>
    </row>
    <row r="356" spans="1:6" x14ac:dyDescent="0.25">
      <c r="A356" s="1" t="str">
        <f ca="1">IF(ROW()&lt;=(Results!$C$1/2)+1,INDEX(Data!$V:$V,CEILING((COUNTA(Data!$V:$V)-1)*RAND()+1,1)),"")</f>
        <v/>
      </c>
      <c r="B356" s="1" t="str">
        <f>IF(ROW()&lt;=(Results!$C$1/2)+1,VLOOKUP($A356,Data!$V$2:$W$117,2,TRUE),"")</f>
        <v/>
      </c>
      <c r="C356" s="14" t="str">
        <f>IF(ROW()&lt;=(Results!$C$1/2)+1,IF(B356&lt;=0,"",LN(B356)),"")</f>
        <v/>
      </c>
      <c r="D356" s="1" t="str">
        <f ca="1">IF(ROW()&lt;=(Results!$C$1/2)+1,INDEX(Data!$X:$X,CEILING((COUNTA(Data!$X:$X)-1)*RAND()+1,1)),"")</f>
        <v/>
      </c>
      <c r="E356" s="1" t="str">
        <f>IF(ROW()&lt;=(Results!$C$1/2)+1,VLOOKUP($D356,Data!$X$2:$Y$117,2,TRUE),"")</f>
        <v/>
      </c>
      <c r="F356" s="14" t="str">
        <f>IF(ROW()&lt;=(Results!$C$1/2)+1,IF(E356&lt;=0,"",LN(E356)),"")</f>
        <v/>
      </c>
    </row>
    <row r="357" spans="1:6" x14ac:dyDescent="0.25">
      <c r="A357" s="1" t="str">
        <f ca="1">IF(ROW()&lt;=(Results!$C$1/2)+1,INDEX(Data!$V:$V,CEILING((COUNTA(Data!$V:$V)-1)*RAND()+1,1)),"")</f>
        <v/>
      </c>
      <c r="B357" s="1" t="str">
        <f>IF(ROW()&lt;=(Results!$C$1/2)+1,VLOOKUP($A357,Data!$V$2:$W$117,2,TRUE),"")</f>
        <v/>
      </c>
      <c r="C357" s="14" t="str">
        <f>IF(ROW()&lt;=(Results!$C$1/2)+1,IF(B357&lt;=0,"",LN(B357)),"")</f>
        <v/>
      </c>
      <c r="D357" s="1" t="str">
        <f ca="1">IF(ROW()&lt;=(Results!$C$1/2)+1,INDEX(Data!$X:$X,CEILING((COUNTA(Data!$X:$X)-1)*RAND()+1,1)),"")</f>
        <v/>
      </c>
      <c r="E357" s="1" t="str">
        <f>IF(ROW()&lt;=(Results!$C$1/2)+1,VLOOKUP($D357,Data!$X$2:$Y$117,2,TRUE),"")</f>
        <v/>
      </c>
      <c r="F357" s="14" t="str">
        <f>IF(ROW()&lt;=(Results!$C$1/2)+1,IF(E357&lt;=0,"",LN(E357)),"")</f>
        <v/>
      </c>
    </row>
    <row r="358" spans="1:6" x14ac:dyDescent="0.25">
      <c r="A358" s="1" t="str">
        <f ca="1">IF(ROW()&lt;=(Results!$C$1/2)+1,INDEX(Data!$V:$V,CEILING((COUNTA(Data!$V:$V)-1)*RAND()+1,1)),"")</f>
        <v/>
      </c>
      <c r="B358" s="1" t="str">
        <f>IF(ROW()&lt;=(Results!$C$1/2)+1,VLOOKUP($A358,Data!$V$2:$W$117,2,TRUE),"")</f>
        <v/>
      </c>
      <c r="C358" s="14" t="str">
        <f>IF(ROW()&lt;=(Results!$C$1/2)+1,IF(B358&lt;=0,"",LN(B358)),"")</f>
        <v/>
      </c>
      <c r="D358" s="1" t="str">
        <f ca="1">IF(ROW()&lt;=(Results!$C$1/2)+1,INDEX(Data!$X:$X,CEILING((COUNTA(Data!$X:$X)-1)*RAND()+1,1)),"")</f>
        <v/>
      </c>
      <c r="E358" s="1" t="str">
        <f>IF(ROW()&lt;=(Results!$C$1/2)+1,VLOOKUP($D358,Data!$X$2:$Y$117,2,TRUE),"")</f>
        <v/>
      </c>
      <c r="F358" s="14" t="str">
        <f>IF(ROW()&lt;=(Results!$C$1/2)+1,IF(E358&lt;=0,"",LN(E358)),"")</f>
        <v/>
      </c>
    </row>
    <row r="359" spans="1:6" x14ac:dyDescent="0.25">
      <c r="A359" s="1" t="str">
        <f ca="1">IF(ROW()&lt;=(Results!$C$1/2)+1,INDEX(Data!$V:$V,CEILING((COUNTA(Data!$V:$V)-1)*RAND()+1,1)),"")</f>
        <v/>
      </c>
      <c r="B359" s="1" t="str">
        <f>IF(ROW()&lt;=(Results!$C$1/2)+1,VLOOKUP($A359,Data!$V$2:$W$117,2,TRUE),"")</f>
        <v/>
      </c>
      <c r="C359" s="14" t="str">
        <f>IF(ROW()&lt;=(Results!$C$1/2)+1,IF(B359&lt;=0,"",LN(B359)),"")</f>
        <v/>
      </c>
      <c r="D359" s="1" t="str">
        <f ca="1">IF(ROW()&lt;=(Results!$C$1/2)+1,INDEX(Data!$X:$X,CEILING((COUNTA(Data!$X:$X)-1)*RAND()+1,1)),"")</f>
        <v/>
      </c>
      <c r="E359" s="1" t="str">
        <f>IF(ROW()&lt;=(Results!$C$1/2)+1,VLOOKUP($D359,Data!$X$2:$Y$117,2,TRUE),"")</f>
        <v/>
      </c>
      <c r="F359" s="14" t="str">
        <f>IF(ROW()&lt;=(Results!$C$1/2)+1,IF(E359&lt;=0,"",LN(E359)),"")</f>
        <v/>
      </c>
    </row>
    <row r="360" spans="1:6" x14ac:dyDescent="0.25">
      <c r="A360" s="1" t="str">
        <f ca="1">IF(ROW()&lt;=(Results!$C$1/2)+1,INDEX(Data!$V:$V,CEILING((COUNTA(Data!$V:$V)-1)*RAND()+1,1)),"")</f>
        <v/>
      </c>
      <c r="B360" s="1" t="str">
        <f>IF(ROW()&lt;=(Results!$C$1/2)+1,VLOOKUP($A360,Data!$V$2:$W$117,2,TRUE),"")</f>
        <v/>
      </c>
      <c r="C360" s="14" t="str">
        <f>IF(ROW()&lt;=(Results!$C$1/2)+1,IF(B360&lt;=0,"",LN(B360)),"")</f>
        <v/>
      </c>
      <c r="D360" s="1" t="str">
        <f ca="1">IF(ROW()&lt;=(Results!$C$1/2)+1,INDEX(Data!$X:$X,CEILING((COUNTA(Data!$X:$X)-1)*RAND()+1,1)),"")</f>
        <v/>
      </c>
      <c r="E360" s="1" t="str">
        <f>IF(ROW()&lt;=(Results!$C$1/2)+1,VLOOKUP($D360,Data!$X$2:$Y$117,2,TRUE),"")</f>
        <v/>
      </c>
      <c r="F360" s="14" t="str">
        <f>IF(ROW()&lt;=(Results!$C$1/2)+1,IF(E360&lt;=0,"",LN(E360)),"")</f>
        <v/>
      </c>
    </row>
    <row r="361" spans="1:6" x14ac:dyDescent="0.25">
      <c r="A361" s="1" t="str">
        <f ca="1">IF(ROW()&lt;=(Results!$C$1/2)+1,INDEX(Data!$V:$V,CEILING((COUNTA(Data!$V:$V)-1)*RAND()+1,1)),"")</f>
        <v/>
      </c>
      <c r="B361" s="1" t="str">
        <f>IF(ROW()&lt;=(Results!$C$1/2)+1,VLOOKUP($A361,Data!$V$2:$W$117,2,TRUE),"")</f>
        <v/>
      </c>
      <c r="C361" s="14" t="str">
        <f>IF(ROW()&lt;=(Results!$C$1/2)+1,IF(B361&lt;=0,"",LN(B361)),"")</f>
        <v/>
      </c>
      <c r="D361" s="1" t="str">
        <f ca="1">IF(ROW()&lt;=(Results!$C$1/2)+1,INDEX(Data!$X:$X,CEILING((COUNTA(Data!$X:$X)-1)*RAND()+1,1)),"")</f>
        <v/>
      </c>
      <c r="E361" s="1" t="str">
        <f>IF(ROW()&lt;=(Results!$C$1/2)+1,VLOOKUP($D361,Data!$X$2:$Y$117,2,TRUE),"")</f>
        <v/>
      </c>
      <c r="F361" s="14" t="str">
        <f>IF(ROW()&lt;=(Results!$C$1/2)+1,IF(E361&lt;=0,"",LN(E361)),"")</f>
        <v/>
      </c>
    </row>
    <row r="362" spans="1:6" x14ac:dyDescent="0.25">
      <c r="A362" s="1" t="str">
        <f ca="1">IF(ROW()&lt;=(Results!$C$1/2)+1,INDEX(Data!$V:$V,CEILING((COUNTA(Data!$V:$V)-1)*RAND()+1,1)),"")</f>
        <v/>
      </c>
      <c r="B362" s="1" t="str">
        <f>IF(ROW()&lt;=(Results!$C$1/2)+1,VLOOKUP($A362,Data!$V$2:$W$117,2,TRUE),"")</f>
        <v/>
      </c>
      <c r="C362" s="14" t="str">
        <f>IF(ROW()&lt;=(Results!$C$1/2)+1,IF(B362&lt;=0,"",LN(B362)),"")</f>
        <v/>
      </c>
      <c r="D362" s="1" t="str">
        <f ca="1">IF(ROW()&lt;=(Results!$C$1/2)+1,INDEX(Data!$X:$X,CEILING((COUNTA(Data!$X:$X)-1)*RAND()+1,1)),"")</f>
        <v/>
      </c>
      <c r="E362" s="1" t="str">
        <f>IF(ROW()&lt;=(Results!$C$1/2)+1,VLOOKUP($D362,Data!$X$2:$Y$117,2,TRUE),"")</f>
        <v/>
      </c>
      <c r="F362" s="14" t="str">
        <f>IF(ROW()&lt;=(Results!$C$1/2)+1,IF(E362&lt;=0,"",LN(E362)),"")</f>
        <v/>
      </c>
    </row>
    <row r="363" spans="1:6" x14ac:dyDescent="0.25">
      <c r="A363" s="1" t="str">
        <f ca="1">IF(ROW()&lt;=(Results!$C$1/2)+1,INDEX(Data!$V:$V,CEILING((COUNTA(Data!$V:$V)-1)*RAND()+1,1)),"")</f>
        <v/>
      </c>
      <c r="B363" s="1" t="str">
        <f>IF(ROW()&lt;=(Results!$C$1/2)+1,VLOOKUP($A363,Data!$V$2:$W$117,2,TRUE),"")</f>
        <v/>
      </c>
      <c r="C363" s="14" t="str">
        <f>IF(ROW()&lt;=(Results!$C$1/2)+1,IF(B363&lt;=0,"",LN(B363)),"")</f>
        <v/>
      </c>
      <c r="D363" s="1" t="str">
        <f ca="1">IF(ROW()&lt;=(Results!$C$1/2)+1,INDEX(Data!$X:$X,CEILING((COUNTA(Data!$X:$X)-1)*RAND()+1,1)),"")</f>
        <v/>
      </c>
      <c r="E363" s="1" t="str">
        <f>IF(ROW()&lt;=(Results!$C$1/2)+1,VLOOKUP($D363,Data!$X$2:$Y$117,2,TRUE),"")</f>
        <v/>
      </c>
      <c r="F363" s="14" t="str">
        <f>IF(ROW()&lt;=(Results!$C$1/2)+1,IF(E363&lt;=0,"",LN(E363)),"")</f>
        <v/>
      </c>
    </row>
    <row r="364" spans="1:6" x14ac:dyDescent="0.25">
      <c r="A364" s="1" t="str">
        <f ca="1">IF(ROW()&lt;=(Results!$C$1/2)+1,INDEX(Data!$V:$V,CEILING((COUNTA(Data!$V:$V)-1)*RAND()+1,1)),"")</f>
        <v/>
      </c>
      <c r="B364" s="1" t="str">
        <f>IF(ROW()&lt;=(Results!$C$1/2)+1,VLOOKUP($A364,Data!$V$2:$W$117,2,TRUE),"")</f>
        <v/>
      </c>
      <c r="C364" s="14" t="str">
        <f>IF(ROW()&lt;=(Results!$C$1/2)+1,IF(B364&lt;=0,"",LN(B364)),"")</f>
        <v/>
      </c>
      <c r="D364" s="1" t="str">
        <f ca="1">IF(ROW()&lt;=(Results!$C$1/2)+1,INDEX(Data!$X:$X,CEILING((COUNTA(Data!$X:$X)-1)*RAND()+1,1)),"")</f>
        <v/>
      </c>
      <c r="E364" s="1" t="str">
        <f>IF(ROW()&lt;=(Results!$C$1/2)+1,VLOOKUP($D364,Data!$X$2:$Y$117,2,TRUE),"")</f>
        <v/>
      </c>
      <c r="F364" s="14" t="str">
        <f>IF(ROW()&lt;=(Results!$C$1/2)+1,IF(E364&lt;=0,"",LN(E364)),"")</f>
        <v/>
      </c>
    </row>
    <row r="365" spans="1:6" x14ac:dyDescent="0.25">
      <c r="A365" s="1" t="str">
        <f ca="1">IF(ROW()&lt;=(Results!$C$1/2)+1,INDEX(Data!$V:$V,CEILING((COUNTA(Data!$V:$V)-1)*RAND()+1,1)),"")</f>
        <v/>
      </c>
      <c r="B365" s="1" t="str">
        <f>IF(ROW()&lt;=(Results!$C$1/2)+1,VLOOKUP($A365,Data!$V$2:$W$117,2,TRUE),"")</f>
        <v/>
      </c>
      <c r="C365" s="14" t="str">
        <f>IF(ROW()&lt;=(Results!$C$1/2)+1,IF(B365&lt;=0,"",LN(B365)),"")</f>
        <v/>
      </c>
      <c r="D365" s="1" t="str">
        <f ca="1">IF(ROW()&lt;=(Results!$C$1/2)+1,INDEX(Data!$X:$X,CEILING((COUNTA(Data!$X:$X)-1)*RAND()+1,1)),"")</f>
        <v/>
      </c>
      <c r="E365" s="1" t="str">
        <f>IF(ROW()&lt;=(Results!$C$1/2)+1,VLOOKUP($D365,Data!$X$2:$Y$117,2,TRUE),"")</f>
        <v/>
      </c>
      <c r="F365" s="14" t="str">
        <f>IF(ROW()&lt;=(Results!$C$1/2)+1,IF(E365&lt;=0,"",LN(E365)),"")</f>
        <v/>
      </c>
    </row>
    <row r="366" spans="1:6" x14ac:dyDescent="0.25">
      <c r="A366" s="1" t="str">
        <f ca="1">IF(ROW()&lt;=(Results!$C$1/2)+1,INDEX(Data!$V:$V,CEILING((COUNTA(Data!$V:$V)-1)*RAND()+1,1)),"")</f>
        <v/>
      </c>
      <c r="B366" s="1" t="str">
        <f>IF(ROW()&lt;=(Results!$C$1/2)+1,VLOOKUP($A366,Data!$V$2:$W$117,2,TRUE),"")</f>
        <v/>
      </c>
      <c r="C366" s="14" t="str">
        <f>IF(ROW()&lt;=(Results!$C$1/2)+1,IF(B366&lt;=0,"",LN(B366)),"")</f>
        <v/>
      </c>
      <c r="D366" s="1" t="str">
        <f ca="1">IF(ROW()&lt;=(Results!$C$1/2)+1,INDEX(Data!$X:$X,CEILING((COUNTA(Data!$X:$X)-1)*RAND()+1,1)),"")</f>
        <v/>
      </c>
      <c r="E366" s="1" t="str">
        <f>IF(ROW()&lt;=(Results!$C$1/2)+1,VLOOKUP($D366,Data!$X$2:$Y$117,2,TRUE),"")</f>
        <v/>
      </c>
      <c r="F366" s="14" t="str">
        <f>IF(ROW()&lt;=(Results!$C$1/2)+1,IF(E366&lt;=0,"",LN(E366)),"")</f>
        <v/>
      </c>
    </row>
    <row r="367" spans="1:6" x14ac:dyDescent="0.25">
      <c r="A367" s="1" t="str">
        <f ca="1">IF(ROW()&lt;=(Results!$C$1/2)+1,INDEX(Data!$V:$V,CEILING((COUNTA(Data!$V:$V)-1)*RAND()+1,1)),"")</f>
        <v/>
      </c>
      <c r="B367" s="1" t="str">
        <f>IF(ROW()&lt;=(Results!$C$1/2)+1,VLOOKUP($A367,Data!$V$2:$W$117,2,TRUE),"")</f>
        <v/>
      </c>
      <c r="C367" s="14" t="str">
        <f>IF(ROW()&lt;=(Results!$C$1/2)+1,IF(B367&lt;=0,"",LN(B367)),"")</f>
        <v/>
      </c>
      <c r="D367" s="1" t="str">
        <f ca="1">IF(ROW()&lt;=(Results!$C$1/2)+1,INDEX(Data!$X:$X,CEILING((COUNTA(Data!$X:$X)-1)*RAND()+1,1)),"")</f>
        <v/>
      </c>
      <c r="E367" s="1" t="str">
        <f>IF(ROW()&lt;=(Results!$C$1/2)+1,VLOOKUP($D367,Data!$X$2:$Y$117,2,TRUE),"")</f>
        <v/>
      </c>
      <c r="F367" s="14" t="str">
        <f>IF(ROW()&lt;=(Results!$C$1/2)+1,IF(E367&lt;=0,"",LN(E367)),"")</f>
        <v/>
      </c>
    </row>
    <row r="368" spans="1:6" x14ac:dyDescent="0.25">
      <c r="A368" s="1" t="str">
        <f ca="1">IF(ROW()&lt;=(Results!$C$1/2)+1,INDEX(Data!$V:$V,CEILING((COUNTA(Data!$V:$V)-1)*RAND()+1,1)),"")</f>
        <v/>
      </c>
      <c r="B368" s="1" t="str">
        <f>IF(ROW()&lt;=(Results!$C$1/2)+1,VLOOKUP($A368,Data!$V$2:$W$117,2,TRUE),"")</f>
        <v/>
      </c>
      <c r="C368" s="14" t="str">
        <f>IF(ROW()&lt;=(Results!$C$1/2)+1,IF(B368&lt;=0,"",LN(B368)),"")</f>
        <v/>
      </c>
      <c r="D368" s="1" t="str">
        <f ca="1">IF(ROW()&lt;=(Results!$C$1/2)+1,INDEX(Data!$X:$X,CEILING((COUNTA(Data!$X:$X)-1)*RAND()+1,1)),"")</f>
        <v/>
      </c>
      <c r="E368" s="1" t="str">
        <f>IF(ROW()&lt;=(Results!$C$1/2)+1,VLOOKUP($D368,Data!$X$2:$Y$117,2,TRUE),"")</f>
        <v/>
      </c>
      <c r="F368" s="14" t="str">
        <f>IF(ROW()&lt;=(Results!$C$1/2)+1,IF(E368&lt;=0,"",LN(E368)),"")</f>
        <v/>
      </c>
    </row>
    <row r="369" spans="1:6" x14ac:dyDescent="0.25">
      <c r="A369" s="1" t="str">
        <f ca="1">IF(ROW()&lt;=(Results!$C$1/2)+1,INDEX(Data!$V:$V,CEILING((COUNTA(Data!$V:$V)-1)*RAND()+1,1)),"")</f>
        <v/>
      </c>
      <c r="B369" s="1" t="str">
        <f>IF(ROW()&lt;=(Results!$C$1/2)+1,VLOOKUP($A369,Data!$V$2:$W$117,2,TRUE),"")</f>
        <v/>
      </c>
      <c r="C369" s="14" t="str">
        <f>IF(ROW()&lt;=(Results!$C$1/2)+1,IF(B369&lt;=0,"",LN(B369)),"")</f>
        <v/>
      </c>
      <c r="D369" s="1" t="str">
        <f ca="1">IF(ROW()&lt;=(Results!$C$1/2)+1,INDEX(Data!$X:$X,CEILING((COUNTA(Data!$X:$X)-1)*RAND()+1,1)),"")</f>
        <v/>
      </c>
      <c r="E369" s="1" t="str">
        <f>IF(ROW()&lt;=(Results!$C$1/2)+1,VLOOKUP($D369,Data!$X$2:$Y$117,2,TRUE),"")</f>
        <v/>
      </c>
      <c r="F369" s="14" t="str">
        <f>IF(ROW()&lt;=(Results!$C$1/2)+1,IF(E369&lt;=0,"",LN(E369)),"")</f>
        <v/>
      </c>
    </row>
    <row r="370" spans="1:6" x14ac:dyDescent="0.25">
      <c r="A370" s="1" t="str">
        <f ca="1">IF(ROW()&lt;=(Results!$C$1/2)+1,INDEX(Data!$V:$V,CEILING((COUNTA(Data!$V:$V)-1)*RAND()+1,1)),"")</f>
        <v/>
      </c>
      <c r="B370" s="1" t="str">
        <f>IF(ROW()&lt;=(Results!$C$1/2)+1,VLOOKUP($A370,Data!$V$2:$W$117,2,TRUE),"")</f>
        <v/>
      </c>
      <c r="C370" s="14" t="str">
        <f>IF(ROW()&lt;=(Results!$C$1/2)+1,IF(B370&lt;=0,"",LN(B370)),"")</f>
        <v/>
      </c>
      <c r="D370" s="1" t="str">
        <f ca="1">IF(ROW()&lt;=(Results!$C$1/2)+1,INDEX(Data!$X:$X,CEILING((COUNTA(Data!$X:$X)-1)*RAND()+1,1)),"")</f>
        <v/>
      </c>
      <c r="E370" s="1" t="str">
        <f>IF(ROW()&lt;=(Results!$C$1/2)+1,VLOOKUP($D370,Data!$X$2:$Y$117,2,TRUE),"")</f>
        <v/>
      </c>
      <c r="F370" s="14" t="str">
        <f>IF(ROW()&lt;=(Results!$C$1/2)+1,IF(E370&lt;=0,"",LN(E370)),"")</f>
        <v/>
      </c>
    </row>
    <row r="371" spans="1:6" x14ac:dyDescent="0.25">
      <c r="A371" s="1" t="str">
        <f ca="1">IF(ROW()&lt;=(Results!$C$1/2)+1,INDEX(Data!$V:$V,CEILING((COUNTA(Data!$V:$V)-1)*RAND()+1,1)),"")</f>
        <v/>
      </c>
      <c r="B371" s="1" t="str">
        <f>IF(ROW()&lt;=(Results!$C$1/2)+1,VLOOKUP($A371,Data!$V$2:$W$117,2,TRUE),"")</f>
        <v/>
      </c>
      <c r="C371" s="14" t="str">
        <f>IF(ROW()&lt;=(Results!$C$1/2)+1,IF(B371&lt;=0,"",LN(B371)),"")</f>
        <v/>
      </c>
      <c r="D371" s="1" t="str">
        <f ca="1">IF(ROW()&lt;=(Results!$C$1/2)+1,INDEX(Data!$X:$X,CEILING((COUNTA(Data!$X:$X)-1)*RAND()+1,1)),"")</f>
        <v/>
      </c>
      <c r="E371" s="1" t="str">
        <f>IF(ROW()&lt;=(Results!$C$1/2)+1,VLOOKUP($D371,Data!$X$2:$Y$117,2,TRUE),"")</f>
        <v/>
      </c>
      <c r="F371" s="14" t="str">
        <f>IF(ROW()&lt;=(Results!$C$1/2)+1,IF(E371&lt;=0,"",LN(E371)),"")</f>
        <v/>
      </c>
    </row>
    <row r="372" spans="1:6" x14ac:dyDescent="0.25">
      <c r="A372" s="1" t="str">
        <f ca="1">IF(ROW()&lt;=(Results!$C$1/2)+1,INDEX(Data!$V:$V,CEILING((COUNTA(Data!$V:$V)-1)*RAND()+1,1)),"")</f>
        <v/>
      </c>
      <c r="B372" s="1" t="str">
        <f>IF(ROW()&lt;=(Results!$C$1/2)+1,VLOOKUP($A372,Data!$V$2:$W$117,2,TRUE),"")</f>
        <v/>
      </c>
      <c r="C372" s="14" t="str">
        <f>IF(ROW()&lt;=(Results!$C$1/2)+1,IF(B372&lt;=0,"",LN(B372)),"")</f>
        <v/>
      </c>
      <c r="D372" s="1" t="str">
        <f ca="1">IF(ROW()&lt;=(Results!$C$1/2)+1,INDEX(Data!$X:$X,CEILING((COUNTA(Data!$X:$X)-1)*RAND()+1,1)),"")</f>
        <v/>
      </c>
      <c r="E372" s="1" t="str">
        <f>IF(ROW()&lt;=(Results!$C$1/2)+1,VLOOKUP($D372,Data!$X$2:$Y$117,2,TRUE),"")</f>
        <v/>
      </c>
      <c r="F372" s="14" t="str">
        <f>IF(ROW()&lt;=(Results!$C$1/2)+1,IF(E372&lt;=0,"",LN(E372)),"")</f>
        <v/>
      </c>
    </row>
    <row r="373" spans="1:6" x14ac:dyDescent="0.25">
      <c r="A373" s="1" t="str">
        <f ca="1">IF(ROW()&lt;=(Results!$C$1/2)+1,INDEX(Data!$V:$V,CEILING((COUNTA(Data!$V:$V)-1)*RAND()+1,1)),"")</f>
        <v/>
      </c>
      <c r="B373" s="1" t="str">
        <f>IF(ROW()&lt;=(Results!$C$1/2)+1,VLOOKUP($A373,Data!$V$2:$W$117,2,TRUE),"")</f>
        <v/>
      </c>
      <c r="C373" s="14" t="str">
        <f>IF(ROW()&lt;=(Results!$C$1/2)+1,IF(B373&lt;=0,"",LN(B373)),"")</f>
        <v/>
      </c>
      <c r="D373" s="1" t="str">
        <f ca="1">IF(ROW()&lt;=(Results!$C$1/2)+1,INDEX(Data!$X:$X,CEILING((COUNTA(Data!$X:$X)-1)*RAND()+1,1)),"")</f>
        <v/>
      </c>
      <c r="E373" s="1" t="str">
        <f>IF(ROW()&lt;=(Results!$C$1/2)+1,VLOOKUP($D373,Data!$X$2:$Y$117,2,TRUE),"")</f>
        <v/>
      </c>
      <c r="F373" s="14" t="str">
        <f>IF(ROW()&lt;=(Results!$C$1/2)+1,IF(E373&lt;=0,"",LN(E373)),"")</f>
        <v/>
      </c>
    </row>
    <row r="374" spans="1:6" x14ac:dyDescent="0.25">
      <c r="A374" s="1" t="str">
        <f ca="1">IF(ROW()&lt;=(Results!$C$1/2)+1,INDEX(Data!$V:$V,CEILING((COUNTA(Data!$V:$V)-1)*RAND()+1,1)),"")</f>
        <v/>
      </c>
      <c r="B374" s="1" t="str">
        <f>IF(ROW()&lt;=(Results!$C$1/2)+1,VLOOKUP($A374,Data!$V$2:$W$117,2,TRUE),"")</f>
        <v/>
      </c>
      <c r="C374" s="14" t="str">
        <f>IF(ROW()&lt;=(Results!$C$1/2)+1,IF(B374&lt;=0,"",LN(B374)),"")</f>
        <v/>
      </c>
      <c r="D374" s="1" t="str">
        <f ca="1">IF(ROW()&lt;=(Results!$C$1/2)+1,INDEX(Data!$X:$X,CEILING((COUNTA(Data!$X:$X)-1)*RAND()+1,1)),"")</f>
        <v/>
      </c>
      <c r="E374" s="1" t="str">
        <f>IF(ROW()&lt;=(Results!$C$1/2)+1,VLOOKUP($D374,Data!$X$2:$Y$117,2,TRUE),"")</f>
        <v/>
      </c>
      <c r="F374" s="14" t="str">
        <f>IF(ROW()&lt;=(Results!$C$1/2)+1,IF(E374&lt;=0,"",LN(E374)),"")</f>
        <v/>
      </c>
    </row>
    <row r="375" spans="1:6" x14ac:dyDescent="0.25">
      <c r="A375" s="1" t="str">
        <f ca="1">IF(ROW()&lt;=(Results!$C$1/2)+1,INDEX(Data!$V:$V,CEILING((COUNTA(Data!$V:$V)-1)*RAND()+1,1)),"")</f>
        <v/>
      </c>
      <c r="B375" s="1" t="str">
        <f>IF(ROW()&lt;=(Results!$C$1/2)+1,VLOOKUP($A375,Data!$V$2:$W$117,2,TRUE),"")</f>
        <v/>
      </c>
      <c r="C375" s="14" t="str">
        <f>IF(ROW()&lt;=(Results!$C$1/2)+1,IF(B375&lt;=0,"",LN(B375)),"")</f>
        <v/>
      </c>
      <c r="D375" s="1" t="str">
        <f ca="1">IF(ROW()&lt;=(Results!$C$1/2)+1,INDEX(Data!$X:$X,CEILING((COUNTA(Data!$X:$X)-1)*RAND()+1,1)),"")</f>
        <v/>
      </c>
      <c r="E375" s="1" t="str">
        <f>IF(ROW()&lt;=(Results!$C$1/2)+1,VLOOKUP($D375,Data!$X$2:$Y$117,2,TRUE),"")</f>
        <v/>
      </c>
      <c r="F375" s="14" t="str">
        <f>IF(ROW()&lt;=(Results!$C$1/2)+1,IF(E375&lt;=0,"",LN(E375)),"")</f>
        <v/>
      </c>
    </row>
    <row r="376" spans="1:6" x14ac:dyDescent="0.25">
      <c r="A376" s="1" t="str">
        <f ca="1">IF(ROW()&lt;=(Results!$C$1/2)+1,INDEX(Data!$V:$V,CEILING((COUNTA(Data!$V:$V)-1)*RAND()+1,1)),"")</f>
        <v/>
      </c>
      <c r="B376" s="1" t="str">
        <f>IF(ROW()&lt;=(Results!$C$1/2)+1,VLOOKUP($A376,Data!$V$2:$W$117,2,TRUE),"")</f>
        <v/>
      </c>
      <c r="C376" s="14" t="str">
        <f>IF(ROW()&lt;=(Results!$C$1/2)+1,IF(B376&lt;=0,"",LN(B376)),"")</f>
        <v/>
      </c>
      <c r="D376" s="1" t="str">
        <f ca="1">IF(ROW()&lt;=(Results!$C$1/2)+1,INDEX(Data!$X:$X,CEILING((COUNTA(Data!$X:$X)-1)*RAND()+1,1)),"")</f>
        <v/>
      </c>
      <c r="E376" s="1" t="str">
        <f>IF(ROW()&lt;=(Results!$C$1/2)+1,VLOOKUP($D376,Data!$X$2:$Y$117,2,TRUE),"")</f>
        <v/>
      </c>
      <c r="F376" s="14" t="str">
        <f>IF(ROW()&lt;=(Results!$C$1/2)+1,IF(E376&lt;=0,"",LN(E376)),"")</f>
        <v/>
      </c>
    </row>
    <row r="377" spans="1:6" x14ac:dyDescent="0.25">
      <c r="A377" s="1" t="str">
        <f ca="1">IF(ROW()&lt;=(Results!$C$1/2)+1,INDEX(Data!$V:$V,CEILING((COUNTA(Data!$V:$V)-1)*RAND()+1,1)),"")</f>
        <v/>
      </c>
      <c r="B377" s="1" t="str">
        <f>IF(ROW()&lt;=(Results!$C$1/2)+1,VLOOKUP($A377,Data!$V$2:$W$117,2,TRUE),"")</f>
        <v/>
      </c>
      <c r="C377" s="14" t="str">
        <f>IF(ROW()&lt;=(Results!$C$1/2)+1,IF(B377&lt;=0,"",LN(B377)),"")</f>
        <v/>
      </c>
      <c r="D377" s="1" t="str">
        <f ca="1">IF(ROW()&lt;=(Results!$C$1/2)+1,INDEX(Data!$X:$X,CEILING((COUNTA(Data!$X:$X)-1)*RAND()+1,1)),"")</f>
        <v/>
      </c>
      <c r="E377" s="1" t="str">
        <f>IF(ROW()&lt;=(Results!$C$1/2)+1,VLOOKUP($D377,Data!$X$2:$Y$117,2,TRUE),"")</f>
        <v/>
      </c>
      <c r="F377" s="14" t="str">
        <f>IF(ROW()&lt;=(Results!$C$1/2)+1,IF(E377&lt;=0,"",LN(E377)),"")</f>
        <v/>
      </c>
    </row>
    <row r="378" spans="1:6" x14ac:dyDescent="0.25">
      <c r="A378" s="1" t="str">
        <f ca="1">IF(ROW()&lt;=(Results!$C$1/2)+1,INDEX(Data!$V:$V,CEILING((COUNTA(Data!$V:$V)-1)*RAND()+1,1)),"")</f>
        <v/>
      </c>
      <c r="B378" s="1" t="str">
        <f>IF(ROW()&lt;=(Results!$C$1/2)+1,VLOOKUP($A378,Data!$V$2:$W$117,2,TRUE),"")</f>
        <v/>
      </c>
      <c r="C378" s="14" t="str">
        <f>IF(ROW()&lt;=(Results!$C$1/2)+1,IF(B378&lt;=0,"",LN(B378)),"")</f>
        <v/>
      </c>
      <c r="D378" s="1" t="str">
        <f ca="1">IF(ROW()&lt;=(Results!$C$1/2)+1,INDEX(Data!$X:$X,CEILING((COUNTA(Data!$X:$X)-1)*RAND()+1,1)),"")</f>
        <v/>
      </c>
      <c r="E378" s="1" t="str">
        <f>IF(ROW()&lt;=(Results!$C$1/2)+1,VLOOKUP($D378,Data!$X$2:$Y$117,2,TRUE),"")</f>
        <v/>
      </c>
      <c r="F378" s="14" t="str">
        <f>IF(ROW()&lt;=(Results!$C$1/2)+1,IF(E378&lt;=0,"",LN(E378)),"")</f>
        <v/>
      </c>
    </row>
    <row r="379" spans="1:6" x14ac:dyDescent="0.25">
      <c r="A379" s="1" t="str">
        <f ca="1">IF(ROW()&lt;=(Results!$C$1/2)+1,INDEX(Data!$V:$V,CEILING((COUNTA(Data!$V:$V)-1)*RAND()+1,1)),"")</f>
        <v/>
      </c>
      <c r="B379" s="1" t="str">
        <f>IF(ROW()&lt;=(Results!$C$1/2)+1,VLOOKUP($A379,Data!$V$2:$W$117,2,TRUE),"")</f>
        <v/>
      </c>
      <c r="C379" s="14" t="str">
        <f>IF(ROW()&lt;=(Results!$C$1/2)+1,IF(B379&lt;=0,"",LN(B379)),"")</f>
        <v/>
      </c>
      <c r="D379" s="1" t="str">
        <f ca="1">IF(ROW()&lt;=(Results!$C$1/2)+1,INDEX(Data!$X:$X,CEILING((COUNTA(Data!$X:$X)-1)*RAND()+1,1)),"")</f>
        <v/>
      </c>
      <c r="E379" s="1" t="str">
        <f>IF(ROW()&lt;=(Results!$C$1/2)+1,VLOOKUP($D379,Data!$X$2:$Y$117,2,TRUE),"")</f>
        <v/>
      </c>
      <c r="F379" s="14" t="str">
        <f>IF(ROW()&lt;=(Results!$C$1/2)+1,IF(E379&lt;=0,"",LN(E379)),"")</f>
        <v/>
      </c>
    </row>
    <row r="380" spans="1:6" x14ac:dyDescent="0.25">
      <c r="A380" s="1" t="str">
        <f ca="1">IF(ROW()&lt;=(Results!$C$1/2)+1,INDEX(Data!$V:$V,CEILING((COUNTA(Data!$V:$V)-1)*RAND()+1,1)),"")</f>
        <v/>
      </c>
      <c r="B380" s="1" t="str">
        <f>IF(ROW()&lt;=(Results!$C$1/2)+1,VLOOKUP($A380,Data!$V$2:$W$117,2,TRUE),"")</f>
        <v/>
      </c>
      <c r="C380" s="14" t="str">
        <f>IF(ROW()&lt;=(Results!$C$1/2)+1,IF(B380&lt;=0,"",LN(B380)),"")</f>
        <v/>
      </c>
      <c r="D380" s="1" t="str">
        <f ca="1">IF(ROW()&lt;=(Results!$C$1/2)+1,INDEX(Data!$X:$X,CEILING((COUNTA(Data!$X:$X)-1)*RAND()+1,1)),"")</f>
        <v/>
      </c>
      <c r="E380" s="1" t="str">
        <f>IF(ROW()&lt;=(Results!$C$1/2)+1,VLOOKUP($D380,Data!$X$2:$Y$117,2,TRUE),"")</f>
        <v/>
      </c>
      <c r="F380" s="14" t="str">
        <f>IF(ROW()&lt;=(Results!$C$1/2)+1,IF(E380&lt;=0,"",LN(E380)),"")</f>
        <v/>
      </c>
    </row>
    <row r="381" spans="1:6" x14ac:dyDescent="0.25">
      <c r="A381" s="1" t="str">
        <f ca="1">IF(ROW()&lt;=(Results!$C$1/2)+1,INDEX(Data!$V:$V,CEILING((COUNTA(Data!$V:$V)-1)*RAND()+1,1)),"")</f>
        <v/>
      </c>
      <c r="B381" s="1" t="str">
        <f>IF(ROW()&lt;=(Results!$C$1/2)+1,VLOOKUP($A381,Data!$V$2:$W$117,2,TRUE),"")</f>
        <v/>
      </c>
      <c r="C381" s="14" t="str">
        <f>IF(ROW()&lt;=(Results!$C$1/2)+1,IF(B381&lt;=0,"",LN(B381)),"")</f>
        <v/>
      </c>
      <c r="D381" s="1" t="str">
        <f ca="1">IF(ROW()&lt;=(Results!$C$1/2)+1,INDEX(Data!$X:$X,CEILING((COUNTA(Data!$X:$X)-1)*RAND()+1,1)),"")</f>
        <v/>
      </c>
      <c r="E381" s="1" t="str">
        <f>IF(ROW()&lt;=(Results!$C$1/2)+1,VLOOKUP($D381,Data!$X$2:$Y$117,2,TRUE),"")</f>
        <v/>
      </c>
      <c r="F381" s="14" t="str">
        <f>IF(ROW()&lt;=(Results!$C$1/2)+1,IF(E381&lt;=0,"",LN(E381)),"")</f>
        <v/>
      </c>
    </row>
    <row r="382" spans="1:6" x14ac:dyDescent="0.25">
      <c r="A382" s="1" t="str">
        <f ca="1">IF(ROW()&lt;=(Results!$C$1/2)+1,INDEX(Data!$V:$V,CEILING((COUNTA(Data!$V:$V)-1)*RAND()+1,1)),"")</f>
        <v/>
      </c>
      <c r="B382" s="1" t="str">
        <f>IF(ROW()&lt;=(Results!$C$1/2)+1,VLOOKUP($A382,Data!$V$2:$W$117,2,TRUE),"")</f>
        <v/>
      </c>
      <c r="C382" s="14" t="str">
        <f>IF(ROW()&lt;=(Results!$C$1/2)+1,IF(B382&lt;=0,"",LN(B382)),"")</f>
        <v/>
      </c>
      <c r="D382" s="1" t="str">
        <f ca="1">IF(ROW()&lt;=(Results!$C$1/2)+1,INDEX(Data!$X:$X,CEILING((COUNTA(Data!$X:$X)-1)*RAND()+1,1)),"")</f>
        <v/>
      </c>
      <c r="E382" s="1" t="str">
        <f>IF(ROW()&lt;=(Results!$C$1/2)+1,VLOOKUP($D382,Data!$X$2:$Y$117,2,TRUE),"")</f>
        <v/>
      </c>
      <c r="F382" s="14" t="str">
        <f>IF(ROW()&lt;=(Results!$C$1/2)+1,IF(E382&lt;=0,"",LN(E382)),"")</f>
        <v/>
      </c>
    </row>
    <row r="383" spans="1:6" x14ac:dyDescent="0.25">
      <c r="A383" s="1" t="str">
        <f ca="1">IF(ROW()&lt;=(Results!$C$1/2)+1,INDEX(Data!$V:$V,CEILING((COUNTA(Data!$V:$V)-1)*RAND()+1,1)),"")</f>
        <v/>
      </c>
      <c r="B383" s="1" t="str">
        <f>IF(ROW()&lt;=(Results!$C$1/2)+1,VLOOKUP($A383,Data!$V$2:$W$117,2,TRUE),"")</f>
        <v/>
      </c>
      <c r="C383" s="14" t="str">
        <f>IF(ROW()&lt;=(Results!$C$1/2)+1,IF(B383&lt;=0,"",LN(B383)),"")</f>
        <v/>
      </c>
      <c r="D383" s="1" t="str">
        <f ca="1">IF(ROW()&lt;=(Results!$C$1/2)+1,INDEX(Data!$X:$X,CEILING((COUNTA(Data!$X:$X)-1)*RAND()+1,1)),"")</f>
        <v/>
      </c>
      <c r="E383" s="1" t="str">
        <f>IF(ROW()&lt;=(Results!$C$1/2)+1,VLOOKUP($D383,Data!$X$2:$Y$117,2,TRUE),"")</f>
        <v/>
      </c>
      <c r="F383" s="14" t="str">
        <f>IF(ROW()&lt;=(Results!$C$1/2)+1,IF(E383&lt;=0,"",LN(E383)),"")</f>
        <v/>
      </c>
    </row>
    <row r="384" spans="1:6" x14ac:dyDescent="0.25">
      <c r="A384" s="1" t="str">
        <f ca="1">IF(ROW()&lt;=(Results!$C$1/2)+1,INDEX(Data!$V:$V,CEILING((COUNTA(Data!$V:$V)-1)*RAND()+1,1)),"")</f>
        <v/>
      </c>
      <c r="B384" s="1" t="str">
        <f>IF(ROW()&lt;=(Results!$C$1/2)+1,VLOOKUP($A384,Data!$V$2:$W$117,2,TRUE),"")</f>
        <v/>
      </c>
      <c r="C384" s="14" t="str">
        <f>IF(ROW()&lt;=(Results!$C$1/2)+1,IF(B384&lt;=0,"",LN(B384)),"")</f>
        <v/>
      </c>
      <c r="D384" s="1" t="str">
        <f ca="1">IF(ROW()&lt;=(Results!$C$1/2)+1,INDEX(Data!$X:$X,CEILING((COUNTA(Data!$X:$X)-1)*RAND()+1,1)),"")</f>
        <v/>
      </c>
      <c r="E384" s="1" t="str">
        <f>IF(ROW()&lt;=(Results!$C$1/2)+1,VLOOKUP($D384,Data!$X$2:$Y$117,2,TRUE),"")</f>
        <v/>
      </c>
      <c r="F384" s="14" t="str">
        <f>IF(ROW()&lt;=(Results!$C$1/2)+1,IF(E384&lt;=0,"",LN(E384)),"")</f>
        <v/>
      </c>
    </row>
    <row r="385" spans="1:6" x14ac:dyDescent="0.25">
      <c r="A385" s="1" t="str">
        <f ca="1">IF(ROW()&lt;=(Results!$C$1/2)+1,INDEX(Data!$V:$V,CEILING((COUNTA(Data!$V:$V)-1)*RAND()+1,1)),"")</f>
        <v/>
      </c>
      <c r="B385" s="1" t="str">
        <f>IF(ROW()&lt;=(Results!$C$1/2)+1,VLOOKUP($A385,Data!$V$2:$W$117,2,TRUE),"")</f>
        <v/>
      </c>
      <c r="C385" s="14" t="str">
        <f>IF(ROW()&lt;=(Results!$C$1/2)+1,IF(B385&lt;=0,"",LN(B385)),"")</f>
        <v/>
      </c>
      <c r="D385" s="1" t="str">
        <f ca="1">IF(ROW()&lt;=(Results!$C$1/2)+1,INDEX(Data!$X:$X,CEILING((COUNTA(Data!$X:$X)-1)*RAND()+1,1)),"")</f>
        <v/>
      </c>
      <c r="E385" s="1" t="str">
        <f>IF(ROW()&lt;=(Results!$C$1/2)+1,VLOOKUP($D385,Data!$X$2:$Y$117,2,TRUE),"")</f>
        <v/>
      </c>
      <c r="F385" s="14" t="str">
        <f>IF(ROW()&lt;=(Results!$C$1/2)+1,IF(E385&lt;=0,"",LN(E385)),"")</f>
        <v/>
      </c>
    </row>
    <row r="386" spans="1:6" x14ac:dyDescent="0.25">
      <c r="A386" s="1" t="str">
        <f ca="1">IF(ROW()&lt;=(Results!$C$1/2)+1,INDEX(Data!$V:$V,CEILING((COUNTA(Data!$V:$V)-1)*RAND()+1,1)),"")</f>
        <v/>
      </c>
      <c r="B386" s="1" t="str">
        <f>IF(ROW()&lt;=(Results!$C$1/2)+1,VLOOKUP($A386,Data!$V$2:$W$117,2,TRUE),"")</f>
        <v/>
      </c>
      <c r="C386" s="14" t="str">
        <f>IF(ROW()&lt;=(Results!$C$1/2)+1,IF(B386&lt;=0,"",LN(B386)),"")</f>
        <v/>
      </c>
      <c r="D386" s="1" t="str">
        <f ca="1">IF(ROW()&lt;=(Results!$C$1/2)+1,INDEX(Data!$X:$X,CEILING((COUNTA(Data!$X:$X)-1)*RAND()+1,1)),"")</f>
        <v/>
      </c>
      <c r="E386" s="1" t="str">
        <f>IF(ROW()&lt;=(Results!$C$1/2)+1,VLOOKUP($D386,Data!$X$2:$Y$117,2,TRUE),"")</f>
        <v/>
      </c>
      <c r="F386" s="14" t="str">
        <f>IF(ROW()&lt;=(Results!$C$1/2)+1,IF(E386&lt;=0,"",LN(E386)),"")</f>
        <v/>
      </c>
    </row>
    <row r="387" spans="1:6" x14ac:dyDescent="0.25">
      <c r="A387" s="1" t="str">
        <f ca="1">IF(ROW()&lt;=(Results!$C$1/2)+1,INDEX(Data!$V:$V,CEILING((COUNTA(Data!$V:$V)-1)*RAND()+1,1)),"")</f>
        <v/>
      </c>
      <c r="B387" s="1" t="str">
        <f>IF(ROW()&lt;=(Results!$C$1/2)+1,VLOOKUP($A387,Data!$V$2:$W$117,2,TRUE),"")</f>
        <v/>
      </c>
      <c r="C387" s="14" t="str">
        <f>IF(ROW()&lt;=(Results!$C$1/2)+1,IF(B387&lt;=0,"",LN(B387)),"")</f>
        <v/>
      </c>
      <c r="D387" s="1" t="str">
        <f ca="1">IF(ROW()&lt;=(Results!$C$1/2)+1,INDEX(Data!$X:$X,CEILING((COUNTA(Data!$X:$X)-1)*RAND()+1,1)),"")</f>
        <v/>
      </c>
      <c r="E387" s="1" t="str">
        <f>IF(ROW()&lt;=(Results!$C$1/2)+1,VLOOKUP($D387,Data!$X$2:$Y$117,2,TRUE),"")</f>
        <v/>
      </c>
      <c r="F387" s="14" t="str">
        <f>IF(ROW()&lt;=(Results!$C$1/2)+1,IF(E387&lt;=0,"",LN(E387)),"")</f>
        <v/>
      </c>
    </row>
    <row r="388" spans="1:6" x14ac:dyDescent="0.25">
      <c r="A388" s="1" t="str">
        <f ca="1">IF(ROW()&lt;=(Results!$C$1/2)+1,INDEX(Data!$V:$V,CEILING((COUNTA(Data!$V:$V)-1)*RAND()+1,1)),"")</f>
        <v/>
      </c>
      <c r="B388" s="1" t="str">
        <f>IF(ROW()&lt;=(Results!$C$1/2)+1,VLOOKUP($A388,Data!$V$2:$W$117,2,TRUE),"")</f>
        <v/>
      </c>
      <c r="C388" s="14" t="str">
        <f>IF(ROW()&lt;=(Results!$C$1/2)+1,IF(B388&lt;=0,"",LN(B388)),"")</f>
        <v/>
      </c>
      <c r="D388" s="1" t="str">
        <f ca="1">IF(ROW()&lt;=(Results!$C$1/2)+1,INDEX(Data!$X:$X,CEILING((COUNTA(Data!$X:$X)-1)*RAND()+1,1)),"")</f>
        <v/>
      </c>
      <c r="E388" s="1" t="str">
        <f>IF(ROW()&lt;=(Results!$C$1/2)+1,VLOOKUP($D388,Data!$X$2:$Y$117,2,TRUE),"")</f>
        <v/>
      </c>
      <c r="F388" s="14" t="str">
        <f>IF(ROW()&lt;=(Results!$C$1/2)+1,IF(E388&lt;=0,"",LN(E388)),"")</f>
        <v/>
      </c>
    </row>
    <row r="389" spans="1:6" x14ac:dyDescent="0.25">
      <c r="A389" s="1" t="str">
        <f ca="1">IF(ROW()&lt;=(Results!$C$1/2)+1,INDEX(Data!$V:$V,CEILING((COUNTA(Data!$V:$V)-1)*RAND()+1,1)),"")</f>
        <v/>
      </c>
      <c r="B389" s="1" t="str">
        <f>IF(ROW()&lt;=(Results!$C$1/2)+1,VLOOKUP($A389,Data!$V$2:$W$117,2,TRUE),"")</f>
        <v/>
      </c>
      <c r="C389" s="14" t="str">
        <f>IF(ROW()&lt;=(Results!$C$1/2)+1,IF(B389&lt;=0,"",LN(B389)),"")</f>
        <v/>
      </c>
      <c r="D389" s="1" t="str">
        <f ca="1">IF(ROW()&lt;=(Results!$C$1/2)+1,INDEX(Data!$X:$X,CEILING((COUNTA(Data!$X:$X)-1)*RAND()+1,1)),"")</f>
        <v/>
      </c>
      <c r="E389" s="1" t="str">
        <f>IF(ROW()&lt;=(Results!$C$1/2)+1,VLOOKUP($D389,Data!$X$2:$Y$117,2,TRUE),"")</f>
        <v/>
      </c>
      <c r="F389" s="14" t="str">
        <f>IF(ROW()&lt;=(Results!$C$1/2)+1,IF(E389&lt;=0,"",LN(E389)),"")</f>
        <v/>
      </c>
    </row>
    <row r="390" spans="1:6" x14ac:dyDescent="0.25">
      <c r="A390" s="1" t="str">
        <f ca="1">IF(ROW()&lt;=(Results!$C$1/2)+1,INDEX(Data!$V:$V,CEILING((COUNTA(Data!$V:$V)-1)*RAND()+1,1)),"")</f>
        <v/>
      </c>
      <c r="B390" s="1" t="str">
        <f>IF(ROW()&lt;=(Results!$C$1/2)+1,VLOOKUP($A390,Data!$V$2:$W$117,2,TRUE),"")</f>
        <v/>
      </c>
      <c r="C390" s="14" t="str">
        <f>IF(ROW()&lt;=(Results!$C$1/2)+1,IF(B390&lt;=0,"",LN(B390)),"")</f>
        <v/>
      </c>
      <c r="D390" s="1" t="str">
        <f ca="1">IF(ROW()&lt;=(Results!$C$1/2)+1,INDEX(Data!$X:$X,CEILING((COUNTA(Data!$X:$X)-1)*RAND()+1,1)),"")</f>
        <v/>
      </c>
      <c r="E390" s="1" t="str">
        <f>IF(ROW()&lt;=(Results!$C$1/2)+1,VLOOKUP($D390,Data!$X$2:$Y$117,2,TRUE),"")</f>
        <v/>
      </c>
      <c r="F390" s="14" t="str">
        <f>IF(ROW()&lt;=(Results!$C$1/2)+1,IF(E390&lt;=0,"",LN(E390)),"")</f>
        <v/>
      </c>
    </row>
    <row r="391" spans="1:6" x14ac:dyDescent="0.25">
      <c r="A391" s="1" t="str">
        <f ca="1">IF(ROW()&lt;=(Results!$C$1/2)+1,INDEX(Data!$V:$V,CEILING((COUNTA(Data!$V:$V)-1)*RAND()+1,1)),"")</f>
        <v/>
      </c>
      <c r="B391" s="1" t="str">
        <f>IF(ROW()&lt;=(Results!$C$1/2)+1,VLOOKUP($A391,Data!$V$2:$W$117,2,TRUE),"")</f>
        <v/>
      </c>
      <c r="C391" s="14" t="str">
        <f>IF(ROW()&lt;=(Results!$C$1/2)+1,IF(B391&lt;=0,"",LN(B391)),"")</f>
        <v/>
      </c>
      <c r="D391" s="1" t="str">
        <f ca="1">IF(ROW()&lt;=(Results!$C$1/2)+1,INDEX(Data!$X:$X,CEILING((COUNTA(Data!$X:$X)-1)*RAND()+1,1)),"")</f>
        <v/>
      </c>
      <c r="E391" s="1" t="str">
        <f>IF(ROW()&lt;=(Results!$C$1/2)+1,VLOOKUP($D391,Data!$X$2:$Y$117,2,TRUE),"")</f>
        <v/>
      </c>
      <c r="F391" s="14" t="str">
        <f>IF(ROW()&lt;=(Results!$C$1/2)+1,IF(E391&lt;=0,"",LN(E391)),"")</f>
        <v/>
      </c>
    </row>
    <row r="392" spans="1:6" x14ac:dyDescent="0.25">
      <c r="A392" s="1" t="str">
        <f ca="1">IF(ROW()&lt;=(Results!$C$1/2)+1,INDEX(Data!$V:$V,CEILING((COUNTA(Data!$V:$V)-1)*RAND()+1,1)),"")</f>
        <v/>
      </c>
      <c r="B392" s="1" t="str">
        <f>IF(ROW()&lt;=(Results!$C$1/2)+1,VLOOKUP($A392,Data!$V$2:$W$117,2,TRUE),"")</f>
        <v/>
      </c>
      <c r="C392" s="14" t="str">
        <f>IF(ROW()&lt;=(Results!$C$1/2)+1,IF(B392&lt;=0,"",LN(B392)),"")</f>
        <v/>
      </c>
      <c r="D392" s="1" t="str">
        <f ca="1">IF(ROW()&lt;=(Results!$C$1/2)+1,INDEX(Data!$X:$X,CEILING((COUNTA(Data!$X:$X)-1)*RAND()+1,1)),"")</f>
        <v/>
      </c>
      <c r="E392" s="1" t="str">
        <f>IF(ROW()&lt;=(Results!$C$1/2)+1,VLOOKUP($D392,Data!$X$2:$Y$117,2,TRUE),"")</f>
        <v/>
      </c>
      <c r="F392" s="14" t="str">
        <f>IF(ROW()&lt;=(Results!$C$1/2)+1,IF(E392&lt;=0,"",LN(E392)),"")</f>
        <v/>
      </c>
    </row>
    <row r="393" spans="1:6" x14ac:dyDescent="0.25">
      <c r="A393" s="1" t="str">
        <f ca="1">IF(ROW()&lt;=(Results!$C$1/2)+1,INDEX(Data!$V:$V,CEILING((COUNTA(Data!$V:$V)-1)*RAND()+1,1)),"")</f>
        <v/>
      </c>
      <c r="B393" s="1" t="str">
        <f>IF(ROW()&lt;=(Results!$C$1/2)+1,VLOOKUP($A393,Data!$V$2:$W$117,2,TRUE),"")</f>
        <v/>
      </c>
      <c r="C393" s="14" t="str">
        <f>IF(ROW()&lt;=(Results!$C$1/2)+1,IF(B393&lt;=0,"",LN(B393)),"")</f>
        <v/>
      </c>
      <c r="D393" s="1" t="str">
        <f ca="1">IF(ROW()&lt;=(Results!$C$1/2)+1,INDEX(Data!$X:$X,CEILING((COUNTA(Data!$X:$X)-1)*RAND()+1,1)),"")</f>
        <v/>
      </c>
      <c r="E393" s="1" t="str">
        <f>IF(ROW()&lt;=(Results!$C$1/2)+1,VLOOKUP($D393,Data!$X$2:$Y$117,2,TRUE),"")</f>
        <v/>
      </c>
      <c r="F393" s="14" t="str">
        <f>IF(ROW()&lt;=(Results!$C$1/2)+1,IF(E393&lt;=0,"",LN(E393)),"")</f>
        <v/>
      </c>
    </row>
    <row r="394" spans="1:6" x14ac:dyDescent="0.25">
      <c r="A394" s="1" t="str">
        <f ca="1">IF(ROW()&lt;=(Results!$C$1/2)+1,INDEX(Data!$V:$V,CEILING((COUNTA(Data!$V:$V)-1)*RAND()+1,1)),"")</f>
        <v/>
      </c>
      <c r="B394" s="1" t="str">
        <f>IF(ROW()&lt;=(Results!$C$1/2)+1,VLOOKUP($A394,Data!$V$2:$W$117,2,TRUE),"")</f>
        <v/>
      </c>
      <c r="C394" s="14" t="str">
        <f>IF(ROW()&lt;=(Results!$C$1/2)+1,IF(B394&lt;=0,"",LN(B394)),"")</f>
        <v/>
      </c>
      <c r="D394" s="1" t="str">
        <f ca="1">IF(ROW()&lt;=(Results!$C$1/2)+1,INDEX(Data!$X:$X,CEILING((COUNTA(Data!$X:$X)-1)*RAND()+1,1)),"")</f>
        <v/>
      </c>
      <c r="E394" s="1" t="str">
        <f>IF(ROW()&lt;=(Results!$C$1/2)+1,VLOOKUP($D394,Data!$X$2:$Y$117,2,TRUE),"")</f>
        <v/>
      </c>
      <c r="F394" s="14" t="str">
        <f>IF(ROW()&lt;=(Results!$C$1/2)+1,IF(E394&lt;=0,"",LN(E394)),"")</f>
        <v/>
      </c>
    </row>
    <row r="395" spans="1:6" x14ac:dyDescent="0.25">
      <c r="A395" s="1" t="str">
        <f ca="1">IF(ROW()&lt;=(Results!$C$1/2)+1,INDEX(Data!$V:$V,CEILING((COUNTA(Data!$V:$V)-1)*RAND()+1,1)),"")</f>
        <v/>
      </c>
      <c r="B395" s="1" t="str">
        <f>IF(ROW()&lt;=(Results!$C$1/2)+1,VLOOKUP($A395,Data!$V$2:$W$117,2,TRUE),"")</f>
        <v/>
      </c>
      <c r="C395" s="14" t="str">
        <f>IF(ROW()&lt;=(Results!$C$1/2)+1,IF(B395&lt;=0,"",LN(B395)),"")</f>
        <v/>
      </c>
      <c r="D395" s="1" t="str">
        <f ca="1">IF(ROW()&lt;=(Results!$C$1/2)+1,INDEX(Data!$X:$X,CEILING((COUNTA(Data!$X:$X)-1)*RAND()+1,1)),"")</f>
        <v/>
      </c>
      <c r="E395" s="1" t="str">
        <f>IF(ROW()&lt;=(Results!$C$1/2)+1,VLOOKUP($D395,Data!$X$2:$Y$117,2,TRUE),"")</f>
        <v/>
      </c>
      <c r="F395" s="14" t="str">
        <f>IF(ROW()&lt;=(Results!$C$1/2)+1,IF(E395&lt;=0,"",LN(E395)),"")</f>
        <v/>
      </c>
    </row>
    <row r="396" spans="1:6" x14ac:dyDescent="0.25">
      <c r="A396" s="1" t="str">
        <f ca="1">IF(ROW()&lt;=(Results!$C$1/2)+1,INDEX(Data!$V:$V,CEILING((COUNTA(Data!$V:$V)-1)*RAND()+1,1)),"")</f>
        <v/>
      </c>
      <c r="B396" s="1" t="str">
        <f>IF(ROW()&lt;=(Results!$C$1/2)+1,VLOOKUP($A396,Data!$V$2:$W$117,2,TRUE),"")</f>
        <v/>
      </c>
      <c r="C396" s="14" t="str">
        <f>IF(ROW()&lt;=(Results!$C$1/2)+1,IF(B396&lt;=0,"",LN(B396)),"")</f>
        <v/>
      </c>
      <c r="D396" s="1" t="str">
        <f ca="1">IF(ROW()&lt;=(Results!$C$1/2)+1,INDEX(Data!$X:$X,CEILING((COUNTA(Data!$X:$X)-1)*RAND()+1,1)),"")</f>
        <v/>
      </c>
      <c r="E396" s="1" t="str">
        <f>IF(ROW()&lt;=(Results!$C$1/2)+1,VLOOKUP($D396,Data!$X$2:$Y$117,2,TRUE),"")</f>
        <v/>
      </c>
      <c r="F396" s="14" t="str">
        <f>IF(ROW()&lt;=(Results!$C$1/2)+1,IF(E396&lt;=0,"",LN(E396)),"")</f>
        <v/>
      </c>
    </row>
    <row r="397" spans="1:6" x14ac:dyDescent="0.25">
      <c r="A397" s="1" t="str">
        <f ca="1">IF(ROW()&lt;=(Results!$C$1/2)+1,INDEX(Data!$V:$V,CEILING((COUNTA(Data!$V:$V)-1)*RAND()+1,1)),"")</f>
        <v/>
      </c>
      <c r="B397" s="1" t="str">
        <f>IF(ROW()&lt;=(Results!$C$1/2)+1,VLOOKUP($A397,Data!$V$2:$W$117,2,TRUE),"")</f>
        <v/>
      </c>
      <c r="C397" s="14" t="str">
        <f>IF(ROW()&lt;=(Results!$C$1/2)+1,IF(B397&lt;=0,"",LN(B397)),"")</f>
        <v/>
      </c>
      <c r="D397" s="1" t="str">
        <f ca="1">IF(ROW()&lt;=(Results!$C$1/2)+1,INDEX(Data!$X:$X,CEILING((COUNTA(Data!$X:$X)-1)*RAND()+1,1)),"")</f>
        <v/>
      </c>
      <c r="E397" s="1" t="str">
        <f>IF(ROW()&lt;=(Results!$C$1/2)+1,VLOOKUP($D397,Data!$X$2:$Y$117,2,TRUE),"")</f>
        <v/>
      </c>
      <c r="F397" s="14" t="str">
        <f>IF(ROW()&lt;=(Results!$C$1/2)+1,IF(E397&lt;=0,"",LN(E397)),"")</f>
        <v/>
      </c>
    </row>
    <row r="398" spans="1:6" x14ac:dyDescent="0.25">
      <c r="A398" s="1" t="str">
        <f ca="1">IF(ROW()&lt;=(Results!$C$1/2)+1,INDEX(Data!$V:$V,CEILING((COUNTA(Data!$V:$V)-1)*RAND()+1,1)),"")</f>
        <v/>
      </c>
      <c r="B398" s="1" t="str">
        <f>IF(ROW()&lt;=(Results!$C$1/2)+1,VLOOKUP($A398,Data!$V$2:$W$117,2,TRUE),"")</f>
        <v/>
      </c>
      <c r="C398" s="14" t="str">
        <f>IF(ROW()&lt;=(Results!$C$1/2)+1,IF(B398&lt;=0,"",LN(B398)),"")</f>
        <v/>
      </c>
      <c r="D398" s="1" t="str">
        <f ca="1">IF(ROW()&lt;=(Results!$C$1/2)+1,INDEX(Data!$X:$X,CEILING((COUNTA(Data!$X:$X)-1)*RAND()+1,1)),"")</f>
        <v/>
      </c>
      <c r="E398" s="1" t="str">
        <f>IF(ROW()&lt;=(Results!$C$1/2)+1,VLOOKUP($D398,Data!$X$2:$Y$117,2,TRUE),"")</f>
        <v/>
      </c>
      <c r="F398" s="14" t="str">
        <f>IF(ROW()&lt;=(Results!$C$1/2)+1,IF(E398&lt;=0,"",LN(E398)),"")</f>
        <v/>
      </c>
    </row>
    <row r="399" spans="1:6" x14ac:dyDescent="0.25">
      <c r="A399" s="1" t="str">
        <f ca="1">IF(ROW()&lt;=(Results!$C$1/2)+1,INDEX(Data!$V:$V,CEILING((COUNTA(Data!$V:$V)-1)*RAND()+1,1)),"")</f>
        <v/>
      </c>
      <c r="B399" s="1" t="str">
        <f>IF(ROW()&lt;=(Results!$C$1/2)+1,VLOOKUP($A399,Data!$V$2:$W$117,2,TRUE),"")</f>
        <v/>
      </c>
      <c r="C399" s="14" t="str">
        <f>IF(ROW()&lt;=(Results!$C$1/2)+1,IF(B399&lt;=0,"",LN(B399)),"")</f>
        <v/>
      </c>
      <c r="D399" s="1" t="str">
        <f ca="1">IF(ROW()&lt;=(Results!$C$1/2)+1,INDEX(Data!$X:$X,CEILING((COUNTA(Data!$X:$X)-1)*RAND()+1,1)),"")</f>
        <v/>
      </c>
      <c r="E399" s="1" t="str">
        <f>IF(ROW()&lt;=(Results!$C$1/2)+1,VLOOKUP($D399,Data!$X$2:$Y$117,2,TRUE),"")</f>
        <v/>
      </c>
      <c r="F399" s="14" t="str">
        <f>IF(ROW()&lt;=(Results!$C$1/2)+1,IF(E399&lt;=0,"",LN(E399)),"")</f>
        <v/>
      </c>
    </row>
    <row r="400" spans="1:6" x14ac:dyDescent="0.25">
      <c r="A400" s="1" t="str">
        <f ca="1">IF(ROW()&lt;=(Results!$C$1/2)+1,INDEX(Data!$V:$V,CEILING((COUNTA(Data!$V:$V)-1)*RAND()+1,1)),"")</f>
        <v/>
      </c>
      <c r="B400" s="1" t="str">
        <f>IF(ROW()&lt;=(Results!$C$1/2)+1,VLOOKUP($A400,Data!$V$2:$W$117,2,TRUE),"")</f>
        <v/>
      </c>
      <c r="C400" s="14" t="str">
        <f>IF(ROW()&lt;=(Results!$C$1/2)+1,IF(B400&lt;=0,"",LN(B400)),"")</f>
        <v/>
      </c>
      <c r="D400" s="1" t="str">
        <f ca="1">IF(ROW()&lt;=(Results!$C$1/2)+1,INDEX(Data!$X:$X,CEILING((COUNTA(Data!$X:$X)-1)*RAND()+1,1)),"")</f>
        <v/>
      </c>
      <c r="E400" s="1" t="str">
        <f>IF(ROW()&lt;=(Results!$C$1/2)+1,VLOOKUP($D400,Data!$X$2:$Y$117,2,TRUE),"")</f>
        <v/>
      </c>
      <c r="F400" s="14" t="str">
        <f>IF(ROW()&lt;=(Results!$C$1/2)+1,IF(E400&lt;=0,"",LN(E400)),"")</f>
        <v/>
      </c>
    </row>
    <row r="401" spans="1:6" x14ac:dyDescent="0.25">
      <c r="A401" s="1" t="str">
        <f ca="1">IF(ROW()&lt;=(Results!$C$1/2)+1,INDEX(Data!$V:$V,CEILING((COUNTA(Data!$V:$V)-1)*RAND()+1,1)),"")</f>
        <v/>
      </c>
      <c r="B401" s="1" t="str">
        <f>IF(ROW()&lt;=(Results!$C$1/2)+1,VLOOKUP($A401,Data!$V$2:$W$117,2,TRUE),"")</f>
        <v/>
      </c>
      <c r="C401" s="14" t="str">
        <f>IF(ROW()&lt;=(Results!$C$1/2)+1,IF(B401&lt;=0,"",LN(B401)),"")</f>
        <v/>
      </c>
      <c r="D401" s="1" t="str">
        <f ca="1">IF(ROW()&lt;=(Results!$C$1/2)+1,INDEX(Data!$X:$X,CEILING((COUNTA(Data!$X:$X)-1)*RAND()+1,1)),"")</f>
        <v/>
      </c>
      <c r="E401" s="1" t="str">
        <f>IF(ROW()&lt;=(Results!$C$1/2)+1,VLOOKUP($D401,Data!$X$2:$Y$117,2,TRUE),"")</f>
        <v/>
      </c>
      <c r="F401" s="14" t="str">
        <f>IF(ROW()&lt;=(Results!$C$1/2)+1,IF(E401&lt;=0,"",LN(E401)),"")</f>
        <v/>
      </c>
    </row>
    <row r="402" spans="1:6" x14ac:dyDescent="0.25">
      <c r="A402" s="1" t="str">
        <f ca="1">IF(ROW()&lt;=(Results!$C$1/2)+1,INDEX(Data!$V:$V,CEILING((COUNTA(Data!$V:$V)-1)*RAND()+1,1)),"")</f>
        <v/>
      </c>
      <c r="B402" s="1" t="str">
        <f>IF(ROW()&lt;=(Results!$C$1/2)+1,VLOOKUP($A402,Data!$V$2:$W$117,2,TRUE),"")</f>
        <v/>
      </c>
      <c r="C402" s="14" t="str">
        <f>IF(ROW()&lt;=(Results!$C$1/2)+1,IF(B402&lt;=0,"",LN(B402)),"")</f>
        <v/>
      </c>
      <c r="D402" s="1" t="str">
        <f ca="1">IF(ROW()&lt;=(Results!$C$1/2)+1,INDEX(Data!$X:$X,CEILING((COUNTA(Data!$X:$X)-1)*RAND()+1,1)),"")</f>
        <v/>
      </c>
      <c r="E402" s="1" t="str">
        <f>IF(ROW()&lt;=(Results!$C$1/2)+1,VLOOKUP($D402,Data!$X$2:$Y$117,2,TRUE),"")</f>
        <v/>
      </c>
      <c r="F402" s="14" t="str">
        <f>IF(ROW()&lt;=(Results!$C$1/2)+1,IF(E402&lt;=0,"",LN(E402)),"")</f>
        <v/>
      </c>
    </row>
    <row r="403" spans="1:6" x14ac:dyDescent="0.25">
      <c r="A403" s="1" t="str">
        <f ca="1">IF(ROW()&lt;=(Results!$C$1/2)+1,INDEX(Data!$V:$V,CEILING((COUNTA(Data!$V:$V)-1)*RAND()+1,1)),"")</f>
        <v/>
      </c>
      <c r="B403" s="1" t="str">
        <f>IF(ROW()&lt;=(Results!$C$1/2)+1,VLOOKUP($A403,Data!$V$2:$W$117,2,TRUE),"")</f>
        <v/>
      </c>
      <c r="C403" s="14" t="str">
        <f>IF(ROW()&lt;=(Results!$C$1/2)+1,IF(B403&lt;=0,"",LN(B403)),"")</f>
        <v/>
      </c>
      <c r="D403" s="1" t="str">
        <f ca="1">IF(ROW()&lt;=(Results!$C$1/2)+1,INDEX(Data!$X:$X,CEILING((COUNTA(Data!$X:$X)-1)*RAND()+1,1)),"")</f>
        <v/>
      </c>
      <c r="E403" s="1" t="str">
        <f>IF(ROW()&lt;=(Results!$C$1/2)+1,VLOOKUP($D403,Data!$X$2:$Y$117,2,TRUE),"")</f>
        <v/>
      </c>
      <c r="F403" s="14" t="str">
        <f>IF(ROW()&lt;=(Results!$C$1/2)+1,IF(E403&lt;=0,"",LN(E403)),"")</f>
        <v/>
      </c>
    </row>
    <row r="404" spans="1:6" x14ac:dyDescent="0.25">
      <c r="A404" s="1" t="str">
        <f ca="1">IF(ROW()&lt;=(Results!$C$1/2)+1,INDEX(Data!$V:$V,CEILING((COUNTA(Data!$V:$V)-1)*RAND()+1,1)),"")</f>
        <v/>
      </c>
      <c r="B404" s="1" t="str">
        <f>IF(ROW()&lt;=(Results!$C$1/2)+1,VLOOKUP($A404,Data!$V$2:$W$117,2,TRUE),"")</f>
        <v/>
      </c>
      <c r="C404" s="14" t="str">
        <f>IF(ROW()&lt;=(Results!$C$1/2)+1,IF(B404&lt;=0,"",LN(B404)),"")</f>
        <v/>
      </c>
      <c r="D404" s="1" t="str">
        <f ca="1">IF(ROW()&lt;=(Results!$C$1/2)+1,INDEX(Data!$X:$X,CEILING((COUNTA(Data!$X:$X)-1)*RAND()+1,1)),"")</f>
        <v/>
      </c>
      <c r="E404" s="1" t="str">
        <f>IF(ROW()&lt;=(Results!$C$1/2)+1,VLOOKUP($D404,Data!$X$2:$Y$117,2,TRUE),"")</f>
        <v/>
      </c>
      <c r="F404" s="14" t="str">
        <f>IF(ROW()&lt;=(Results!$C$1/2)+1,IF(E404&lt;=0,"",LN(E404)),"")</f>
        <v/>
      </c>
    </row>
    <row r="405" spans="1:6" x14ac:dyDescent="0.25">
      <c r="A405" s="1" t="str">
        <f ca="1">IF(ROW()&lt;=(Results!$C$1/2)+1,INDEX(Data!$V:$V,CEILING((COUNTA(Data!$V:$V)-1)*RAND()+1,1)),"")</f>
        <v/>
      </c>
      <c r="B405" s="1" t="str">
        <f>IF(ROW()&lt;=(Results!$C$1/2)+1,VLOOKUP($A405,Data!$V$2:$W$117,2,TRUE),"")</f>
        <v/>
      </c>
      <c r="C405" s="14" t="str">
        <f>IF(ROW()&lt;=(Results!$C$1/2)+1,IF(B405&lt;=0,"",LN(B405)),"")</f>
        <v/>
      </c>
      <c r="D405" s="1" t="str">
        <f ca="1">IF(ROW()&lt;=(Results!$C$1/2)+1,INDEX(Data!$X:$X,CEILING((COUNTA(Data!$X:$X)-1)*RAND()+1,1)),"")</f>
        <v/>
      </c>
      <c r="E405" s="1" t="str">
        <f>IF(ROW()&lt;=(Results!$C$1/2)+1,VLOOKUP($D405,Data!$X$2:$Y$117,2,TRUE),"")</f>
        <v/>
      </c>
      <c r="F405" s="14" t="str">
        <f>IF(ROW()&lt;=(Results!$C$1/2)+1,IF(E405&lt;=0,"",LN(E405)),"")</f>
        <v/>
      </c>
    </row>
    <row r="406" spans="1:6" x14ac:dyDescent="0.25">
      <c r="A406" s="1" t="str">
        <f ca="1">IF(ROW()&lt;=(Results!$C$1/2)+1,INDEX(Data!$V:$V,CEILING((COUNTA(Data!$V:$V)-1)*RAND()+1,1)),"")</f>
        <v/>
      </c>
      <c r="B406" s="1" t="str">
        <f>IF(ROW()&lt;=(Results!$C$1/2)+1,VLOOKUP($A406,Data!$V$2:$W$117,2,TRUE),"")</f>
        <v/>
      </c>
      <c r="C406" s="14" t="str">
        <f>IF(ROW()&lt;=(Results!$C$1/2)+1,IF(B406&lt;=0,"",LN(B406)),"")</f>
        <v/>
      </c>
      <c r="D406" s="1" t="str">
        <f ca="1">IF(ROW()&lt;=(Results!$C$1/2)+1,INDEX(Data!$X:$X,CEILING((COUNTA(Data!$X:$X)-1)*RAND()+1,1)),"")</f>
        <v/>
      </c>
      <c r="E406" s="1" t="str">
        <f>IF(ROW()&lt;=(Results!$C$1/2)+1,VLOOKUP($D406,Data!$X$2:$Y$117,2,TRUE),"")</f>
        <v/>
      </c>
      <c r="F406" s="14" t="str">
        <f>IF(ROW()&lt;=(Results!$C$1/2)+1,IF(E406&lt;=0,"",LN(E406)),"")</f>
        <v/>
      </c>
    </row>
    <row r="407" spans="1:6" x14ac:dyDescent="0.25">
      <c r="A407" s="1" t="str">
        <f ca="1">IF(ROW()&lt;=(Results!$C$1/2)+1,INDEX(Data!$V:$V,CEILING((COUNTA(Data!$V:$V)-1)*RAND()+1,1)),"")</f>
        <v/>
      </c>
      <c r="B407" s="1" t="str">
        <f>IF(ROW()&lt;=(Results!$C$1/2)+1,VLOOKUP($A407,Data!$V$2:$W$117,2,TRUE),"")</f>
        <v/>
      </c>
      <c r="C407" s="14" t="str">
        <f>IF(ROW()&lt;=(Results!$C$1/2)+1,IF(B407&lt;=0,"",LN(B407)),"")</f>
        <v/>
      </c>
      <c r="D407" s="1" t="str">
        <f ca="1">IF(ROW()&lt;=(Results!$C$1/2)+1,INDEX(Data!$X:$X,CEILING((COUNTA(Data!$X:$X)-1)*RAND()+1,1)),"")</f>
        <v/>
      </c>
      <c r="E407" s="1" t="str">
        <f>IF(ROW()&lt;=(Results!$C$1/2)+1,VLOOKUP($D407,Data!$X$2:$Y$117,2,TRUE),"")</f>
        <v/>
      </c>
      <c r="F407" s="14" t="str">
        <f>IF(ROW()&lt;=(Results!$C$1/2)+1,IF(E407&lt;=0,"",LN(E407)),"")</f>
        <v/>
      </c>
    </row>
    <row r="408" spans="1:6" x14ac:dyDescent="0.25">
      <c r="A408" s="1" t="str">
        <f ca="1">IF(ROW()&lt;=(Results!$C$1/2)+1,INDEX(Data!$V:$V,CEILING((COUNTA(Data!$V:$V)-1)*RAND()+1,1)),"")</f>
        <v/>
      </c>
      <c r="B408" s="1" t="str">
        <f>IF(ROW()&lt;=(Results!$C$1/2)+1,VLOOKUP($A408,Data!$V$2:$W$117,2,TRUE),"")</f>
        <v/>
      </c>
      <c r="C408" s="14" t="str">
        <f>IF(ROW()&lt;=(Results!$C$1/2)+1,IF(B408&lt;=0,"",LN(B408)),"")</f>
        <v/>
      </c>
      <c r="D408" s="1" t="str">
        <f ca="1">IF(ROW()&lt;=(Results!$C$1/2)+1,INDEX(Data!$X:$X,CEILING((COUNTA(Data!$X:$X)-1)*RAND()+1,1)),"")</f>
        <v/>
      </c>
      <c r="E408" s="1" t="str">
        <f>IF(ROW()&lt;=(Results!$C$1/2)+1,VLOOKUP($D408,Data!$X$2:$Y$117,2,TRUE),"")</f>
        <v/>
      </c>
      <c r="F408" s="14" t="str">
        <f>IF(ROW()&lt;=(Results!$C$1/2)+1,IF(E408&lt;=0,"",LN(E408)),"")</f>
        <v/>
      </c>
    </row>
    <row r="409" spans="1:6" x14ac:dyDescent="0.25">
      <c r="A409" s="1" t="str">
        <f ca="1">IF(ROW()&lt;=(Results!$C$1/2)+1,INDEX(Data!$V:$V,CEILING((COUNTA(Data!$V:$V)-1)*RAND()+1,1)),"")</f>
        <v/>
      </c>
      <c r="B409" s="1" t="str">
        <f>IF(ROW()&lt;=(Results!$C$1/2)+1,VLOOKUP($A409,Data!$V$2:$W$117,2,TRUE),"")</f>
        <v/>
      </c>
      <c r="C409" s="14" t="str">
        <f>IF(ROW()&lt;=(Results!$C$1/2)+1,IF(B409&lt;=0,"",LN(B409)),"")</f>
        <v/>
      </c>
      <c r="D409" s="1" t="str">
        <f ca="1">IF(ROW()&lt;=(Results!$C$1/2)+1,INDEX(Data!$X:$X,CEILING((COUNTA(Data!$X:$X)-1)*RAND()+1,1)),"")</f>
        <v/>
      </c>
      <c r="E409" s="1" t="str">
        <f>IF(ROW()&lt;=(Results!$C$1/2)+1,VLOOKUP($D409,Data!$X$2:$Y$117,2,TRUE),"")</f>
        <v/>
      </c>
      <c r="F409" s="14" t="str">
        <f>IF(ROW()&lt;=(Results!$C$1/2)+1,IF(E409&lt;=0,"",LN(E409)),"")</f>
        <v/>
      </c>
    </row>
    <row r="410" spans="1:6" x14ac:dyDescent="0.25">
      <c r="A410" s="1" t="str">
        <f ca="1">IF(ROW()&lt;=(Results!$C$1/2)+1,INDEX(Data!$V:$V,CEILING((COUNTA(Data!$V:$V)-1)*RAND()+1,1)),"")</f>
        <v/>
      </c>
      <c r="B410" s="1" t="str">
        <f>IF(ROW()&lt;=(Results!$C$1/2)+1,VLOOKUP($A410,Data!$V$2:$W$117,2,TRUE),"")</f>
        <v/>
      </c>
      <c r="C410" s="14" t="str">
        <f>IF(ROW()&lt;=(Results!$C$1/2)+1,IF(B410&lt;=0,"",LN(B410)),"")</f>
        <v/>
      </c>
      <c r="D410" s="1" t="str">
        <f ca="1">IF(ROW()&lt;=(Results!$C$1/2)+1,INDEX(Data!$X:$X,CEILING((COUNTA(Data!$X:$X)-1)*RAND()+1,1)),"")</f>
        <v/>
      </c>
      <c r="E410" s="1" t="str">
        <f>IF(ROW()&lt;=(Results!$C$1/2)+1,VLOOKUP($D410,Data!$X$2:$Y$117,2,TRUE),"")</f>
        <v/>
      </c>
      <c r="F410" s="14" t="str">
        <f>IF(ROW()&lt;=(Results!$C$1/2)+1,IF(E410&lt;=0,"",LN(E410)),"")</f>
        <v/>
      </c>
    </row>
    <row r="411" spans="1:6" x14ac:dyDescent="0.25">
      <c r="A411" s="1" t="str">
        <f ca="1">IF(ROW()&lt;=(Results!$C$1/2)+1,INDEX(Data!$V:$V,CEILING((COUNTA(Data!$V:$V)-1)*RAND()+1,1)),"")</f>
        <v/>
      </c>
      <c r="B411" s="1" t="str">
        <f>IF(ROW()&lt;=(Results!$C$1/2)+1,VLOOKUP($A411,Data!$V$2:$W$117,2,TRUE),"")</f>
        <v/>
      </c>
      <c r="C411" s="14" t="str">
        <f>IF(ROW()&lt;=(Results!$C$1/2)+1,IF(B411&lt;=0,"",LN(B411)),"")</f>
        <v/>
      </c>
      <c r="D411" s="1" t="str">
        <f ca="1">IF(ROW()&lt;=(Results!$C$1/2)+1,INDEX(Data!$X:$X,CEILING((COUNTA(Data!$X:$X)-1)*RAND()+1,1)),"")</f>
        <v/>
      </c>
      <c r="E411" s="1" t="str">
        <f>IF(ROW()&lt;=(Results!$C$1/2)+1,VLOOKUP($D411,Data!$X$2:$Y$117,2,TRUE),"")</f>
        <v/>
      </c>
      <c r="F411" s="14" t="str">
        <f>IF(ROW()&lt;=(Results!$C$1/2)+1,IF(E411&lt;=0,"",LN(E411)),"")</f>
        <v/>
      </c>
    </row>
    <row r="412" spans="1:6" x14ac:dyDescent="0.25">
      <c r="A412" s="1" t="str">
        <f ca="1">IF(ROW()&lt;=(Results!$C$1/2)+1,INDEX(Data!$V:$V,CEILING((COUNTA(Data!$V:$V)-1)*RAND()+1,1)),"")</f>
        <v/>
      </c>
      <c r="B412" s="1" t="str">
        <f>IF(ROW()&lt;=(Results!$C$1/2)+1,VLOOKUP($A412,Data!$V$2:$W$117,2,TRUE),"")</f>
        <v/>
      </c>
      <c r="C412" s="14" t="str">
        <f>IF(ROW()&lt;=(Results!$C$1/2)+1,IF(B412&lt;=0,"",LN(B412)),"")</f>
        <v/>
      </c>
      <c r="D412" s="1" t="str">
        <f ca="1">IF(ROW()&lt;=(Results!$C$1/2)+1,INDEX(Data!$X:$X,CEILING((COUNTA(Data!$X:$X)-1)*RAND()+1,1)),"")</f>
        <v/>
      </c>
      <c r="E412" s="1" t="str">
        <f>IF(ROW()&lt;=(Results!$C$1/2)+1,VLOOKUP($D412,Data!$X$2:$Y$117,2,TRUE),"")</f>
        <v/>
      </c>
      <c r="F412" s="14" t="str">
        <f>IF(ROW()&lt;=(Results!$C$1/2)+1,IF(E412&lt;=0,"",LN(E412)),"")</f>
        <v/>
      </c>
    </row>
    <row r="413" spans="1:6" x14ac:dyDescent="0.25">
      <c r="A413" s="1" t="str">
        <f ca="1">IF(ROW()&lt;=(Results!$C$1/2)+1,INDEX(Data!$V:$V,CEILING((COUNTA(Data!$V:$V)-1)*RAND()+1,1)),"")</f>
        <v/>
      </c>
      <c r="B413" s="1" t="str">
        <f>IF(ROW()&lt;=(Results!$C$1/2)+1,VLOOKUP($A413,Data!$V$2:$W$117,2,TRUE),"")</f>
        <v/>
      </c>
      <c r="C413" s="14" t="str">
        <f>IF(ROW()&lt;=(Results!$C$1/2)+1,IF(B413&lt;=0,"",LN(B413)),"")</f>
        <v/>
      </c>
      <c r="D413" s="1" t="str">
        <f ca="1">IF(ROW()&lt;=(Results!$C$1/2)+1,INDEX(Data!$X:$X,CEILING((COUNTA(Data!$X:$X)-1)*RAND()+1,1)),"")</f>
        <v/>
      </c>
      <c r="E413" s="1" t="str">
        <f>IF(ROW()&lt;=(Results!$C$1/2)+1,VLOOKUP($D413,Data!$X$2:$Y$117,2,TRUE),"")</f>
        <v/>
      </c>
      <c r="F413" s="14" t="str">
        <f>IF(ROW()&lt;=(Results!$C$1/2)+1,IF(E413&lt;=0,"",LN(E413)),"")</f>
        <v/>
      </c>
    </row>
    <row r="414" spans="1:6" x14ac:dyDescent="0.25">
      <c r="A414" s="1" t="str">
        <f ca="1">IF(ROW()&lt;=(Results!$C$1/2)+1,INDEX(Data!$V:$V,CEILING((COUNTA(Data!$V:$V)-1)*RAND()+1,1)),"")</f>
        <v/>
      </c>
      <c r="B414" s="1" t="str">
        <f>IF(ROW()&lt;=(Results!$C$1/2)+1,VLOOKUP($A414,Data!$V$2:$W$117,2,TRUE),"")</f>
        <v/>
      </c>
      <c r="C414" s="14" t="str">
        <f>IF(ROW()&lt;=(Results!$C$1/2)+1,IF(B414&lt;=0,"",LN(B414)),"")</f>
        <v/>
      </c>
      <c r="D414" s="1" t="str">
        <f ca="1">IF(ROW()&lt;=(Results!$C$1/2)+1,INDEX(Data!$X:$X,CEILING((COUNTA(Data!$X:$X)-1)*RAND()+1,1)),"")</f>
        <v/>
      </c>
      <c r="E414" s="1" t="str">
        <f>IF(ROW()&lt;=(Results!$C$1/2)+1,VLOOKUP($D414,Data!$X$2:$Y$117,2,TRUE),"")</f>
        <v/>
      </c>
      <c r="F414" s="14" t="str">
        <f>IF(ROW()&lt;=(Results!$C$1/2)+1,IF(E414&lt;=0,"",LN(E414)),"")</f>
        <v/>
      </c>
    </row>
    <row r="415" spans="1:6" x14ac:dyDescent="0.25">
      <c r="A415" s="1" t="str">
        <f ca="1">IF(ROW()&lt;=(Results!$C$1/2)+1,INDEX(Data!$V:$V,CEILING((COUNTA(Data!$V:$V)-1)*RAND()+1,1)),"")</f>
        <v/>
      </c>
      <c r="B415" s="1" t="str">
        <f>IF(ROW()&lt;=(Results!$C$1/2)+1,VLOOKUP($A415,Data!$V$2:$W$117,2,TRUE),"")</f>
        <v/>
      </c>
      <c r="C415" s="14" t="str">
        <f>IF(ROW()&lt;=(Results!$C$1/2)+1,IF(B415&lt;=0,"",LN(B415)),"")</f>
        <v/>
      </c>
      <c r="D415" s="1" t="str">
        <f ca="1">IF(ROW()&lt;=(Results!$C$1/2)+1,INDEX(Data!$X:$X,CEILING((COUNTA(Data!$X:$X)-1)*RAND()+1,1)),"")</f>
        <v/>
      </c>
      <c r="E415" s="1" t="str">
        <f>IF(ROW()&lt;=(Results!$C$1/2)+1,VLOOKUP($D415,Data!$X$2:$Y$117,2,TRUE),"")</f>
        <v/>
      </c>
      <c r="F415" s="14" t="str">
        <f>IF(ROW()&lt;=(Results!$C$1/2)+1,IF(E415&lt;=0,"",LN(E415)),"")</f>
        <v/>
      </c>
    </row>
    <row r="416" spans="1:6" x14ac:dyDescent="0.25">
      <c r="A416" s="1" t="str">
        <f ca="1">IF(ROW()&lt;=(Results!$C$1/2)+1,INDEX(Data!$V:$V,CEILING((COUNTA(Data!$V:$V)-1)*RAND()+1,1)),"")</f>
        <v/>
      </c>
      <c r="B416" s="1" t="str">
        <f>IF(ROW()&lt;=(Results!$C$1/2)+1,VLOOKUP($A416,Data!$V$2:$W$117,2,TRUE),"")</f>
        <v/>
      </c>
      <c r="C416" s="14" t="str">
        <f>IF(ROW()&lt;=(Results!$C$1/2)+1,IF(B416&lt;=0,"",LN(B416)),"")</f>
        <v/>
      </c>
      <c r="D416" s="1" t="str">
        <f ca="1">IF(ROW()&lt;=(Results!$C$1/2)+1,INDEX(Data!$X:$X,CEILING((COUNTA(Data!$X:$X)-1)*RAND()+1,1)),"")</f>
        <v/>
      </c>
      <c r="E416" s="1" t="str">
        <f>IF(ROW()&lt;=(Results!$C$1/2)+1,VLOOKUP($D416,Data!$X$2:$Y$117,2,TRUE),"")</f>
        <v/>
      </c>
      <c r="F416" s="14" t="str">
        <f>IF(ROW()&lt;=(Results!$C$1/2)+1,IF(E416&lt;=0,"",LN(E416)),"")</f>
        <v/>
      </c>
    </row>
    <row r="417" spans="1:6" x14ac:dyDescent="0.25">
      <c r="A417" s="1" t="str">
        <f ca="1">IF(ROW()&lt;=(Results!$C$1/2)+1,INDEX(Data!$V:$V,CEILING((COUNTA(Data!$V:$V)-1)*RAND()+1,1)),"")</f>
        <v/>
      </c>
      <c r="B417" s="1" t="str">
        <f>IF(ROW()&lt;=(Results!$C$1/2)+1,VLOOKUP($A417,Data!$V$2:$W$117,2,TRUE),"")</f>
        <v/>
      </c>
      <c r="C417" s="14" t="str">
        <f>IF(ROW()&lt;=(Results!$C$1/2)+1,IF(B417&lt;=0,"",LN(B417)),"")</f>
        <v/>
      </c>
      <c r="D417" s="1" t="str">
        <f ca="1">IF(ROW()&lt;=(Results!$C$1/2)+1,INDEX(Data!$X:$X,CEILING((COUNTA(Data!$X:$X)-1)*RAND()+1,1)),"")</f>
        <v/>
      </c>
      <c r="E417" s="1" t="str">
        <f>IF(ROW()&lt;=(Results!$C$1/2)+1,VLOOKUP($D417,Data!$X$2:$Y$117,2,TRUE),"")</f>
        <v/>
      </c>
      <c r="F417" s="14" t="str">
        <f>IF(ROW()&lt;=(Results!$C$1/2)+1,IF(E417&lt;=0,"",LN(E417)),"")</f>
        <v/>
      </c>
    </row>
    <row r="418" spans="1:6" x14ac:dyDescent="0.25">
      <c r="A418" s="1" t="str">
        <f ca="1">IF(ROW()&lt;=(Results!$C$1/2)+1,INDEX(Data!$V:$V,CEILING((COUNTA(Data!$V:$V)-1)*RAND()+1,1)),"")</f>
        <v/>
      </c>
      <c r="B418" s="1" t="str">
        <f>IF(ROW()&lt;=(Results!$C$1/2)+1,VLOOKUP($A418,Data!$V$2:$W$117,2,TRUE),"")</f>
        <v/>
      </c>
      <c r="C418" s="14" t="str">
        <f>IF(ROW()&lt;=(Results!$C$1/2)+1,IF(B418&lt;=0,"",LN(B418)),"")</f>
        <v/>
      </c>
      <c r="D418" s="1" t="str">
        <f ca="1">IF(ROW()&lt;=(Results!$C$1/2)+1,INDEX(Data!$X:$X,CEILING((COUNTA(Data!$X:$X)-1)*RAND()+1,1)),"")</f>
        <v/>
      </c>
      <c r="E418" s="1" t="str">
        <f>IF(ROW()&lt;=(Results!$C$1/2)+1,VLOOKUP($D418,Data!$X$2:$Y$117,2,TRUE),"")</f>
        <v/>
      </c>
      <c r="F418" s="14" t="str">
        <f>IF(ROW()&lt;=(Results!$C$1/2)+1,IF(E418&lt;=0,"",LN(E418)),"")</f>
        <v/>
      </c>
    </row>
    <row r="419" spans="1:6" x14ac:dyDescent="0.25">
      <c r="A419" s="1" t="str">
        <f ca="1">IF(ROW()&lt;=(Results!$C$1/2)+1,INDEX(Data!$V:$V,CEILING((COUNTA(Data!$V:$V)-1)*RAND()+1,1)),"")</f>
        <v/>
      </c>
      <c r="B419" s="1" t="str">
        <f>IF(ROW()&lt;=(Results!$C$1/2)+1,VLOOKUP($A419,Data!$V$2:$W$117,2,TRUE),"")</f>
        <v/>
      </c>
      <c r="C419" s="14" t="str">
        <f>IF(ROW()&lt;=(Results!$C$1/2)+1,IF(B419&lt;=0,"",LN(B419)),"")</f>
        <v/>
      </c>
      <c r="D419" s="1" t="str">
        <f ca="1">IF(ROW()&lt;=(Results!$C$1/2)+1,INDEX(Data!$X:$X,CEILING((COUNTA(Data!$X:$X)-1)*RAND()+1,1)),"")</f>
        <v/>
      </c>
      <c r="E419" s="1" t="str">
        <f>IF(ROW()&lt;=(Results!$C$1/2)+1,VLOOKUP($D419,Data!$X$2:$Y$117,2,TRUE),"")</f>
        <v/>
      </c>
      <c r="F419" s="14" t="str">
        <f>IF(ROW()&lt;=(Results!$C$1/2)+1,IF(E419&lt;=0,"",LN(E419)),"")</f>
        <v/>
      </c>
    </row>
    <row r="420" spans="1:6" x14ac:dyDescent="0.25">
      <c r="A420" s="1" t="str">
        <f ca="1">IF(ROW()&lt;=(Results!$C$1/2)+1,INDEX(Data!$V:$V,CEILING((COUNTA(Data!$V:$V)-1)*RAND()+1,1)),"")</f>
        <v/>
      </c>
      <c r="B420" s="1" t="str">
        <f>IF(ROW()&lt;=(Results!$C$1/2)+1,VLOOKUP($A420,Data!$V$2:$W$117,2,TRUE),"")</f>
        <v/>
      </c>
      <c r="C420" s="14" t="str">
        <f>IF(ROW()&lt;=(Results!$C$1/2)+1,IF(B420&lt;=0,"",LN(B420)),"")</f>
        <v/>
      </c>
      <c r="D420" s="1" t="str">
        <f ca="1">IF(ROW()&lt;=(Results!$C$1/2)+1,INDEX(Data!$X:$X,CEILING((COUNTA(Data!$X:$X)-1)*RAND()+1,1)),"")</f>
        <v/>
      </c>
      <c r="E420" s="1" t="str">
        <f>IF(ROW()&lt;=(Results!$C$1/2)+1,VLOOKUP($D420,Data!$X$2:$Y$117,2,TRUE),"")</f>
        <v/>
      </c>
      <c r="F420" s="14" t="str">
        <f>IF(ROW()&lt;=(Results!$C$1/2)+1,IF(E420&lt;=0,"",LN(E420)),"")</f>
        <v/>
      </c>
    </row>
    <row r="421" spans="1:6" x14ac:dyDescent="0.25">
      <c r="A421" s="1" t="str">
        <f ca="1">IF(ROW()&lt;=(Results!$C$1/2)+1,INDEX(Data!$V:$V,CEILING((COUNTA(Data!$V:$V)-1)*RAND()+1,1)),"")</f>
        <v/>
      </c>
      <c r="B421" s="1" t="str">
        <f>IF(ROW()&lt;=(Results!$C$1/2)+1,VLOOKUP($A421,Data!$V$2:$W$117,2,TRUE),"")</f>
        <v/>
      </c>
      <c r="C421" s="14" t="str">
        <f>IF(ROW()&lt;=(Results!$C$1/2)+1,IF(B421&lt;=0,"",LN(B421)),"")</f>
        <v/>
      </c>
      <c r="D421" s="1" t="str">
        <f ca="1">IF(ROW()&lt;=(Results!$C$1/2)+1,INDEX(Data!$X:$X,CEILING((COUNTA(Data!$X:$X)-1)*RAND()+1,1)),"")</f>
        <v/>
      </c>
      <c r="E421" s="1" t="str">
        <f>IF(ROW()&lt;=(Results!$C$1/2)+1,VLOOKUP($D421,Data!$X$2:$Y$117,2,TRUE),"")</f>
        <v/>
      </c>
      <c r="F421" s="14" t="str">
        <f>IF(ROW()&lt;=(Results!$C$1/2)+1,IF(E421&lt;=0,"",LN(E421)),"")</f>
        <v/>
      </c>
    </row>
    <row r="422" spans="1:6" x14ac:dyDescent="0.25">
      <c r="A422" s="1" t="str">
        <f ca="1">IF(ROW()&lt;=(Results!$C$1/2)+1,INDEX(Data!$V:$V,CEILING((COUNTA(Data!$V:$V)-1)*RAND()+1,1)),"")</f>
        <v/>
      </c>
      <c r="B422" s="1" t="str">
        <f>IF(ROW()&lt;=(Results!$C$1/2)+1,VLOOKUP($A422,Data!$V$2:$W$117,2,TRUE),"")</f>
        <v/>
      </c>
      <c r="C422" s="14" t="str">
        <f>IF(ROW()&lt;=(Results!$C$1/2)+1,IF(B422&lt;=0,"",LN(B422)),"")</f>
        <v/>
      </c>
      <c r="D422" s="1" t="str">
        <f ca="1">IF(ROW()&lt;=(Results!$C$1/2)+1,INDEX(Data!$X:$X,CEILING((COUNTA(Data!$X:$X)-1)*RAND()+1,1)),"")</f>
        <v/>
      </c>
      <c r="E422" s="1" t="str">
        <f>IF(ROW()&lt;=(Results!$C$1/2)+1,VLOOKUP($D422,Data!$X$2:$Y$117,2,TRUE),"")</f>
        <v/>
      </c>
      <c r="F422" s="14" t="str">
        <f>IF(ROW()&lt;=(Results!$C$1/2)+1,IF(E422&lt;=0,"",LN(E422)),"")</f>
        <v/>
      </c>
    </row>
    <row r="423" spans="1:6" x14ac:dyDescent="0.25">
      <c r="A423" s="1" t="str">
        <f ca="1">IF(ROW()&lt;=(Results!$C$1/2)+1,INDEX(Data!$V:$V,CEILING((COUNTA(Data!$V:$V)-1)*RAND()+1,1)),"")</f>
        <v/>
      </c>
      <c r="B423" s="1" t="str">
        <f>IF(ROW()&lt;=(Results!$C$1/2)+1,VLOOKUP($A423,Data!$V$2:$W$117,2,TRUE),"")</f>
        <v/>
      </c>
      <c r="C423" s="14" t="str">
        <f>IF(ROW()&lt;=(Results!$C$1/2)+1,IF(B423&lt;=0,"",LN(B423)),"")</f>
        <v/>
      </c>
      <c r="D423" s="1" t="str">
        <f ca="1">IF(ROW()&lt;=(Results!$C$1/2)+1,INDEX(Data!$X:$X,CEILING((COUNTA(Data!$X:$X)-1)*RAND()+1,1)),"")</f>
        <v/>
      </c>
      <c r="E423" s="1" t="str">
        <f>IF(ROW()&lt;=(Results!$C$1/2)+1,VLOOKUP($D423,Data!$X$2:$Y$117,2,TRUE),"")</f>
        <v/>
      </c>
      <c r="F423" s="14" t="str">
        <f>IF(ROW()&lt;=(Results!$C$1/2)+1,IF(E423&lt;=0,"",LN(E423)),"")</f>
        <v/>
      </c>
    </row>
    <row r="424" spans="1:6" x14ac:dyDescent="0.25">
      <c r="A424" s="1" t="str">
        <f ca="1">IF(ROW()&lt;=(Results!$C$1/2)+1,INDEX(Data!$V:$V,CEILING((COUNTA(Data!$V:$V)-1)*RAND()+1,1)),"")</f>
        <v/>
      </c>
      <c r="B424" s="1" t="str">
        <f>IF(ROW()&lt;=(Results!$C$1/2)+1,VLOOKUP($A424,Data!$V$2:$W$117,2,TRUE),"")</f>
        <v/>
      </c>
      <c r="C424" s="14" t="str">
        <f>IF(ROW()&lt;=(Results!$C$1/2)+1,IF(B424&lt;=0,"",LN(B424)),"")</f>
        <v/>
      </c>
      <c r="D424" s="1" t="str">
        <f ca="1">IF(ROW()&lt;=(Results!$C$1/2)+1,INDEX(Data!$X:$X,CEILING((COUNTA(Data!$X:$X)-1)*RAND()+1,1)),"")</f>
        <v/>
      </c>
      <c r="E424" s="1" t="str">
        <f>IF(ROW()&lt;=(Results!$C$1/2)+1,VLOOKUP($D424,Data!$X$2:$Y$117,2,TRUE),"")</f>
        <v/>
      </c>
      <c r="F424" s="14" t="str">
        <f>IF(ROW()&lt;=(Results!$C$1/2)+1,IF(E424&lt;=0,"",LN(E424)),"")</f>
        <v/>
      </c>
    </row>
    <row r="425" spans="1:6" x14ac:dyDescent="0.25">
      <c r="A425" s="1" t="str">
        <f ca="1">IF(ROW()&lt;=(Results!$C$1/2)+1,INDEX(Data!$V:$V,CEILING((COUNTA(Data!$V:$V)-1)*RAND()+1,1)),"")</f>
        <v/>
      </c>
      <c r="B425" s="1" t="str">
        <f>IF(ROW()&lt;=(Results!$C$1/2)+1,VLOOKUP($A425,Data!$V$2:$W$117,2,TRUE),"")</f>
        <v/>
      </c>
      <c r="C425" s="14" t="str">
        <f>IF(ROW()&lt;=(Results!$C$1/2)+1,IF(B425&lt;=0,"",LN(B425)),"")</f>
        <v/>
      </c>
      <c r="D425" s="1" t="str">
        <f ca="1">IF(ROW()&lt;=(Results!$C$1/2)+1,INDEX(Data!$X:$X,CEILING((COUNTA(Data!$X:$X)-1)*RAND()+1,1)),"")</f>
        <v/>
      </c>
      <c r="E425" s="1" t="str">
        <f>IF(ROW()&lt;=(Results!$C$1/2)+1,VLOOKUP($D425,Data!$X$2:$Y$117,2,TRUE),"")</f>
        <v/>
      </c>
      <c r="F425" s="14" t="str">
        <f>IF(ROW()&lt;=(Results!$C$1/2)+1,IF(E425&lt;=0,"",LN(E425)),"")</f>
        <v/>
      </c>
    </row>
    <row r="426" spans="1:6" x14ac:dyDescent="0.25">
      <c r="A426" s="1" t="str">
        <f ca="1">IF(ROW()&lt;=(Results!$C$1/2)+1,INDEX(Data!$V:$V,CEILING((COUNTA(Data!$V:$V)-1)*RAND()+1,1)),"")</f>
        <v/>
      </c>
      <c r="B426" s="1" t="str">
        <f>IF(ROW()&lt;=(Results!$C$1/2)+1,VLOOKUP($A426,Data!$V$2:$W$117,2,TRUE),"")</f>
        <v/>
      </c>
      <c r="C426" s="14" t="str">
        <f>IF(ROW()&lt;=(Results!$C$1/2)+1,IF(B426&lt;=0,"",LN(B426)),"")</f>
        <v/>
      </c>
      <c r="D426" s="1" t="str">
        <f ca="1">IF(ROW()&lt;=(Results!$C$1/2)+1,INDEX(Data!$X:$X,CEILING((COUNTA(Data!$X:$X)-1)*RAND()+1,1)),"")</f>
        <v/>
      </c>
      <c r="E426" s="1" t="str">
        <f>IF(ROW()&lt;=(Results!$C$1/2)+1,VLOOKUP($D426,Data!$X$2:$Y$117,2,TRUE),"")</f>
        <v/>
      </c>
      <c r="F426" s="14" t="str">
        <f>IF(ROW()&lt;=(Results!$C$1/2)+1,IF(E426&lt;=0,"",LN(E426)),"")</f>
        <v/>
      </c>
    </row>
    <row r="427" spans="1:6" x14ac:dyDescent="0.25">
      <c r="A427" s="1" t="str">
        <f ca="1">IF(ROW()&lt;=(Results!$C$1/2)+1,INDEX(Data!$V:$V,CEILING((COUNTA(Data!$V:$V)-1)*RAND()+1,1)),"")</f>
        <v/>
      </c>
      <c r="B427" s="1" t="str">
        <f>IF(ROW()&lt;=(Results!$C$1/2)+1,VLOOKUP($A427,Data!$V$2:$W$117,2,TRUE),"")</f>
        <v/>
      </c>
      <c r="C427" s="14" t="str">
        <f>IF(ROW()&lt;=(Results!$C$1/2)+1,IF(B427&lt;=0,"",LN(B427)),"")</f>
        <v/>
      </c>
      <c r="D427" s="1" t="str">
        <f ca="1">IF(ROW()&lt;=(Results!$C$1/2)+1,INDEX(Data!$X:$X,CEILING((COUNTA(Data!$X:$X)-1)*RAND()+1,1)),"")</f>
        <v/>
      </c>
      <c r="E427" s="1" t="str">
        <f>IF(ROW()&lt;=(Results!$C$1/2)+1,VLOOKUP($D427,Data!$X$2:$Y$117,2,TRUE),"")</f>
        <v/>
      </c>
      <c r="F427" s="14" t="str">
        <f>IF(ROW()&lt;=(Results!$C$1/2)+1,IF(E427&lt;=0,"",LN(E427)),"")</f>
        <v/>
      </c>
    </row>
    <row r="428" spans="1:6" x14ac:dyDescent="0.25">
      <c r="A428" s="1" t="str">
        <f ca="1">IF(ROW()&lt;=(Results!$C$1/2)+1,INDEX(Data!$V:$V,CEILING((COUNTA(Data!$V:$V)-1)*RAND()+1,1)),"")</f>
        <v/>
      </c>
      <c r="B428" s="1" t="str">
        <f>IF(ROW()&lt;=(Results!$C$1/2)+1,VLOOKUP($A428,Data!$V$2:$W$117,2,TRUE),"")</f>
        <v/>
      </c>
      <c r="C428" s="14" t="str">
        <f>IF(ROW()&lt;=(Results!$C$1/2)+1,IF(B428&lt;=0,"",LN(B428)),"")</f>
        <v/>
      </c>
      <c r="D428" s="1" t="str">
        <f ca="1">IF(ROW()&lt;=(Results!$C$1/2)+1,INDEX(Data!$X:$X,CEILING((COUNTA(Data!$X:$X)-1)*RAND()+1,1)),"")</f>
        <v/>
      </c>
      <c r="E428" s="1" t="str">
        <f>IF(ROW()&lt;=(Results!$C$1/2)+1,VLOOKUP($D428,Data!$X$2:$Y$117,2,TRUE),"")</f>
        <v/>
      </c>
      <c r="F428" s="14" t="str">
        <f>IF(ROW()&lt;=(Results!$C$1/2)+1,IF(E428&lt;=0,"",LN(E428)),"")</f>
        <v/>
      </c>
    </row>
    <row r="429" spans="1:6" x14ac:dyDescent="0.25">
      <c r="A429" s="1" t="str">
        <f ca="1">IF(ROW()&lt;=(Results!$C$1/2)+1,INDEX(Data!$V:$V,CEILING((COUNTA(Data!$V:$V)-1)*RAND()+1,1)),"")</f>
        <v/>
      </c>
      <c r="B429" s="1" t="str">
        <f>IF(ROW()&lt;=(Results!$C$1/2)+1,VLOOKUP($A429,Data!$V$2:$W$117,2,TRUE),"")</f>
        <v/>
      </c>
      <c r="C429" s="14" t="str">
        <f>IF(ROW()&lt;=(Results!$C$1/2)+1,IF(B429&lt;=0,"",LN(B429)),"")</f>
        <v/>
      </c>
      <c r="D429" s="1" t="str">
        <f ca="1">IF(ROW()&lt;=(Results!$C$1/2)+1,INDEX(Data!$X:$X,CEILING((COUNTA(Data!$X:$X)-1)*RAND()+1,1)),"")</f>
        <v/>
      </c>
      <c r="E429" s="1" t="str">
        <f>IF(ROW()&lt;=(Results!$C$1/2)+1,VLOOKUP($D429,Data!$X$2:$Y$117,2,TRUE),"")</f>
        <v/>
      </c>
      <c r="F429" s="14" t="str">
        <f>IF(ROW()&lt;=(Results!$C$1/2)+1,IF(E429&lt;=0,"",LN(E429)),"")</f>
        <v/>
      </c>
    </row>
    <row r="430" spans="1:6" x14ac:dyDescent="0.25">
      <c r="A430" s="1" t="str">
        <f ca="1">IF(ROW()&lt;=(Results!$C$1/2)+1,INDEX(Data!$V:$V,CEILING((COUNTA(Data!$V:$V)-1)*RAND()+1,1)),"")</f>
        <v/>
      </c>
      <c r="B430" s="1" t="str">
        <f>IF(ROW()&lt;=(Results!$C$1/2)+1,VLOOKUP($A430,Data!$V$2:$W$117,2,TRUE),"")</f>
        <v/>
      </c>
      <c r="C430" s="14" t="str">
        <f>IF(ROW()&lt;=(Results!$C$1/2)+1,IF(B430&lt;=0,"",LN(B430)),"")</f>
        <v/>
      </c>
      <c r="D430" s="1" t="str">
        <f ca="1">IF(ROW()&lt;=(Results!$C$1/2)+1,INDEX(Data!$X:$X,CEILING((COUNTA(Data!$X:$X)-1)*RAND()+1,1)),"")</f>
        <v/>
      </c>
      <c r="E430" s="1" t="str">
        <f>IF(ROW()&lt;=(Results!$C$1/2)+1,VLOOKUP($D430,Data!$X$2:$Y$117,2,TRUE),"")</f>
        <v/>
      </c>
      <c r="F430" s="14" t="str">
        <f>IF(ROW()&lt;=(Results!$C$1/2)+1,IF(E430&lt;=0,"",LN(E430)),"")</f>
        <v/>
      </c>
    </row>
    <row r="431" spans="1:6" x14ac:dyDescent="0.25">
      <c r="A431" s="1" t="str">
        <f ca="1">IF(ROW()&lt;=(Results!$C$1/2)+1,INDEX(Data!$V:$V,CEILING((COUNTA(Data!$V:$V)-1)*RAND()+1,1)),"")</f>
        <v/>
      </c>
      <c r="B431" s="1" t="str">
        <f>IF(ROW()&lt;=(Results!$C$1/2)+1,VLOOKUP($A431,Data!$V$2:$W$117,2,TRUE),"")</f>
        <v/>
      </c>
      <c r="C431" s="14" t="str">
        <f>IF(ROW()&lt;=(Results!$C$1/2)+1,IF(B431&lt;=0,"",LN(B431)),"")</f>
        <v/>
      </c>
      <c r="D431" s="1" t="str">
        <f ca="1">IF(ROW()&lt;=(Results!$C$1/2)+1,INDEX(Data!$X:$X,CEILING((COUNTA(Data!$X:$X)-1)*RAND()+1,1)),"")</f>
        <v/>
      </c>
      <c r="E431" s="1" t="str">
        <f>IF(ROW()&lt;=(Results!$C$1/2)+1,VLOOKUP($D431,Data!$X$2:$Y$117,2,TRUE),"")</f>
        <v/>
      </c>
      <c r="F431" s="14" t="str">
        <f>IF(ROW()&lt;=(Results!$C$1/2)+1,IF(E431&lt;=0,"",LN(E431)),"")</f>
        <v/>
      </c>
    </row>
    <row r="432" spans="1:6" x14ac:dyDescent="0.25">
      <c r="A432" s="1" t="str">
        <f ca="1">IF(ROW()&lt;=(Results!$C$1/2)+1,INDEX(Data!$V:$V,CEILING((COUNTA(Data!$V:$V)-1)*RAND()+1,1)),"")</f>
        <v/>
      </c>
      <c r="B432" s="1" t="str">
        <f>IF(ROW()&lt;=(Results!$C$1/2)+1,VLOOKUP($A432,Data!$V$2:$W$117,2,TRUE),"")</f>
        <v/>
      </c>
      <c r="C432" s="14" t="str">
        <f>IF(ROW()&lt;=(Results!$C$1/2)+1,IF(B432&lt;=0,"",LN(B432)),"")</f>
        <v/>
      </c>
      <c r="D432" s="1" t="str">
        <f ca="1">IF(ROW()&lt;=(Results!$C$1/2)+1,INDEX(Data!$X:$X,CEILING((COUNTA(Data!$X:$X)-1)*RAND()+1,1)),"")</f>
        <v/>
      </c>
      <c r="E432" s="1" t="str">
        <f>IF(ROW()&lt;=(Results!$C$1/2)+1,VLOOKUP($D432,Data!$X$2:$Y$117,2,TRUE),"")</f>
        <v/>
      </c>
      <c r="F432" s="14" t="str">
        <f>IF(ROW()&lt;=(Results!$C$1/2)+1,IF(E432&lt;=0,"",LN(E432)),"")</f>
        <v/>
      </c>
    </row>
    <row r="433" spans="1:6" x14ac:dyDescent="0.25">
      <c r="A433" s="1" t="str">
        <f ca="1">IF(ROW()&lt;=(Results!$C$1/2)+1,INDEX(Data!$V:$V,CEILING((COUNTA(Data!$V:$V)-1)*RAND()+1,1)),"")</f>
        <v/>
      </c>
      <c r="B433" s="1" t="str">
        <f>IF(ROW()&lt;=(Results!$C$1/2)+1,VLOOKUP($A433,Data!$V$2:$W$117,2,TRUE),"")</f>
        <v/>
      </c>
      <c r="C433" s="14" t="str">
        <f>IF(ROW()&lt;=(Results!$C$1/2)+1,IF(B433&lt;=0,"",LN(B433)),"")</f>
        <v/>
      </c>
      <c r="D433" s="1" t="str">
        <f ca="1">IF(ROW()&lt;=(Results!$C$1/2)+1,INDEX(Data!$X:$X,CEILING((COUNTA(Data!$X:$X)-1)*RAND()+1,1)),"")</f>
        <v/>
      </c>
      <c r="E433" s="1" t="str">
        <f>IF(ROW()&lt;=(Results!$C$1/2)+1,VLOOKUP($D433,Data!$X$2:$Y$117,2,TRUE),"")</f>
        <v/>
      </c>
      <c r="F433" s="14" t="str">
        <f>IF(ROW()&lt;=(Results!$C$1/2)+1,IF(E433&lt;=0,"",LN(E433)),"")</f>
        <v/>
      </c>
    </row>
    <row r="434" spans="1:6" x14ac:dyDescent="0.25">
      <c r="A434" s="1" t="str">
        <f ca="1">IF(ROW()&lt;=(Results!$C$1/2)+1,INDEX(Data!$V:$V,CEILING((COUNTA(Data!$V:$V)-1)*RAND()+1,1)),"")</f>
        <v/>
      </c>
      <c r="B434" s="1" t="str">
        <f>IF(ROW()&lt;=(Results!$C$1/2)+1,VLOOKUP($A434,Data!$V$2:$W$117,2,TRUE),"")</f>
        <v/>
      </c>
      <c r="C434" s="14" t="str">
        <f>IF(ROW()&lt;=(Results!$C$1/2)+1,IF(B434&lt;=0,"",LN(B434)),"")</f>
        <v/>
      </c>
      <c r="D434" s="1" t="str">
        <f ca="1">IF(ROW()&lt;=(Results!$C$1/2)+1,INDEX(Data!$X:$X,CEILING((COUNTA(Data!$X:$X)-1)*RAND()+1,1)),"")</f>
        <v/>
      </c>
      <c r="E434" s="1" t="str">
        <f>IF(ROW()&lt;=(Results!$C$1/2)+1,VLOOKUP($D434,Data!$X$2:$Y$117,2,TRUE),"")</f>
        <v/>
      </c>
      <c r="F434" s="14" t="str">
        <f>IF(ROW()&lt;=(Results!$C$1/2)+1,IF(E434&lt;=0,"",LN(E434)),"")</f>
        <v/>
      </c>
    </row>
    <row r="435" spans="1:6" x14ac:dyDescent="0.25">
      <c r="A435" s="1" t="str">
        <f ca="1">IF(ROW()&lt;=(Results!$C$1/2)+1,INDEX(Data!$V:$V,CEILING((COUNTA(Data!$V:$V)-1)*RAND()+1,1)),"")</f>
        <v/>
      </c>
      <c r="B435" s="1" t="str">
        <f>IF(ROW()&lt;=(Results!$C$1/2)+1,VLOOKUP($A435,Data!$V$2:$W$117,2,TRUE),"")</f>
        <v/>
      </c>
      <c r="C435" s="14" t="str">
        <f>IF(ROW()&lt;=(Results!$C$1/2)+1,IF(B435&lt;=0,"",LN(B435)),"")</f>
        <v/>
      </c>
      <c r="D435" s="1" t="str">
        <f ca="1">IF(ROW()&lt;=(Results!$C$1/2)+1,INDEX(Data!$X:$X,CEILING((COUNTA(Data!$X:$X)-1)*RAND()+1,1)),"")</f>
        <v/>
      </c>
      <c r="E435" s="1" t="str">
        <f>IF(ROW()&lt;=(Results!$C$1/2)+1,VLOOKUP($D435,Data!$X$2:$Y$117,2,TRUE),"")</f>
        <v/>
      </c>
      <c r="F435" s="14" t="str">
        <f>IF(ROW()&lt;=(Results!$C$1/2)+1,IF(E435&lt;=0,"",LN(E435)),"")</f>
        <v/>
      </c>
    </row>
    <row r="436" spans="1:6" x14ac:dyDescent="0.25">
      <c r="A436" s="1" t="str">
        <f ca="1">IF(ROW()&lt;=(Results!$C$1/2)+1,INDEX(Data!$V:$V,CEILING((COUNTA(Data!$V:$V)-1)*RAND()+1,1)),"")</f>
        <v/>
      </c>
      <c r="B436" s="1" t="str">
        <f>IF(ROW()&lt;=(Results!$C$1/2)+1,VLOOKUP($A436,Data!$V$2:$W$117,2,TRUE),"")</f>
        <v/>
      </c>
      <c r="C436" s="14" t="str">
        <f>IF(ROW()&lt;=(Results!$C$1/2)+1,IF(B436&lt;=0,"",LN(B436)),"")</f>
        <v/>
      </c>
      <c r="D436" s="1" t="str">
        <f ca="1">IF(ROW()&lt;=(Results!$C$1/2)+1,INDEX(Data!$X:$X,CEILING((COUNTA(Data!$X:$X)-1)*RAND()+1,1)),"")</f>
        <v/>
      </c>
      <c r="E436" s="1" t="str">
        <f>IF(ROW()&lt;=(Results!$C$1/2)+1,VLOOKUP($D436,Data!$X$2:$Y$117,2,TRUE),"")</f>
        <v/>
      </c>
      <c r="F436" s="14" t="str">
        <f>IF(ROW()&lt;=(Results!$C$1/2)+1,IF(E436&lt;=0,"",LN(E436)),"")</f>
        <v/>
      </c>
    </row>
    <row r="437" spans="1:6" x14ac:dyDescent="0.25">
      <c r="A437" s="1" t="str">
        <f ca="1">IF(ROW()&lt;=(Results!$C$1/2)+1,INDEX(Data!$V:$V,CEILING((COUNTA(Data!$V:$V)-1)*RAND()+1,1)),"")</f>
        <v/>
      </c>
      <c r="B437" s="1" t="str">
        <f>IF(ROW()&lt;=(Results!$C$1/2)+1,VLOOKUP($A437,Data!$V$2:$W$117,2,TRUE),"")</f>
        <v/>
      </c>
      <c r="C437" s="14" t="str">
        <f>IF(ROW()&lt;=(Results!$C$1/2)+1,IF(B437&lt;=0,"",LN(B437)),"")</f>
        <v/>
      </c>
      <c r="D437" s="1" t="str">
        <f ca="1">IF(ROW()&lt;=(Results!$C$1/2)+1,INDEX(Data!$X:$X,CEILING((COUNTA(Data!$X:$X)-1)*RAND()+1,1)),"")</f>
        <v/>
      </c>
      <c r="E437" s="1" t="str">
        <f>IF(ROW()&lt;=(Results!$C$1/2)+1,VLOOKUP($D437,Data!$X$2:$Y$117,2,TRUE),"")</f>
        <v/>
      </c>
      <c r="F437" s="14" t="str">
        <f>IF(ROW()&lt;=(Results!$C$1/2)+1,IF(E437&lt;=0,"",LN(E437)),"")</f>
        <v/>
      </c>
    </row>
    <row r="438" spans="1:6" x14ac:dyDescent="0.25">
      <c r="A438" s="1" t="str">
        <f ca="1">IF(ROW()&lt;=(Results!$C$1/2)+1,INDEX(Data!$V:$V,CEILING((COUNTA(Data!$V:$V)-1)*RAND()+1,1)),"")</f>
        <v/>
      </c>
      <c r="B438" s="1" t="str">
        <f>IF(ROW()&lt;=(Results!$C$1/2)+1,VLOOKUP($A438,Data!$V$2:$W$117,2,TRUE),"")</f>
        <v/>
      </c>
      <c r="C438" s="14" t="str">
        <f>IF(ROW()&lt;=(Results!$C$1/2)+1,IF(B438&lt;=0,"",LN(B438)),"")</f>
        <v/>
      </c>
      <c r="D438" s="1" t="str">
        <f ca="1">IF(ROW()&lt;=(Results!$C$1/2)+1,INDEX(Data!$X:$X,CEILING((COUNTA(Data!$X:$X)-1)*RAND()+1,1)),"")</f>
        <v/>
      </c>
      <c r="E438" s="1" t="str">
        <f>IF(ROW()&lt;=(Results!$C$1/2)+1,VLOOKUP($D438,Data!$X$2:$Y$117,2,TRUE),"")</f>
        <v/>
      </c>
      <c r="F438" s="14" t="str">
        <f>IF(ROW()&lt;=(Results!$C$1/2)+1,IF(E438&lt;=0,"",LN(E438)),"")</f>
        <v/>
      </c>
    </row>
    <row r="439" spans="1:6" x14ac:dyDescent="0.25">
      <c r="A439" s="1" t="str">
        <f ca="1">IF(ROW()&lt;=(Results!$C$1/2)+1,INDEX(Data!$V:$V,CEILING((COUNTA(Data!$V:$V)-1)*RAND()+1,1)),"")</f>
        <v/>
      </c>
      <c r="B439" s="1" t="str">
        <f>IF(ROW()&lt;=(Results!$C$1/2)+1,VLOOKUP($A439,Data!$V$2:$W$117,2,TRUE),"")</f>
        <v/>
      </c>
      <c r="C439" s="14" t="str">
        <f>IF(ROW()&lt;=(Results!$C$1/2)+1,IF(B439&lt;=0,"",LN(B439)),"")</f>
        <v/>
      </c>
      <c r="D439" s="1" t="str">
        <f ca="1">IF(ROW()&lt;=(Results!$C$1/2)+1,INDEX(Data!$X:$X,CEILING((COUNTA(Data!$X:$X)-1)*RAND()+1,1)),"")</f>
        <v/>
      </c>
      <c r="E439" s="1" t="str">
        <f>IF(ROW()&lt;=(Results!$C$1/2)+1,VLOOKUP($D439,Data!$X$2:$Y$117,2,TRUE),"")</f>
        <v/>
      </c>
      <c r="F439" s="14" t="str">
        <f>IF(ROW()&lt;=(Results!$C$1/2)+1,IF(E439&lt;=0,"",LN(E439)),"")</f>
        <v/>
      </c>
    </row>
    <row r="440" spans="1:6" x14ac:dyDescent="0.25">
      <c r="A440" s="1" t="str">
        <f ca="1">IF(ROW()&lt;=(Results!$C$1/2)+1,INDEX(Data!$V:$V,CEILING((COUNTA(Data!$V:$V)-1)*RAND()+1,1)),"")</f>
        <v/>
      </c>
      <c r="B440" s="1" t="str">
        <f>IF(ROW()&lt;=(Results!$C$1/2)+1,VLOOKUP($A440,Data!$V$2:$W$117,2,TRUE),"")</f>
        <v/>
      </c>
      <c r="C440" s="14" t="str">
        <f>IF(ROW()&lt;=(Results!$C$1/2)+1,IF(B440&lt;=0,"",LN(B440)),"")</f>
        <v/>
      </c>
      <c r="D440" s="1" t="str">
        <f ca="1">IF(ROW()&lt;=(Results!$C$1/2)+1,INDEX(Data!$X:$X,CEILING((COUNTA(Data!$X:$X)-1)*RAND()+1,1)),"")</f>
        <v/>
      </c>
      <c r="E440" s="1" t="str">
        <f>IF(ROW()&lt;=(Results!$C$1/2)+1,VLOOKUP($D440,Data!$X$2:$Y$117,2,TRUE),"")</f>
        <v/>
      </c>
      <c r="F440" s="14" t="str">
        <f>IF(ROW()&lt;=(Results!$C$1/2)+1,IF(E440&lt;=0,"",LN(E440)),"")</f>
        <v/>
      </c>
    </row>
    <row r="441" spans="1:6" x14ac:dyDescent="0.25">
      <c r="A441" s="1" t="str">
        <f ca="1">IF(ROW()&lt;=(Results!$C$1/2)+1,INDEX(Data!$V:$V,CEILING((COUNTA(Data!$V:$V)-1)*RAND()+1,1)),"")</f>
        <v/>
      </c>
      <c r="B441" s="1" t="str">
        <f>IF(ROW()&lt;=(Results!$C$1/2)+1,VLOOKUP($A441,Data!$V$2:$W$117,2,TRUE),"")</f>
        <v/>
      </c>
      <c r="C441" s="14" t="str">
        <f>IF(ROW()&lt;=(Results!$C$1/2)+1,IF(B441&lt;=0,"",LN(B441)),"")</f>
        <v/>
      </c>
      <c r="D441" s="1" t="str">
        <f ca="1">IF(ROW()&lt;=(Results!$C$1/2)+1,INDEX(Data!$X:$X,CEILING((COUNTA(Data!$X:$X)-1)*RAND()+1,1)),"")</f>
        <v/>
      </c>
      <c r="E441" s="1" t="str">
        <f>IF(ROW()&lt;=(Results!$C$1/2)+1,VLOOKUP($D441,Data!$X$2:$Y$117,2,TRUE),"")</f>
        <v/>
      </c>
      <c r="F441" s="14" t="str">
        <f>IF(ROW()&lt;=(Results!$C$1/2)+1,IF(E441&lt;=0,"",LN(E441)),"")</f>
        <v/>
      </c>
    </row>
    <row r="442" spans="1:6" x14ac:dyDescent="0.25">
      <c r="A442" s="1" t="str">
        <f ca="1">IF(ROW()&lt;=(Results!$C$1/2)+1,INDEX(Data!$V:$V,CEILING((COUNTA(Data!$V:$V)-1)*RAND()+1,1)),"")</f>
        <v/>
      </c>
      <c r="B442" s="1" t="str">
        <f>IF(ROW()&lt;=(Results!$C$1/2)+1,VLOOKUP($A442,Data!$V$2:$W$117,2,TRUE),"")</f>
        <v/>
      </c>
      <c r="C442" s="14" t="str">
        <f>IF(ROW()&lt;=(Results!$C$1/2)+1,IF(B442&lt;=0,"",LN(B442)),"")</f>
        <v/>
      </c>
      <c r="D442" s="1" t="str">
        <f ca="1">IF(ROW()&lt;=(Results!$C$1/2)+1,INDEX(Data!$X:$X,CEILING((COUNTA(Data!$X:$X)-1)*RAND()+1,1)),"")</f>
        <v/>
      </c>
      <c r="E442" s="1" t="str">
        <f>IF(ROW()&lt;=(Results!$C$1/2)+1,VLOOKUP($D442,Data!$X$2:$Y$117,2,TRUE),"")</f>
        <v/>
      </c>
      <c r="F442" s="14" t="str">
        <f>IF(ROW()&lt;=(Results!$C$1/2)+1,IF(E442&lt;=0,"",LN(E442)),"")</f>
        <v/>
      </c>
    </row>
    <row r="443" spans="1:6" x14ac:dyDescent="0.25">
      <c r="A443" s="1" t="str">
        <f ca="1">IF(ROW()&lt;=(Results!$C$1/2)+1,INDEX(Data!$V:$V,CEILING((COUNTA(Data!$V:$V)-1)*RAND()+1,1)),"")</f>
        <v/>
      </c>
      <c r="B443" s="1" t="str">
        <f>IF(ROW()&lt;=(Results!$C$1/2)+1,VLOOKUP($A443,Data!$V$2:$W$117,2,TRUE),"")</f>
        <v/>
      </c>
      <c r="C443" s="14" t="str">
        <f>IF(ROW()&lt;=(Results!$C$1/2)+1,IF(B443&lt;=0,"",LN(B443)),"")</f>
        <v/>
      </c>
      <c r="D443" s="1" t="str">
        <f ca="1">IF(ROW()&lt;=(Results!$C$1/2)+1,INDEX(Data!$X:$X,CEILING((COUNTA(Data!$X:$X)-1)*RAND()+1,1)),"")</f>
        <v/>
      </c>
      <c r="E443" s="1" t="str">
        <f>IF(ROW()&lt;=(Results!$C$1/2)+1,VLOOKUP($D443,Data!$X$2:$Y$117,2,TRUE),"")</f>
        <v/>
      </c>
      <c r="F443" s="14" t="str">
        <f>IF(ROW()&lt;=(Results!$C$1/2)+1,IF(E443&lt;=0,"",LN(E443)),"")</f>
        <v/>
      </c>
    </row>
    <row r="444" spans="1:6" x14ac:dyDescent="0.25">
      <c r="A444" s="1" t="str">
        <f ca="1">IF(ROW()&lt;=(Results!$C$1/2)+1,INDEX(Data!$V:$V,CEILING((COUNTA(Data!$V:$V)-1)*RAND()+1,1)),"")</f>
        <v/>
      </c>
      <c r="B444" s="1" t="str">
        <f>IF(ROW()&lt;=(Results!$C$1/2)+1,VLOOKUP($A444,Data!$V$2:$W$117,2,TRUE),"")</f>
        <v/>
      </c>
      <c r="C444" s="14" t="str">
        <f>IF(ROW()&lt;=(Results!$C$1/2)+1,IF(B444&lt;=0,"",LN(B444)),"")</f>
        <v/>
      </c>
      <c r="D444" s="1" t="str">
        <f ca="1">IF(ROW()&lt;=(Results!$C$1/2)+1,INDEX(Data!$X:$X,CEILING((COUNTA(Data!$X:$X)-1)*RAND()+1,1)),"")</f>
        <v/>
      </c>
      <c r="E444" s="1" t="str">
        <f>IF(ROW()&lt;=(Results!$C$1/2)+1,VLOOKUP($D444,Data!$X$2:$Y$117,2,TRUE),"")</f>
        <v/>
      </c>
      <c r="F444" s="14" t="str">
        <f>IF(ROW()&lt;=(Results!$C$1/2)+1,IF(E444&lt;=0,"",LN(E444)),"")</f>
        <v/>
      </c>
    </row>
    <row r="445" spans="1:6" x14ac:dyDescent="0.25">
      <c r="A445" s="1" t="str">
        <f ca="1">IF(ROW()&lt;=(Results!$C$1/2)+1,INDEX(Data!$V:$V,CEILING((COUNTA(Data!$V:$V)-1)*RAND()+1,1)),"")</f>
        <v/>
      </c>
      <c r="B445" s="1" t="str">
        <f>IF(ROW()&lt;=(Results!$C$1/2)+1,VLOOKUP($A445,Data!$V$2:$W$117,2,TRUE),"")</f>
        <v/>
      </c>
      <c r="C445" s="14" t="str">
        <f>IF(ROW()&lt;=(Results!$C$1/2)+1,IF(B445&lt;=0,"",LN(B445)),"")</f>
        <v/>
      </c>
      <c r="D445" s="1" t="str">
        <f ca="1">IF(ROW()&lt;=(Results!$C$1/2)+1,INDEX(Data!$X:$X,CEILING((COUNTA(Data!$X:$X)-1)*RAND()+1,1)),"")</f>
        <v/>
      </c>
      <c r="E445" s="1" t="str">
        <f>IF(ROW()&lt;=(Results!$C$1/2)+1,VLOOKUP($D445,Data!$X$2:$Y$117,2,TRUE),"")</f>
        <v/>
      </c>
      <c r="F445" s="14" t="str">
        <f>IF(ROW()&lt;=(Results!$C$1/2)+1,IF(E445&lt;=0,"",LN(E445)),"")</f>
        <v/>
      </c>
    </row>
    <row r="446" spans="1:6" x14ac:dyDescent="0.25">
      <c r="A446" s="1" t="str">
        <f ca="1">IF(ROW()&lt;=(Results!$C$1/2)+1,INDEX(Data!$V:$V,CEILING((COUNTA(Data!$V:$V)-1)*RAND()+1,1)),"")</f>
        <v/>
      </c>
      <c r="B446" s="1" t="str">
        <f>IF(ROW()&lt;=(Results!$C$1/2)+1,VLOOKUP($A446,Data!$V$2:$W$117,2,TRUE),"")</f>
        <v/>
      </c>
      <c r="C446" s="14" t="str">
        <f>IF(ROW()&lt;=(Results!$C$1/2)+1,IF(B446&lt;=0,"",LN(B446)),"")</f>
        <v/>
      </c>
      <c r="D446" s="1" t="str">
        <f ca="1">IF(ROW()&lt;=(Results!$C$1/2)+1,INDEX(Data!$X:$X,CEILING((COUNTA(Data!$X:$X)-1)*RAND()+1,1)),"")</f>
        <v/>
      </c>
      <c r="E446" s="1" t="str">
        <f>IF(ROW()&lt;=(Results!$C$1/2)+1,VLOOKUP($D446,Data!$X$2:$Y$117,2,TRUE),"")</f>
        <v/>
      </c>
      <c r="F446" s="14" t="str">
        <f>IF(ROW()&lt;=(Results!$C$1/2)+1,IF(E446&lt;=0,"",LN(E446)),"")</f>
        <v/>
      </c>
    </row>
    <row r="447" spans="1:6" x14ac:dyDescent="0.25">
      <c r="A447" s="1" t="str">
        <f ca="1">IF(ROW()&lt;=(Results!$C$1/2)+1,INDEX(Data!$V:$V,CEILING((COUNTA(Data!$V:$V)-1)*RAND()+1,1)),"")</f>
        <v/>
      </c>
      <c r="B447" s="1" t="str">
        <f>IF(ROW()&lt;=(Results!$C$1/2)+1,VLOOKUP($A447,Data!$V$2:$W$117,2,TRUE),"")</f>
        <v/>
      </c>
      <c r="C447" s="14" t="str">
        <f>IF(ROW()&lt;=(Results!$C$1/2)+1,IF(B447&lt;=0,"",LN(B447)),"")</f>
        <v/>
      </c>
      <c r="D447" s="1" t="str">
        <f ca="1">IF(ROW()&lt;=(Results!$C$1/2)+1,INDEX(Data!$X:$X,CEILING((COUNTA(Data!$X:$X)-1)*RAND()+1,1)),"")</f>
        <v/>
      </c>
      <c r="E447" s="1" t="str">
        <f>IF(ROW()&lt;=(Results!$C$1/2)+1,VLOOKUP($D447,Data!$X$2:$Y$117,2,TRUE),"")</f>
        <v/>
      </c>
      <c r="F447" s="14" t="str">
        <f>IF(ROW()&lt;=(Results!$C$1/2)+1,IF(E447&lt;=0,"",LN(E447)),"")</f>
        <v/>
      </c>
    </row>
    <row r="448" spans="1:6" x14ac:dyDescent="0.25">
      <c r="A448" s="1" t="str">
        <f ca="1">IF(ROW()&lt;=(Results!$C$1/2)+1,INDEX(Data!$V:$V,CEILING((COUNTA(Data!$V:$V)-1)*RAND()+1,1)),"")</f>
        <v/>
      </c>
      <c r="B448" s="1" t="str">
        <f>IF(ROW()&lt;=(Results!$C$1/2)+1,VLOOKUP($A448,Data!$V$2:$W$117,2,TRUE),"")</f>
        <v/>
      </c>
      <c r="C448" s="14" t="str">
        <f>IF(ROW()&lt;=(Results!$C$1/2)+1,IF(B448&lt;=0,"",LN(B448)),"")</f>
        <v/>
      </c>
      <c r="D448" s="1" t="str">
        <f ca="1">IF(ROW()&lt;=(Results!$C$1/2)+1,INDEX(Data!$X:$X,CEILING((COUNTA(Data!$X:$X)-1)*RAND()+1,1)),"")</f>
        <v/>
      </c>
      <c r="E448" s="1" t="str">
        <f>IF(ROW()&lt;=(Results!$C$1/2)+1,VLOOKUP($D448,Data!$X$2:$Y$117,2,TRUE),"")</f>
        <v/>
      </c>
      <c r="F448" s="14" t="str">
        <f>IF(ROW()&lt;=(Results!$C$1/2)+1,IF(E448&lt;=0,"",LN(E448)),"")</f>
        <v/>
      </c>
    </row>
    <row r="449" spans="1:6" x14ac:dyDescent="0.25">
      <c r="A449" s="1" t="str">
        <f ca="1">IF(ROW()&lt;=(Results!$C$1/2)+1,INDEX(Data!$V:$V,CEILING((COUNTA(Data!$V:$V)-1)*RAND()+1,1)),"")</f>
        <v/>
      </c>
      <c r="B449" s="1" t="str">
        <f>IF(ROW()&lt;=(Results!$C$1/2)+1,VLOOKUP($A449,Data!$V$2:$W$117,2,TRUE),"")</f>
        <v/>
      </c>
      <c r="C449" s="14" t="str">
        <f>IF(ROW()&lt;=(Results!$C$1/2)+1,IF(B449&lt;=0,"",LN(B449)),"")</f>
        <v/>
      </c>
      <c r="D449" s="1" t="str">
        <f ca="1">IF(ROW()&lt;=(Results!$C$1/2)+1,INDEX(Data!$X:$X,CEILING((COUNTA(Data!$X:$X)-1)*RAND()+1,1)),"")</f>
        <v/>
      </c>
      <c r="E449" s="1" t="str">
        <f>IF(ROW()&lt;=(Results!$C$1/2)+1,VLOOKUP($D449,Data!$X$2:$Y$117,2,TRUE),"")</f>
        <v/>
      </c>
      <c r="F449" s="14" t="str">
        <f>IF(ROW()&lt;=(Results!$C$1/2)+1,IF(E449&lt;=0,"",LN(E449)),"")</f>
        <v/>
      </c>
    </row>
    <row r="450" spans="1:6" x14ac:dyDescent="0.25">
      <c r="A450" s="1" t="str">
        <f ca="1">IF(ROW()&lt;=(Results!$C$1/2)+1,INDEX(Data!$V:$V,CEILING((COUNTA(Data!$V:$V)-1)*RAND()+1,1)),"")</f>
        <v/>
      </c>
      <c r="B450" s="1" t="str">
        <f>IF(ROW()&lt;=(Results!$C$1/2)+1,VLOOKUP($A450,Data!$V$2:$W$117,2,TRUE),"")</f>
        <v/>
      </c>
      <c r="C450" s="14" t="str">
        <f>IF(ROW()&lt;=(Results!$C$1/2)+1,IF(B450&lt;=0,"",LN(B450)),"")</f>
        <v/>
      </c>
      <c r="D450" s="1" t="str">
        <f ca="1">IF(ROW()&lt;=(Results!$C$1/2)+1,INDEX(Data!$X:$X,CEILING((COUNTA(Data!$X:$X)-1)*RAND()+1,1)),"")</f>
        <v/>
      </c>
      <c r="E450" s="1" t="str">
        <f>IF(ROW()&lt;=(Results!$C$1/2)+1,VLOOKUP($D450,Data!$X$2:$Y$117,2,TRUE),"")</f>
        <v/>
      </c>
      <c r="F450" s="14" t="str">
        <f>IF(ROW()&lt;=(Results!$C$1/2)+1,IF(E450&lt;=0,"",LN(E450)),"")</f>
        <v/>
      </c>
    </row>
    <row r="451" spans="1:6" x14ac:dyDescent="0.25">
      <c r="A451" s="1" t="str">
        <f ca="1">IF(ROW()&lt;=(Results!$C$1/2)+1,INDEX(Data!$V:$V,CEILING((COUNTA(Data!$V:$V)-1)*RAND()+1,1)),"")</f>
        <v/>
      </c>
      <c r="B451" s="1" t="str">
        <f>IF(ROW()&lt;=(Results!$C$1/2)+1,VLOOKUP($A451,Data!$V$2:$W$117,2,TRUE),"")</f>
        <v/>
      </c>
      <c r="C451" s="14" t="str">
        <f>IF(ROW()&lt;=(Results!$C$1/2)+1,IF(B451&lt;=0,"",LN(B451)),"")</f>
        <v/>
      </c>
      <c r="D451" s="1" t="str">
        <f ca="1">IF(ROW()&lt;=(Results!$C$1/2)+1,INDEX(Data!$X:$X,CEILING((COUNTA(Data!$X:$X)-1)*RAND()+1,1)),"")</f>
        <v/>
      </c>
      <c r="E451" s="1" t="str">
        <f>IF(ROW()&lt;=(Results!$C$1/2)+1,VLOOKUP($D451,Data!$X$2:$Y$117,2,TRUE),"")</f>
        <v/>
      </c>
      <c r="F451" s="14" t="str">
        <f>IF(ROW()&lt;=(Results!$C$1/2)+1,IF(E451&lt;=0,"",LN(E451)),"")</f>
        <v/>
      </c>
    </row>
    <row r="452" spans="1:6" x14ac:dyDescent="0.25">
      <c r="A452" s="1" t="str">
        <f ca="1">IF(ROW()&lt;=(Results!$C$1/2)+1,INDEX(Data!$V:$V,CEILING((COUNTA(Data!$V:$V)-1)*RAND()+1,1)),"")</f>
        <v/>
      </c>
      <c r="B452" s="1" t="str">
        <f>IF(ROW()&lt;=(Results!$C$1/2)+1,VLOOKUP($A452,Data!$V$2:$W$117,2,TRUE),"")</f>
        <v/>
      </c>
      <c r="C452" s="14" t="str">
        <f>IF(ROW()&lt;=(Results!$C$1/2)+1,IF(B452&lt;=0,"",LN(B452)),"")</f>
        <v/>
      </c>
      <c r="D452" s="1" t="str">
        <f ca="1">IF(ROW()&lt;=(Results!$C$1/2)+1,INDEX(Data!$X:$X,CEILING((COUNTA(Data!$X:$X)-1)*RAND()+1,1)),"")</f>
        <v/>
      </c>
      <c r="E452" s="1" t="str">
        <f>IF(ROW()&lt;=(Results!$C$1/2)+1,VLOOKUP($D452,Data!$X$2:$Y$117,2,TRUE),"")</f>
        <v/>
      </c>
      <c r="F452" s="14" t="str">
        <f>IF(ROW()&lt;=(Results!$C$1/2)+1,IF(E452&lt;=0,"",LN(E452)),"")</f>
        <v/>
      </c>
    </row>
    <row r="453" spans="1:6" x14ac:dyDescent="0.25">
      <c r="A453" s="1" t="str">
        <f ca="1">IF(ROW()&lt;=(Results!$C$1/2)+1,INDEX(Data!$V:$V,CEILING((COUNTA(Data!$V:$V)-1)*RAND()+1,1)),"")</f>
        <v/>
      </c>
      <c r="B453" s="1" t="str">
        <f>IF(ROW()&lt;=(Results!$C$1/2)+1,VLOOKUP($A453,Data!$V$2:$W$117,2,TRUE),"")</f>
        <v/>
      </c>
      <c r="C453" s="14" t="str">
        <f>IF(ROW()&lt;=(Results!$C$1/2)+1,IF(B453&lt;=0,"",LN(B453)),"")</f>
        <v/>
      </c>
      <c r="D453" s="1" t="str">
        <f ca="1">IF(ROW()&lt;=(Results!$C$1/2)+1,INDEX(Data!$X:$X,CEILING((COUNTA(Data!$X:$X)-1)*RAND()+1,1)),"")</f>
        <v/>
      </c>
      <c r="E453" s="1" t="str">
        <f>IF(ROW()&lt;=(Results!$C$1/2)+1,VLOOKUP($D453,Data!$X$2:$Y$117,2,TRUE),"")</f>
        <v/>
      </c>
      <c r="F453" s="14" t="str">
        <f>IF(ROW()&lt;=(Results!$C$1/2)+1,IF(E453&lt;=0,"",LN(E453)),"")</f>
        <v/>
      </c>
    </row>
    <row r="454" spans="1:6" x14ac:dyDescent="0.25">
      <c r="A454" s="1" t="str">
        <f ca="1">IF(ROW()&lt;=(Results!$C$1/2)+1,INDEX(Data!$V:$V,CEILING((COUNTA(Data!$V:$V)-1)*RAND()+1,1)),"")</f>
        <v/>
      </c>
      <c r="B454" s="1" t="str">
        <f>IF(ROW()&lt;=(Results!$C$1/2)+1,VLOOKUP($A454,Data!$V$2:$W$117,2,TRUE),"")</f>
        <v/>
      </c>
      <c r="C454" s="14" t="str">
        <f>IF(ROW()&lt;=(Results!$C$1/2)+1,IF(B454&lt;=0,"",LN(B454)),"")</f>
        <v/>
      </c>
      <c r="D454" s="1" t="str">
        <f ca="1">IF(ROW()&lt;=(Results!$C$1/2)+1,INDEX(Data!$X:$X,CEILING((COUNTA(Data!$X:$X)-1)*RAND()+1,1)),"")</f>
        <v/>
      </c>
      <c r="E454" s="1" t="str">
        <f>IF(ROW()&lt;=(Results!$C$1/2)+1,VLOOKUP($D454,Data!$X$2:$Y$117,2,TRUE),"")</f>
        <v/>
      </c>
      <c r="F454" s="14" t="str">
        <f>IF(ROW()&lt;=(Results!$C$1/2)+1,IF(E454&lt;=0,"",LN(E454)),"")</f>
        <v/>
      </c>
    </row>
    <row r="455" spans="1:6" x14ac:dyDescent="0.25">
      <c r="A455" s="1" t="str">
        <f ca="1">IF(ROW()&lt;=(Results!$C$1/2)+1,INDEX(Data!$V:$V,CEILING((COUNTA(Data!$V:$V)-1)*RAND()+1,1)),"")</f>
        <v/>
      </c>
      <c r="B455" s="1" t="str">
        <f>IF(ROW()&lt;=(Results!$C$1/2)+1,VLOOKUP($A455,Data!$V$2:$W$117,2,TRUE),"")</f>
        <v/>
      </c>
      <c r="C455" s="14" t="str">
        <f>IF(ROW()&lt;=(Results!$C$1/2)+1,IF(B455&lt;=0,"",LN(B455)),"")</f>
        <v/>
      </c>
      <c r="D455" s="1" t="str">
        <f ca="1">IF(ROW()&lt;=(Results!$C$1/2)+1,INDEX(Data!$X:$X,CEILING((COUNTA(Data!$X:$X)-1)*RAND()+1,1)),"")</f>
        <v/>
      </c>
      <c r="E455" s="1" t="str">
        <f>IF(ROW()&lt;=(Results!$C$1/2)+1,VLOOKUP($D455,Data!$X$2:$Y$117,2,TRUE),"")</f>
        <v/>
      </c>
      <c r="F455" s="14" t="str">
        <f>IF(ROW()&lt;=(Results!$C$1/2)+1,IF(E455&lt;=0,"",LN(E455)),"")</f>
        <v/>
      </c>
    </row>
    <row r="456" spans="1:6" x14ac:dyDescent="0.25">
      <c r="A456" s="1" t="str">
        <f ca="1">IF(ROW()&lt;=(Results!$C$1/2)+1,INDEX(Data!$V:$V,CEILING((COUNTA(Data!$V:$V)-1)*RAND()+1,1)),"")</f>
        <v/>
      </c>
      <c r="B456" s="1" t="str">
        <f>IF(ROW()&lt;=(Results!$C$1/2)+1,VLOOKUP($A456,Data!$V$2:$W$117,2,TRUE),"")</f>
        <v/>
      </c>
      <c r="C456" s="14" t="str">
        <f>IF(ROW()&lt;=(Results!$C$1/2)+1,IF(B456&lt;=0,"",LN(B456)),"")</f>
        <v/>
      </c>
      <c r="D456" s="1" t="str">
        <f ca="1">IF(ROW()&lt;=(Results!$C$1/2)+1,INDEX(Data!$X:$X,CEILING((COUNTA(Data!$X:$X)-1)*RAND()+1,1)),"")</f>
        <v/>
      </c>
      <c r="E456" s="1" t="str">
        <f>IF(ROW()&lt;=(Results!$C$1/2)+1,VLOOKUP($D456,Data!$X$2:$Y$117,2,TRUE),"")</f>
        <v/>
      </c>
      <c r="F456" s="14" t="str">
        <f>IF(ROW()&lt;=(Results!$C$1/2)+1,IF(E456&lt;=0,"",LN(E456)),"")</f>
        <v/>
      </c>
    </row>
    <row r="457" spans="1:6" x14ac:dyDescent="0.25">
      <c r="A457" s="1" t="str">
        <f ca="1">IF(ROW()&lt;=(Results!$C$1/2)+1,INDEX(Data!$V:$V,CEILING((COUNTA(Data!$V:$V)-1)*RAND()+1,1)),"")</f>
        <v/>
      </c>
      <c r="B457" s="1" t="str">
        <f>IF(ROW()&lt;=(Results!$C$1/2)+1,VLOOKUP($A457,Data!$V$2:$W$117,2,TRUE),"")</f>
        <v/>
      </c>
      <c r="C457" s="14" t="str">
        <f>IF(ROW()&lt;=(Results!$C$1/2)+1,IF(B457&lt;=0,"",LN(B457)),"")</f>
        <v/>
      </c>
      <c r="D457" s="1" t="str">
        <f ca="1">IF(ROW()&lt;=(Results!$C$1/2)+1,INDEX(Data!$X:$X,CEILING((COUNTA(Data!$X:$X)-1)*RAND()+1,1)),"")</f>
        <v/>
      </c>
      <c r="E457" s="1" t="str">
        <f>IF(ROW()&lt;=(Results!$C$1/2)+1,VLOOKUP($D457,Data!$X$2:$Y$117,2,TRUE),"")</f>
        <v/>
      </c>
      <c r="F457" s="14" t="str">
        <f>IF(ROW()&lt;=(Results!$C$1/2)+1,IF(E457&lt;=0,"",LN(E457)),"")</f>
        <v/>
      </c>
    </row>
    <row r="458" spans="1:6" x14ac:dyDescent="0.25">
      <c r="A458" s="1" t="str">
        <f ca="1">IF(ROW()&lt;=(Results!$C$1/2)+1,INDEX(Data!$V:$V,CEILING((COUNTA(Data!$V:$V)-1)*RAND()+1,1)),"")</f>
        <v/>
      </c>
      <c r="B458" s="1" t="str">
        <f>IF(ROW()&lt;=(Results!$C$1/2)+1,VLOOKUP($A458,Data!$V$2:$W$117,2,TRUE),"")</f>
        <v/>
      </c>
      <c r="C458" s="14" t="str">
        <f>IF(ROW()&lt;=(Results!$C$1/2)+1,IF(B458&lt;=0,"",LN(B458)),"")</f>
        <v/>
      </c>
      <c r="D458" s="1" t="str">
        <f ca="1">IF(ROW()&lt;=(Results!$C$1/2)+1,INDEX(Data!$X:$X,CEILING((COUNTA(Data!$X:$X)-1)*RAND()+1,1)),"")</f>
        <v/>
      </c>
      <c r="E458" s="1" t="str">
        <f>IF(ROW()&lt;=(Results!$C$1/2)+1,VLOOKUP($D458,Data!$X$2:$Y$117,2,TRUE),"")</f>
        <v/>
      </c>
      <c r="F458" s="14" t="str">
        <f>IF(ROW()&lt;=(Results!$C$1/2)+1,IF(E458&lt;=0,"",LN(E458)),"")</f>
        <v/>
      </c>
    </row>
    <row r="459" spans="1:6" x14ac:dyDescent="0.25">
      <c r="A459" s="1" t="str">
        <f ca="1">IF(ROW()&lt;=(Results!$C$1/2)+1,INDEX(Data!$V:$V,CEILING((COUNTA(Data!$V:$V)-1)*RAND()+1,1)),"")</f>
        <v/>
      </c>
      <c r="B459" s="1" t="str">
        <f>IF(ROW()&lt;=(Results!$C$1/2)+1,VLOOKUP($A459,Data!$V$2:$W$117,2,TRUE),"")</f>
        <v/>
      </c>
      <c r="C459" s="14" t="str">
        <f>IF(ROW()&lt;=(Results!$C$1/2)+1,IF(B459&lt;=0,"",LN(B459)),"")</f>
        <v/>
      </c>
      <c r="D459" s="1" t="str">
        <f ca="1">IF(ROW()&lt;=(Results!$C$1/2)+1,INDEX(Data!$X:$X,CEILING((COUNTA(Data!$X:$X)-1)*RAND()+1,1)),"")</f>
        <v/>
      </c>
      <c r="E459" s="1" t="str">
        <f>IF(ROW()&lt;=(Results!$C$1/2)+1,VLOOKUP($D459,Data!$X$2:$Y$117,2,TRUE),"")</f>
        <v/>
      </c>
      <c r="F459" s="14" t="str">
        <f>IF(ROW()&lt;=(Results!$C$1/2)+1,IF(E459&lt;=0,"",LN(E459)),"")</f>
        <v/>
      </c>
    </row>
    <row r="460" spans="1:6" x14ac:dyDescent="0.25">
      <c r="A460" s="1" t="str">
        <f ca="1">IF(ROW()&lt;=(Results!$C$1/2)+1,INDEX(Data!$V:$V,CEILING((COUNTA(Data!$V:$V)-1)*RAND()+1,1)),"")</f>
        <v/>
      </c>
      <c r="B460" s="1" t="str">
        <f>IF(ROW()&lt;=(Results!$C$1/2)+1,VLOOKUP($A460,Data!$V$2:$W$117,2,TRUE),"")</f>
        <v/>
      </c>
      <c r="C460" s="14" t="str">
        <f>IF(ROW()&lt;=(Results!$C$1/2)+1,IF(B460&lt;=0,"",LN(B460)),"")</f>
        <v/>
      </c>
      <c r="D460" s="1" t="str">
        <f ca="1">IF(ROW()&lt;=(Results!$C$1/2)+1,INDEX(Data!$X:$X,CEILING((COUNTA(Data!$X:$X)-1)*RAND()+1,1)),"")</f>
        <v/>
      </c>
      <c r="E460" s="1" t="str">
        <f>IF(ROW()&lt;=(Results!$C$1/2)+1,VLOOKUP($D460,Data!$X$2:$Y$117,2,TRUE),"")</f>
        <v/>
      </c>
      <c r="F460" s="14" t="str">
        <f>IF(ROW()&lt;=(Results!$C$1/2)+1,IF(E460&lt;=0,"",LN(E460)),"")</f>
        <v/>
      </c>
    </row>
    <row r="461" spans="1:6" x14ac:dyDescent="0.25">
      <c r="A461" s="1" t="str">
        <f ca="1">IF(ROW()&lt;=(Results!$C$1/2)+1,INDEX(Data!$V:$V,CEILING((COUNTA(Data!$V:$V)-1)*RAND()+1,1)),"")</f>
        <v/>
      </c>
      <c r="B461" s="1" t="str">
        <f>IF(ROW()&lt;=(Results!$C$1/2)+1,VLOOKUP($A461,Data!$V$2:$W$117,2,TRUE),"")</f>
        <v/>
      </c>
      <c r="C461" s="14" t="str">
        <f>IF(ROW()&lt;=(Results!$C$1/2)+1,IF(B461&lt;=0,"",LN(B461)),"")</f>
        <v/>
      </c>
      <c r="D461" s="1" t="str">
        <f ca="1">IF(ROW()&lt;=(Results!$C$1/2)+1,INDEX(Data!$X:$X,CEILING((COUNTA(Data!$X:$X)-1)*RAND()+1,1)),"")</f>
        <v/>
      </c>
      <c r="E461" s="1" t="str">
        <f>IF(ROW()&lt;=(Results!$C$1/2)+1,VLOOKUP($D461,Data!$X$2:$Y$117,2,TRUE),"")</f>
        <v/>
      </c>
      <c r="F461" s="14" t="str">
        <f>IF(ROW()&lt;=(Results!$C$1/2)+1,IF(E461&lt;=0,"",LN(E461)),"")</f>
        <v/>
      </c>
    </row>
    <row r="462" spans="1:6" x14ac:dyDescent="0.25">
      <c r="A462" s="1" t="str">
        <f ca="1">IF(ROW()&lt;=(Results!$C$1/2)+1,INDEX(Data!$V:$V,CEILING((COUNTA(Data!$V:$V)-1)*RAND()+1,1)),"")</f>
        <v/>
      </c>
      <c r="B462" s="1" t="str">
        <f>IF(ROW()&lt;=(Results!$C$1/2)+1,VLOOKUP($A462,Data!$V$2:$W$117,2,TRUE),"")</f>
        <v/>
      </c>
      <c r="C462" s="14" t="str">
        <f>IF(ROW()&lt;=(Results!$C$1/2)+1,IF(B462&lt;=0,"",LN(B462)),"")</f>
        <v/>
      </c>
      <c r="D462" s="1" t="str">
        <f ca="1">IF(ROW()&lt;=(Results!$C$1/2)+1,INDEX(Data!$X:$X,CEILING((COUNTA(Data!$X:$X)-1)*RAND()+1,1)),"")</f>
        <v/>
      </c>
      <c r="E462" s="1" t="str">
        <f>IF(ROW()&lt;=(Results!$C$1/2)+1,VLOOKUP($D462,Data!$X$2:$Y$117,2,TRUE),"")</f>
        <v/>
      </c>
      <c r="F462" s="14" t="str">
        <f>IF(ROW()&lt;=(Results!$C$1/2)+1,IF(E462&lt;=0,"",LN(E462)),"")</f>
        <v/>
      </c>
    </row>
    <row r="463" spans="1:6" x14ac:dyDescent="0.25">
      <c r="A463" s="1" t="str">
        <f ca="1">IF(ROW()&lt;=(Results!$C$1/2)+1,INDEX(Data!$V:$V,CEILING((COUNTA(Data!$V:$V)-1)*RAND()+1,1)),"")</f>
        <v/>
      </c>
      <c r="B463" s="1" t="str">
        <f>IF(ROW()&lt;=(Results!$C$1/2)+1,VLOOKUP($A463,Data!$V$2:$W$117,2,TRUE),"")</f>
        <v/>
      </c>
      <c r="C463" s="14" t="str">
        <f>IF(ROW()&lt;=(Results!$C$1/2)+1,IF(B463&lt;=0,"",LN(B463)),"")</f>
        <v/>
      </c>
      <c r="D463" s="1" t="str">
        <f ca="1">IF(ROW()&lt;=(Results!$C$1/2)+1,INDEX(Data!$X:$X,CEILING((COUNTA(Data!$X:$X)-1)*RAND()+1,1)),"")</f>
        <v/>
      </c>
      <c r="E463" s="1" t="str">
        <f>IF(ROW()&lt;=(Results!$C$1/2)+1,VLOOKUP($D463,Data!$X$2:$Y$117,2,TRUE),"")</f>
        <v/>
      </c>
      <c r="F463" s="14" t="str">
        <f>IF(ROW()&lt;=(Results!$C$1/2)+1,IF(E463&lt;=0,"",LN(E463)),"")</f>
        <v/>
      </c>
    </row>
    <row r="464" spans="1:6" x14ac:dyDescent="0.25">
      <c r="A464" s="1" t="str">
        <f ca="1">IF(ROW()&lt;=(Results!$C$1/2)+1,INDEX(Data!$V:$V,CEILING((COUNTA(Data!$V:$V)-1)*RAND()+1,1)),"")</f>
        <v/>
      </c>
      <c r="B464" s="1" t="str">
        <f>IF(ROW()&lt;=(Results!$C$1/2)+1,VLOOKUP($A464,Data!$V$2:$W$117,2,TRUE),"")</f>
        <v/>
      </c>
      <c r="C464" s="14" t="str">
        <f>IF(ROW()&lt;=(Results!$C$1/2)+1,IF(B464&lt;=0,"",LN(B464)),"")</f>
        <v/>
      </c>
      <c r="D464" s="1" t="str">
        <f ca="1">IF(ROW()&lt;=(Results!$C$1/2)+1,INDEX(Data!$X:$X,CEILING((COUNTA(Data!$X:$X)-1)*RAND()+1,1)),"")</f>
        <v/>
      </c>
      <c r="E464" s="1" t="str">
        <f>IF(ROW()&lt;=(Results!$C$1/2)+1,VLOOKUP($D464,Data!$X$2:$Y$117,2,TRUE),"")</f>
        <v/>
      </c>
      <c r="F464" s="14" t="str">
        <f>IF(ROW()&lt;=(Results!$C$1/2)+1,IF(E464&lt;=0,"",LN(E464)),"")</f>
        <v/>
      </c>
    </row>
    <row r="465" spans="1:6" x14ac:dyDescent="0.25">
      <c r="A465" s="1" t="str">
        <f ca="1">IF(ROW()&lt;=(Results!$C$1/2)+1,INDEX(Data!$V:$V,CEILING((COUNTA(Data!$V:$V)-1)*RAND()+1,1)),"")</f>
        <v/>
      </c>
      <c r="B465" s="1" t="str">
        <f>IF(ROW()&lt;=(Results!$C$1/2)+1,VLOOKUP($A465,Data!$V$2:$W$117,2,TRUE),"")</f>
        <v/>
      </c>
      <c r="C465" s="14" t="str">
        <f>IF(ROW()&lt;=(Results!$C$1/2)+1,IF(B465&lt;=0,"",LN(B465)),"")</f>
        <v/>
      </c>
      <c r="D465" s="1" t="str">
        <f ca="1">IF(ROW()&lt;=(Results!$C$1/2)+1,INDEX(Data!$X:$X,CEILING((COUNTA(Data!$X:$X)-1)*RAND()+1,1)),"")</f>
        <v/>
      </c>
      <c r="E465" s="1" t="str">
        <f>IF(ROW()&lt;=(Results!$C$1/2)+1,VLOOKUP($D465,Data!$X$2:$Y$117,2,TRUE),"")</f>
        <v/>
      </c>
      <c r="F465" s="14" t="str">
        <f>IF(ROW()&lt;=(Results!$C$1/2)+1,IF(E465&lt;=0,"",LN(E465)),"")</f>
        <v/>
      </c>
    </row>
    <row r="466" spans="1:6" x14ac:dyDescent="0.25">
      <c r="A466" s="1" t="str">
        <f ca="1">IF(ROW()&lt;=(Results!$C$1/2)+1,INDEX(Data!$V:$V,CEILING((COUNTA(Data!$V:$V)-1)*RAND()+1,1)),"")</f>
        <v/>
      </c>
      <c r="B466" s="1" t="str">
        <f>IF(ROW()&lt;=(Results!$C$1/2)+1,VLOOKUP($A466,Data!$V$2:$W$117,2,TRUE),"")</f>
        <v/>
      </c>
      <c r="C466" s="14" t="str">
        <f>IF(ROW()&lt;=(Results!$C$1/2)+1,IF(B466&lt;=0,"",LN(B466)),"")</f>
        <v/>
      </c>
      <c r="D466" s="1" t="str">
        <f ca="1">IF(ROW()&lt;=(Results!$C$1/2)+1,INDEX(Data!$X:$X,CEILING((COUNTA(Data!$X:$X)-1)*RAND()+1,1)),"")</f>
        <v/>
      </c>
      <c r="E466" s="1" t="str">
        <f>IF(ROW()&lt;=(Results!$C$1/2)+1,VLOOKUP($D466,Data!$X$2:$Y$117,2,TRUE),"")</f>
        <v/>
      </c>
      <c r="F466" s="14" t="str">
        <f>IF(ROW()&lt;=(Results!$C$1/2)+1,IF(E466&lt;=0,"",LN(E466)),"")</f>
        <v/>
      </c>
    </row>
    <row r="467" spans="1:6" x14ac:dyDescent="0.25">
      <c r="A467" s="1" t="str">
        <f ca="1">IF(ROW()&lt;=(Results!$C$1/2)+1,INDEX(Data!$V:$V,CEILING((COUNTA(Data!$V:$V)-1)*RAND()+1,1)),"")</f>
        <v/>
      </c>
      <c r="B467" s="1" t="str">
        <f>IF(ROW()&lt;=(Results!$C$1/2)+1,VLOOKUP($A467,Data!$V$2:$W$117,2,TRUE),"")</f>
        <v/>
      </c>
      <c r="C467" s="14" t="str">
        <f>IF(ROW()&lt;=(Results!$C$1/2)+1,IF(B467&lt;=0,"",LN(B467)),"")</f>
        <v/>
      </c>
      <c r="D467" s="1" t="str">
        <f ca="1">IF(ROW()&lt;=(Results!$C$1/2)+1,INDEX(Data!$X:$X,CEILING((COUNTA(Data!$X:$X)-1)*RAND()+1,1)),"")</f>
        <v/>
      </c>
      <c r="E467" s="1" t="str">
        <f>IF(ROW()&lt;=(Results!$C$1/2)+1,VLOOKUP($D467,Data!$X$2:$Y$117,2,TRUE),"")</f>
        <v/>
      </c>
      <c r="F467" s="14" t="str">
        <f>IF(ROW()&lt;=(Results!$C$1/2)+1,IF(E467&lt;=0,"",LN(E467)),"")</f>
        <v/>
      </c>
    </row>
    <row r="468" spans="1:6" x14ac:dyDescent="0.25">
      <c r="A468" s="1" t="str">
        <f ca="1">IF(ROW()&lt;=(Results!$C$1/2)+1,INDEX(Data!$V:$V,CEILING((COUNTA(Data!$V:$V)-1)*RAND()+1,1)),"")</f>
        <v/>
      </c>
      <c r="B468" s="1" t="str">
        <f>IF(ROW()&lt;=(Results!$C$1/2)+1,VLOOKUP($A468,Data!$V$2:$W$117,2,TRUE),"")</f>
        <v/>
      </c>
      <c r="C468" s="14" t="str">
        <f>IF(ROW()&lt;=(Results!$C$1/2)+1,IF(B468&lt;=0,"",LN(B468)),"")</f>
        <v/>
      </c>
      <c r="D468" s="1" t="str">
        <f ca="1">IF(ROW()&lt;=(Results!$C$1/2)+1,INDEX(Data!$X:$X,CEILING((COUNTA(Data!$X:$X)-1)*RAND()+1,1)),"")</f>
        <v/>
      </c>
      <c r="E468" s="1" t="str">
        <f>IF(ROW()&lt;=(Results!$C$1/2)+1,VLOOKUP($D468,Data!$X$2:$Y$117,2,TRUE),"")</f>
        <v/>
      </c>
      <c r="F468" s="14" t="str">
        <f>IF(ROW()&lt;=(Results!$C$1/2)+1,IF(E468&lt;=0,"",LN(E468)),"")</f>
        <v/>
      </c>
    </row>
    <row r="469" spans="1:6" x14ac:dyDescent="0.25">
      <c r="A469" s="1" t="str">
        <f ca="1">IF(ROW()&lt;=(Results!$C$1/2)+1,INDEX(Data!$V:$V,CEILING((COUNTA(Data!$V:$V)-1)*RAND()+1,1)),"")</f>
        <v/>
      </c>
      <c r="B469" s="1" t="str">
        <f>IF(ROW()&lt;=(Results!$C$1/2)+1,VLOOKUP($A469,Data!$V$2:$W$117,2,TRUE),"")</f>
        <v/>
      </c>
      <c r="C469" s="14" t="str">
        <f>IF(ROW()&lt;=(Results!$C$1/2)+1,IF(B469&lt;=0,"",LN(B469)),"")</f>
        <v/>
      </c>
      <c r="D469" s="1" t="str">
        <f ca="1">IF(ROW()&lt;=(Results!$C$1/2)+1,INDEX(Data!$X:$X,CEILING((COUNTA(Data!$X:$X)-1)*RAND()+1,1)),"")</f>
        <v/>
      </c>
      <c r="E469" s="1" t="str">
        <f>IF(ROW()&lt;=(Results!$C$1/2)+1,VLOOKUP($D469,Data!$X$2:$Y$117,2,TRUE),"")</f>
        <v/>
      </c>
      <c r="F469" s="14" t="str">
        <f>IF(ROW()&lt;=(Results!$C$1/2)+1,IF(E469&lt;=0,"",LN(E469)),"")</f>
        <v/>
      </c>
    </row>
    <row r="470" spans="1:6" x14ac:dyDescent="0.25">
      <c r="A470" s="1" t="str">
        <f ca="1">IF(ROW()&lt;=(Results!$C$1/2)+1,INDEX(Data!$V:$V,CEILING((COUNTA(Data!$V:$V)-1)*RAND()+1,1)),"")</f>
        <v/>
      </c>
      <c r="B470" s="1" t="str">
        <f>IF(ROW()&lt;=(Results!$C$1/2)+1,VLOOKUP($A470,Data!$V$2:$W$117,2,TRUE),"")</f>
        <v/>
      </c>
      <c r="C470" s="14" t="str">
        <f>IF(ROW()&lt;=(Results!$C$1/2)+1,IF(B470&lt;=0,"",LN(B470)),"")</f>
        <v/>
      </c>
      <c r="D470" s="1" t="str">
        <f ca="1">IF(ROW()&lt;=(Results!$C$1/2)+1,INDEX(Data!$X:$X,CEILING((COUNTA(Data!$X:$X)-1)*RAND()+1,1)),"")</f>
        <v/>
      </c>
      <c r="E470" s="1" t="str">
        <f>IF(ROW()&lt;=(Results!$C$1/2)+1,VLOOKUP($D470,Data!$X$2:$Y$117,2,TRUE),"")</f>
        <v/>
      </c>
      <c r="F470" s="14" t="str">
        <f>IF(ROW()&lt;=(Results!$C$1/2)+1,IF(E470&lt;=0,"",LN(E470)),"")</f>
        <v/>
      </c>
    </row>
    <row r="471" spans="1:6" x14ac:dyDescent="0.25">
      <c r="A471" s="1" t="str">
        <f ca="1">IF(ROW()&lt;=(Results!$C$1/2)+1,INDEX(Data!$V:$V,CEILING((COUNTA(Data!$V:$V)-1)*RAND()+1,1)),"")</f>
        <v/>
      </c>
      <c r="B471" s="1" t="str">
        <f>IF(ROW()&lt;=(Results!$C$1/2)+1,VLOOKUP($A471,Data!$V$2:$W$117,2,TRUE),"")</f>
        <v/>
      </c>
      <c r="C471" s="14" t="str">
        <f>IF(ROW()&lt;=(Results!$C$1/2)+1,IF(B471&lt;=0,"",LN(B471)),"")</f>
        <v/>
      </c>
      <c r="D471" s="1" t="str">
        <f ca="1">IF(ROW()&lt;=(Results!$C$1/2)+1,INDEX(Data!$X:$X,CEILING((COUNTA(Data!$X:$X)-1)*RAND()+1,1)),"")</f>
        <v/>
      </c>
      <c r="E471" s="1" t="str">
        <f>IF(ROW()&lt;=(Results!$C$1/2)+1,VLOOKUP($D471,Data!$X$2:$Y$117,2,TRUE),"")</f>
        <v/>
      </c>
      <c r="F471" s="14" t="str">
        <f>IF(ROW()&lt;=(Results!$C$1/2)+1,IF(E471&lt;=0,"",LN(E471)),"")</f>
        <v/>
      </c>
    </row>
    <row r="472" spans="1:6" x14ac:dyDescent="0.25">
      <c r="A472" s="1" t="str">
        <f ca="1">IF(ROW()&lt;=(Results!$C$1/2)+1,INDEX(Data!$V:$V,CEILING((COUNTA(Data!$V:$V)-1)*RAND()+1,1)),"")</f>
        <v/>
      </c>
      <c r="B472" s="1" t="str">
        <f>IF(ROW()&lt;=(Results!$C$1/2)+1,VLOOKUP($A472,Data!$V$2:$W$117,2,TRUE),"")</f>
        <v/>
      </c>
      <c r="C472" s="14" t="str">
        <f>IF(ROW()&lt;=(Results!$C$1/2)+1,IF(B472&lt;=0,"",LN(B472)),"")</f>
        <v/>
      </c>
      <c r="D472" s="1" t="str">
        <f ca="1">IF(ROW()&lt;=(Results!$C$1/2)+1,INDEX(Data!$X:$X,CEILING((COUNTA(Data!$X:$X)-1)*RAND()+1,1)),"")</f>
        <v/>
      </c>
      <c r="E472" s="1" t="str">
        <f>IF(ROW()&lt;=(Results!$C$1/2)+1,VLOOKUP($D472,Data!$X$2:$Y$117,2,TRUE),"")</f>
        <v/>
      </c>
      <c r="F472" s="14" t="str">
        <f>IF(ROW()&lt;=(Results!$C$1/2)+1,IF(E472&lt;=0,"",LN(E472)),"")</f>
        <v/>
      </c>
    </row>
    <row r="473" spans="1:6" x14ac:dyDescent="0.25">
      <c r="A473" s="1" t="str">
        <f ca="1">IF(ROW()&lt;=(Results!$C$1/2)+1,INDEX(Data!$V:$V,CEILING((COUNTA(Data!$V:$V)-1)*RAND()+1,1)),"")</f>
        <v/>
      </c>
      <c r="B473" s="1" t="str">
        <f>IF(ROW()&lt;=(Results!$C$1/2)+1,VLOOKUP($A473,Data!$V$2:$W$117,2,TRUE),"")</f>
        <v/>
      </c>
      <c r="C473" s="14" t="str">
        <f>IF(ROW()&lt;=(Results!$C$1/2)+1,IF(B473&lt;=0,"",LN(B473)),"")</f>
        <v/>
      </c>
      <c r="D473" s="1" t="str">
        <f ca="1">IF(ROW()&lt;=(Results!$C$1/2)+1,INDEX(Data!$X:$X,CEILING((COUNTA(Data!$X:$X)-1)*RAND()+1,1)),"")</f>
        <v/>
      </c>
      <c r="E473" s="1" t="str">
        <f>IF(ROW()&lt;=(Results!$C$1/2)+1,VLOOKUP($D473,Data!$X$2:$Y$117,2,TRUE),"")</f>
        <v/>
      </c>
      <c r="F473" s="14" t="str">
        <f>IF(ROW()&lt;=(Results!$C$1/2)+1,IF(E473&lt;=0,"",LN(E473)),"")</f>
        <v/>
      </c>
    </row>
    <row r="474" spans="1:6" x14ac:dyDescent="0.25">
      <c r="A474" s="1" t="str">
        <f ca="1">IF(ROW()&lt;=(Results!$C$1/2)+1,INDEX(Data!$V:$V,CEILING((COUNTA(Data!$V:$V)-1)*RAND()+1,1)),"")</f>
        <v/>
      </c>
      <c r="B474" s="1" t="str">
        <f>IF(ROW()&lt;=(Results!$C$1/2)+1,VLOOKUP($A474,Data!$V$2:$W$117,2,TRUE),"")</f>
        <v/>
      </c>
      <c r="C474" s="14" t="str">
        <f>IF(ROW()&lt;=(Results!$C$1/2)+1,IF(B474&lt;=0,"",LN(B474)),"")</f>
        <v/>
      </c>
      <c r="D474" s="1" t="str">
        <f ca="1">IF(ROW()&lt;=(Results!$C$1/2)+1,INDEX(Data!$X:$X,CEILING((COUNTA(Data!$X:$X)-1)*RAND()+1,1)),"")</f>
        <v/>
      </c>
      <c r="E474" s="1" t="str">
        <f>IF(ROW()&lt;=(Results!$C$1/2)+1,VLOOKUP($D474,Data!$X$2:$Y$117,2,TRUE),"")</f>
        <v/>
      </c>
      <c r="F474" s="14" t="str">
        <f>IF(ROW()&lt;=(Results!$C$1/2)+1,IF(E474&lt;=0,"",LN(E474)),"")</f>
        <v/>
      </c>
    </row>
    <row r="475" spans="1:6" x14ac:dyDescent="0.25">
      <c r="A475" s="1" t="str">
        <f ca="1">IF(ROW()&lt;=(Results!$C$1/2)+1,INDEX(Data!$V:$V,CEILING((COUNTA(Data!$V:$V)-1)*RAND()+1,1)),"")</f>
        <v/>
      </c>
      <c r="B475" s="1" t="str">
        <f>IF(ROW()&lt;=(Results!$C$1/2)+1,VLOOKUP($A475,Data!$V$2:$W$117,2,TRUE),"")</f>
        <v/>
      </c>
      <c r="C475" s="14" t="str">
        <f>IF(ROW()&lt;=(Results!$C$1/2)+1,IF(B475&lt;=0,"",LN(B475)),"")</f>
        <v/>
      </c>
      <c r="D475" s="1" t="str">
        <f ca="1">IF(ROW()&lt;=(Results!$C$1/2)+1,INDEX(Data!$X:$X,CEILING((COUNTA(Data!$X:$X)-1)*RAND()+1,1)),"")</f>
        <v/>
      </c>
      <c r="E475" s="1" t="str">
        <f>IF(ROW()&lt;=(Results!$C$1/2)+1,VLOOKUP($D475,Data!$X$2:$Y$117,2,TRUE),"")</f>
        <v/>
      </c>
      <c r="F475" s="14" t="str">
        <f>IF(ROW()&lt;=(Results!$C$1/2)+1,IF(E475&lt;=0,"",LN(E475)),"")</f>
        <v/>
      </c>
    </row>
    <row r="476" spans="1:6" x14ac:dyDescent="0.25">
      <c r="A476" s="1" t="str">
        <f ca="1">IF(ROW()&lt;=(Results!$C$1/2)+1,INDEX(Data!$V:$V,CEILING((COUNTA(Data!$V:$V)-1)*RAND()+1,1)),"")</f>
        <v/>
      </c>
      <c r="B476" s="1" t="str">
        <f>IF(ROW()&lt;=(Results!$C$1/2)+1,VLOOKUP($A476,Data!$V$2:$W$117,2,TRUE),"")</f>
        <v/>
      </c>
      <c r="C476" s="14" t="str">
        <f>IF(ROW()&lt;=(Results!$C$1/2)+1,IF(B476&lt;=0,"",LN(B476)),"")</f>
        <v/>
      </c>
      <c r="D476" s="1" t="str">
        <f ca="1">IF(ROW()&lt;=(Results!$C$1/2)+1,INDEX(Data!$X:$X,CEILING((COUNTA(Data!$X:$X)-1)*RAND()+1,1)),"")</f>
        <v/>
      </c>
      <c r="E476" s="1" t="str">
        <f>IF(ROW()&lt;=(Results!$C$1/2)+1,VLOOKUP($D476,Data!$X$2:$Y$117,2,TRUE),"")</f>
        <v/>
      </c>
      <c r="F476" s="14" t="str">
        <f>IF(ROW()&lt;=(Results!$C$1/2)+1,IF(E476&lt;=0,"",LN(E476)),"")</f>
        <v/>
      </c>
    </row>
    <row r="477" spans="1:6" x14ac:dyDescent="0.25">
      <c r="A477" s="1" t="str">
        <f ca="1">IF(ROW()&lt;=(Results!$C$1/2)+1,INDEX(Data!$V:$V,CEILING((COUNTA(Data!$V:$V)-1)*RAND()+1,1)),"")</f>
        <v/>
      </c>
      <c r="B477" s="1" t="str">
        <f>IF(ROW()&lt;=(Results!$C$1/2)+1,VLOOKUP($A477,Data!$V$2:$W$117,2,TRUE),"")</f>
        <v/>
      </c>
      <c r="C477" s="14" t="str">
        <f>IF(ROW()&lt;=(Results!$C$1/2)+1,IF(B477&lt;=0,"",LN(B477)),"")</f>
        <v/>
      </c>
      <c r="D477" s="1" t="str">
        <f ca="1">IF(ROW()&lt;=(Results!$C$1/2)+1,INDEX(Data!$X:$X,CEILING((COUNTA(Data!$X:$X)-1)*RAND()+1,1)),"")</f>
        <v/>
      </c>
      <c r="E477" s="1" t="str">
        <f>IF(ROW()&lt;=(Results!$C$1/2)+1,VLOOKUP($D477,Data!$X$2:$Y$117,2,TRUE),"")</f>
        <v/>
      </c>
      <c r="F477" s="14" t="str">
        <f>IF(ROW()&lt;=(Results!$C$1/2)+1,IF(E477&lt;=0,"",LN(E477)),"")</f>
        <v/>
      </c>
    </row>
    <row r="478" spans="1:6" x14ac:dyDescent="0.25">
      <c r="A478" s="1" t="str">
        <f ca="1">IF(ROW()&lt;=(Results!$C$1/2)+1,INDEX(Data!$V:$V,CEILING((COUNTA(Data!$V:$V)-1)*RAND()+1,1)),"")</f>
        <v/>
      </c>
      <c r="B478" s="1" t="str">
        <f>IF(ROW()&lt;=(Results!$C$1/2)+1,VLOOKUP($A478,Data!$V$2:$W$117,2,TRUE),"")</f>
        <v/>
      </c>
      <c r="C478" s="14" t="str">
        <f>IF(ROW()&lt;=(Results!$C$1/2)+1,IF(B478&lt;=0,"",LN(B478)),"")</f>
        <v/>
      </c>
      <c r="D478" s="1" t="str">
        <f ca="1">IF(ROW()&lt;=(Results!$C$1/2)+1,INDEX(Data!$X:$X,CEILING((COUNTA(Data!$X:$X)-1)*RAND()+1,1)),"")</f>
        <v/>
      </c>
      <c r="E478" s="1" t="str">
        <f>IF(ROW()&lt;=(Results!$C$1/2)+1,VLOOKUP($D478,Data!$X$2:$Y$117,2,TRUE),"")</f>
        <v/>
      </c>
      <c r="F478" s="14" t="str">
        <f>IF(ROW()&lt;=(Results!$C$1/2)+1,IF(E478&lt;=0,"",LN(E478)),"")</f>
        <v/>
      </c>
    </row>
    <row r="479" spans="1:6" x14ac:dyDescent="0.25">
      <c r="A479" s="1" t="str">
        <f ca="1">IF(ROW()&lt;=(Results!$C$1/2)+1,INDEX(Data!$V:$V,CEILING((COUNTA(Data!$V:$V)-1)*RAND()+1,1)),"")</f>
        <v/>
      </c>
      <c r="B479" s="1" t="str">
        <f>IF(ROW()&lt;=(Results!$C$1/2)+1,VLOOKUP($A479,Data!$V$2:$W$117,2,TRUE),"")</f>
        <v/>
      </c>
      <c r="C479" s="14" t="str">
        <f>IF(ROW()&lt;=(Results!$C$1/2)+1,IF(B479&lt;=0,"",LN(B479)),"")</f>
        <v/>
      </c>
      <c r="D479" s="1" t="str">
        <f ca="1">IF(ROW()&lt;=(Results!$C$1/2)+1,INDEX(Data!$X:$X,CEILING((COUNTA(Data!$X:$X)-1)*RAND()+1,1)),"")</f>
        <v/>
      </c>
      <c r="E479" s="1" t="str">
        <f>IF(ROW()&lt;=(Results!$C$1/2)+1,VLOOKUP($D479,Data!$X$2:$Y$117,2,TRUE),"")</f>
        <v/>
      </c>
      <c r="F479" s="14" t="str">
        <f>IF(ROW()&lt;=(Results!$C$1/2)+1,IF(E479&lt;=0,"",LN(E479)),"")</f>
        <v/>
      </c>
    </row>
    <row r="480" spans="1:6" x14ac:dyDescent="0.25">
      <c r="A480" s="1" t="str">
        <f ca="1">IF(ROW()&lt;=(Results!$C$1/2)+1,INDEX(Data!$V:$V,CEILING((COUNTA(Data!$V:$V)-1)*RAND()+1,1)),"")</f>
        <v/>
      </c>
      <c r="B480" s="1" t="str">
        <f>IF(ROW()&lt;=(Results!$C$1/2)+1,VLOOKUP($A480,Data!$V$2:$W$117,2,TRUE),"")</f>
        <v/>
      </c>
      <c r="C480" s="14" t="str">
        <f>IF(ROW()&lt;=(Results!$C$1/2)+1,IF(B480&lt;=0,"",LN(B480)),"")</f>
        <v/>
      </c>
      <c r="D480" s="1" t="str">
        <f ca="1">IF(ROW()&lt;=(Results!$C$1/2)+1,INDEX(Data!$X:$X,CEILING((COUNTA(Data!$X:$X)-1)*RAND()+1,1)),"")</f>
        <v/>
      </c>
      <c r="E480" s="1" t="str">
        <f>IF(ROW()&lt;=(Results!$C$1/2)+1,VLOOKUP($D480,Data!$X$2:$Y$117,2,TRUE),"")</f>
        <v/>
      </c>
      <c r="F480" s="14" t="str">
        <f>IF(ROW()&lt;=(Results!$C$1/2)+1,IF(E480&lt;=0,"",LN(E480)),"")</f>
        <v/>
      </c>
    </row>
    <row r="481" spans="1:6" x14ac:dyDescent="0.25">
      <c r="A481" s="1" t="str">
        <f ca="1">IF(ROW()&lt;=(Results!$C$1/2)+1,INDEX(Data!$V:$V,CEILING((COUNTA(Data!$V:$V)-1)*RAND()+1,1)),"")</f>
        <v/>
      </c>
      <c r="B481" s="1" t="str">
        <f>IF(ROW()&lt;=(Results!$C$1/2)+1,VLOOKUP($A481,Data!$V$2:$W$117,2,TRUE),"")</f>
        <v/>
      </c>
      <c r="C481" s="14" t="str">
        <f>IF(ROW()&lt;=(Results!$C$1/2)+1,IF(B481&lt;=0,"",LN(B481)),"")</f>
        <v/>
      </c>
      <c r="D481" s="1" t="str">
        <f ca="1">IF(ROW()&lt;=(Results!$C$1/2)+1,INDEX(Data!$X:$X,CEILING((COUNTA(Data!$X:$X)-1)*RAND()+1,1)),"")</f>
        <v/>
      </c>
      <c r="E481" s="1" t="str">
        <f>IF(ROW()&lt;=(Results!$C$1/2)+1,VLOOKUP($D481,Data!$X$2:$Y$117,2,TRUE),"")</f>
        <v/>
      </c>
      <c r="F481" s="14" t="str">
        <f>IF(ROW()&lt;=(Results!$C$1/2)+1,IF(E481&lt;=0,"",LN(E481)),"")</f>
        <v/>
      </c>
    </row>
    <row r="482" spans="1:6" x14ac:dyDescent="0.25">
      <c r="A482" s="1" t="str">
        <f ca="1">IF(ROW()&lt;=(Results!$C$1/2)+1,INDEX(Data!$V:$V,CEILING((COUNTA(Data!$V:$V)-1)*RAND()+1,1)),"")</f>
        <v/>
      </c>
      <c r="B482" s="1" t="str">
        <f>IF(ROW()&lt;=(Results!$C$1/2)+1,VLOOKUP($A482,Data!$V$2:$W$117,2,TRUE),"")</f>
        <v/>
      </c>
      <c r="C482" s="14" t="str">
        <f>IF(ROW()&lt;=(Results!$C$1/2)+1,IF(B482&lt;=0,"",LN(B482)),"")</f>
        <v/>
      </c>
      <c r="D482" s="1" t="str">
        <f ca="1">IF(ROW()&lt;=(Results!$C$1/2)+1,INDEX(Data!$X:$X,CEILING((COUNTA(Data!$X:$X)-1)*RAND()+1,1)),"")</f>
        <v/>
      </c>
      <c r="E482" s="1" t="str">
        <f>IF(ROW()&lt;=(Results!$C$1/2)+1,VLOOKUP($D482,Data!$X$2:$Y$117,2,TRUE),"")</f>
        <v/>
      </c>
      <c r="F482" s="14" t="str">
        <f>IF(ROW()&lt;=(Results!$C$1/2)+1,IF(E482&lt;=0,"",LN(E482)),"")</f>
        <v/>
      </c>
    </row>
    <row r="483" spans="1:6" x14ac:dyDescent="0.25">
      <c r="A483" s="1" t="str">
        <f ca="1">IF(ROW()&lt;=(Results!$C$1/2)+1,INDEX(Data!$V:$V,CEILING((COUNTA(Data!$V:$V)-1)*RAND()+1,1)),"")</f>
        <v/>
      </c>
      <c r="B483" s="1" t="str">
        <f>IF(ROW()&lt;=(Results!$C$1/2)+1,VLOOKUP($A483,Data!$V$2:$W$117,2,TRUE),"")</f>
        <v/>
      </c>
      <c r="C483" s="14" t="str">
        <f>IF(ROW()&lt;=(Results!$C$1/2)+1,IF(B483&lt;=0,"",LN(B483)),"")</f>
        <v/>
      </c>
      <c r="D483" s="1" t="str">
        <f ca="1">IF(ROW()&lt;=(Results!$C$1/2)+1,INDEX(Data!$X:$X,CEILING((COUNTA(Data!$X:$X)-1)*RAND()+1,1)),"")</f>
        <v/>
      </c>
      <c r="E483" s="1" t="str">
        <f>IF(ROW()&lt;=(Results!$C$1/2)+1,VLOOKUP($D483,Data!$X$2:$Y$117,2,TRUE),"")</f>
        <v/>
      </c>
      <c r="F483" s="14" t="str">
        <f>IF(ROW()&lt;=(Results!$C$1/2)+1,IF(E483&lt;=0,"",LN(E483)),"")</f>
        <v/>
      </c>
    </row>
    <row r="484" spans="1:6" x14ac:dyDescent="0.25">
      <c r="A484" s="1" t="str">
        <f ca="1">IF(ROW()&lt;=(Results!$C$1/2)+1,INDEX(Data!$V:$V,CEILING((COUNTA(Data!$V:$V)-1)*RAND()+1,1)),"")</f>
        <v/>
      </c>
      <c r="B484" s="1" t="str">
        <f>IF(ROW()&lt;=(Results!$C$1/2)+1,VLOOKUP($A484,Data!$V$2:$W$117,2,TRUE),"")</f>
        <v/>
      </c>
      <c r="C484" s="14" t="str">
        <f>IF(ROW()&lt;=(Results!$C$1/2)+1,IF(B484&lt;=0,"",LN(B484)),"")</f>
        <v/>
      </c>
      <c r="D484" s="1" t="str">
        <f ca="1">IF(ROW()&lt;=(Results!$C$1/2)+1,INDEX(Data!$X:$X,CEILING((COUNTA(Data!$X:$X)-1)*RAND()+1,1)),"")</f>
        <v/>
      </c>
      <c r="E484" s="1" t="str">
        <f>IF(ROW()&lt;=(Results!$C$1/2)+1,VLOOKUP($D484,Data!$X$2:$Y$117,2,TRUE),"")</f>
        <v/>
      </c>
      <c r="F484" s="14" t="str">
        <f>IF(ROW()&lt;=(Results!$C$1/2)+1,IF(E484&lt;=0,"",LN(E484)),"")</f>
        <v/>
      </c>
    </row>
    <row r="485" spans="1:6" x14ac:dyDescent="0.25">
      <c r="A485" s="1" t="str">
        <f ca="1">IF(ROW()&lt;=(Results!$C$1/2)+1,INDEX(Data!$V:$V,CEILING((COUNTA(Data!$V:$V)-1)*RAND()+1,1)),"")</f>
        <v/>
      </c>
      <c r="B485" s="1" t="str">
        <f>IF(ROW()&lt;=(Results!$C$1/2)+1,VLOOKUP($A485,Data!$V$2:$W$117,2,TRUE),"")</f>
        <v/>
      </c>
      <c r="C485" s="14" t="str">
        <f>IF(ROW()&lt;=(Results!$C$1/2)+1,IF(B485&lt;=0,"",LN(B485)),"")</f>
        <v/>
      </c>
      <c r="D485" s="1" t="str">
        <f ca="1">IF(ROW()&lt;=(Results!$C$1/2)+1,INDEX(Data!$X:$X,CEILING((COUNTA(Data!$X:$X)-1)*RAND()+1,1)),"")</f>
        <v/>
      </c>
      <c r="E485" s="1" t="str">
        <f>IF(ROW()&lt;=(Results!$C$1/2)+1,VLOOKUP($D485,Data!$X$2:$Y$117,2,TRUE),"")</f>
        <v/>
      </c>
      <c r="F485" s="14" t="str">
        <f>IF(ROW()&lt;=(Results!$C$1/2)+1,IF(E485&lt;=0,"",LN(E485)),"")</f>
        <v/>
      </c>
    </row>
    <row r="486" spans="1:6" x14ac:dyDescent="0.25">
      <c r="A486" s="1" t="str">
        <f ca="1">IF(ROW()&lt;=(Results!$C$1/2)+1,INDEX(Data!$V:$V,CEILING((COUNTA(Data!$V:$V)-1)*RAND()+1,1)),"")</f>
        <v/>
      </c>
      <c r="B486" s="1" t="str">
        <f>IF(ROW()&lt;=(Results!$C$1/2)+1,VLOOKUP($A486,Data!$V$2:$W$117,2,TRUE),"")</f>
        <v/>
      </c>
      <c r="C486" s="14" t="str">
        <f>IF(ROW()&lt;=(Results!$C$1/2)+1,IF(B486&lt;=0,"",LN(B486)),"")</f>
        <v/>
      </c>
      <c r="D486" s="1" t="str">
        <f ca="1">IF(ROW()&lt;=(Results!$C$1/2)+1,INDEX(Data!$X:$X,CEILING((COUNTA(Data!$X:$X)-1)*RAND()+1,1)),"")</f>
        <v/>
      </c>
      <c r="E486" s="1" t="str">
        <f>IF(ROW()&lt;=(Results!$C$1/2)+1,VLOOKUP($D486,Data!$X$2:$Y$117,2,TRUE),"")</f>
        <v/>
      </c>
      <c r="F486" s="14" t="str">
        <f>IF(ROW()&lt;=(Results!$C$1/2)+1,IF(E486&lt;=0,"",LN(E486)),"")</f>
        <v/>
      </c>
    </row>
    <row r="487" spans="1:6" x14ac:dyDescent="0.25">
      <c r="A487" s="1" t="str">
        <f ca="1">IF(ROW()&lt;=(Results!$C$1/2)+1,INDEX(Data!$V:$V,CEILING((COUNTA(Data!$V:$V)-1)*RAND()+1,1)),"")</f>
        <v/>
      </c>
      <c r="B487" s="1" t="str">
        <f>IF(ROW()&lt;=(Results!$C$1/2)+1,VLOOKUP($A487,Data!$V$2:$W$117,2,TRUE),"")</f>
        <v/>
      </c>
      <c r="C487" s="14" t="str">
        <f>IF(ROW()&lt;=(Results!$C$1/2)+1,IF(B487&lt;=0,"",LN(B487)),"")</f>
        <v/>
      </c>
      <c r="D487" s="1" t="str">
        <f ca="1">IF(ROW()&lt;=(Results!$C$1/2)+1,INDEX(Data!$X:$X,CEILING((COUNTA(Data!$X:$X)-1)*RAND()+1,1)),"")</f>
        <v/>
      </c>
      <c r="E487" s="1" t="str">
        <f>IF(ROW()&lt;=(Results!$C$1/2)+1,VLOOKUP($D487,Data!$X$2:$Y$117,2,TRUE),"")</f>
        <v/>
      </c>
      <c r="F487" s="14" t="str">
        <f>IF(ROW()&lt;=(Results!$C$1/2)+1,IF(E487&lt;=0,"",LN(E487)),"")</f>
        <v/>
      </c>
    </row>
    <row r="488" spans="1:6" x14ac:dyDescent="0.25">
      <c r="A488" s="1" t="str">
        <f ca="1">IF(ROW()&lt;=(Results!$C$1/2)+1,INDEX(Data!$V:$V,CEILING((COUNTA(Data!$V:$V)-1)*RAND()+1,1)),"")</f>
        <v/>
      </c>
      <c r="B488" s="1" t="str">
        <f>IF(ROW()&lt;=(Results!$C$1/2)+1,VLOOKUP($A488,Data!$V$2:$W$117,2,TRUE),"")</f>
        <v/>
      </c>
      <c r="C488" s="14" t="str">
        <f>IF(ROW()&lt;=(Results!$C$1/2)+1,IF(B488&lt;=0,"",LN(B488)),"")</f>
        <v/>
      </c>
      <c r="D488" s="1" t="str">
        <f ca="1">IF(ROW()&lt;=(Results!$C$1/2)+1,INDEX(Data!$X:$X,CEILING((COUNTA(Data!$X:$X)-1)*RAND()+1,1)),"")</f>
        <v/>
      </c>
      <c r="E488" s="1" t="str">
        <f>IF(ROW()&lt;=(Results!$C$1/2)+1,VLOOKUP($D488,Data!$X$2:$Y$117,2,TRUE),"")</f>
        <v/>
      </c>
      <c r="F488" s="14" t="str">
        <f>IF(ROW()&lt;=(Results!$C$1/2)+1,IF(E488&lt;=0,"",LN(E488)),"")</f>
        <v/>
      </c>
    </row>
    <row r="489" spans="1:6" x14ac:dyDescent="0.25">
      <c r="A489" s="1" t="str">
        <f ca="1">IF(ROW()&lt;=(Results!$C$1/2)+1,INDEX(Data!$V:$V,CEILING((COUNTA(Data!$V:$V)-1)*RAND()+1,1)),"")</f>
        <v/>
      </c>
      <c r="B489" s="1" t="str">
        <f>IF(ROW()&lt;=(Results!$C$1/2)+1,VLOOKUP($A489,Data!$V$2:$W$117,2,TRUE),"")</f>
        <v/>
      </c>
      <c r="C489" s="14" t="str">
        <f>IF(ROW()&lt;=(Results!$C$1/2)+1,IF(B489&lt;=0,"",LN(B489)),"")</f>
        <v/>
      </c>
      <c r="D489" s="1" t="str">
        <f ca="1">IF(ROW()&lt;=(Results!$C$1/2)+1,INDEX(Data!$X:$X,CEILING((COUNTA(Data!$X:$X)-1)*RAND()+1,1)),"")</f>
        <v/>
      </c>
      <c r="E489" s="1" t="str">
        <f>IF(ROW()&lt;=(Results!$C$1/2)+1,VLOOKUP($D489,Data!$X$2:$Y$117,2,TRUE),"")</f>
        <v/>
      </c>
      <c r="F489" s="14" t="str">
        <f>IF(ROW()&lt;=(Results!$C$1/2)+1,IF(E489&lt;=0,"",LN(E489)),"")</f>
        <v/>
      </c>
    </row>
    <row r="490" spans="1:6" x14ac:dyDescent="0.25">
      <c r="A490" s="1" t="str">
        <f ca="1">IF(ROW()&lt;=(Results!$C$1/2)+1,INDEX(Data!$V:$V,CEILING((COUNTA(Data!$V:$V)-1)*RAND()+1,1)),"")</f>
        <v/>
      </c>
      <c r="B490" s="1" t="str">
        <f>IF(ROW()&lt;=(Results!$C$1/2)+1,VLOOKUP($A490,Data!$V$2:$W$117,2,TRUE),"")</f>
        <v/>
      </c>
      <c r="C490" s="14" t="str">
        <f>IF(ROW()&lt;=(Results!$C$1/2)+1,IF(B490&lt;=0,"",LN(B490)),"")</f>
        <v/>
      </c>
      <c r="D490" s="1" t="str">
        <f ca="1">IF(ROW()&lt;=(Results!$C$1/2)+1,INDEX(Data!$X:$X,CEILING((COUNTA(Data!$X:$X)-1)*RAND()+1,1)),"")</f>
        <v/>
      </c>
      <c r="E490" s="1" t="str">
        <f>IF(ROW()&lt;=(Results!$C$1/2)+1,VLOOKUP($D490,Data!$X$2:$Y$117,2,TRUE),"")</f>
        <v/>
      </c>
      <c r="F490" s="14" t="str">
        <f>IF(ROW()&lt;=(Results!$C$1/2)+1,IF(E490&lt;=0,"",LN(E490)),"")</f>
        <v/>
      </c>
    </row>
    <row r="491" spans="1:6" x14ac:dyDescent="0.25">
      <c r="A491" s="1" t="str">
        <f ca="1">IF(ROW()&lt;=(Results!$C$1/2)+1,INDEX(Data!$V:$V,CEILING((COUNTA(Data!$V:$V)-1)*RAND()+1,1)),"")</f>
        <v/>
      </c>
      <c r="B491" s="1" t="str">
        <f>IF(ROW()&lt;=(Results!$C$1/2)+1,VLOOKUP($A491,Data!$V$2:$W$117,2,TRUE),"")</f>
        <v/>
      </c>
      <c r="C491" s="14" t="str">
        <f>IF(ROW()&lt;=(Results!$C$1/2)+1,IF(B491&lt;=0,"",LN(B491)),"")</f>
        <v/>
      </c>
      <c r="D491" s="1" t="str">
        <f ca="1">IF(ROW()&lt;=(Results!$C$1/2)+1,INDEX(Data!$X:$X,CEILING((COUNTA(Data!$X:$X)-1)*RAND()+1,1)),"")</f>
        <v/>
      </c>
      <c r="E491" s="1" t="str">
        <f>IF(ROW()&lt;=(Results!$C$1/2)+1,VLOOKUP($D491,Data!$X$2:$Y$117,2,TRUE),"")</f>
        <v/>
      </c>
      <c r="F491" s="14" t="str">
        <f>IF(ROW()&lt;=(Results!$C$1/2)+1,IF(E491&lt;=0,"",LN(E491)),"")</f>
        <v/>
      </c>
    </row>
    <row r="492" spans="1:6" x14ac:dyDescent="0.25">
      <c r="A492" s="1" t="str">
        <f ca="1">IF(ROW()&lt;=(Results!$C$1/2)+1,INDEX(Data!$V:$V,CEILING((COUNTA(Data!$V:$V)-1)*RAND()+1,1)),"")</f>
        <v/>
      </c>
      <c r="B492" s="1" t="str">
        <f>IF(ROW()&lt;=(Results!$C$1/2)+1,VLOOKUP($A492,Data!$V$2:$W$117,2,TRUE),"")</f>
        <v/>
      </c>
      <c r="C492" s="14" t="str">
        <f>IF(ROW()&lt;=(Results!$C$1/2)+1,IF(B492&lt;=0,"",LN(B492)),"")</f>
        <v/>
      </c>
      <c r="D492" s="1" t="str">
        <f ca="1">IF(ROW()&lt;=(Results!$C$1/2)+1,INDEX(Data!$X:$X,CEILING((COUNTA(Data!$X:$X)-1)*RAND()+1,1)),"")</f>
        <v/>
      </c>
      <c r="E492" s="1" t="str">
        <f>IF(ROW()&lt;=(Results!$C$1/2)+1,VLOOKUP($D492,Data!$X$2:$Y$117,2,TRUE),"")</f>
        <v/>
      </c>
      <c r="F492" s="14" t="str">
        <f>IF(ROW()&lt;=(Results!$C$1/2)+1,IF(E492&lt;=0,"",LN(E492)),"")</f>
        <v/>
      </c>
    </row>
    <row r="493" spans="1:6" x14ac:dyDescent="0.25">
      <c r="A493" s="1" t="str">
        <f ca="1">IF(ROW()&lt;=(Results!$C$1/2)+1,INDEX(Data!$V:$V,CEILING((COUNTA(Data!$V:$V)-1)*RAND()+1,1)),"")</f>
        <v/>
      </c>
      <c r="B493" s="1" t="str">
        <f>IF(ROW()&lt;=(Results!$C$1/2)+1,VLOOKUP($A493,Data!$V$2:$W$117,2,TRUE),"")</f>
        <v/>
      </c>
      <c r="C493" s="14" t="str">
        <f>IF(ROW()&lt;=(Results!$C$1/2)+1,IF(B493&lt;=0,"",LN(B493)),"")</f>
        <v/>
      </c>
      <c r="D493" s="1" t="str">
        <f ca="1">IF(ROW()&lt;=(Results!$C$1/2)+1,INDEX(Data!$X:$X,CEILING((COUNTA(Data!$X:$X)-1)*RAND()+1,1)),"")</f>
        <v/>
      </c>
      <c r="E493" s="1" t="str">
        <f>IF(ROW()&lt;=(Results!$C$1/2)+1,VLOOKUP($D493,Data!$X$2:$Y$117,2,TRUE),"")</f>
        <v/>
      </c>
      <c r="F493" s="14" t="str">
        <f>IF(ROW()&lt;=(Results!$C$1/2)+1,IF(E493&lt;=0,"",LN(E493)),"")</f>
        <v/>
      </c>
    </row>
    <row r="494" spans="1:6" x14ac:dyDescent="0.25">
      <c r="A494" s="1" t="str">
        <f ca="1">IF(ROW()&lt;=(Results!$C$1/2)+1,INDEX(Data!$V:$V,CEILING((COUNTA(Data!$V:$V)-1)*RAND()+1,1)),"")</f>
        <v/>
      </c>
      <c r="B494" s="1" t="str">
        <f>IF(ROW()&lt;=(Results!$C$1/2)+1,VLOOKUP($A494,Data!$V$2:$W$117,2,TRUE),"")</f>
        <v/>
      </c>
      <c r="C494" s="14" t="str">
        <f>IF(ROW()&lt;=(Results!$C$1/2)+1,IF(B494&lt;=0,"",LN(B494)),"")</f>
        <v/>
      </c>
      <c r="D494" s="1" t="str">
        <f ca="1">IF(ROW()&lt;=(Results!$C$1/2)+1,INDEX(Data!$X:$X,CEILING((COUNTA(Data!$X:$X)-1)*RAND()+1,1)),"")</f>
        <v/>
      </c>
      <c r="E494" s="1" t="str">
        <f>IF(ROW()&lt;=(Results!$C$1/2)+1,VLOOKUP($D494,Data!$X$2:$Y$117,2,TRUE),"")</f>
        <v/>
      </c>
      <c r="F494" s="14" t="str">
        <f>IF(ROW()&lt;=(Results!$C$1/2)+1,IF(E494&lt;=0,"",LN(E494)),"")</f>
        <v/>
      </c>
    </row>
    <row r="495" spans="1:6" x14ac:dyDescent="0.25">
      <c r="A495" s="1" t="str">
        <f ca="1">IF(ROW()&lt;=(Results!$C$1/2)+1,INDEX(Data!$V:$V,CEILING((COUNTA(Data!$V:$V)-1)*RAND()+1,1)),"")</f>
        <v/>
      </c>
      <c r="B495" s="1" t="str">
        <f>IF(ROW()&lt;=(Results!$C$1/2)+1,VLOOKUP($A495,Data!$V$2:$W$117,2,TRUE),"")</f>
        <v/>
      </c>
      <c r="C495" s="14" t="str">
        <f>IF(ROW()&lt;=(Results!$C$1/2)+1,IF(B495&lt;=0,"",LN(B495)),"")</f>
        <v/>
      </c>
      <c r="D495" s="1" t="str">
        <f ca="1">IF(ROW()&lt;=(Results!$C$1/2)+1,INDEX(Data!$X:$X,CEILING((COUNTA(Data!$X:$X)-1)*RAND()+1,1)),"")</f>
        <v/>
      </c>
      <c r="E495" s="1" t="str">
        <f>IF(ROW()&lt;=(Results!$C$1/2)+1,VLOOKUP($D495,Data!$X$2:$Y$117,2,TRUE),"")</f>
        <v/>
      </c>
      <c r="F495" s="14" t="str">
        <f>IF(ROW()&lt;=(Results!$C$1/2)+1,IF(E495&lt;=0,"",LN(E495)),"")</f>
        <v/>
      </c>
    </row>
    <row r="496" spans="1:6" x14ac:dyDescent="0.25">
      <c r="A496" s="1" t="str">
        <f ca="1">IF(ROW()&lt;=(Results!$C$1/2)+1,INDEX(Data!$V:$V,CEILING((COUNTA(Data!$V:$V)-1)*RAND()+1,1)),"")</f>
        <v/>
      </c>
      <c r="B496" s="1" t="str">
        <f>IF(ROW()&lt;=(Results!$C$1/2)+1,VLOOKUP($A496,Data!$V$2:$W$117,2,TRUE),"")</f>
        <v/>
      </c>
      <c r="C496" s="14" t="str">
        <f>IF(ROW()&lt;=(Results!$C$1/2)+1,IF(B496&lt;=0,"",LN(B496)),"")</f>
        <v/>
      </c>
      <c r="D496" s="1" t="str">
        <f ca="1">IF(ROW()&lt;=(Results!$C$1/2)+1,INDEX(Data!$X:$X,CEILING((COUNTA(Data!$X:$X)-1)*RAND()+1,1)),"")</f>
        <v/>
      </c>
      <c r="E496" s="1" t="str">
        <f>IF(ROW()&lt;=(Results!$C$1/2)+1,VLOOKUP($D496,Data!$X$2:$Y$117,2,TRUE),"")</f>
        <v/>
      </c>
      <c r="F496" s="14" t="str">
        <f>IF(ROW()&lt;=(Results!$C$1/2)+1,IF(E496&lt;=0,"",LN(E496)),"")</f>
        <v/>
      </c>
    </row>
    <row r="497" spans="1:6" x14ac:dyDescent="0.25">
      <c r="A497" s="1" t="str">
        <f ca="1">IF(ROW()&lt;=(Results!$C$1/2)+1,INDEX(Data!$V:$V,CEILING((COUNTA(Data!$V:$V)-1)*RAND()+1,1)),"")</f>
        <v/>
      </c>
      <c r="B497" s="1" t="str">
        <f>IF(ROW()&lt;=(Results!$C$1/2)+1,VLOOKUP($A497,Data!$V$2:$W$117,2,TRUE),"")</f>
        <v/>
      </c>
      <c r="C497" s="14" t="str">
        <f>IF(ROW()&lt;=(Results!$C$1/2)+1,IF(B497&lt;=0,"",LN(B497)),"")</f>
        <v/>
      </c>
      <c r="D497" s="1" t="str">
        <f ca="1">IF(ROW()&lt;=(Results!$C$1/2)+1,INDEX(Data!$X:$X,CEILING((COUNTA(Data!$X:$X)-1)*RAND()+1,1)),"")</f>
        <v/>
      </c>
      <c r="E497" s="1" t="str">
        <f>IF(ROW()&lt;=(Results!$C$1/2)+1,VLOOKUP($D497,Data!$X$2:$Y$117,2,TRUE),"")</f>
        <v/>
      </c>
      <c r="F497" s="14" t="str">
        <f>IF(ROW()&lt;=(Results!$C$1/2)+1,IF(E497&lt;=0,"",LN(E497)),"")</f>
        <v/>
      </c>
    </row>
    <row r="498" spans="1:6" x14ac:dyDescent="0.25">
      <c r="A498" s="1" t="str">
        <f ca="1">IF(ROW()&lt;=(Results!$C$1/2)+1,INDEX(Data!$V:$V,CEILING((COUNTA(Data!$V:$V)-1)*RAND()+1,1)),"")</f>
        <v/>
      </c>
      <c r="B498" s="1" t="str">
        <f>IF(ROW()&lt;=(Results!$C$1/2)+1,VLOOKUP($A498,Data!$V$2:$W$117,2,TRUE),"")</f>
        <v/>
      </c>
      <c r="C498" s="14" t="str">
        <f>IF(ROW()&lt;=(Results!$C$1/2)+1,IF(B498&lt;=0,"",LN(B498)),"")</f>
        <v/>
      </c>
      <c r="D498" s="1" t="str">
        <f ca="1">IF(ROW()&lt;=(Results!$C$1/2)+1,INDEX(Data!$X:$X,CEILING((COUNTA(Data!$X:$X)-1)*RAND()+1,1)),"")</f>
        <v/>
      </c>
      <c r="E498" s="1" t="str">
        <f>IF(ROW()&lt;=(Results!$C$1/2)+1,VLOOKUP($D498,Data!$X$2:$Y$117,2,TRUE),"")</f>
        <v/>
      </c>
      <c r="F498" s="14" t="str">
        <f>IF(ROW()&lt;=(Results!$C$1/2)+1,IF(E498&lt;=0,"",LN(E498)),"")</f>
        <v/>
      </c>
    </row>
    <row r="499" spans="1:6" x14ac:dyDescent="0.25">
      <c r="A499" s="1" t="str">
        <f ca="1">IF(ROW()&lt;=(Results!$C$1/2)+1,INDEX(Data!$V:$V,CEILING((COUNTA(Data!$V:$V)-1)*RAND()+1,1)),"")</f>
        <v/>
      </c>
      <c r="B499" s="1" t="str">
        <f>IF(ROW()&lt;=(Results!$C$1/2)+1,VLOOKUP($A499,Data!$V$2:$W$117,2,TRUE),"")</f>
        <v/>
      </c>
      <c r="C499" s="14" t="str">
        <f>IF(ROW()&lt;=(Results!$C$1/2)+1,IF(B499&lt;=0,"",LN(B499)),"")</f>
        <v/>
      </c>
      <c r="D499" s="1" t="str">
        <f ca="1">IF(ROW()&lt;=(Results!$C$1/2)+1,INDEX(Data!$X:$X,CEILING((COUNTA(Data!$X:$X)-1)*RAND()+1,1)),"")</f>
        <v/>
      </c>
      <c r="E499" s="1" t="str">
        <f>IF(ROW()&lt;=(Results!$C$1/2)+1,VLOOKUP($D499,Data!$X$2:$Y$117,2,TRUE),"")</f>
        <v/>
      </c>
      <c r="F499" s="14" t="str">
        <f>IF(ROW()&lt;=(Results!$C$1/2)+1,IF(E499&lt;=0,"",LN(E499)),"")</f>
        <v/>
      </c>
    </row>
    <row r="500" spans="1:6" x14ac:dyDescent="0.25">
      <c r="A500" s="1" t="str">
        <f ca="1">IF(ROW()&lt;=(Results!$C$1/2)+1,INDEX(Data!$V:$V,CEILING((COUNTA(Data!$V:$V)-1)*RAND()+1,1)),"")</f>
        <v/>
      </c>
      <c r="B500" s="1" t="str">
        <f>IF(ROW()&lt;=(Results!$C$1/2)+1,VLOOKUP($A500,Data!$V$2:$W$117,2,TRUE),"")</f>
        <v/>
      </c>
      <c r="C500" s="14" t="str">
        <f>IF(ROW()&lt;=(Results!$C$1/2)+1,IF(B500&lt;=0,"",LN(B500)),"")</f>
        <v/>
      </c>
      <c r="D500" s="1" t="str">
        <f ca="1">IF(ROW()&lt;=(Results!$C$1/2)+1,INDEX(Data!$X:$X,CEILING((COUNTA(Data!$X:$X)-1)*RAND()+1,1)),"")</f>
        <v/>
      </c>
      <c r="E500" s="1" t="str">
        <f>IF(ROW()&lt;=(Results!$C$1/2)+1,VLOOKUP($D500,Data!$X$2:$Y$117,2,TRUE),"")</f>
        <v/>
      </c>
      <c r="F500" s="14" t="str">
        <f>IF(ROW()&lt;=(Results!$C$1/2)+1,IF(E500&lt;=0,"",LN(E500)),"")</f>
        <v/>
      </c>
    </row>
    <row r="501" spans="1:6" x14ac:dyDescent="0.25">
      <c r="A501" s="1" t="str">
        <f ca="1">IF(ROW()&lt;=(Results!$C$1/2)+1,INDEX(Data!$V:$V,CEILING((COUNTA(Data!$V:$V)-1)*RAND()+1,1)),"")</f>
        <v/>
      </c>
      <c r="B501" s="1" t="str">
        <f>IF(ROW()&lt;=(Results!$C$1/2)+1,VLOOKUP($A501,Data!$V$2:$W$117,2,TRUE),"")</f>
        <v/>
      </c>
      <c r="C501" s="14" t="str">
        <f>IF(ROW()&lt;=(Results!$C$1/2)+1,IF(B501&lt;=0,"",LN(B501)),"")</f>
        <v/>
      </c>
      <c r="D501" s="1" t="str">
        <f ca="1">IF(ROW()&lt;=(Results!$C$1/2)+1,INDEX(Data!$X:$X,CEILING((COUNTA(Data!$X:$X)-1)*RAND()+1,1)),"")</f>
        <v/>
      </c>
      <c r="E501" s="1" t="str">
        <f>IF(ROW()&lt;=(Results!$C$1/2)+1,VLOOKUP($D501,Data!$X$2:$Y$117,2,TRUE),"")</f>
        <v/>
      </c>
      <c r="F501" s="14" t="str">
        <f>IF(ROW()&lt;=(Results!$C$1/2)+1,IF(E501&lt;=0,"",LN(E501)),"")</f>
        <v/>
      </c>
    </row>
    <row r="502" spans="1:6" x14ac:dyDescent="0.25">
      <c r="A502" s="1" t="str">
        <f ca="1">IF(ROW()&lt;=(Results!$C$1/2)+1,INDEX(Data!$V:$V,CEILING((COUNTA(Data!$V:$V)-1)*RAND()+1,1)),"")</f>
        <v/>
      </c>
      <c r="B502" s="1" t="str">
        <f>IF(ROW()&lt;=(Results!$C$1/2)+1,VLOOKUP($A502,Data!$V$2:$W$117,2,TRUE),"")</f>
        <v/>
      </c>
      <c r="C502" s="14" t="str">
        <f>IF(ROW()&lt;=(Results!$C$1/2)+1,IF(B502&lt;=0,"",LN(B502)),"")</f>
        <v/>
      </c>
      <c r="D502" s="1" t="str">
        <f ca="1">IF(ROW()&lt;=(Results!$C$1/2)+1,INDEX(Data!$X:$X,CEILING((COUNTA(Data!$X:$X)-1)*RAND()+1,1)),"")</f>
        <v/>
      </c>
      <c r="E502" s="1" t="str">
        <f>IF(ROW()&lt;=(Results!$C$1/2)+1,VLOOKUP($D502,Data!$X$2:$Y$117,2,TRUE),"")</f>
        <v/>
      </c>
      <c r="F502" s="14" t="str">
        <f>IF(ROW()&lt;=(Results!$C$1/2)+1,IF(E502&lt;=0,"",LN(E502)),"")</f>
        <v/>
      </c>
    </row>
    <row r="503" spans="1:6" x14ac:dyDescent="0.25">
      <c r="A503" s="1" t="str">
        <f ca="1">IF(ROW()&lt;=(Results!$C$1/2)+1,INDEX(Data!$V:$V,CEILING((COUNTA(Data!$V:$V)-1)*RAND()+1,1)),"")</f>
        <v/>
      </c>
      <c r="B503" s="1" t="str">
        <f>IF(ROW()&lt;=(Results!$C$1/2)+1,VLOOKUP($A503,Data!$V$2:$W$117,2,TRUE),"")</f>
        <v/>
      </c>
      <c r="C503" s="14" t="str">
        <f>IF(ROW()&lt;=(Results!$C$1/2)+1,IF(B503&lt;=0,"",LN(B503)),"")</f>
        <v/>
      </c>
      <c r="D503" s="1" t="str">
        <f ca="1">IF(ROW()&lt;=(Results!$C$1/2)+1,INDEX(Data!$X:$X,CEILING((COUNTA(Data!$X:$X)-1)*RAND()+1,1)),"")</f>
        <v/>
      </c>
      <c r="E503" s="1" t="str">
        <f>IF(ROW()&lt;=(Results!$C$1/2)+1,VLOOKUP($D503,Data!$X$2:$Y$117,2,TRUE),"")</f>
        <v/>
      </c>
      <c r="F503" s="14" t="str">
        <f>IF(ROW()&lt;=(Results!$C$1/2)+1,IF(E503&lt;=0,"",LN(E503)),"")</f>
        <v/>
      </c>
    </row>
    <row r="504" spans="1:6" x14ac:dyDescent="0.25">
      <c r="A504" s="1" t="str">
        <f ca="1">IF(ROW()&lt;=(Results!$C$1/2)+1,INDEX(Data!$V:$V,CEILING((COUNTA(Data!$V:$V)-1)*RAND()+1,1)),"")</f>
        <v/>
      </c>
      <c r="B504" s="1" t="str">
        <f>IF(ROW()&lt;=(Results!$C$1/2)+1,VLOOKUP($A504,Data!$V$2:$W$117,2,TRUE),"")</f>
        <v/>
      </c>
      <c r="C504" s="14" t="str">
        <f>IF(ROW()&lt;=(Results!$C$1/2)+1,IF(B504&lt;=0,"",LN(B504)),"")</f>
        <v/>
      </c>
      <c r="D504" s="1" t="str">
        <f ca="1">IF(ROW()&lt;=(Results!$C$1/2)+1,INDEX(Data!$X:$X,CEILING((COUNTA(Data!$X:$X)-1)*RAND()+1,1)),"")</f>
        <v/>
      </c>
      <c r="E504" s="1" t="str">
        <f>IF(ROW()&lt;=(Results!$C$1/2)+1,VLOOKUP($D504,Data!$X$2:$Y$117,2,TRUE),"")</f>
        <v/>
      </c>
      <c r="F504" s="14" t="str">
        <f>IF(ROW()&lt;=(Results!$C$1/2)+1,IF(E504&lt;=0,"",LN(E504)),"")</f>
        <v/>
      </c>
    </row>
    <row r="505" spans="1:6" x14ac:dyDescent="0.25">
      <c r="A505" s="1" t="str">
        <f ca="1">IF(ROW()&lt;=(Results!$C$1/2)+1,INDEX(Data!$V:$V,CEILING((COUNTA(Data!$V:$V)-1)*RAND()+1,1)),"")</f>
        <v/>
      </c>
      <c r="B505" s="1" t="str">
        <f>IF(ROW()&lt;=(Results!$C$1/2)+1,VLOOKUP($A505,Data!$V$2:$W$117,2,TRUE),"")</f>
        <v/>
      </c>
      <c r="C505" s="14" t="str">
        <f>IF(ROW()&lt;=(Results!$C$1/2)+1,IF(B505&lt;=0,"",LN(B505)),"")</f>
        <v/>
      </c>
      <c r="D505" s="1" t="str">
        <f ca="1">IF(ROW()&lt;=(Results!$C$1/2)+1,INDEX(Data!$X:$X,CEILING((COUNTA(Data!$X:$X)-1)*RAND()+1,1)),"")</f>
        <v/>
      </c>
      <c r="E505" s="1" t="str">
        <f>IF(ROW()&lt;=(Results!$C$1/2)+1,VLOOKUP($D505,Data!$X$2:$Y$117,2,TRUE),"")</f>
        <v/>
      </c>
      <c r="F505" s="14" t="str">
        <f>IF(ROW()&lt;=(Results!$C$1/2)+1,IF(E505&lt;=0,"",LN(E505)),"")</f>
        <v/>
      </c>
    </row>
    <row r="506" spans="1:6" x14ac:dyDescent="0.25">
      <c r="A506" s="1" t="str">
        <f ca="1">IF(ROW()&lt;=(Results!$C$1/2)+1,INDEX(Data!$V:$V,CEILING((COUNTA(Data!$V:$V)-1)*RAND()+1,1)),"")</f>
        <v/>
      </c>
      <c r="B506" s="1" t="str">
        <f>IF(ROW()&lt;=(Results!$C$1/2)+1,VLOOKUP($A506,Data!$V$2:$W$117,2,TRUE),"")</f>
        <v/>
      </c>
      <c r="C506" s="14" t="str">
        <f>IF(ROW()&lt;=(Results!$C$1/2)+1,IF(B506&lt;=0,"",LN(B506)),"")</f>
        <v/>
      </c>
      <c r="D506" s="1" t="str">
        <f ca="1">IF(ROW()&lt;=(Results!$C$1/2)+1,INDEX(Data!$X:$X,CEILING((COUNTA(Data!$X:$X)-1)*RAND()+1,1)),"")</f>
        <v/>
      </c>
      <c r="E506" s="1" t="str">
        <f>IF(ROW()&lt;=(Results!$C$1/2)+1,VLOOKUP($D506,Data!$X$2:$Y$117,2,TRUE),"")</f>
        <v/>
      </c>
      <c r="F506" s="14" t="str">
        <f>IF(ROW()&lt;=(Results!$C$1/2)+1,IF(E506&lt;=0,"",LN(E506)),"")</f>
        <v/>
      </c>
    </row>
    <row r="507" spans="1:6" x14ac:dyDescent="0.25">
      <c r="A507" s="1" t="str">
        <f ca="1">IF(ROW()&lt;=(Results!$C$1/2)+1,INDEX(Data!$V:$V,CEILING((COUNTA(Data!$V:$V)-1)*RAND()+1,1)),"")</f>
        <v/>
      </c>
      <c r="B507" s="1" t="str">
        <f>IF(ROW()&lt;=(Results!$C$1/2)+1,VLOOKUP($A507,Data!$V$2:$W$117,2,TRUE),"")</f>
        <v/>
      </c>
      <c r="C507" s="14" t="str">
        <f>IF(ROW()&lt;=(Results!$C$1/2)+1,IF(B507&lt;=0,"",LN(B507)),"")</f>
        <v/>
      </c>
      <c r="D507" s="1" t="str">
        <f ca="1">IF(ROW()&lt;=(Results!$C$1/2)+1,INDEX(Data!$X:$X,CEILING((COUNTA(Data!$X:$X)-1)*RAND()+1,1)),"")</f>
        <v/>
      </c>
      <c r="E507" s="1" t="str">
        <f>IF(ROW()&lt;=(Results!$C$1/2)+1,VLOOKUP($D507,Data!$X$2:$Y$117,2,TRUE),"")</f>
        <v/>
      </c>
      <c r="F507" s="14" t="str">
        <f>IF(ROW()&lt;=(Results!$C$1/2)+1,IF(E507&lt;=0,"",LN(E507)),"")</f>
        <v/>
      </c>
    </row>
    <row r="508" spans="1:6" x14ac:dyDescent="0.25">
      <c r="A508" s="1" t="str">
        <f ca="1">IF(ROW()&lt;=(Results!$C$1/2)+1,INDEX(Data!$V:$V,CEILING((COUNTA(Data!$V:$V)-1)*RAND()+1,1)),"")</f>
        <v/>
      </c>
      <c r="B508" s="1" t="str">
        <f>IF(ROW()&lt;=(Results!$C$1/2)+1,VLOOKUP($A508,Data!$V$2:$W$117,2,TRUE),"")</f>
        <v/>
      </c>
      <c r="C508" s="14" t="str">
        <f>IF(ROW()&lt;=(Results!$C$1/2)+1,IF(B508&lt;=0,"",LN(B508)),"")</f>
        <v/>
      </c>
      <c r="D508" s="1" t="str">
        <f ca="1">IF(ROW()&lt;=(Results!$C$1/2)+1,INDEX(Data!$X:$X,CEILING((COUNTA(Data!$X:$X)-1)*RAND()+1,1)),"")</f>
        <v/>
      </c>
      <c r="E508" s="1" t="str">
        <f>IF(ROW()&lt;=(Results!$C$1/2)+1,VLOOKUP($D508,Data!$X$2:$Y$117,2,TRUE),"")</f>
        <v/>
      </c>
      <c r="F508" s="14" t="str">
        <f>IF(ROW()&lt;=(Results!$C$1/2)+1,IF(E508&lt;=0,"",LN(E508)),"")</f>
        <v/>
      </c>
    </row>
    <row r="509" spans="1:6" x14ac:dyDescent="0.25">
      <c r="A509" s="1" t="str">
        <f ca="1">IF(ROW()&lt;=(Results!$C$1/2)+1,INDEX(Data!$V:$V,CEILING((COUNTA(Data!$V:$V)-1)*RAND()+1,1)),"")</f>
        <v/>
      </c>
      <c r="B509" s="1" t="str">
        <f>IF(ROW()&lt;=(Results!$C$1/2)+1,VLOOKUP($A509,Data!$V$2:$W$117,2,TRUE),"")</f>
        <v/>
      </c>
      <c r="C509" s="14" t="str">
        <f>IF(ROW()&lt;=(Results!$C$1/2)+1,IF(B509&lt;=0,"",LN(B509)),"")</f>
        <v/>
      </c>
      <c r="D509" s="1" t="str">
        <f ca="1">IF(ROW()&lt;=(Results!$C$1/2)+1,INDEX(Data!$X:$X,CEILING((COUNTA(Data!$X:$X)-1)*RAND()+1,1)),"")</f>
        <v/>
      </c>
      <c r="E509" s="1" t="str">
        <f>IF(ROW()&lt;=(Results!$C$1/2)+1,VLOOKUP($D509,Data!$X$2:$Y$117,2,TRUE),"")</f>
        <v/>
      </c>
      <c r="F509" s="14" t="str">
        <f>IF(ROW()&lt;=(Results!$C$1/2)+1,IF(E509&lt;=0,"",LN(E509)),"")</f>
        <v/>
      </c>
    </row>
    <row r="510" spans="1:6" x14ac:dyDescent="0.25">
      <c r="A510" s="1" t="str">
        <f ca="1">IF(ROW()&lt;=(Results!$C$1/2)+1,INDEX(Data!$V:$V,CEILING((COUNTA(Data!$V:$V)-1)*RAND()+1,1)),"")</f>
        <v/>
      </c>
      <c r="B510" s="1" t="str">
        <f>IF(ROW()&lt;=(Results!$C$1/2)+1,VLOOKUP($A510,Data!$V$2:$W$117,2,TRUE),"")</f>
        <v/>
      </c>
      <c r="C510" s="14" t="str">
        <f>IF(ROW()&lt;=(Results!$C$1/2)+1,IF(B510&lt;=0,"",LN(B510)),"")</f>
        <v/>
      </c>
      <c r="D510" s="1" t="str">
        <f ca="1">IF(ROW()&lt;=(Results!$C$1/2)+1,INDEX(Data!$X:$X,CEILING((COUNTA(Data!$X:$X)-1)*RAND()+1,1)),"")</f>
        <v/>
      </c>
      <c r="E510" s="1" t="str">
        <f>IF(ROW()&lt;=(Results!$C$1/2)+1,VLOOKUP($D510,Data!$X$2:$Y$117,2,TRUE),"")</f>
        <v/>
      </c>
      <c r="F510" s="14" t="str">
        <f>IF(ROW()&lt;=(Results!$C$1/2)+1,IF(E510&lt;=0,"",LN(E510)),"")</f>
        <v/>
      </c>
    </row>
    <row r="511" spans="1:6" x14ac:dyDescent="0.25">
      <c r="A511" s="1" t="str">
        <f ca="1">IF(ROW()&lt;=(Results!$C$1/2)+1,INDEX(Data!$V:$V,CEILING((COUNTA(Data!$V:$V)-1)*RAND()+1,1)),"")</f>
        <v/>
      </c>
      <c r="B511" s="1" t="str">
        <f>IF(ROW()&lt;=(Results!$C$1/2)+1,VLOOKUP($A511,Data!$V$2:$W$117,2,TRUE),"")</f>
        <v/>
      </c>
      <c r="C511" s="14" t="str">
        <f>IF(ROW()&lt;=(Results!$C$1/2)+1,IF(B511&lt;=0,"",LN(B511)),"")</f>
        <v/>
      </c>
      <c r="D511" s="1" t="str">
        <f ca="1">IF(ROW()&lt;=(Results!$C$1/2)+1,INDEX(Data!$X:$X,CEILING((COUNTA(Data!$X:$X)-1)*RAND()+1,1)),"")</f>
        <v/>
      </c>
      <c r="E511" s="1" t="str">
        <f>IF(ROW()&lt;=(Results!$C$1/2)+1,VLOOKUP($D511,Data!$X$2:$Y$117,2,TRUE),"")</f>
        <v/>
      </c>
      <c r="F511" s="14" t="str">
        <f>IF(ROW()&lt;=(Results!$C$1/2)+1,IF(E511&lt;=0,"",LN(E511)),"")</f>
        <v/>
      </c>
    </row>
    <row r="512" spans="1:6" x14ac:dyDescent="0.25">
      <c r="A512" s="1" t="str">
        <f ca="1">IF(ROW()&lt;=(Results!$C$1/2)+1,INDEX(Data!$V:$V,CEILING((COUNTA(Data!$V:$V)-1)*RAND()+1,1)),"")</f>
        <v/>
      </c>
      <c r="B512" s="1" t="str">
        <f>IF(ROW()&lt;=(Results!$C$1/2)+1,VLOOKUP($A512,Data!$V$2:$W$117,2,TRUE),"")</f>
        <v/>
      </c>
      <c r="C512" s="14" t="str">
        <f>IF(ROW()&lt;=(Results!$C$1/2)+1,IF(B512&lt;=0,"",LN(B512)),"")</f>
        <v/>
      </c>
      <c r="D512" s="1" t="str">
        <f ca="1">IF(ROW()&lt;=(Results!$C$1/2)+1,INDEX(Data!$X:$X,CEILING((COUNTA(Data!$X:$X)-1)*RAND()+1,1)),"")</f>
        <v/>
      </c>
      <c r="E512" s="1" t="str">
        <f>IF(ROW()&lt;=(Results!$C$1/2)+1,VLOOKUP($D512,Data!$X$2:$Y$117,2,TRUE),"")</f>
        <v/>
      </c>
      <c r="F512" s="14" t="str">
        <f>IF(ROW()&lt;=(Results!$C$1/2)+1,IF(E512&lt;=0,"",LN(E512)),"")</f>
        <v/>
      </c>
    </row>
    <row r="513" spans="1:6" x14ac:dyDescent="0.25">
      <c r="A513" s="1" t="str">
        <f ca="1">IF(ROW()&lt;=(Results!$C$1/2)+1,INDEX(Data!$V:$V,CEILING((COUNTA(Data!$V:$V)-1)*RAND()+1,1)),"")</f>
        <v/>
      </c>
      <c r="B513" s="1" t="str">
        <f>IF(ROW()&lt;=(Results!$C$1/2)+1,VLOOKUP($A513,Data!$V$2:$W$117,2,TRUE),"")</f>
        <v/>
      </c>
      <c r="C513" s="14" t="str">
        <f>IF(ROW()&lt;=(Results!$C$1/2)+1,IF(B513&lt;=0,"",LN(B513)),"")</f>
        <v/>
      </c>
      <c r="D513" s="1" t="str">
        <f ca="1">IF(ROW()&lt;=(Results!$C$1/2)+1,INDEX(Data!$X:$X,CEILING((COUNTA(Data!$X:$X)-1)*RAND()+1,1)),"")</f>
        <v/>
      </c>
      <c r="E513" s="1" t="str">
        <f>IF(ROW()&lt;=(Results!$C$1/2)+1,VLOOKUP($D513,Data!$X$2:$Y$117,2,TRUE),"")</f>
        <v/>
      </c>
      <c r="F513" s="14" t="str">
        <f>IF(ROW()&lt;=(Results!$C$1/2)+1,IF(E513&lt;=0,"",LN(E513)),"")</f>
        <v/>
      </c>
    </row>
    <row r="514" spans="1:6" x14ac:dyDescent="0.25">
      <c r="A514" s="1" t="str">
        <f ca="1">IF(ROW()&lt;=(Results!$C$1/2)+1,INDEX(Data!$V:$V,CEILING((COUNTA(Data!$V:$V)-1)*RAND()+1,1)),"")</f>
        <v/>
      </c>
      <c r="B514" s="1" t="str">
        <f>IF(ROW()&lt;=(Results!$C$1/2)+1,VLOOKUP($A514,Data!$V$2:$W$117,2,TRUE),"")</f>
        <v/>
      </c>
      <c r="C514" s="14" t="str">
        <f>IF(ROW()&lt;=(Results!$C$1/2)+1,IF(B514&lt;=0,"",LN(B514)),"")</f>
        <v/>
      </c>
      <c r="D514" s="1" t="str">
        <f ca="1">IF(ROW()&lt;=(Results!$C$1/2)+1,INDEX(Data!$X:$X,CEILING((COUNTA(Data!$X:$X)-1)*RAND()+1,1)),"")</f>
        <v/>
      </c>
      <c r="E514" s="1" t="str">
        <f>IF(ROW()&lt;=(Results!$C$1/2)+1,VLOOKUP($D514,Data!$X$2:$Y$117,2,TRUE),"")</f>
        <v/>
      </c>
      <c r="F514" s="14" t="str">
        <f>IF(ROW()&lt;=(Results!$C$1/2)+1,IF(E514&lt;=0,"",LN(E514)),"")</f>
        <v/>
      </c>
    </row>
    <row r="515" spans="1:6" x14ac:dyDescent="0.25">
      <c r="A515" s="1" t="str">
        <f ca="1">IF(ROW()&lt;=(Results!$C$1/2)+1,INDEX(Data!$V:$V,CEILING((COUNTA(Data!$V:$V)-1)*RAND()+1,1)),"")</f>
        <v/>
      </c>
      <c r="B515" s="1" t="str">
        <f>IF(ROW()&lt;=(Results!$C$1/2)+1,VLOOKUP($A515,Data!$V$2:$W$117,2,TRUE),"")</f>
        <v/>
      </c>
      <c r="C515" s="14" t="str">
        <f>IF(ROW()&lt;=(Results!$C$1/2)+1,IF(B515&lt;=0,"",LN(B515)),"")</f>
        <v/>
      </c>
      <c r="D515" s="1" t="str">
        <f ca="1">IF(ROW()&lt;=(Results!$C$1/2)+1,INDEX(Data!$X:$X,CEILING((COUNTA(Data!$X:$X)-1)*RAND()+1,1)),"")</f>
        <v/>
      </c>
      <c r="E515" s="1" t="str">
        <f>IF(ROW()&lt;=(Results!$C$1/2)+1,VLOOKUP($D515,Data!$X$2:$Y$117,2,TRUE),"")</f>
        <v/>
      </c>
      <c r="F515" s="14" t="str">
        <f>IF(ROW()&lt;=(Results!$C$1/2)+1,IF(E515&lt;=0,"",LN(E515)),"")</f>
        <v/>
      </c>
    </row>
    <row r="516" spans="1:6" x14ac:dyDescent="0.25">
      <c r="A516" s="1" t="str">
        <f ca="1">IF(ROW()&lt;=(Results!$C$1/2)+1,INDEX(Data!$V:$V,CEILING((COUNTA(Data!$V:$V)-1)*RAND()+1,1)),"")</f>
        <v/>
      </c>
      <c r="B516" s="1" t="str">
        <f>IF(ROW()&lt;=(Results!$C$1/2)+1,VLOOKUP($A516,Data!$V$2:$W$117,2,TRUE),"")</f>
        <v/>
      </c>
      <c r="C516" s="14" t="str">
        <f>IF(ROW()&lt;=(Results!$C$1/2)+1,IF(B516&lt;=0,"",LN(B516)),"")</f>
        <v/>
      </c>
      <c r="D516" s="1" t="str">
        <f ca="1">IF(ROW()&lt;=(Results!$C$1/2)+1,INDEX(Data!$X:$X,CEILING((COUNTA(Data!$X:$X)-1)*RAND()+1,1)),"")</f>
        <v/>
      </c>
      <c r="E516" s="1" t="str">
        <f>IF(ROW()&lt;=(Results!$C$1/2)+1,VLOOKUP($D516,Data!$X$2:$Y$117,2,TRUE),"")</f>
        <v/>
      </c>
      <c r="F516" s="14" t="str">
        <f>IF(ROW()&lt;=(Results!$C$1/2)+1,IF(E516&lt;=0,"",LN(E516)),"")</f>
        <v/>
      </c>
    </row>
    <row r="517" spans="1:6" x14ac:dyDescent="0.25">
      <c r="A517" s="1" t="str">
        <f ca="1">IF(ROW()&lt;=(Results!$C$1/2)+1,INDEX(Data!$V:$V,CEILING((COUNTA(Data!$V:$V)-1)*RAND()+1,1)),"")</f>
        <v/>
      </c>
      <c r="B517" s="1" t="str">
        <f>IF(ROW()&lt;=(Results!$C$1/2)+1,VLOOKUP($A517,Data!$V$2:$W$117,2,TRUE),"")</f>
        <v/>
      </c>
      <c r="C517" s="14" t="str">
        <f>IF(ROW()&lt;=(Results!$C$1/2)+1,IF(B517&lt;=0,"",LN(B517)),"")</f>
        <v/>
      </c>
      <c r="D517" s="1" t="str">
        <f ca="1">IF(ROW()&lt;=(Results!$C$1/2)+1,INDEX(Data!$X:$X,CEILING((COUNTA(Data!$X:$X)-1)*RAND()+1,1)),"")</f>
        <v/>
      </c>
      <c r="E517" s="1" t="str">
        <f>IF(ROW()&lt;=(Results!$C$1/2)+1,VLOOKUP($D517,Data!$X$2:$Y$117,2,TRUE),"")</f>
        <v/>
      </c>
      <c r="F517" s="14" t="str">
        <f>IF(ROW()&lt;=(Results!$C$1/2)+1,IF(E517&lt;=0,"",LN(E517)),"")</f>
        <v/>
      </c>
    </row>
    <row r="518" spans="1:6" x14ac:dyDescent="0.25">
      <c r="A518" s="1" t="str">
        <f ca="1">IF(ROW()&lt;=(Results!$C$1/2)+1,INDEX(Data!$V:$V,CEILING((COUNTA(Data!$V:$V)-1)*RAND()+1,1)),"")</f>
        <v/>
      </c>
      <c r="B518" s="1" t="str">
        <f>IF(ROW()&lt;=(Results!$C$1/2)+1,VLOOKUP($A518,Data!$V$2:$W$117,2,TRUE),"")</f>
        <v/>
      </c>
      <c r="C518" s="14" t="str">
        <f>IF(ROW()&lt;=(Results!$C$1/2)+1,IF(B518&lt;=0,"",LN(B518)),"")</f>
        <v/>
      </c>
      <c r="D518" s="1" t="str">
        <f ca="1">IF(ROW()&lt;=(Results!$C$1/2)+1,INDEX(Data!$X:$X,CEILING((COUNTA(Data!$X:$X)-1)*RAND()+1,1)),"")</f>
        <v/>
      </c>
      <c r="E518" s="1" t="str">
        <f>IF(ROW()&lt;=(Results!$C$1/2)+1,VLOOKUP($D518,Data!$X$2:$Y$117,2,TRUE),"")</f>
        <v/>
      </c>
      <c r="F518" s="14" t="str">
        <f>IF(ROW()&lt;=(Results!$C$1/2)+1,IF(E518&lt;=0,"",LN(E518)),"")</f>
        <v/>
      </c>
    </row>
    <row r="519" spans="1:6" x14ac:dyDescent="0.25">
      <c r="A519" s="1" t="str">
        <f ca="1">IF(ROW()&lt;=(Results!$C$1/2)+1,INDEX(Data!$V:$V,CEILING((COUNTA(Data!$V:$V)-1)*RAND()+1,1)),"")</f>
        <v/>
      </c>
      <c r="B519" s="1" t="str">
        <f>IF(ROW()&lt;=(Results!$C$1/2)+1,VLOOKUP($A519,Data!$V$2:$W$117,2,TRUE),"")</f>
        <v/>
      </c>
      <c r="C519" s="14" t="str">
        <f>IF(ROW()&lt;=(Results!$C$1/2)+1,IF(B519&lt;=0,"",LN(B519)),"")</f>
        <v/>
      </c>
      <c r="D519" s="1" t="str">
        <f ca="1">IF(ROW()&lt;=(Results!$C$1/2)+1,INDEX(Data!$X:$X,CEILING((COUNTA(Data!$X:$X)-1)*RAND()+1,1)),"")</f>
        <v/>
      </c>
      <c r="E519" s="1" t="str">
        <f>IF(ROW()&lt;=(Results!$C$1/2)+1,VLOOKUP($D519,Data!$X$2:$Y$117,2,TRUE),"")</f>
        <v/>
      </c>
      <c r="F519" s="14" t="str">
        <f>IF(ROW()&lt;=(Results!$C$1/2)+1,IF(E519&lt;=0,"",LN(E519)),"")</f>
        <v/>
      </c>
    </row>
    <row r="520" spans="1:6" x14ac:dyDescent="0.25">
      <c r="A520" s="1" t="str">
        <f ca="1">IF(ROW()&lt;=(Results!$C$1/2)+1,INDEX(Data!$V:$V,CEILING((COUNTA(Data!$V:$V)-1)*RAND()+1,1)),"")</f>
        <v/>
      </c>
      <c r="B520" s="1" t="str">
        <f>IF(ROW()&lt;=(Results!$C$1/2)+1,VLOOKUP($A520,Data!$V$2:$W$117,2,TRUE),"")</f>
        <v/>
      </c>
      <c r="C520" s="14" t="str">
        <f>IF(ROW()&lt;=(Results!$C$1/2)+1,IF(B520&lt;=0,"",LN(B520)),"")</f>
        <v/>
      </c>
      <c r="D520" s="1" t="str">
        <f ca="1">IF(ROW()&lt;=(Results!$C$1/2)+1,INDEX(Data!$X:$X,CEILING((COUNTA(Data!$X:$X)-1)*RAND()+1,1)),"")</f>
        <v/>
      </c>
      <c r="E520" s="1" t="str">
        <f>IF(ROW()&lt;=(Results!$C$1/2)+1,VLOOKUP($D520,Data!$X$2:$Y$117,2,TRUE),"")</f>
        <v/>
      </c>
      <c r="F520" s="14" t="str">
        <f>IF(ROW()&lt;=(Results!$C$1/2)+1,IF(E520&lt;=0,"",LN(E520)),"")</f>
        <v/>
      </c>
    </row>
    <row r="521" spans="1:6" x14ac:dyDescent="0.25">
      <c r="A521" s="1" t="str">
        <f ca="1">IF(ROW()&lt;=(Results!$C$1/2)+1,INDEX(Data!$V:$V,CEILING((COUNTA(Data!$V:$V)-1)*RAND()+1,1)),"")</f>
        <v/>
      </c>
      <c r="B521" s="1" t="str">
        <f>IF(ROW()&lt;=(Results!$C$1/2)+1,VLOOKUP($A521,Data!$V$2:$W$117,2,TRUE),"")</f>
        <v/>
      </c>
      <c r="C521" s="14" t="str">
        <f>IF(ROW()&lt;=(Results!$C$1/2)+1,IF(B521&lt;=0,"",LN(B521)),"")</f>
        <v/>
      </c>
      <c r="D521" s="1" t="str">
        <f ca="1">IF(ROW()&lt;=(Results!$C$1/2)+1,INDEX(Data!$X:$X,CEILING((COUNTA(Data!$X:$X)-1)*RAND()+1,1)),"")</f>
        <v/>
      </c>
      <c r="E521" s="1" t="str">
        <f>IF(ROW()&lt;=(Results!$C$1/2)+1,VLOOKUP($D521,Data!$X$2:$Y$117,2,TRUE),"")</f>
        <v/>
      </c>
      <c r="F521" s="14" t="str">
        <f>IF(ROW()&lt;=(Results!$C$1/2)+1,IF(E521&lt;=0,"",LN(E521)),"")</f>
        <v/>
      </c>
    </row>
    <row r="522" spans="1:6" x14ac:dyDescent="0.25">
      <c r="A522" s="1" t="str">
        <f ca="1">IF(ROW()&lt;=(Results!$C$1/2)+1,INDEX(Data!$V:$V,CEILING((COUNTA(Data!$V:$V)-1)*RAND()+1,1)),"")</f>
        <v/>
      </c>
      <c r="B522" s="1" t="str">
        <f>IF(ROW()&lt;=(Results!$C$1/2)+1,VLOOKUP($A522,Data!$V$2:$W$117,2,TRUE),"")</f>
        <v/>
      </c>
      <c r="C522" s="14" t="str">
        <f>IF(ROW()&lt;=(Results!$C$1/2)+1,IF(B522&lt;=0,"",LN(B522)),"")</f>
        <v/>
      </c>
      <c r="D522" s="1" t="str">
        <f ca="1">IF(ROW()&lt;=(Results!$C$1/2)+1,INDEX(Data!$X:$X,CEILING((COUNTA(Data!$X:$X)-1)*RAND()+1,1)),"")</f>
        <v/>
      </c>
      <c r="E522" s="1" t="str">
        <f>IF(ROW()&lt;=(Results!$C$1/2)+1,VLOOKUP($D522,Data!$X$2:$Y$117,2,TRUE),"")</f>
        <v/>
      </c>
      <c r="F522" s="14" t="str">
        <f>IF(ROW()&lt;=(Results!$C$1/2)+1,IF(E522&lt;=0,"",LN(E522)),"")</f>
        <v/>
      </c>
    </row>
    <row r="523" spans="1:6" x14ac:dyDescent="0.25">
      <c r="A523" s="1" t="str">
        <f ca="1">IF(ROW()&lt;=(Results!$C$1/2)+1,INDEX(Data!$V:$V,CEILING((COUNTA(Data!$V:$V)-1)*RAND()+1,1)),"")</f>
        <v/>
      </c>
      <c r="B523" s="1" t="str">
        <f>IF(ROW()&lt;=(Results!$C$1/2)+1,VLOOKUP($A523,Data!$V$2:$W$117,2,TRUE),"")</f>
        <v/>
      </c>
      <c r="C523" s="14" t="str">
        <f>IF(ROW()&lt;=(Results!$C$1/2)+1,IF(B523&lt;=0,"",LN(B523)),"")</f>
        <v/>
      </c>
      <c r="D523" s="1" t="str">
        <f ca="1">IF(ROW()&lt;=(Results!$C$1/2)+1,INDEX(Data!$X:$X,CEILING((COUNTA(Data!$X:$X)-1)*RAND()+1,1)),"")</f>
        <v/>
      </c>
      <c r="E523" s="1" t="str">
        <f>IF(ROW()&lt;=(Results!$C$1/2)+1,VLOOKUP($D523,Data!$X$2:$Y$117,2,TRUE),"")</f>
        <v/>
      </c>
      <c r="F523" s="14" t="str">
        <f>IF(ROW()&lt;=(Results!$C$1/2)+1,IF(E523&lt;=0,"",LN(E523)),"")</f>
        <v/>
      </c>
    </row>
    <row r="524" spans="1:6" x14ac:dyDescent="0.25">
      <c r="A524" s="1" t="str">
        <f ca="1">IF(ROW()&lt;=(Results!$C$1/2)+1,INDEX(Data!$V:$V,CEILING((COUNTA(Data!$V:$V)-1)*RAND()+1,1)),"")</f>
        <v/>
      </c>
      <c r="B524" s="1" t="str">
        <f>IF(ROW()&lt;=(Results!$C$1/2)+1,VLOOKUP($A524,Data!$V$2:$W$117,2,TRUE),"")</f>
        <v/>
      </c>
      <c r="C524" s="14" t="str">
        <f>IF(ROW()&lt;=(Results!$C$1/2)+1,IF(B524&lt;=0,"",LN(B524)),"")</f>
        <v/>
      </c>
      <c r="D524" s="1" t="str">
        <f ca="1">IF(ROW()&lt;=(Results!$C$1/2)+1,INDEX(Data!$X:$X,CEILING((COUNTA(Data!$X:$X)-1)*RAND()+1,1)),"")</f>
        <v/>
      </c>
      <c r="E524" s="1" t="str">
        <f>IF(ROW()&lt;=(Results!$C$1/2)+1,VLOOKUP($D524,Data!$X$2:$Y$117,2,TRUE),"")</f>
        <v/>
      </c>
      <c r="F524" s="14" t="str">
        <f>IF(ROW()&lt;=(Results!$C$1/2)+1,IF(E524&lt;=0,"",LN(E524)),"")</f>
        <v/>
      </c>
    </row>
    <row r="525" spans="1:6" x14ac:dyDescent="0.25">
      <c r="A525" s="1" t="str">
        <f ca="1">IF(ROW()&lt;=(Results!$C$1/2)+1,INDEX(Data!$V:$V,CEILING((COUNTA(Data!$V:$V)-1)*RAND()+1,1)),"")</f>
        <v/>
      </c>
      <c r="B525" s="1" t="str">
        <f>IF(ROW()&lt;=(Results!$C$1/2)+1,VLOOKUP($A525,Data!$V$2:$W$117,2,TRUE),"")</f>
        <v/>
      </c>
      <c r="C525" s="14" t="str">
        <f>IF(ROW()&lt;=(Results!$C$1/2)+1,IF(B525&lt;=0,"",LN(B525)),"")</f>
        <v/>
      </c>
      <c r="D525" s="1" t="str">
        <f ca="1">IF(ROW()&lt;=(Results!$C$1/2)+1,INDEX(Data!$X:$X,CEILING((COUNTA(Data!$X:$X)-1)*RAND()+1,1)),"")</f>
        <v/>
      </c>
      <c r="E525" s="1" t="str">
        <f>IF(ROW()&lt;=(Results!$C$1/2)+1,VLOOKUP($D525,Data!$X$2:$Y$117,2,TRUE),"")</f>
        <v/>
      </c>
      <c r="F525" s="14" t="str">
        <f>IF(ROW()&lt;=(Results!$C$1/2)+1,IF(E525&lt;=0,"",LN(E525)),"")</f>
        <v/>
      </c>
    </row>
    <row r="526" spans="1:6" x14ac:dyDescent="0.25">
      <c r="A526" s="1" t="str">
        <f ca="1">IF(ROW()&lt;=(Results!$C$1/2)+1,INDEX(Data!$V:$V,CEILING((COUNTA(Data!$V:$V)-1)*RAND()+1,1)),"")</f>
        <v/>
      </c>
      <c r="B526" s="1" t="str">
        <f>IF(ROW()&lt;=(Results!$C$1/2)+1,VLOOKUP($A526,Data!$V$2:$W$117,2,TRUE),"")</f>
        <v/>
      </c>
      <c r="C526" s="14" t="str">
        <f>IF(ROW()&lt;=(Results!$C$1/2)+1,IF(B526&lt;=0,"",LN(B526)),"")</f>
        <v/>
      </c>
      <c r="D526" s="1" t="str">
        <f ca="1">IF(ROW()&lt;=(Results!$C$1/2)+1,INDEX(Data!$X:$X,CEILING((COUNTA(Data!$X:$X)-1)*RAND()+1,1)),"")</f>
        <v/>
      </c>
      <c r="E526" s="1" t="str">
        <f>IF(ROW()&lt;=(Results!$C$1/2)+1,VLOOKUP($D526,Data!$X$2:$Y$117,2,TRUE),"")</f>
        <v/>
      </c>
      <c r="F526" s="14" t="str">
        <f>IF(ROW()&lt;=(Results!$C$1/2)+1,IF(E526&lt;=0,"",LN(E526)),"")</f>
        <v/>
      </c>
    </row>
    <row r="527" spans="1:6" x14ac:dyDescent="0.25">
      <c r="A527" s="1" t="str">
        <f ca="1">IF(ROW()&lt;=(Results!$C$1/2)+1,INDEX(Data!$V:$V,CEILING((COUNTA(Data!$V:$V)-1)*RAND()+1,1)),"")</f>
        <v/>
      </c>
      <c r="B527" s="1" t="str">
        <f>IF(ROW()&lt;=(Results!$C$1/2)+1,VLOOKUP($A527,Data!$V$2:$W$117,2,TRUE),"")</f>
        <v/>
      </c>
      <c r="C527" s="14" t="str">
        <f>IF(ROW()&lt;=(Results!$C$1/2)+1,IF(B527&lt;=0,"",LN(B527)),"")</f>
        <v/>
      </c>
      <c r="D527" s="1" t="str">
        <f ca="1">IF(ROW()&lt;=(Results!$C$1/2)+1,INDEX(Data!$X:$X,CEILING((COUNTA(Data!$X:$X)-1)*RAND()+1,1)),"")</f>
        <v/>
      </c>
      <c r="E527" s="1" t="str">
        <f>IF(ROW()&lt;=(Results!$C$1/2)+1,VLOOKUP($D527,Data!$X$2:$Y$117,2,TRUE),"")</f>
        <v/>
      </c>
      <c r="F527" s="14" t="str">
        <f>IF(ROW()&lt;=(Results!$C$1/2)+1,IF(E527&lt;=0,"",LN(E527)),"")</f>
        <v/>
      </c>
    </row>
    <row r="528" spans="1:6" x14ac:dyDescent="0.25">
      <c r="A528" s="1" t="str">
        <f ca="1">IF(ROW()&lt;=(Results!$C$1/2)+1,INDEX(Data!$V:$V,CEILING((COUNTA(Data!$V:$V)-1)*RAND()+1,1)),"")</f>
        <v/>
      </c>
      <c r="B528" s="1" t="str">
        <f>IF(ROW()&lt;=(Results!$C$1/2)+1,VLOOKUP($A528,Data!$V$2:$W$117,2,TRUE),"")</f>
        <v/>
      </c>
      <c r="C528" s="14" t="str">
        <f>IF(ROW()&lt;=(Results!$C$1/2)+1,IF(B528&lt;=0,"",LN(B528)),"")</f>
        <v/>
      </c>
      <c r="D528" s="1" t="str">
        <f ca="1">IF(ROW()&lt;=(Results!$C$1/2)+1,INDEX(Data!$X:$X,CEILING((COUNTA(Data!$X:$X)-1)*RAND()+1,1)),"")</f>
        <v/>
      </c>
      <c r="E528" s="1" t="str">
        <f>IF(ROW()&lt;=(Results!$C$1/2)+1,VLOOKUP($D528,Data!$X$2:$Y$117,2,TRUE),"")</f>
        <v/>
      </c>
      <c r="F528" s="14" t="str">
        <f>IF(ROW()&lt;=(Results!$C$1/2)+1,IF(E528&lt;=0,"",LN(E528)),"")</f>
        <v/>
      </c>
    </row>
    <row r="529" spans="1:6" x14ac:dyDescent="0.25">
      <c r="A529" s="1" t="str">
        <f ca="1">IF(ROW()&lt;=(Results!$C$1/2)+1,INDEX(Data!$V:$V,CEILING((COUNTA(Data!$V:$V)-1)*RAND()+1,1)),"")</f>
        <v/>
      </c>
      <c r="B529" s="1" t="str">
        <f>IF(ROW()&lt;=(Results!$C$1/2)+1,VLOOKUP($A529,Data!$V$2:$W$117,2,TRUE),"")</f>
        <v/>
      </c>
      <c r="C529" s="14" t="str">
        <f>IF(ROW()&lt;=(Results!$C$1/2)+1,IF(B529&lt;=0,"",LN(B529)),"")</f>
        <v/>
      </c>
      <c r="D529" s="1" t="str">
        <f ca="1">IF(ROW()&lt;=(Results!$C$1/2)+1,INDEX(Data!$X:$X,CEILING((COUNTA(Data!$X:$X)-1)*RAND()+1,1)),"")</f>
        <v/>
      </c>
      <c r="E529" s="1" t="str">
        <f>IF(ROW()&lt;=(Results!$C$1/2)+1,VLOOKUP($D529,Data!$X$2:$Y$117,2,TRUE),"")</f>
        <v/>
      </c>
      <c r="F529" s="14" t="str">
        <f>IF(ROW()&lt;=(Results!$C$1/2)+1,IF(E529&lt;=0,"",LN(E529)),"")</f>
        <v/>
      </c>
    </row>
    <row r="530" spans="1:6" x14ac:dyDescent="0.25">
      <c r="A530" s="1" t="str">
        <f ca="1">IF(ROW()&lt;=(Results!$C$1/2)+1,INDEX(Data!$V:$V,CEILING((COUNTA(Data!$V:$V)-1)*RAND()+1,1)),"")</f>
        <v/>
      </c>
      <c r="B530" s="1" t="str">
        <f>IF(ROW()&lt;=(Results!$C$1/2)+1,VLOOKUP($A530,Data!$V$2:$W$117,2,TRUE),"")</f>
        <v/>
      </c>
      <c r="C530" s="14" t="str">
        <f>IF(ROW()&lt;=(Results!$C$1/2)+1,IF(B530&lt;=0,"",LN(B530)),"")</f>
        <v/>
      </c>
      <c r="D530" s="1" t="str">
        <f ca="1">IF(ROW()&lt;=(Results!$C$1/2)+1,INDEX(Data!$X:$X,CEILING((COUNTA(Data!$X:$X)-1)*RAND()+1,1)),"")</f>
        <v/>
      </c>
      <c r="E530" s="1" t="str">
        <f>IF(ROW()&lt;=(Results!$C$1/2)+1,VLOOKUP($D530,Data!$X$2:$Y$117,2,TRUE),"")</f>
        <v/>
      </c>
      <c r="F530" s="14" t="str">
        <f>IF(ROW()&lt;=(Results!$C$1/2)+1,IF(E530&lt;=0,"",LN(E530)),"")</f>
        <v/>
      </c>
    </row>
    <row r="531" spans="1:6" x14ac:dyDescent="0.25">
      <c r="A531" s="1" t="str">
        <f ca="1">IF(ROW()&lt;=(Results!$C$1/2)+1,INDEX(Data!$V:$V,CEILING((COUNTA(Data!$V:$V)-1)*RAND()+1,1)),"")</f>
        <v/>
      </c>
      <c r="B531" s="1" t="str">
        <f>IF(ROW()&lt;=(Results!$C$1/2)+1,VLOOKUP($A531,Data!$V$2:$W$117,2,TRUE),"")</f>
        <v/>
      </c>
      <c r="C531" s="14" t="str">
        <f>IF(ROW()&lt;=(Results!$C$1/2)+1,IF(B531&lt;=0,"",LN(B531)),"")</f>
        <v/>
      </c>
      <c r="D531" s="1" t="str">
        <f ca="1">IF(ROW()&lt;=(Results!$C$1/2)+1,INDEX(Data!$X:$X,CEILING((COUNTA(Data!$X:$X)-1)*RAND()+1,1)),"")</f>
        <v/>
      </c>
      <c r="E531" s="1" t="str">
        <f>IF(ROW()&lt;=(Results!$C$1/2)+1,VLOOKUP($D531,Data!$X$2:$Y$117,2,TRUE),"")</f>
        <v/>
      </c>
      <c r="F531" s="14" t="str">
        <f>IF(ROW()&lt;=(Results!$C$1/2)+1,IF(E531&lt;=0,"",LN(E531)),"")</f>
        <v/>
      </c>
    </row>
    <row r="532" spans="1:6" x14ac:dyDescent="0.25">
      <c r="A532" s="1" t="str">
        <f ca="1">IF(ROW()&lt;=(Results!$C$1/2)+1,INDEX(Data!$V:$V,CEILING((COUNTA(Data!$V:$V)-1)*RAND()+1,1)),"")</f>
        <v/>
      </c>
      <c r="B532" s="1" t="str">
        <f>IF(ROW()&lt;=(Results!$C$1/2)+1,VLOOKUP($A532,Data!$V$2:$W$117,2,TRUE),"")</f>
        <v/>
      </c>
      <c r="C532" s="14" t="str">
        <f>IF(ROW()&lt;=(Results!$C$1/2)+1,IF(B532&lt;=0,"",LN(B532)),"")</f>
        <v/>
      </c>
      <c r="D532" s="1" t="str">
        <f ca="1">IF(ROW()&lt;=(Results!$C$1/2)+1,INDEX(Data!$X:$X,CEILING((COUNTA(Data!$X:$X)-1)*RAND()+1,1)),"")</f>
        <v/>
      </c>
      <c r="E532" s="1" t="str">
        <f>IF(ROW()&lt;=(Results!$C$1/2)+1,VLOOKUP($D532,Data!$X$2:$Y$117,2,TRUE),"")</f>
        <v/>
      </c>
      <c r="F532" s="14" t="str">
        <f>IF(ROW()&lt;=(Results!$C$1/2)+1,IF(E532&lt;=0,"",LN(E532)),"")</f>
        <v/>
      </c>
    </row>
    <row r="533" spans="1:6" x14ac:dyDescent="0.25">
      <c r="A533" s="1" t="str">
        <f ca="1">IF(ROW()&lt;=(Results!$C$1/2)+1,INDEX(Data!$V:$V,CEILING((COUNTA(Data!$V:$V)-1)*RAND()+1,1)),"")</f>
        <v/>
      </c>
      <c r="B533" s="1" t="str">
        <f>IF(ROW()&lt;=(Results!$C$1/2)+1,VLOOKUP($A533,Data!$V$2:$W$117,2,TRUE),"")</f>
        <v/>
      </c>
      <c r="C533" s="14" t="str">
        <f>IF(ROW()&lt;=(Results!$C$1/2)+1,IF(B533&lt;=0,"",LN(B533)),"")</f>
        <v/>
      </c>
      <c r="D533" s="1" t="str">
        <f ca="1">IF(ROW()&lt;=(Results!$C$1/2)+1,INDEX(Data!$X:$X,CEILING((COUNTA(Data!$X:$X)-1)*RAND()+1,1)),"")</f>
        <v/>
      </c>
      <c r="E533" s="1" t="str">
        <f>IF(ROW()&lt;=(Results!$C$1/2)+1,VLOOKUP($D533,Data!$X$2:$Y$117,2,TRUE),"")</f>
        <v/>
      </c>
      <c r="F533" s="14" t="str">
        <f>IF(ROW()&lt;=(Results!$C$1/2)+1,IF(E533&lt;=0,"",LN(E533)),"")</f>
        <v/>
      </c>
    </row>
    <row r="534" spans="1:6" x14ac:dyDescent="0.25">
      <c r="A534" s="1" t="str">
        <f ca="1">IF(ROW()&lt;=(Results!$C$1/2)+1,INDEX(Data!$V:$V,CEILING((COUNTA(Data!$V:$V)-1)*RAND()+1,1)),"")</f>
        <v/>
      </c>
      <c r="B534" s="1" t="str">
        <f>IF(ROW()&lt;=(Results!$C$1/2)+1,VLOOKUP($A534,Data!$V$2:$W$117,2,TRUE),"")</f>
        <v/>
      </c>
      <c r="C534" s="14" t="str">
        <f>IF(ROW()&lt;=(Results!$C$1/2)+1,IF(B534&lt;=0,"",LN(B534)),"")</f>
        <v/>
      </c>
      <c r="D534" s="1" t="str">
        <f ca="1">IF(ROW()&lt;=(Results!$C$1/2)+1,INDEX(Data!$X:$X,CEILING((COUNTA(Data!$X:$X)-1)*RAND()+1,1)),"")</f>
        <v/>
      </c>
      <c r="E534" s="1" t="str">
        <f>IF(ROW()&lt;=(Results!$C$1/2)+1,VLOOKUP($D534,Data!$X$2:$Y$117,2,TRUE),"")</f>
        <v/>
      </c>
      <c r="F534" s="14" t="str">
        <f>IF(ROW()&lt;=(Results!$C$1/2)+1,IF(E534&lt;=0,"",LN(E534)),"")</f>
        <v/>
      </c>
    </row>
    <row r="535" spans="1:6" x14ac:dyDescent="0.25">
      <c r="A535" s="1" t="str">
        <f ca="1">IF(ROW()&lt;=(Results!$C$1/2)+1,INDEX(Data!$V:$V,CEILING((COUNTA(Data!$V:$V)-1)*RAND()+1,1)),"")</f>
        <v/>
      </c>
      <c r="B535" s="1" t="str">
        <f>IF(ROW()&lt;=(Results!$C$1/2)+1,VLOOKUP($A535,Data!$V$2:$W$117,2,TRUE),"")</f>
        <v/>
      </c>
      <c r="C535" s="14" t="str">
        <f>IF(ROW()&lt;=(Results!$C$1/2)+1,IF(B535&lt;=0,"",LN(B535)),"")</f>
        <v/>
      </c>
      <c r="D535" s="1" t="str">
        <f ca="1">IF(ROW()&lt;=(Results!$C$1/2)+1,INDEX(Data!$X:$X,CEILING((COUNTA(Data!$X:$X)-1)*RAND()+1,1)),"")</f>
        <v/>
      </c>
      <c r="E535" s="1" t="str">
        <f>IF(ROW()&lt;=(Results!$C$1/2)+1,VLOOKUP($D535,Data!$X$2:$Y$117,2,TRUE),"")</f>
        <v/>
      </c>
      <c r="F535" s="14" t="str">
        <f>IF(ROW()&lt;=(Results!$C$1/2)+1,IF(E535&lt;=0,"",LN(E535)),"")</f>
        <v/>
      </c>
    </row>
    <row r="536" spans="1:6" x14ac:dyDescent="0.25">
      <c r="A536" s="1" t="str">
        <f ca="1">IF(ROW()&lt;=(Results!$C$1/2)+1,INDEX(Data!$V:$V,CEILING((COUNTA(Data!$V:$V)-1)*RAND()+1,1)),"")</f>
        <v/>
      </c>
      <c r="B536" s="1" t="str">
        <f>IF(ROW()&lt;=(Results!$C$1/2)+1,VLOOKUP($A536,Data!$V$2:$W$117,2,TRUE),"")</f>
        <v/>
      </c>
      <c r="C536" s="14" t="str">
        <f>IF(ROW()&lt;=(Results!$C$1/2)+1,IF(B536&lt;=0,"",LN(B536)),"")</f>
        <v/>
      </c>
      <c r="D536" s="1" t="str">
        <f ca="1">IF(ROW()&lt;=(Results!$C$1/2)+1,INDEX(Data!$X:$X,CEILING((COUNTA(Data!$X:$X)-1)*RAND()+1,1)),"")</f>
        <v/>
      </c>
      <c r="E536" s="1" t="str">
        <f>IF(ROW()&lt;=(Results!$C$1/2)+1,VLOOKUP($D536,Data!$X$2:$Y$117,2,TRUE),"")</f>
        <v/>
      </c>
      <c r="F536" s="14" t="str">
        <f>IF(ROW()&lt;=(Results!$C$1/2)+1,IF(E536&lt;=0,"",LN(E536)),"")</f>
        <v/>
      </c>
    </row>
    <row r="537" spans="1:6" x14ac:dyDescent="0.25">
      <c r="A537" s="1" t="str">
        <f ca="1">IF(ROW()&lt;=(Results!$C$1/2)+1,INDEX(Data!$V:$V,CEILING((COUNTA(Data!$V:$V)-1)*RAND()+1,1)),"")</f>
        <v/>
      </c>
      <c r="B537" s="1" t="str">
        <f>IF(ROW()&lt;=(Results!$C$1/2)+1,VLOOKUP($A537,Data!$V$2:$W$117,2,TRUE),"")</f>
        <v/>
      </c>
      <c r="C537" s="14" t="str">
        <f>IF(ROW()&lt;=(Results!$C$1/2)+1,IF(B537&lt;=0,"",LN(B537)),"")</f>
        <v/>
      </c>
      <c r="D537" s="1" t="str">
        <f ca="1">IF(ROW()&lt;=(Results!$C$1/2)+1,INDEX(Data!$X:$X,CEILING((COUNTA(Data!$X:$X)-1)*RAND()+1,1)),"")</f>
        <v/>
      </c>
      <c r="E537" s="1" t="str">
        <f>IF(ROW()&lt;=(Results!$C$1/2)+1,VLOOKUP($D537,Data!$X$2:$Y$117,2,TRUE),"")</f>
        <v/>
      </c>
      <c r="F537" s="14" t="str">
        <f>IF(ROW()&lt;=(Results!$C$1/2)+1,IF(E537&lt;=0,"",LN(E537)),"")</f>
        <v/>
      </c>
    </row>
    <row r="538" spans="1:6" x14ac:dyDescent="0.25">
      <c r="A538" s="1" t="str">
        <f ca="1">IF(ROW()&lt;=(Results!$C$1/2)+1,INDEX(Data!$V:$V,CEILING((COUNTA(Data!$V:$V)-1)*RAND()+1,1)),"")</f>
        <v/>
      </c>
      <c r="B538" s="1" t="str">
        <f>IF(ROW()&lt;=(Results!$C$1/2)+1,VLOOKUP($A538,Data!$V$2:$W$117,2,TRUE),"")</f>
        <v/>
      </c>
      <c r="C538" s="14" t="str">
        <f>IF(ROW()&lt;=(Results!$C$1/2)+1,IF(B538&lt;=0,"",LN(B538)),"")</f>
        <v/>
      </c>
      <c r="D538" s="1" t="str">
        <f ca="1">IF(ROW()&lt;=(Results!$C$1/2)+1,INDEX(Data!$X:$X,CEILING((COUNTA(Data!$X:$X)-1)*RAND()+1,1)),"")</f>
        <v/>
      </c>
      <c r="E538" s="1" t="str">
        <f>IF(ROW()&lt;=(Results!$C$1/2)+1,VLOOKUP($D538,Data!$X$2:$Y$117,2,TRUE),"")</f>
        <v/>
      </c>
      <c r="F538" s="14" t="str">
        <f>IF(ROW()&lt;=(Results!$C$1/2)+1,IF(E538&lt;=0,"",LN(E538)),"")</f>
        <v/>
      </c>
    </row>
    <row r="539" spans="1:6" x14ac:dyDescent="0.25">
      <c r="A539" s="1" t="str">
        <f ca="1">IF(ROW()&lt;=(Results!$C$1/2)+1,INDEX(Data!$V:$V,CEILING((COUNTA(Data!$V:$V)-1)*RAND()+1,1)),"")</f>
        <v/>
      </c>
      <c r="B539" s="1" t="str">
        <f>IF(ROW()&lt;=(Results!$C$1/2)+1,VLOOKUP($A539,Data!$V$2:$W$117,2,TRUE),"")</f>
        <v/>
      </c>
      <c r="C539" s="14" t="str">
        <f>IF(ROW()&lt;=(Results!$C$1/2)+1,IF(B539&lt;=0,"",LN(B539)),"")</f>
        <v/>
      </c>
      <c r="D539" s="1" t="str">
        <f ca="1">IF(ROW()&lt;=(Results!$C$1/2)+1,INDEX(Data!$X:$X,CEILING((COUNTA(Data!$X:$X)-1)*RAND()+1,1)),"")</f>
        <v/>
      </c>
      <c r="E539" s="1" t="str">
        <f>IF(ROW()&lt;=(Results!$C$1/2)+1,VLOOKUP($D539,Data!$X$2:$Y$117,2,TRUE),"")</f>
        <v/>
      </c>
      <c r="F539" s="14" t="str">
        <f>IF(ROW()&lt;=(Results!$C$1/2)+1,IF(E539&lt;=0,"",LN(E539)),"")</f>
        <v/>
      </c>
    </row>
    <row r="540" spans="1:6" x14ac:dyDescent="0.25">
      <c r="A540" s="1" t="str">
        <f ca="1">IF(ROW()&lt;=(Results!$C$1/2)+1,INDEX(Data!$V:$V,CEILING((COUNTA(Data!$V:$V)-1)*RAND()+1,1)),"")</f>
        <v/>
      </c>
      <c r="B540" s="1" t="str">
        <f>IF(ROW()&lt;=(Results!$C$1/2)+1,VLOOKUP($A540,Data!$V$2:$W$117,2,TRUE),"")</f>
        <v/>
      </c>
      <c r="C540" s="14" t="str">
        <f>IF(ROW()&lt;=(Results!$C$1/2)+1,IF(B540&lt;=0,"",LN(B540)),"")</f>
        <v/>
      </c>
      <c r="D540" s="1" t="str">
        <f ca="1">IF(ROW()&lt;=(Results!$C$1/2)+1,INDEX(Data!$X:$X,CEILING((COUNTA(Data!$X:$X)-1)*RAND()+1,1)),"")</f>
        <v/>
      </c>
      <c r="E540" s="1" t="str">
        <f>IF(ROW()&lt;=(Results!$C$1/2)+1,VLOOKUP($D540,Data!$X$2:$Y$117,2,TRUE),"")</f>
        <v/>
      </c>
      <c r="F540" s="14" t="str">
        <f>IF(ROW()&lt;=(Results!$C$1/2)+1,IF(E540&lt;=0,"",LN(E540)),"")</f>
        <v/>
      </c>
    </row>
    <row r="541" spans="1:6" x14ac:dyDescent="0.25">
      <c r="A541" s="1" t="str">
        <f ca="1">IF(ROW()&lt;=(Results!$C$1/2)+1,INDEX(Data!$V:$V,CEILING((COUNTA(Data!$V:$V)-1)*RAND()+1,1)),"")</f>
        <v/>
      </c>
      <c r="B541" s="1" t="str">
        <f>IF(ROW()&lt;=(Results!$C$1/2)+1,VLOOKUP($A541,Data!$V$2:$W$117,2,TRUE),"")</f>
        <v/>
      </c>
      <c r="C541" s="14" t="str">
        <f>IF(ROW()&lt;=(Results!$C$1/2)+1,IF(B541&lt;=0,"",LN(B541)),"")</f>
        <v/>
      </c>
      <c r="D541" s="1" t="str">
        <f ca="1">IF(ROW()&lt;=(Results!$C$1/2)+1,INDEX(Data!$X:$X,CEILING((COUNTA(Data!$X:$X)-1)*RAND()+1,1)),"")</f>
        <v/>
      </c>
      <c r="E541" s="1" t="str">
        <f>IF(ROW()&lt;=(Results!$C$1/2)+1,VLOOKUP($D541,Data!$X$2:$Y$117,2,TRUE),"")</f>
        <v/>
      </c>
      <c r="F541" s="14" t="str">
        <f>IF(ROW()&lt;=(Results!$C$1/2)+1,IF(E541&lt;=0,"",LN(E541)),"")</f>
        <v/>
      </c>
    </row>
    <row r="542" spans="1:6" x14ac:dyDescent="0.25">
      <c r="A542" s="1" t="str">
        <f ca="1">IF(ROW()&lt;=(Results!$C$1/2)+1,INDEX(Data!$V:$V,CEILING((COUNTA(Data!$V:$V)-1)*RAND()+1,1)),"")</f>
        <v/>
      </c>
      <c r="B542" s="1" t="str">
        <f>IF(ROW()&lt;=(Results!$C$1/2)+1,VLOOKUP($A542,Data!$V$2:$W$117,2,TRUE),"")</f>
        <v/>
      </c>
      <c r="C542" s="14" t="str">
        <f>IF(ROW()&lt;=(Results!$C$1/2)+1,IF(B542&lt;=0,"",LN(B542)),"")</f>
        <v/>
      </c>
      <c r="D542" s="1" t="str">
        <f ca="1">IF(ROW()&lt;=(Results!$C$1/2)+1,INDEX(Data!$X:$X,CEILING((COUNTA(Data!$X:$X)-1)*RAND()+1,1)),"")</f>
        <v/>
      </c>
      <c r="E542" s="1" t="str">
        <f>IF(ROW()&lt;=(Results!$C$1/2)+1,VLOOKUP($D542,Data!$X$2:$Y$117,2,TRUE),"")</f>
        <v/>
      </c>
      <c r="F542" s="14" t="str">
        <f>IF(ROW()&lt;=(Results!$C$1/2)+1,IF(E542&lt;=0,"",LN(E542)),"")</f>
        <v/>
      </c>
    </row>
    <row r="543" spans="1:6" x14ac:dyDescent="0.25">
      <c r="A543" s="1" t="str">
        <f ca="1">IF(ROW()&lt;=(Results!$C$1/2)+1,INDEX(Data!$V:$V,CEILING((COUNTA(Data!$V:$V)-1)*RAND()+1,1)),"")</f>
        <v/>
      </c>
      <c r="B543" s="1" t="str">
        <f>IF(ROW()&lt;=(Results!$C$1/2)+1,VLOOKUP($A543,Data!$V$2:$W$117,2,TRUE),"")</f>
        <v/>
      </c>
      <c r="C543" s="14" t="str">
        <f>IF(ROW()&lt;=(Results!$C$1/2)+1,IF(B543&lt;=0,"",LN(B543)),"")</f>
        <v/>
      </c>
      <c r="D543" s="1" t="str">
        <f ca="1">IF(ROW()&lt;=(Results!$C$1/2)+1,INDEX(Data!$X:$X,CEILING((COUNTA(Data!$X:$X)-1)*RAND()+1,1)),"")</f>
        <v/>
      </c>
      <c r="E543" s="1" t="str">
        <f>IF(ROW()&lt;=(Results!$C$1/2)+1,VLOOKUP($D543,Data!$X$2:$Y$117,2,TRUE),"")</f>
        <v/>
      </c>
      <c r="F543" s="14" t="str">
        <f>IF(ROW()&lt;=(Results!$C$1/2)+1,IF(E543&lt;=0,"",LN(E543)),"")</f>
        <v/>
      </c>
    </row>
    <row r="544" spans="1:6" x14ac:dyDescent="0.25">
      <c r="A544" s="1" t="str">
        <f ca="1">IF(ROW()&lt;=(Results!$C$1/2)+1,INDEX(Data!$V:$V,CEILING((COUNTA(Data!$V:$V)-1)*RAND()+1,1)),"")</f>
        <v/>
      </c>
      <c r="B544" s="1" t="str">
        <f>IF(ROW()&lt;=(Results!$C$1/2)+1,VLOOKUP($A544,Data!$V$2:$W$117,2,TRUE),"")</f>
        <v/>
      </c>
      <c r="C544" s="14" t="str">
        <f>IF(ROW()&lt;=(Results!$C$1/2)+1,IF(B544&lt;=0,"",LN(B544)),"")</f>
        <v/>
      </c>
      <c r="D544" s="1" t="str">
        <f ca="1">IF(ROW()&lt;=(Results!$C$1/2)+1,INDEX(Data!$X:$X,CEILING((COUNTA(Data!$X:$X)-1)*RAND()+1,1)),"")</f>
        <v/>
      </c>
      <c r="E544" s="1" t="str">
        <f>IF(ROW()&lt;=(Results!$C$1/2)+1,VLOOKUP($D544,Data!$X$2:$Y$117,2,TRUE),"")</f>
        <v/>
      </c>
      <c r="F544" s="14" t="str">
        <f>IF(ROW()&lt;=(Results!$C$1/2)+1,IF(E544&lt;=0,"",LN(E544)),"")</f>
        <v/>
      </c>
    </row>
    <row r="545" spans="1:6" x14ac:dyDescent="0.25">
      <c r="A545" s="1" t="str">
        <f ca="1">IF(ROW()&lt;=(Results!$C$1/2)+1,INDEX(Data!$V:$V,CEILING((COUNTA(Data!$V:$V)-1)*RAND()+1,1)),"")</f>
        <v/>
      </c>
      <c r="B545" s="1" t="str">
        <f>IF(ROW()&lt;=(Results!$C$1/2)+1,VLOOKUP($A545,Data!$V$2:$W$117,2,TRUE),"")</f>
        <v/>
      </c>
      <c r="C545" s="14" t="str">
        <f>IF(ROW()&lt;=(Results!$C$1/2)+1,IF(B545&lt;=0,"",LN(B545)),"")</f>
        <v/>
      </c>
      <c r="D545" s="1" t="str">
        <f ca="1">IF(ROW()&lt;=(Results!$C$1/2)+1,INDEX(Data!$X:$X,CEILING((COUNTA(Data!$X:$X)-1)*RAND()+1,1)),"")</f>
        <v/>
      </c>
      <c r="E545" s="1" t="str">
        <f>IF(ROW()&lt;=(Results!$C$1/2)+1,VLOOKUP($D545,Data!$X$2:$Y$117,2,TRUE),"")</f>
        <v/>
      </c>
      <c r="F545" s="14" t="str">
        <f>IF(ROW()&lt;=(Results!$C$1/2)+1,IF(E545&lt;=0,"",LN(E545)),"")</f>
        <v/>
      </c>
    </row>
    <row r="546" spans="1:6" x14ac:dyDescent="0.25">
      <c r="A546" s="1" t="str">
        <f ca="1">IF(ROW()&lt;=(Results!$C$1/2)+1,INDEX(Data!$V:$V,CEILING((COUNTA(Data!$V:$V)-1)*RAND()+1,1)),"")</f>
        <v/>
      </c>
      <c r="B546" s="1" t="str">
        <f>IF(ROW()&lt;=(Results!$C$1/2)+1,VLOOKUP($A546,Data!$V$2:$W$117,2,TRUE),"")</f>
        <v/>
      </c>
      <c r="C546" s="14" t="str">
        <f>IF(ROW()&lt;=(Results!$C$1/2)+1,IF(B546&lt;=0,"",LN(B546)),"")</f>
        <v/>
      </c>
      <c r="D546" s="1" t="str">
        <f ca="1">IF(ROW()&lt;=(Results!$C$1/2)+1,INDEX(Data!$X:$X,CEILING((COUNTA(Data!$X:$X)-1)*RAND()+1,1)),"")</f>
        <v/>
      </c>
      <c r="E546" s="1" t="str">
        <f>IF(ROW()&lt;=(Results!$C$1/2)+1,VLOOKUP($D546,Data!$X$2:$Y$117,2,TRUE),"")</f>
        <v/>
      </c>
      <c r="F546" s="14" t="str">
        <f>IF(ROW()&lt;=(Results!$C$1/2)+1,IF(E546&lt;=0,"",LN(E546)),"")</f>
        <v/>
      </c>
    </row>
    <row r="547" spans="1:6" x14ac:dyDescent="0.25">
      <c r="A547" s="1" t="str">
        <f ca="1">IF(ROW()&lt;=(Results!$C$1/2)+1,INDEX(Data!$V:$V,CEILING((COUNTA(Data!$V:$V)-1)*RAND()+1,1)),"")</f>
        <v/>
      </c>
      <c r="B547" s="1" t="str">
        <f>IF(ROW()&lt;=(Results!$C$1/2)+1,VLOOKUP($A547,Data!$V$2:$W$117,2,TRUE),"")</f>
        <v/>
      </c>
      <c r="C547" s="14" t="str">
        <f>IF(ROW()&lt;=(Results!$C$1/2)+1,IF(B547&lt;=0,"",LN(B547)),"")</f>
        <v/>
      </c>
      <c r="D547" s="1" t="str">
        <f ca="1">IF(ROW()&lt;=(Results!$C$1/2)+1,INDEX(Data!$X:$X,CEILING((COUNTA(Data!$X:$X)-1)*RAND()+1,1)),"")</f>
        <v/>
      </c>
      <c r="E547" s="1" t="str">
        <f>IF(ROW()&lt;=(Results!$C$1/2)+1,VLOOKUP($D547,Data!$X$2:$Y$117,2,TRUE),"")</f>
        <v/>
      </c>
      <c r="F547" s="14" t="str">
        <f>IF(ROW()&lt;=(Results!$C$1/2)+1,IF(E547&lt;=0,"",LN(E547)),"")</f>
        <v/>
      </c>
    </row>
    <row r="548" spans="1:6" x14ac:dyDescent="0.25">
      <c r="A548" s="1" t="str">
        <f ca="1">IF(ROW()&lt;=(Results!$C$1/2)+1,INDEX(Data!$V:$V,CEILING((COUNTA(Data!$V:$V)-1)*RAND()+1,1)),"")</f>
        <v/>
      </c>
      <c r="B548" s="1" t="str">
        <f>IF(ROW()&lt;=(Results!$C$1/2)+1,VLOOKUP($A548,Data!$V$2:$W$117,2,TRUE),"")</f>
        <v/>
      </c>
      <c r="C548" s="14" t="str">
        <f>IF(ROW()&lt;=(Results!$C$1/2)+1,IF(B548&lt;=0,"",LN(B548)),"")</f>
        <v/>
      </c>
      <c r="D548" s="1" t="str">
        <f ca="1">IF(ROW()&lt;=(Results!$C$1/2)+1,INDEX(Data!$X:$X,CEILING((COUNTA(Data!$X:$X)-1)*RAND()+1,1)),"")</f>
        <v/>
      </c>
      <c r="E548" s="1" t="str">
        <f>IF(ROW()&lt;=(Results!$C$1/2)+1,VLOOKUP($D548,Data!$X$2:$Y$117,2,TRUE),"")</f>
        <v/>
      </c>
      <c r="F548" s="14" t="str">
        <f>IF(ROW()&lt;=(Results!$C$1/2)+1,IF(E548&lt;=0,"",LN(E548)),"")</f>
        <v/>
      </c>
    </row>
    <row r="549" spans="1:6" x14ac:dyDescent="0.25">
      <c r="A549" s="1" t="str">
        <f ca="1">IF(ROW()&lt;=(Results!$C$1/2)+1,INDEX(Data!$V:$V,CEILING((COUNTA(Data!$V:$V)-1)*RAND()+1,1)),"")</f>
        <v/>
      </c>
      <c r="B549" s="1" t="str">
        <f>IF(ROW()&lt;=(Results!$C$1/2)+1,VLOOKUP($A549,Data!$V$2:$W$117,2,TRUE),"")</f>
        <v/>
      </c>
      <c r="C549" s="14" t="str">
        <f>IF(ROW()&lt;=(Results!$C$1/2)+1,IF(B549&lt;=0,"",LN(B549)),"")</f>
        <v/>
      </c>
      <c r="D549" s="1" t="str">
        <f ca="1">IF(ROW()&lt;=(Results!$C$1/2)+1,INDEX(Data!$X:$X,CEILING((COUNTA(Data!$X:$X)-1)*RAND()+1,1)),"")</f>
        <v/>
      </c>
      <c r="E549" s="1" t="str">
        <f>IF(ROW()&lt;=(Results!$C$1/2)+1,VLOOKUP($D549,Data!$X$2:$Y$117,2,TRUE),"")</f>
        <v/>
      </c>
      <c r="F549" s="14" t="str">
        <f>IF(ROW()&lt;=(Results!$C$1/2)+1,IF(E549&lt;=0,"",LN(E549)),"")</f>
        <v/>
      </c>
    </row>
    <row r="550" spans="1:6" x14ac:dyDescent="0.25">
      <c r="A550" s="1" t="str">
        <f ca="1">IF(ROW()&lt;=(Results!$C$1/2)+1,INDEX(Data!$V:$V,CEILING((COUNTA(Data!$V:$V)-1)*RAND()+1,1)),"")</f>
        <v/>
      </c>
      <c r="B550" s="1" t="str">
        <f>IF(ROW()&lt;=(Results!$C$1/2)+1,VLOOKUP($A550,Data!$V$2:$W$117,2,TRUE),"")</f>
        <v/>
      </c>
      <c r="C550" s="14" t="str">
        <f>IF(ROW()&lt;=(Results!$C$1/2)+1,IF(B550&lt;=0,"",LN(B550)),"")</f>
        <v/>
      </c>
      <c r="D550" s="1" t="str">
        <f ca="1">IF(ROW()&lt;=(Results!$C$1/2)+1,INDEX(Data!$X:$X,CEILING((COUNTA(Data!$X:$X)-1)*RAND()+1,1)),"")</f>
        <v/>
      </c>
      <c r="E550" s="1" t="str">
        <f>IF(ROW()&lt;=(Results!$C$1/2)+1,VLOOKUP($D550,Data!$X$2:$Y$117,2,TRUE),"")</f>
        <v/>
      </c>
      <c r="F550" s="14" t="str">
        <f>IF(ROW()&lt;=(Results!$C$1/2)+1,IF(E550&lt;=0,"",LN(E550)),"")</f>
        <v/>
      </c>
    </row>
    <row r="551" spans="1:6" x14ac:dyDescent="0.25">
      <c r="A551" s="1" t="str">
        <f ca="1">IF(ROW()&lt;=(Results!$C$1/2)+1,INDEX(Data!$V:$V,CEILING((COUNTA(Data!$V:$V)-1)*RAND()+1,1)),"")</f>
        <v/>
      </c>
      <c r="B551" s="1" t="str">
        <f>IF(ROW()&lt;=(Results!$C$1/2)+1,VLOOKUP($A551,Data!$V$2:$W$117,2,TRUE),"")</f>
        <v/>
      </c>
      <c r="C551" s="14" t="str">
        <f>IF(ROW()&lt;=(Results!$C$1/2)+1,IF(B551&lt;=0,"",LN(B551)),"")</f>
        <v/>
      </c>
      <c r="D551" s="1" t="str">
        <f ca="1">IF(ROW()&lt;=(Results!$C$1/2)+1,INDEX(Data!$X:$X,CEILING((COUNTA(Data!$X:$X)-1)*RAND()+1,1)),"")</f>
        <v/>
      </c>
      <c r="E551" s="1" t="str">
        <f>IF(ROW()&lt;=(Results!$C$1/2)+1,VLOOKUP($D551,Data!$X$2:$Y$117,2,TRUE),"")</f>
        <v/>
      </c>
      <c r="F551" s="14" t="str">
        <f>IF(ROW()&lt;=(Results!$C$1/2)+1,IF(E551&lt;=0,"",LN(E551)),"")</f>
        <v/>
      </c>
    </row>
    <row r="552" spans="1:6" x14ac:dyDescent="0.25">
      <c r="A552" s="1" t="str">
        <f ca="1">IF(ROW()&lt;=(Results!$C$1/2)+1,INDEX(Data!$V:$V,CEILING((COUNTA(Data!$V:$V)-1)*RAND()+1,1)),"")</f>
        <v/>
      </c>
      <c r="B552" s="1" t="str">
        <f>IF(ROW()&lt;=(Results!$C$1/2)+1,VLOOKUP($A552,Data!$V$2:$W$117,2,TRUE),"")</f>
        <v/>
      </c>
      <c r="C552" s="14" t="str">
        <f>IF(ROW()&lt;=(Results!$C$1/2)+1,IF(B552&lt;=0,"",LN(B552)),"")</f>
        <v/>
      </c>
      <c r="D552" s="1" t="str">
        <f ca="1">IF(ROW()&lt;=(Results!$C$1/2)+1,INDEX(Data!$X:$X,CEILING((COUNTA(Data!$X:$X)-1)*RAND()+1,1)),"")</f>
        <v/>
      </c>
      <c r="E552" s="1" t="str">
        <f>IF(ROW()&lt;=(Results!$C$1/2)+1,VLOOKUP($D552,Data!$X$2:$Y$117,2,TRUE),"")</f>
        <v/>
      </c>
      <c r="F552" s="14" t="str">
        <f>IF(ROW()&lt;=(Results!$C$1/2)+1,IF(E552&lt;=0,"",LN(E552)),"")</f>
        <v/>
      </c>
    </row>
    <row r="553" spans="1:6" x14ac:dyDescent="0.25">
      <c r="A553" s="1" t="str">
        <f ca="1">IF(ROW()&lt;=(Results!$C$1/2)+1,INDEX(Data!$V:$V,CEILING((COUNTA(Data!$V:$V)-1)*RAND()+1,1)),"")</f>
        <v/>
      </c>
      <c r="B553" s="1" t="str">
        <f>IF(ROW()&lt;=(Results!$C$1/2)+1,VLOOKUP($A553,Data!$V$2:$W$117,2,TRUE),"")</f>
        <v/>
      </c>
      <c r="C553" s="14" t="str">
        <f>IF(ROW()&lt;=(Results!$C$1/2)+1,IF(B553&lt;=0,"",LN(B553)),"")</f>
        <v/>
      </c>
      <c r="D553" s="1" t="str">
        <f ca="1">IF(ROW()&lt;=(Results!$C$1/2)+1,INDEX(Data!$X:$X,CEILING((COUNTA(Data!$X:$X)-1)*RAND()+1,1)),"")</f>
        <v/>
      </c>
      <c r="E553" s="1" t="str">
        <f>IF(ROW()&lt;=(Results!$C$1/2)+1,VLOOKUP($D553,Data!$X$2:$Y$117,2,TRUE),"")</f>
        <v/>
      </c>
      <c r="F553" s="14" t="str">
        <f>IF(ROW()&lt;=(Results!$C$1/2)+1,IF(E553&lt;=0,"",LN(E553)),"")</f>
        <v/>
      </c>
    </row>
    <row r="554" spans="1:6" x14ac:dyDescent="0.25">
      <c r="A554" s="1" t="str">
        <f ca="1">IF(ROW()&lt;=(Results!$C$1/2)+1,INDEX(Data!$V:$V,CEILING((COUNTA(Data!$V:$V)-1)*RAND()+1,1)),"")</f>
        <v/>
      </c>
      <c r="B554" s="1" t="str">
        <f>IF(ROW()&lt;=(Results!$C$1/2)+1,VLOOKUP($A554,Data!$V$2:$W$117,2,TRUE),"")</f>
        <v/>
      </c>
      <c r="C554" s="14" t="str">
        <f>IF(ROW()&lt;=(Results!$C$1/2)+1,IF(B554&lt;=0,"",LN(B554)),"")</f>
        <v/>
      </c>
      <c r="D554" s="1" t="str">
        <f ca="1">IF(ROW()&lt;=(Results!$C$1/2)+1,INDEX(Data!$X:$X,CEILING((COUNTA(Data!$X:$X)-1)*RAND()+1,1)),"")</f>
        <v/>
      </c>
      <c r="E554" s="1" t="str">
        <f>IF(ROW()&lt;=(Results!$C$1/2)+1,VLOOKUP($D554,Data!$X$2:$Y$117,2,TRUE),"")</f>
        <v/>
      </c>
      <c r="F554" s="14" t="str">
        <f>IF(ROW()&lt;=(Results!$C$1/2)+1,IF(E554&lt;=0,"",LN(E554)),"")</f>
        <v/>
      </c>
    </row>
    <row r="555" spans="1:6" x14ac:dyDescent="0.25">
      <c r="A555" s="1" t="str">
        <f ca="1">IF(ROW()&lt;=(Results!$C$1/2)+1,INDEX(Data!$V:$V,CEILING((COUNTA(Data!$V:$V)-1)*RAND()+1,1)),"")</f>
        <v/>
      </c>
      <c r="B555" s="1" t="str">
        <f>IF(ROW()&lt;=(Results!$C$1/2)+1,VLOOKUP($A555,Data!$V$2:$W$117,2,TRUE),"")</f>
        <v/>
      </c>
      <c r="C555" s="14" t="str">
        <f>IF(ROW()&lt;=(Results!$C$1/2)+1,IF(B555&lt;=0,"",LN(B555)),"")</f>
        <v/>
      </c>
      <c r="D555" s="1" t="str">
        <f ca="1">IF(ROW()&lt;=(Results!$C$1/2)+1,INDEX(Data!$X:$X,CEILING((COUNTA(Data!$X:$X)-1)*RAND()+1,1)),"")</f>
        <v/>
      </c>
      <c r="E555" s="1" t="str">
        <f>IF(ROW()&lt;=(Results!$C$1/2)+1,VLOOKUP($D555,Data!$X$2:$Y$117,2,TRUE),"")</f>
        <v/>
      </c>
      <c r="F555" s="14" t="str">
        <f>IF(ROW()&lt;=(Results!$C$1/2)+1,IF(E555&lt;=0,"",LN(E555)),"")</f>
        <v/>
      </c>
    </row>
    <row r="556" spans="1:6" x14ac:dyDescent="0.25">
      <c r="A556" s="1" t="str">
        <f ca="1">IF(ROW()&lt;=(Results!$C$1/2)+1,INDEX(Data!$V:$V,CEILING((COUNTA(Data!$V:$V)-1)*RAND()+1,1)),"")</f>
        <v/>
      </c>
      <c r="B556" s="1" t="str">
        <f>IF(ROW()&lt;=(Results!$C$1/2)+1,VLOOKUP($A556,Data!$V$2:$W$117,2,TRUE),"")</f>
        <v/>
      </c>
      <c r="C556" s="14" t="str">
        <f>IF(ROW()&lt;=(Results!$C$1/2)+1,IF(B556&lt;=0,"",LN(B556)),"")</f>
        <v/>
      </c>
      <c r="D556" s="1" t="str">
        <f ca="1">IF(ROW()&lt;=(Results!$C$1/2)+1,INDEX(Data!$X:$X,CEILING((COUNTA(Data!$X:$X)-1)*RAND()+1,1)),"")</f>
        <v/>
      </c>
      <c r="E556" s="1" t="str">
        <f>IF(ROW()&lt;=(Results!$C$1/2)+1,VLOOKUP($D556,Data!$X$2:$Y$117,2,TRUE),"")</f>
        <v/>
      </c>
      <c r="F556" s="14" t="str">
        <f>IF(ROW()&lt;=(Results!$C$1/2)+1,IF(E556&lt;=0,"",LN(E556)),"")</f>
        <v/>
      </c>
    </row>
    <row r="557" spans="1:6" x14ac:dyDescent="0.25">
      <c r="A557" s="1" t="str">
        <f ca="1">IF(ROW()&lt;=(Results!$C$1/2)+1,INDEX(Data!$V:$V,CEILING((COUNTA(Data!$V:$V)-1)*RAND()+1,1)),"")</f>
        <v/>
      </c>
      <c r="B557" s="1" t="str">
        <f>IF(ROW()&lt;=(Results!$C$1/2)+1,VLOOKUP($A557,Data!$V$2:$W$117,2,TRUE),"")</f>
        <v/>
      </c>
      <c r="C557" s="14" t="str">
        <f>IF(ROW()&lt;=(Results!$C$1/2)+1,IF(B557&lt;=0,"",LN(B557)),"")</f>
        <v/>
      </c>
      <c r="D557" s="1" t="str">
        <f ca="1">IF(ROW()&lt;=(Results!$C$1/2)+1,INDEX(Data!$X:$X,CEILING((COUNTA(Data!$X:$X)-1)*RAND()+1,1)),"")</f>
        <v/>
      </c>
      <c r="E557" s="1" t="str">
        <f>IF(ROW()&lt;=(Results!$C$1/2)+1,VLOOKUP($D557,Data!$X$2:$Y$117,2,TRUE),"")</f>
        <v/>
      </c>
      <c r="F557" s="14" t="str">
        <f>IF(ROW()&lt;=(Results!$C$1/2)+1,IF(E557&lt;=0,"",LN(E557)),"")</f>
        <v/>
      </c>
    </row>
    <row r="558" spans="1:6" x14ac:dyDescent="0.25">
      <c r="A558" s="1" t="str">
        <f ca="1">IF(ROW()&lt;=(Results!$C$1/2)+1,INDEX(Data!$V:$V,CEILING((COUNTA(Data!$V:$V)-1)*RAND()+1,1)),"")</f>
        <v/>
      </c>
      <c r="B558" s="1" t="str">
        <f>IF(ROW()&lt;=(Results!$C$1/2)+1,VLOOKUP($A558,Data!$V$2:$W$117,2,TRUE),"")</f>
        <v/>
      </c>
      <c r="C558" s="14" t="str">
        <f>IF(ROW()&lt;=(Results!$C$1/2)+1,IF(B558&lt;=0,"",LN(B558)),"")</f>
        <v/>
      </c>
      <c r="D558" s="1" t="str">
        <f ca="1">IF(ROW()&lt;=(Results!$C$1/2)+1,INDEX(Data!$X:$X,CEILING((COUNTA(Data!$X:$X)-1)*RAND()+1,1)),"")</f>
        <v/>
      </c>
      <c r="E558" s="1" t="str">
        <f>IF(ROW()&lt;=(Results!$C$1/2)+1,VLOOKUP($D558,Data!$X$2:$Y$117,2,TRUE),"")</f>
        <v/>
      </c>
      <c r="F558" s="14" t="str">
        <f>IF(ROW()&lt;=(Results!$C$1/2)+1,IF(E558&lt;=0,"",LN(E558)),"")</f>
        <v/>
      </c>
    </row>
    <row r="559" spans="1:6" x14ac:dyDescent="0.25">
      <c r="A559" s="1" t="str">
        <f ca="1">IF(ROW()&lt;=(Results!$C$1/2)+1,INDEX(Data!$V:$V,CEILING((COUNTA(Data!$V:$V)-1)*RAND()+1,1)),"")</f>
        <v/>
      </c>
      <c r="B559" s="1" t="str">
        <f>IF(ROW()&lt;=(Results!$C$1/2)+1,VLOOKUP($A559,Data!$V$2:$W$117,2,TRUE),"")</f>
        <v/>
      </c>
      <c r="C559" s="14" t="str">
        <f>IF(ROW()&lt;=(Results!$C$1/2)+1,IF(B559&lt;=0,"",LN(B559)),"")</f>
        <v/>
      </c>
      <c r="D559" s="1" t="str">
        <f ca="1">IF(ROW()&lt;=(Results!$C$1/2)+1,INDEX(Data!$X:$X,CEILING((COUNTA(Data!$X:$X)-1)*RAND()+1,1)),"")</f>
        <v/>
      </c>
      <c r="E559" s="1" t="str">
        <f>IF(ROW()&lt;=(Results!$C$1/2)+1,VLOOKUP($D559,Data!$X$2:$Y$117,2,TRUE),"")</f>
        <v/>
      </c>
      <c r="F559" s="14" t="str">
        <f>IF(ROW()&lt;=(Results!$C$1/2)+1,IF(E559&lt;=0,"",LN(E559)),"")</f>
        <v/>
      </c>
    </row>
    <row r="560" spans="1:6" x14ac:dyDescent="0.25">
      <c r="A560" s="1" t="str">
        <f ca="1">IF(ROW()&lt;=(Results!$C$1/2)+1,INDEX(Data!$V:$V,CEILING((COUNTA(Data!$V:$V)-1)*RAND()+1,1)),"")</f>
        <v/>
      </c>
      <c r="B560" s="1" t="str">
        <f>IF(ROW()&lt;=(Results!$C$1/2)+1,VLOOKUP($A560,Data!$V$2:$W$117,2,TRUE),"")</f>
        <v/>
      </c>
      <c r="C560" s="14" t="str">
        <f>IF(ROW()&lt;=(Results!$C$1/2)+1,IF(B560&lt;=0,"",LN(B560)),"")</f>
        <v/>
      </c>
      <c r="D560" s="1" t="str">
        <f ca="1">IF(ROW()&lt;=(Results!$C$1/2)+1,INDEX(Data!$X:$X,CEILING((COUNTA(Data!$X:$X)-1)*RAND()+1,1)),"")</f>
        <v/>
      </c>
      <c r="E560" s="1" t="str">
        <f>IF(ROW()&lt;=(Results!$C$1/2)+1,VLOOKUP($D560,Data!$X$2:$Y$117,2,TRUE),"")</f>
        <v/>
      </c>
      <c r="F560" s="14" t="str">
        <f>IF(ROW()&lt;=(Results!$C$1/2)+1,IF(E560&lt;=0,"",LN(E560)),"")</f>
        <v/>
      </c>
    </row>
    <row r="561" spans="1:6" x14ac:dyDescent="0.25">
      <c r="A561" s="1" t="str">
        <f ca="1">IF(ROW()&lt;=(Results!$C$1/2)+1,INDEX(Data!$V:$V,CEILING((COUNTA(Data!$V:$V)-1)*RAND()+1,1)),"")</f>
        <v/>
      </c>
      <c r="B561" s="1" t="str">
        <f>IF(ROW()&lt;=(Results!$C$1/2)+1,VLOOKUP($A561,Data!$V$2:$W$117,2,TRUE),"")</f>
        <v/>
      </c>
      <c r="C561" s="14" t="str">
        <f>IF(ROW()&lt;=(Results!$C$1/2)+1,IF(B561&lt;=0,"",LN(B561)),"")</f>
        <v/>
      </c>
      <c r="D561" s="1" t="str">
        <f ca="1">IF(ROW()&lt;=(Results!$C$1/2)+1,INDEX(Data!$X:$X,CEILING((COUNTA(Data!$X:$X)-1)*RAND()+1,1)),"")</f>
        <v/>
      </c>
      <c r="E561" s="1" t="str">
        <f>IF(ROW()&lt;=(Results!$C$1/2)+1,VLOOKUP($D561,Data!$X$2:$Y$117,2,TRUE),"")</f>
        <v/>
      </c>
      <c r="F561" s="14" t="str">
        <f>IF(ROW()&lt;=(Results!$C$1/2)+1,IF(E561&lt;=0,"",LN(E561)),"")</f>
        <v/>
      </c>
    </row>
    <row r="562" spans="1:6" x14ac:dyDescent="0.25">
      <c r="A562" s="1" t="str">
        <f ca="1">IF(ROW()&lt;=(Results!$C$1/2)+1,INDEX(Data!$V:$V,CEILING((COUNTA(Data!$V:$V)-1)*RAND()+1,1)),"")</f>
        <v/>
      </c>
      <c r="B562" s="1" t="str">
        <f>IF(ROW()&lt;=(Results!$C$1/2)+1,VLOOKUP($A562,Data!$V$2:$W$117,2,TRUE),"")</f>
        <v/>
      </c>
      <c r="C562" s="14" t="str">
        <f>IF(ROW()&lt;=(Results!$C$1/2)+1,IF(B562&lt;=0,"",LN(B562)),"")</f>
        <v/>
      </c>
      <c r="D562" s="1" t="str">
        <f ca="1">IF(ROW()&lt;=(Results!$C$1/2)+1,INDEX(Data!$X:$X,CEILING((COUNTA(Data!$X:$X)-1)*RAND()+1,1)),"")</f>
        <v/>
      </c>
      <c r="E562" s="1" t="str">
        <f>IF(ROW()&lt;=(Results!$C$1/2)+1,VLOOKUP($D562,Data!$X$2:$Y$117,2,TRUE),"")</f>
        <v/>
      </c>
      <c r="F562" s="14" t="str">
        <f>IF(ROW()&lt;=(Results!$C$1/2)+1,IF(E562&lt;=0,"",LN(E562)),"")</f>
        <v/>
      </c>
    </row>
    <row r="563" spans="1:6" x14ac:dyDescent="0.25">
      <c r="A563" s="1" t="str">
        <f ca="1">IF(ROW()&lt;=(Results!$C$1/2)+1,INDEX(Data!$V:$V,CEILING((COUNTA(Data!$V:$V)-1)*RAND()+1,1)),"")</f>
        <v/>
      </c>
      <c r="B563" s="1" t="str">
        <f>IF(ROW()&lt;=(Results!$C$1/2)+1,VLOOKUP($A563,Data!$V$2:$W$117,2,TRUE),"")</f>
        <v/>
      </c>
      <c r="C563" s="14" t="str">
        <f>IF(ROW()&lt;=(Results!$C$1/2)+1,IF(B563&lt;=0,"",LN(B563)),"")</f>
        <v/>
      </c>
      <c r="D563" s="1" t="str">
        <f ca="1">IF(ROW()&lt;=(Results!$C$1/2)+1,INDEX(Data!$X:$X,CEILING((COUNTA(Data!$X:$X)-1)*RAND()+1,1)),"")</f>
        <v/>
      </c>
      <c r="E563" s="1" t="str">
        <f>IF(ROW()&lt;=(Results!$C$1/2)+1,VLOOKUP($D563,Data!$X$2:$Y$117,2,TRUE),"")</f>
        <v/>
      </c>
      <c r="F563" s="14" t="str">
        <f>IF(ROW()&lt;=(Results!$C$1/2)+1,IF(E563&lt;=0,"",LN(E563)),"")</f>
        <v/>
      </c>
    </row>
    <row r="564" spans="1:6" x14ac:dyDescent="0.25">
      <c r="A564" s="1" t="str">
        <f ca="1">IF(ROW()&lt;=(Results!$C$1/2)+1,INDEX(Data!$V:$V,CEILING((COUNTA(Data!$V:$V)-1)*RAND()+1,1)),"")</f>
        <v/>
      </c>
      <c r="B564" s="1" t="str">
        <f>IF(ROW()&lt;=(Results!$C$1/2)+1,VLOOKUP($A564,Data!$V$2:$W$117,2,TRUE),"")</f>
        <v/>
      </c>
      <c r="C564" s="14" t="str">
        <f>IF(ROW()&lt;=(Results!$C$1/2)+1,IF(B564&lt;=0,"",LN(B564)),"")</f>
        <v/>
      </c>
      <c r="D564" s="1" t="str">
        <f ca="1">IF(ROW()&lt;=(Results!$C$1/2)+1,INDEX(Data!$X:$X,CEILING((COUNTA(Data!$X:$X)-1)*RAND()+1,1)),"")</f>
        <v/>
      </c>
      <c r="E564" s="1" t="str">
        <f>IF(ROW()&lt;=(Results!$C$1/2)+1,VLOOKUP($D564,Data!$X$2:$Y$117,2,TRUE),"")</f>
        <v/>
      </c>
      <c r="F564" s="14" t="str">
        <f>IF(ROW()&lt;=(Results!$C$1/2)+1,IF(E564&lt;=0,"",LN(E564)),"")</f>
        <v/>
      </c>
    </row>
    <row r="565" spans="1:6" x14ac:dyDescent="0.25">
      <c r="A565" s="1" t="str">
        <f ca="1">IF(ROW()&lt;=(Results!$C$1/2)+1,INDEX(Data!$V:$V,CEILING((COUNTA(Data!$V:$V)-1)*RAND()+1,1)),"")</f>
        <v/>
      </c>
      <c r="B565" s="1" t="str">
        <f>IF(ROW()&lt;=(Results!$C$1/2)+1,VLOOKUP($A565,Data!$V$2:$W$117,2,TRUE),"")</f>
        <v/>
      </c>
      <c r="C565" s="14" t="str">
        <f>IF(ROW()&lt;=(Results!$C$1/2)+1,IF(B565&lt;=0,"",LN(B565)),"")</f>
        <v/>
      </c>
      <c r="D565" s="1" t="str">
        <f ca="1">IF(ROW()&lt;=(Results!$C$1/2)+1,INDEX(Data!$X:$X,CEILING((COUNTA(Data!$X:$X)-1)*RAND()+1,1)),"")</f>
        <v/>
      </c>
      <c r="E565" s="1" t="str">
        <f>IF(ROW()&lt;=(Results!$C$1/2)+1,VLOOKUP($D565,Data!$X$2:$Y$117,2,TRUE),"")</f>
        <v/>
      </c>
      <c r="F565" s="14" t="str">
        <f>IF(ROW()&lt;=(Results!$C$1/2)+1,IF(E565&lt;=0,"",LN(E565)),"")</f>
        <v/>
      </c>
    </row>
    <row r="566" spans="1:6" x14ac:dyDescent="0.25">
      <c r="A566" s="1" t="str">
        <f ca="1">IF(ROW()&lt;=(Results!$C$1/2)+1,INDEX(Data!$V:$V,CEILING((COUNTA(Data!$V:$V)-1)*RAND()+1,1)),"")</f>
        <v/>
      </c>
      <c r="B566" s="1" t="str">
        <f>IF(ROW()&lt;=(Results!$C$1/2)+1,VLOOKUP($A566,Data!$V$2:$W$117,2,TRUE),"")</f>
        <v/>
      </c>
      <c r="C566" s="14" t="str">
        <f>IF(ROW()&lt;=(Results!$C$1/2)+1,IF(B566&lt;=0,"",LN(B566)),"")</f>
        <v/>
      </c>
      <c r="D566" s="1" t="str">
        <f ca="1">IF(ROW()&lt;=(Results!$C$1/2)+1,INDEX(Data!$X:$X,CEILING((COUNTA(Data!$X:$X)-1)*RAND()+1,1)),"")</f>
        <v/>
      </c>
      <c r="E566" s="1" t="str">
        <f>IF(ROW()&lt;=(Results!$C$1/2)+1,VLOOKUP($D566,Data!$X$2:$Y$117,2,TRUE),"")</f>
        <v/>
      </c>
      <c r="F566" s="14" t="str">
        <f>IF(ROW()&lt;=(Results!$C$1/2)+1,IF(E566&lt;=0,"",LN(E566)),"")</f>
        <v/>
      </c>
    </row>
    <row r="567" spans="1:6" x14ac:dyDescent="0.25">
      <c r="A567" s="1" t="str">
        <f ca="1">IF(ROW()&lt;=(Results!$C$1/2)+1,INDEX(Data!$V:$V,CEILING((COUNTA(Data!$V:$V)-1)*RAND()+1,1)),"")</f>
        <v/>
      </c>
      <c r="B567" s="1" t="str">
        <f>IF(ROW()&lt;=(Results!$C$1/2)+1,VLOOKUP($A567,Data!$V$2:$W$117,2,TRUE),"")</f>
        <v/>
      </c>
      <c r="C567" s="14" t="str">
        <f>IF(ROW()&lt;=(Results!$C$1/2)+1,IF(B567&lt;=0,"",LN(B567)),"")</f>
        <v/>
      </c>
      <c r="D567" s="1" t="str">
        <f ca="1">IF(ROW()&lt;=(Results!$C$1/2)+1,INDEX(Data!$X:$X,CEILING((COUNTA(Data!$X:$X)-1)*RAND()+1,1)),"")</f>
        <v/>
      </c>
      <c r="E567" s="1" t="str">
        <f>IF(ROW()&lt;=(Results!$C$1/2)+1,VLOOKUP($D567,Data!$X$2:$Y$117,2,TRUE),"")</f>
        <v/>
      </c>
      <c r="F567" s="14" t="str">
        <f>IF(ROW()&lt;=(Results!$C$1/2)+1,IF(E567&lt;=0,"",LN(E567)),"")</f>
        <v/>
      </c>
    </row>
    <row r="568" spans="1:6" x14ac:dyDescent="0.25">
      <c r="A568" s="1" t="str">
        <f ca="1">IF(ROW()&lt;=(Results!$C$1/2)+1,INDEX(Data!$V:$V,CEILING((COUNTA(Data!$V:$V)-1)*RAND()+1,1)),"")</f>
        <v/>
      </c>
      <c r="B568" s="1" t="str">
        <f>IF(ROW()&lt;=(Results!$C$1/2)+1,VLOOKUP($A568,Data!$V$2:$W$117,2,TRUE),"")</f>
        <v/>
      </c>
      <c r="C568" s="14" t="str">
        <f>IF(ROW()&lt;=(Results!$C$1/2)+1,IF(B568&lt;=0,"",LN(B568)),"")</f>
        <v/>
      </c>
      <c r="D568" s="1" t="str">
        <f ca="1">IF(ROW()&lt;=(Results!$C$1/2)+1,INDEX(Data!$X:$X,CEILING((COUNTA(Data!$X:$X)-1)*RAND()+1,1)),"")</f>
        <v/>
      </c>
      <c r="E568" s="1" t="str">
        <f>IF(ROW()&lt;=(Results!$C$1/2)+1,VLOOKUP($D568,Data!$X$2:$Y$117,2,TRUE),"")</f>
        <v/>
      </c>
      <c r="F568" s="14" t="str">
        <f>IF(ROW()&lt;=(Results!$C$1/2)+1,IF(E568&lt;=0,"",LN(E568)),"")</f>
        <v/>
      </c>
    </row>
    <row r="569" spans="1:6" x14ac:dyDescent="0.25">
      <c r="A569" s="1" t="str">
        <f ca="1">IF(ROW()&lt;=(Results!$C$1/2)+1,INDEX(Data!$V:$V,CEILING((COUNTA(Data!$V:$V)-1)*RAND()+1,1)),"")</f>
        <v/>
      </c>
      <c r="B569" s="1" t="str">
        <f>IF(ROW()&lt;=(Results!$C$1/2)+1,VLOOKUP($A569,Data!$V$2:$W$117,2,TRUE),"")</f>
        <v/>
      </c>
      <c r="C569" s="14" t="str">
        <f>IF(ROW()&lt;=(Results!$C$1/2)+1,IF(B569&lt;=0,"",LN(B569)),"")</f>
        <v/>
      </c>
      <c r="D569" s="1" t="str">
        <f ca="1">IF(ROW()&lt;=(Results!$C$1/2)+1,INDEX(Data!$X:$X,CEILING((COUNTA(Data!$X:$X)-1)*RAND()+1,1)),"")</f>
        <v/>
      </c>
      <c r="E569" s="1" t="str">
        <f>IF(ROW()&lt;=(Results!$C$1/2)+1,VLOOKUP($D569,Data!$X$2:$Y$117,2,TRUE),"")</f>
        <v/>
      </c>
      <c r="F569" s="14" t="str">
        <f>IF(ROW()&lt;=(Results!$C$1/2)+1,IF(E569&lt;=0,"",LN(E569)),"")</f>
        <v/>
      </c>
    </row>
    <row r="570" spans="1:6" x14ac:dyDescent="0.25">
      <c r="A570" s="1" t="str">
        <f ca="1">IF(ROW()&lt;=(Results!$C$1/2)+1,INDEX(Data!$V:$V,CEILING((COUNTA(Data!$V:$V)-1)*RAND()+1,1)),"")</f>
        <v/>
      </c>
      <c r="B570" s="1" t="str">
        <f>IF(ROW()&lt;=(Results!$C$1/2)+1,VLOOKUP($A570,Data!$V$2:$W$117,2,TRUE),"")</f>
        <v/>
      </c>
      <c r="C570" s="14" t="str">
        <f>IF(ROW()&lt;=(Results!$C$1/2)+1,IF(B570&lt;=0,"",LN(B570)),"")</f>
        <v/>
      </c>
      <c r="D570" s="1" t="str">
        <f ca="1">IF(ROW()&lt;=(Results!$C$1/2)+1,INDEX(Data!$X:$X,CEILING((COUNTA(Data!$X:$X)-1)*RAND()+1,1)),"")</f>
        <v/>
      </c>
      <c r="E570" s="1" t="str">
        <f>IF(ROW()&lt;=(Results!$C$1/2)+1,VLOOKUP($D570,Data!$X$2:$Y$117,2,TRUE),"")</f>
        <v/>
      </c>
      <c r="F570" s="14" t="str">
        <f>IF(ROW()&lt;=(Results!$C$1/2)+1,IF(E570&lt;=0,"",LN(E570)),"")</f>
        <v/>
      </c>
    </row>
    <row r="571" spans="1:6" x14ac:dyDescent="0.25">
      <c r="A571" s="1" t="str">
        <f ca="1">IF(ROW()&lt;=(Results!$C$1/2)+1,INDEX(Data!$V:$V,CEILING((COUNTA(Data!$V:$V)-1)*RAND()+1,1)),"")</f>
        <v/>
      </c>
      <c r="B571" s="1" t="str">
        <f>IF(ROW()&lt;=(Results!$C$1/2)+1,VLOOKUP($A571,Data!$V$2:$W$117,2,TRUE),"")</f>
        <v/>
      </c>
      <c r="C571" s="14" t="str">
        <f>IF(ROW()&lt;=(Results!$C$1/2)+1,IF(B571&lt;=0,"",LN(B571)),"")</f>
        <v/>
      </c>
      <c r="D571" s="1" t="str">
        <f ca="1">IF(ROW()&lt;=(Results!$C$1/2)+1,INDEX(Data!$X:$X,CEILING((COUNTA(Data!$X:$X)-1)*RAND()+1,1)),"")</f>
        <v/>
      </c>
      <c r="E571" s="1" t="str">
        <f>IF(ROW()&lt;=(Results!$C$1/2)+1,VLOOKUP($D571,Data!$X$2:$Y$117,2,TRUE),"")</f>
        <v/>
      </c>
      <c r="F571" s="14" t="str">
        <f>IF(ROW()&lt;=(Results!$C$1/2)+1,IF(E571&lt;=0,"",LN(E571)),"")</f>
        <v/>
      </c>
    </row>
    <row r="572" spans="1:6" x14ac:dyDescent="0.25">
      <c r="A572" s="1" t="str">
        <f ca="1">IF(ROW()&lt;=(Results!$C$1/2)+1,INDEX(Data!$V:$V,CEILING((COUNTA(Data!$V:$V)-1)*RAND()+1,1)),"")</f>
        <v/>
      </c>
      <c r="B572" s="1" t="str">
        <f>IF(ROW()&lt;=(Results!$C$1/2)+1,VLOOKUP($A572,Data!$V$2:$W$117,2,TRUE),"")</f>
        <v/>
      </c>
      <c r="C572" s="14" t="str">
        <f>IF(ROW()&lt;=(Results!$C$1/2)+1,IF(B572&lt;=0,"",LN(B572)),"")</f>
        <v/>
      </c>
      <c r="D572" s="1" t="str">
        <f ca="1">IF(ROW()&lt;=(Results!$C$1/2)+1,INDEX(Data!$X:$X,CEILING((COUNTA(Data!$X:$X)-1)*RAND()+1,1)),"")</f>
        <v/>
      </c>
      <c r="E572" s="1" t="str">
        <f>IF(ROW()&lt;=(Results!$C$1/2)+1,VLOOKUP($D572,Data!$X$2:$Y$117,2,TRUE),"")</f>
        <v/>
      </c>
      <c r="F572" s="14" t="str">
        <f>IF(ROW()&lt;=(Results!$C$1/2)+1,IF(E572&lt;=0,"",LN(E572)),"")</f>
        <v/>
      </c>
    </row>
    <row r="573" spans="1:6" x14ac:dyDescent="0.25">
      <c r="A573" s="1" t="str">
        <f ca="1">IF(ROW()&lt;=(Results!$C$1/2)+1,INDEX(Data!$V:$V,CEILING((COUNTA(Data!$V:$V)-1)*RAND()+1,1)),"")</f>
        <v/>
      </c>
      <c r="B573" s="1" t="str">
        <f>IF(ROW()&lt;=(Results!$C$1/2)+1,VLOOKUP($A573,Data!$V$2:$W$117,2,TRUE),"")</f>
        <v/>
      </c>
      <c r="C573" s="14" t="str">
        <f>IF(ROW()&lt;=(Results!$C$1/2)+1,IF(B573&lt;=0,"",LN(B573)),"")</f>
        <v/>
      </c>
      <c r="D573" s="1" t="str">
        <f ca="1">IF(ROW()&lt;=(Results!$C$1/2)+1,INDEX(Data!$X:$X,CEILING((COUNTA(Data!$X:$X)-1)*RAND()+1,1)),"")</f>
        <v/>
      </c>
      <c r="E573" s="1" t="str">
        <f>IF(ROW()&lt;=(Results!$C$1/2)+1,VLOOKUP($D573,Data!$X$2:$Y$117,2,TRUE),"")</f>
        <v/>
      </c>
      <c r="F573" s="14" t="str">
        <f>IF(ROW()&lt;=(Results!$C$1/2)+1,IF(E573&lt;=0,"",LN(E573)),"")</f>
        <v/>
      </c>
    </row>
    <row r="574" spans="1:6" x14ac:dyDescent="0.25">
      <c r="A574" s="1" t="str">
        <f ca="1">IF(ROW()&lt;=(Results!$C$1/2)+1,INDEX(Data!$V:$V,CEILING((COUNTA(Data!$V:$V)-1)*RAND()+1,1)),"")</f>
        <v/>
      </c>
      <c r="B574" s="1" t="str">
        <f>IF(ROW()&lt;=(Results!$C$1/2)+1,VLOOKUP($A574,Data!$V$2:$W$117,2,TRUE),"")</f>
        <v/>
      </c>
      <c r="C574" s="14" t="str">
        <f>IF(ROW()&lt;=(Results!$C$1/2)+1,IF(B574&lt;=0,"",LN(B574)),"")</f>
        <v/>
      </c>
      <c r="D574" s="1" t="str">
        <f ca="1">IF(ROW()&lt;=(Results!$C$1/2)+1,INDEX(Data!$X:$X,CEILING((COUNTA(Data!$X:$X)-1)*RAND()+1,1)),"")</f>
        <v/>
      </c>
      <c r="E574" s="1" t="str">
        <f>IF(ROW()&lt;=(Results!$C$1/2)+1,VLOOKUP($D574,Data!$X$2:$Y$117,2,TRUE),"")</f>
        <v/>
      </c>
      <c r="F574" s="14" t="str">
        <f>IF(ROW()&lt;=(Results!$C$1/2)+1,IF(E574&lt;=0,"",LN(E574)),"")</f>
        <v/>
      </c>
    </row>
    <row r="575" spans="1:6" x14ac:dyDescent="0.25">
      <c r="A575" s="1" t="str">
        <f ca="1">IF(ROW()&lt;=(Results!$C$1/2)+1,INDEX(Data!$V:$V,CEILING((COUNTA(Data!$V:$V)-1)*RAND()+1,1)),"")</f>
        <v/>
      </c>
      <c r="B575" s="1" t="str">
        <f>IF(ROW()&lt;=(Results!$C$1/2)+1,VLOOKUP($A575,Data!$V$2:$W$117,2,TRUE),"")</f>
        <v/>
      </c>
      <c r="C575" s="14" t="str">
        <f>IF(ROW()&lt;=(Results!$C$1/2)+1,IF(B575&lt;=0,"",LN(B575)),"")</f>
        <v/>
      </c>
      <c r="D575" s="1" t="str">
        <f ca="1">IF(ROW()&lt;=(Results!$C$1/2)+1,INDEX(Data!$X:$X,CEILING((COUNTA(Data!$X:$X)-1)*RAND()+1,1)),"")</f>
        <v/>
      </c>
      <c r="E575" s="1" t="str">
        <f>IF(ROW()&lt;=(Results!$C$1/2)+1,VLOOKUP($D575,Data!$X$2:$Y$117,2,TRUE),"")</f>
        <v/>
      </c>
      <c r="F575" s="14" t="str">
        <f>IF(ROW()&lt;=(Results!$C$1/2)+1,IF(E575&lt;=0,"",LN(E575)),"")</f>
        <v/>
      </c>
    </row>
    <row r="576" spans="1:6" x14ac:dyDescent="0.25">
      <c r="A576" s="1" t="str">
        <f ca="1">IF(ROW()&lt;=(Results!$C$1/2)+1,INDEX(Data!$V:$V,CEILING((COUNTA(Data!$V:$V)-1)*RAND()+1,1)),"")</f>
        <v/>
      </c>
      <c r="B576" s="1" t="str">
        <f>IF(ROW()&lt;=(Results!$C$1/2)+1,VLOOKUP($A576,Data!$V$2:$W$117,2,TRUE),"")</f>
        <v/>
      </c>
      <c r="C576" s="14" t="str">
        <f>IF(ROW()&lt;=(Results!$C$1/2)+1,IF(B576&lt;=0,"",LN(B576)),"")</f>
        <v/>
      </c>
      <c r="D576" s="1" t="str">
        <f ca="1">IF(ROW()&lt;=(Results!$C$1/2)+1,INDEX(Data!$X:$X,CEILING((COUNTA(Data!$X:$X)-1)*RAND()+1,1)),"")</f>
        <v/>
      </c>
      <c r="E576" s="1" t="str">
        <f>IF(ROW()&lt;=(Results!$C$1/2)+1,VLOOKUP($D576,Data!$X$2:$Y$117,2,TRUE),"")</f>
        <v/>
      </c>
      <c r="F576" s="14" t="str">
        <f>IF(ROW()&lt;=(Results!$C$1/2)+1,IF(E576&lt;=0,"",LN(E576)),"")</f>
        <v/>
      </c>
    </row>
    <row r="577" spans="1:6" x14ac:dyDescent="0.25">
      <c r="A577" s="1" t="str">
        <f ca="1">IF(ROW()&lt;=(Results!$C$1/2)+1,INDEX(Data!$V:$V,CEILING((COUNTA(Data!$V:$V)-1)*RAND()+1,1)),"")</f>
        <v/>
      </c>
      <c r="B577" s="1" t="str">
        <f>IF(ROW()&lt;=(Results!$C$1/2)+1,VLOOKUP($A577,Data!$V$2:$W$117,2,TRUE),"")</f>
        <v/>
      </c>
      <c r="C577" s="14" t="str">
        <f>IF(ROW()&lt;=(Results!$C$1/2)+1,IF(B577&lt;=0,"",LN(B577)),"")</f>
        <v/>
      </c>
      <c r="D577" s="1" t="str">
        <f ca="1">IF(ROW()&lt;=(Results!$C$1/2)+1,INDEX(Data!$X:$X,CEILING((COUNTA(Data!$X:$X)-1)*RAND()+1,1)),"")</f>
        <v/>
      </c>
      <c r="E577" s="1" t="str">
        <f>IF(ROW()&lt;=(Results!$C$1/2)+1,VLOOKUP($D577,Data!$X$2:$Y$117,2,TRUE),"")</f>
        <v/>
      </c>
      <c r="F577" s="14" t="str">
        <f>IF(ROW()&lt;=(Results!$C$1/2)+1,IF(E577&lt;=0,"",LN(E577)),"")</f>
        <v/>
      </c>
    </row>
    <row r="578" spans="1:6" x14ac:dyDescent="0.25">
      <c r="A578" s="1" t="str">
        <f ca="1">IF(ROW()&lt;=(Results!$C$1/2)+1,INDEX(Data!$V:$V,CEILING((COUNTA(Data!$V:$V)-1)*RAND()+1,1)),"")</f>
        <v/>
      </c>
      <c r="B578" s="1" t="str">
        <f>IF(ROW()&lt;=(Results!$C$1/2)+1,VLOOKUP($A578,Data!$V$2:$W$117,2,TRUE),"")</f>
        <v/>
      </c>
      <c r="C578" s="14" t="str">
        <f>IF(ROW()&lt;=(Results!$C$1/2)+1,IF(B578&lt;=0,"",LN(B578)),"")</f>
        <v/>
      </c>
      <c r="D578" s="1" t="str">
        <f ca="1">IF(ROW()&lt;=(Results!$C$1/2)+1,INDEX(Data!$X:$X,CEILING((COUNTA(Data!$X:$X)-1)*RAND()+1,1)),"")</f>
        <v/>
      </c>
      <c r="E578" s="1" t="str">
        <f>IF(ROW()&lt;=(Results!$C$1/2)+1,VLOOKUP($D578,Data!$X$2:$Y$117,2,TRUE),"")</f>
        <v/>
      </c>
      <c r="F578" s="14" t="str">
        <f>IF(ROW()&lt;=(Results!$C$1/2)+1,IF(E578&lt;=0,"",LN(E578)),"")</f>
        <v/>
      </c>
    </row>
    <row r="579" spans="1:6" x14ac:dyDescent="0.25">
      <c r="A579" s="1" t="str">
        <f ca="1">IF(ROW()&lt;=(Results!$C$1/2)+1,INDEX(Data!$V:$V,CEILING((COUNTA(Data!$V:$V)-1)*RAND()+1,1)),"")</f>
        <v/>
      </c>
      <c r="B579" s="1" t="str">
        <f>IF(ROW()&lt;=(Results!$C$1/2)+1,VLOOKUP($A579,Data!$V$2:$W$117,2,TRUE),"")</f>
        <v/>
      </c>
      <c r="C579" s="14" t="str">
        <f>IF(ROW()&lt;=(Results!$C$1/2)+1,IF(B579&lt;=0,"",LN(B579)),"")</f>
        <v/>
      </c>
      <c r="D579" s="1" t="str">
        <f ca="1">IF(ROW()&lt;=(Results!$C$1/2)+1,INDEX(Data!$X:$X,CEILING((COUNTA(Data!$X:$X)-1)*RAND()+1,1)),"")</f>
        <v/>
      </c>
      <c r="E579" s="1" t="str">
        <f>IF(ROW()&lt;=(Results!$C$1/2)+1,VLOOKUP($D579,Data!$X$2:$Y$117,2,TRUE),"")</f>
        <v/>
      </c>
      <c r="F579" s="14" t="str">
        <f>IF(ROW()&lt;=(Results!$C$1/2)+1,IF(E579&lt;=0,"",LN(E579)),"")</f>
        <v/>
      </c>
    </row>
    <row r="580" spans="1:6" x14ac:dyDescent="0.25">
      <c r="A580" s="1" t="str">
        <f ca="1">IF(ROW()&lt;=(Results!$C$1/2)+1,INDEX(Data!$V:$V,CEILING((COUNTA(Data!$V:$V)-1)*RAND()+1,1)),"")</f>
        <v/>
      </c>
      <c r="B580" s="1" t="str">
        <f>IF(ROW()&lt;=(Results!$C$1/2)+1,VLOOKUP($A580,Data!$V$2:$W$117,2,TRUE),"")</f>
        <v/>
      </c>
      <c r="C580" s="14" t="str">
        <f>IF(ROW()&lt;=(Results!$C$1/2)+1,IF(B580&lt;=0,"",LN(B580)),"")</f>
        <v/>
      </c>
      <c r="D580" s="1" t="str">
        <f ca="1">IF(ROW()&lt;=(Results!$C$1/2)+1,INDEX(Data!$X:$X,CEILING((COUNTA(Data!$X:$X)-1)*RAND()+1,1)),"")</f>
        <v/>
      </c>
      <c r="E580" s="1" t="str">
        <f>IF(ROW()&lt;=(Results!$C$1/2)+1,VLOOKUP($D580,Data!$X$2:$Y$117,2,TRUE),"")</f>
        <v/>
      </c>
      <c r="F580" s="14" t="str">
        <f>IF(ROW()&lt;=(Results!$C$1/2)+1,IF(E580&lt;=0,"",LN(E580)),"")</f>
        <v/>
      </c>
    </row>
    <row r="581" spans="1:6" x14ac:dyDescent="0.25">
      <c r="A581" s="1" t="str">
        <f ca="1">IF(ROW()&lt;=(Results!$C$1/2)+1,INDEX(Data!$V:$V,CEILING((COUNTA(Data!$V:$V)-1)*RAND()+1,1)),"")</f>
        <v/>
      </c>
      <c r="B581" s="1" t="str">
        <f>IF(ROW()&lt;=(Results!$C$1/2)+1,VLOOKUP($A581,Data!$V$2:$W$117,2,TRUE),"")</f>
        <v/>
      </c>
      <c r="C581" s="14" t="str">
        <f>IF(ROW()&lt;=(Results!$C$1/2)+1,IF(B581&lt;=0,"",LN(B581)),"")</f>
        <v/>
      </c>
      <c r="D581" s="1" t="str">
        <f ca="1">IF(ROW()&lt;=(Results!$C$1/2)+1,INDEX(Data!$X:$X,CEILING((COUNTA(Data!$X:$X)-1)*RAND()+1,1)),"")</f>
        <v/>
      </c>
      <c r="E581" s="1" t="str">
        <f>IF(ROW()&lt;=(Results!$C$1/2)+1,VLOOKUP($D581,Data!$X$2:$Y$117,2,TRUE),"")</f>
        <v/>
      </c>
      <c r="F581" s="14" t="str">
        <f>IF(ROW()&lt;=(Results!$C$1/2)+1,IF(E581&lt;=0,"",LN(E581)),"")</f>
        <v/>
      </c>
    </row>
    <row r="582" spans="1:6" x14ac:dyDescent="0.25">
      <c r="A582" s="1" t="str">
        <f ca="1">IF(ROW()&lt;=(Results!$C$1/2)+1,INDEX(Data!$V:$V,CEILING((COUNTA(Data!$V:$V)-1)*RAND()+1,1)),"")</f>
        <v/>
      </c>
      <c r="B582" s="1" t="str">
        <f>IF(ROW()&lt;=(Results!$C$1/2)+1,VLOOKUP($A582,Data!$V$2:$W$117,2,TRUE),"")</f>
        <v/>
      </c>
      <c r="C582" s="14" t="str">
        <f>IF(ROW()&lt;=(Results!$C$1/2)+1,IF(B582&lt;=0,"",LN(B582)),"")</f>
        <v/>
      </c>
      <c r="D582" s="1" t="str">
        <f ca="1">IF(ROW()&lt;=(Results!$C$1/2)+1,INDEX(Data!$X:$X,CEILING((COUNTA(Data!$X:$X)-1)*RAND()+1,1)),"")</f>
        <v/>
      </c>
      <c r="E582" s="1" t="str">
        <f>IF(ROW()&lt;=(Results!$C$1/2)+1,VLOOKUP($D582,Data!$X$2:$Y$117,2,TRUE),"")</f>
        <v/>
      </c>
      <c r="F582" s="14" t="str">
        <f>IF(ROW()&lt;=(Results!$C$1/2)+1,IF(E582&lt;=0,"",LN(E582)),"")</f>
        <v/>
      </c>
    </row>
    <row r="583" spans="1:6" x14ac:dyDescent="0.25">
      <c r="A583" s="1" t="str">
        <f ca="1">IF(ROW()&lt;=(Results!$C$1/2)+1,INDEX(Data!$V:$V,CEILING((COUNTA(Data!$V:$V)-1)*RAND()+1,1)),"")</f>
        <v/>
      </c>
      <c r="B583" s="1" t="str">
        <f>IF(ROW()&lt;=(Results!$C$1/2)+1,VLOOKUP($A583,Data!$V$2:$W$117,2,TRUE),"")</f>
        <v/>
      </c>
      <c r="C583" s="14" t="str">
        <f>IF(ROW()&lt;=(Results!$C$1/2)+1,IF(B583&lt;=0,"",LN(B583)),"")</f>
        <v/>
      </c>
      <c r="D583" s="1" t="str">
        <f ca="1">IF(ROW()&lt;=(Results!$C$1/2)+1,INDEX(Data!$X:$X,CEILING((COUNTA(Data!$X:$X)-1)*RAND()+1,1)),"")</f>
        <v/>
      </c>
      <c r="E583" s="1" t="str">
        <f>IF(ROW()&lt;=(Results!$C$1/2)+1,VLOOKUP($D583,Data!$X$2:$Y$117,2,TRUE),"")</f>
        <v/>
      </c>
      <c r="F583" s="14" t="str">
        <f>IF(ROW()&lt;=(Results!$C$1/2)+1,IF(E583&lt;=0,"",LN(E583)),"")</f>
        <v/>
      </c>
    </row>
    <row r="584" spans="1:6" x14ac:dyDescent="0.25">
      <c r="A584" s="1" t="str">
        <f ca="1">IF(ROW()&lt;=(Results!$C$1/2)+1,INDEX(Data!$V:$V,CEILING((COUNTA(Data!$V:$V)-1)*RAND()+1,1)),"")</f>
        <v/>
      </c>
      <c r="B584" s="1" t="str">
        <f>IF(ROW()&lt;=(Results!$C$1/2)+1,VLOOKUP($A584,Data!$V$2:$W$117,2,TRUE),"")</f>
        <v/>
      </c>
      <c r="C584" s="14" t="str">
        <f>IF(ROW()&lt;=(Results!$C$1/2)+1,IF(B584&lt;=0,"",LN(B584)),"")</f>
        <v/>
      </c>
      <c r="D584" s="1" t="str">
        <f ca="1">IF(ROW()&lt;=(Results!$C$1/2)+1,INDEX(Data!$X:$X,CEILING((COUNTA(Data!$X:$X)-1)*RAND()+1,1)),"")</f>
        <v/>
      </c>
      <c r="E584" s="1" t="str">
        <f>IF(ROW()&lt;=(Results!$C$1/2)+1,VLOOKUP($D584,Data!$X$2:$Y$117,2,TRUE),"")</f>
        <v/>
      </c>
      <c r="F584" s="14" t="str">
        <f>IF(ROW()&lt;=(Results!$C$1/2)+1,IF(E584&lt;=0,"",LN(E584)),"")</f>
        <v/>
      </c>
    </row>
    <row r="585" spans="1:6" x14ac:dyDescent="0.25">
      <c r="A585" s="1" t="str">
        <f ca="1">IF(ROW()&lt;=(Results!$C$1/2)+1,INDEX(Data!$V:$V,CEILING((COUNTA(Data!$V:$V)-1)*RAND()+1,1)),"")</f>
        <v/>
      </c>
      <c r="B585" s="1" t="str">
        <f>IF(ROW()&lt;=(Results!$C$1/2)+1,VLOOKUP($A585,Data!$V$2:$W$117,2,TRUE),"")</f>
        <v/>
      </c>
      <c r="C585" s="14" t="str">
        <f>IF(ROW()&lt;=(Results!$C$1/2)+1,IF(B585&lt;=0,"",LN(B585)),"")</f>
        <v/>
      </c>
      <c r="D585" s="1" t="str">
        <f ca="1">IF(ROW()&lt;=(Results!$C$1/2)+1,INDEX(Data!$X:$X,CEILING((COUNTA(Data!$X:$X)-1)*RAND()+1,1)),"")</f>
        <v/>
      </c>
      <c r="E585" s="1" t="str">
        <f>IF(ROW()&lt;=(Results!$C$1/2)+1,VLOOKUP($D585,Data!$X$2:$Y$117,2,TRUE),"")</f>
        <v/>
      </c>
      <c r="F585" s="14" t="str">
        <f>IF(ROW()&lt;=(Results!$C$1/2)+1,IF(E585&lt;=0,"",LN(E585)),"")</f>
        <v/>
      </c>
    </row>
    <row r="586" spans="1:6" x14ac:dyDescent="0.25">
      <c r="A586" s="1" t="str">
        <f ca="1">IF(ROW()&lt;=(Results!$C$1/2)+1,INDEX(Data!$V:$V,CEILING((COUNTA(Data!$V:$V)-1)*RAND()+1,1)),"")</f>
        <v/>
      </c>
      <c r="B586" s="1" t="str">
        <f>IF(ROW()&lt;=(Results!$C$1/2)+1,VLOOKUP($A586,Data!$V$2:$W$117,2,TRUE),"")</f>
        <v/>
      </c>
      <c r="C586" s="14" t="str">
        <f>IF(ROW()&lt;=(Results!$C$1/2)+1,IF(B586&lt;=0,"",LN(B586)),"")</f>
        <v/>
      </c>
      <c r="D586" s="1" t="str">
        <f ca="1">IF(ROW()&lt;=(Results!$C$1/2)+1,INDEX(Data!$X:$X,CEILING((COUNTA(Data!$X:$X)-1)*RAND()+1,1)),"")</f>
        <v/>
      </c>
      <c r="E586" s="1" t="str">
        <f>IF(ROW()&lt;=(Results!$C$1/2)+1,VLOOKUP($D586,Data!$X$2:$Y$117,2,TRUE),"")</f>
        <v/>
      </c>
      <c r="F586" s="14" t="str">
        <f>IF(ROW()&lt;=(Results!$C$1/2)+1,IF(E586&lt;=0,"",LN(E586)),"")</f>
        <v/>
      </c>
    </row>
    <row r="587" spans="1:6" x14ac:dyDescent="0.25">
      <c r="A587" s="1" t="str">
        <f ca="1">IF(ROW()&lt;=(Results!$C$1/2)+1,INDEX(Data!$V:$V,CEILING((COUNTA(Data!$V:$V)-1)*RAND()+1,1)),"")</f>
        <v/>
      </c>
      <c r="B587" s="1" t="str">
        <f>IF(ROW()&lt;=(Results!$C$1/2)+1,VLOOKUP($A587,Data!$V$2:$W$117,2,TRUE),"")</f>
        <v/>
      </c>
      <c r="C587" s="14" t="str">
        <f>IF(ROW()&lt;=(Results!$C$1/2)+1,IF(B587&lt;=0,"",LN(B587)),"")</f>
        <v/>
      </c>
      <c r="D587" s="1" t="str">
        <f ca="1">IF(ROW()&lt;=(Results!$C$1/2)+1,INDEX(Data!$X:$X,CEILING((COUNTA(Data!$X:$X)-1)*RAND()+1,1)),"")</f>
        <v/>
      </c>
      <c r="E587" s="1" t="str">
        <f>IF(ROW()&lt;=(Results!$C$1/2)+1,VLOOKUP($D587,Data!$X$2:$Y$117,2,TRUE),"")</f>
        <v/>
      </c>
      <c r="F587" s="14" t="str">
        <f>IF(ROW()&lt;=(Results!$C$1/2)+1,IF(E587&lt;=0,"",LN(E587)),"")</f>
        <v/>
      </c>
    </row>
    <row r="588" spans="1:6" x14ac:dyDescent="0.25">
      <c r="A588" s="1" t="str">
        <f ca="1">IF(ROW()&lt;=(Results!$C$1/2)+1,INDEX(Data!$V:$V,CEILING((COUNTA(Data!$V:$V)-1)*RAND()+1,1)),"")</f>
        <v/>
      </c>
      <c r="B588" s="1" t="str">
        <f>IF(ROW()&lt;=(Results!$C$1/2)+1,VLOOKUP($A588,Data!$V$2:$W$117,2,TRUE),"")</f>
        <v/>
      </c>
      <c r="C588" s="14" t="str">
        <f>IF(ROW()&lt;=(Results!$C$1/2)+1,IF(B588&lt;=0,"",LN(B588)),"")</f>
        <v/>
      </c>
      <c r="D588" s="1" t="str">
        <f ca="1">IF(ROW()&lt;=(Results!$C$1/2)+1,INDEX(Data!$X:$X,CEILING((COUNTA(Data!$X:$X)-1)*RAND()+1,1)),"")</f>
        <v/>
      </c>
      <c r="E588" s="1" t="str">
        <f>IF(ROW()&lt;=(Results!$C$1/2)+1,VLOOKUP($D588,Data!$X$2:$Y$117,2,TRUE),"")</f>
        <v/>
      </c>
      <c r="F588" s="14" t="str">
        <f>IF(ROW()&lt;=(Results!$C$1/2)+1,IF(E588&lt;=0,"",LN(E588)),"")</f>
        <v/>
      </c>
    </row>
    <row r="589" spans="1:6" x14ac:dyDescent="0.25">
      <c r="A589" s="1" t="str">
        <f ca="1">IF(ROW()&lt;=(Results!$C$1/2)+1,INDEX(Data!$V:$V,CEILING((COUNTA(Data!$V:$V)-1)*RAND()+1,1)),"")</f>
        <v/>
      </c>
      <c r="B589" s="1" t="str">
        <f>IF(ROW()&lt;=(Results!$C$1/2)+1,VLOOKUP($A589,Data!$V$2:$W$117,2,TRUE),"")</f>
        <v/>
      </c>
      <c r="C589" s="14" t="str">
        <f>IF(ROW()&lt;=(Results!$C$1/2)+1,IF(B589&lt;=0,"",LN(B589)),"")</f>
        <v/>
      </c>
      <c r="D589" s="1" t="str">
        <f ca="1">IF(ROW()&lt;=(Results!$C$1/2)+1,INDEX(Data!$X:$X,CEILING((COUNTA(Data!$X:$X)-1)*RAND()+1,1)),"")</f>
        <v/>
      </c>
      <c r="E589" s="1" t="str">
        <f>IF(ROW()&lt;=(Results!$C$1/2)+1,VLOOKUP($D589,Data!$X$2:$Y$117,2,TRUE),"")</f>
        <v/>
      </c>
      <c r="F589" s="14" t="str">
        <f>IF(ROW()&lt;=(Results!$C$1/2)+1,IF(E589&lt;=0,"",LN(E589)),"")</f>
        <v/>
      </c>
    </row>
    <row r="590" spans="1:6" x14ac:dyDescent="0.25">
      <c r="A590" s="1" t="str">
        <f ca="1">IF(ROW()&lt;=(Results!$C$1/2)+1,INDEX(Data!$V:$V,CEILING((COUNTA(Data!$V:$V)-1)*RAND()+1,1)),"")</f>
        <v/>
      </c>
      <c r="B590" s="1" t="str">
        <f>IF(ROW()&lt;=(Results!$C$1/2)+1,VLOOKUP($A590,Data!$V$2:$W$117,2,TRUE),"")</f>
        <v/>
      </c>
      <c r="C590" s="14" t="str">
        <f>IF(ROW()&lt;=(Results!$C$1/2)+1,IF(B590&lt;=0,"",LN(B590)),"")</f>
        <v/>
      </c>
      <c r="D590" s="1" t="str">
        <f ca="1">IF(ROW()&lt;=(Results!$C$1/2)+1,INDEX(Data!$X:$X,CEILING((COUNTA(Data!$X:$X)-1)*RAND()+1,1)),"")</f>
        <v/>
      </c>
      <c r="E590" s="1" t="str">
        <f>IF(ROW()&lt;=(Results!$C$1/2)+1,VLOOKUP($D590,Data!$X$2:$Y$117,2,TRUE),"")</f>
        <v/>
      </c>
      <c r="F590" s="14" t="str">
        <f>IF(ROW()&lt;=(Results!$C$1/2)+1,IF(E590&lt;=0,"",LN(E590)),"")</f>
        <v/>
      </c>
    </row>
    <row r="591" spans="1:6" x14ac:dyDescent="0.25">
      <c r="A591" s="1" t="str">
        <f ca="1">IF(ROW()&lt;=(Results!$C$1/2)+1,INDEX(Data!$V:$V,CEILING((COUNTA(Data!$V:$V)-1)*RAND()+1,1)),"")</f>
        <v/>
      </c>
      <c r="B591" s="1" t="str">
        <f>IF(ROW()&lt;=(Results!$C$1/2)+1,VLOOKUP($A591,Data!$V$2:$W$117,2,TRUE),"")</f>
        <v/>
      </c>
      <c r="C591" s="14" t="str">
        <f>IF(ROW()&lt;=(Results!$C$1/2)+1,IF(B591&lt;=0,"",LN(B591)),"")</f>
        <v/>
      </c>
      <c r="D591" s="1" t="str">
        <f ca="1">IF(ROW()&lt;=(Results!$C$1/2)+1,INDEX(Data!$X:$X,CEILING((COUNTA(Data!$X:$X)-1)*RAND()+1,1)),"")</f>
        <v/>
      </c>
      <c r="E591" s="1" t="str">
        <f>IF(ROW()&lt;=(Results!$C$1/2)+1,VLOOKUP($D591,Data!$X$2:$Y$117,2,TRUE),"")</f>
        <v/>
      </c>
      <c r="F591" s="14" t="str">
        <f>IF(ROW()&lt;=(Results!$C$1/2)+1,IF(E591&lt;=0,"",LN(E591)),"")</f>
        <v/>
      </c>
    </row>
    <row r="592" spans="1:6" x14ac:dyDescent="0.25">
      <c r="A592" s="1" t="str">
        <f ca="1">IF(ROW()&lt;=(Results!$C$1/2)+1,INDEX(Data!$V:$V,CEILING((COUNTA(Data!$V:$V)-1)*RAND()+1,1)),"")</f>
        <v/>
      </c>
      <c r="B592" s="1" t="str">
        <f>IF(ROW()&lt;=(Results!$C$1/2)+1,VLOOKUP($A592,Data!$V$2:$W$117,2,TRUE),"")</f>
        <v/>
      </c>
      <c r="C592" s="14" t="str">
        <f>IF(ROW()&lt;=(Results!$C$1/2)+1,IF(B592&lt;=0,"",LN(B592)),"")</f>
        <v/>
      </c>
      <c r="D592" s="1" t="str">
        <f ca="1">IF(ROW()&lt;=(Results!$C$1/2)+1,INDEX(Data!$X:$X,CEILING((COUNTA(Data!$X:$X)-1)*RAND()+1,1)),"")</f>
        <v/>
      </c>
      <c r="E592" s="1" t="str">
        <f>IF(ROW()&lt;=(Results!$C$1/2)+1,VLOOKUP($D592,Data!$X$2:$Y$117,2,TRUE),"")</f>
        <v/>
      </c>
      <c r="F592" s="14" t="str">
        <f>IF(ROW()&lt;=(Results!$C$1/2)+1,IF(E592&lt;=0,"",LN(E592)),"")</f>
        <v/>
      </c>
    </row>
    <row r="593" spans="1:6" x14ac:dyDescent="0.25">
      <c r="A593" s="1" t="str">
        <f ca="1">IF(ROW()&lt;=(Results!$C$1/2)+1,INDEX(Data!$V:$V,CEILING((COUNTA(Data!$V:$V)-1)*RAND()+1,1)),"")</f>
        <v/>
      </c>
      <c r="B593" s="1" t="str">
        <f>IF(ROW()&lt;=(Results!$C$1/2)+1,VLOOKUP($A593,Data!$V$2:$W$117,2,TRUE),"")</f>
        <v/>
      </c>
      <c r="C593" s="14" t="str">
        <f>IF(ROW()&lt;=(Results!$C$1/2)+1,IF(B593&lt;=0,"",LN(B593)),"")</f>
        <v/>
      </c>
      <c r="D593" s="1" t="str">
        <f ca="1">IF(ROW()&lt;=(Results!$C$1/2)+1,INDEX(Data!$X:$X,CEILING((COUNTA(Data!$X:$X)-1)*RAND()+1,1)),"")</f>
        <v/>
      </c>
      <c r="E593" s="1" t="str">
        <f>IF(ROW()&lt;=(Results!$C$1/2)+1,VLOOKUP($D593,Data!$X$2:$Y$117,2,TRUE),"")</f>
        <v/>
      </c>
      <c r="F593" s="14" t="str">
        <f>IF(ROW()&lt;=(Results!$C$1/2)+1,IF(E593&lt;=0,"",LN(E593)),"")</f>
        <v/>
      </c>
    </row>
    <row r="594" spans="1:6" x14ac:dyDescent="0.25">
      <c r="A594" s="1" t="str">
        <f ca="1">IF(ROW()&lt;=(Results!$C$1/2)+1,INDEX(Data!$V:$V,CEILING((COUNTA(Data!$V:$V)-1)*RAND()+1,1)),"")</f>
        <v/>
      </c>
      <c r="B594" s="1" t="str">
        <f>IF(ROW()&lt;=(Results!$C$1/2)+1,VLOOKUP($A594,Data!$V$2:$W$117,2,TRUE),"")</f>
        <v/>
      </c>
      <c r="C594" s="14" t="str">
        <f>IF(ROW()&lt;=(Results!$C$1/2)+1,IF(B594&lt;=0,"",LN(B594)),"")</f>
        <v/>
      </c>
      <c r="D594" s="1" t="str">
        <f ca="1">IF(ROW()&lt;=(Results!$C$1/2)+1,INDEX(Data!$X:$X,CEILING((COUNTA(Data!$X:$X)-1)*RAND()+1,1)),"")</f>
        <v/>
      </c>
      <c r="E594" s="1" t="str">
        <f>IF(ROW()&lt;=(Results!$C$1/2)+1,VLOOKUP($D594,Data!$X$2:$Y$117,2,TRUE),"")</f>
        <v/>
      </c>
      <c r="F594" s="14" t="str">
        <f>IF(ROW()&lt;=(Results!$C$1/2)+1,IF(E594&lt;=0,"",LN(E594)),"")</f>
        <v/>
      </c>
    </row>
    <row r="595" spans="1:6" x14ac:dyDescent="0.25">
      <c r="A595" s="1" t="str">
        <f ca="1">IF(ROW()&lt;=(Results!$C$1/2)+1,INDEX(Data!$V:$V,CEILING((COUNTA(Data!$V:$V)-1)*RAND()+1,1)),"")</f>
        <v/>
      </c>
      <c r="B595" s="1" t="str">
        <f>IF(ROW()&lt;=(Results!$C$1/2)+1,VLOOKUP($A595,Data!$V$2:$W$117,2,TRUE),"")</f>
        <v/>
      </c>
      <c r="C595" s="14" t="str">
        <f>IF(ROW()&lt;=(Results!$C$1/2)+1,IF(B595&lt;=0,"",LN(B595)),"")</f>
        <v/>
      </c>
      <c r="D595" s="1" t="str">
        <f ca="1">IF(ROW()&lt;=(Results!$C$1/2)+1,INDEX(Data!$X:$X,CEILING((COUNTA(Data!$X:$X)-1)*RAND()+1,1)),"")</f>
        <v/>
      </c>
      <c r="E595" s="1" t="str">
        <f>IF(ROW()&lt;=(Results!$C$1/2)+1,VLOOKUP($D595,Data!$X$2:$Y$117,2,TRUE),"")</f>
        <v/>
      </c>
      <c r="F595" s="14" t="str">
        <f>IF(ROW()&lt;=(Results!$C$1/2)+1,IF(E595&lt;=0,"",LN(E595)),"")</f>
        <v/>
      </c>
    </row>
    <row r="596" spans="1:6" x14ac:dyDescent="0.25">
      <c r="A596" s="1" t="str">
        <f ca="1">IF(ROW()&lt;=(Results!$C$1/2)+1,INDEX(Data!$V:$V,CEILING((COUNTA(Data!$V:$V)-1)*RAND()+1,1)),"")</f>
        <v/>
      </c>
      <c r="B596" s="1" t="str">
        <f>IF(ROW()&lt;=(Results!$C$1/2)+1,VLOOKUP($A596,Data!$V$2:$W$117,2,TRUE),"")</f>
        <v/>
      </c>
      <c r="C596" s="14" t="str">
        <f>IF(ROW()&lt;=(Results!$C$1/2)+1,IF(B596&lt;=0,"",LN(B596)),"")</f>
        <v/>
      </c>
      <c r="D596" s="1" t="str">
        <f ca="1">IF(ROW()&lt;=(Results!$C$1/2)+1,INDEX(Data!$X:$X,CEILING((COUNTA(Data!$X:$X)-1)*RAND()+1,1)),"")</f>
        <v/>
      </c>
      <c r="E596" s="1" t="str">
        <f>IF(ROW()&lt;=(Results!$C$1/2)+1,VLOOKUP($D596,Data!$X$2:$Y$117,2,TRUE),"")</f>
        <v/>
      </c>
      <c r="F596" s="14" t="str">
        <f>IF(ROW()&lt;=(Results!$C$1/2)+1,IF(E596&lt;=0,"",LN(E596)),"")</f>
        <v/>
      </c>
    </row>
    <row r="597" spans="1:6" x14ac:dyDescent="0.25">
      <c r="A597" s="1" t="str">
        <f ca="1">IF(ROW()&lt;=(Results!$C$1/2)+1,INDEX(Data!$V:$V,CEILING((COUNTA(Data!$V:$V)-1)*RAND()+1,1)),"")</f>
        <v/>
      </c>
      <c r="B597" s="1" t="str">
        <f>IF(ROW()&lt;=(Results!$C$1/2)+1,VLOOKUP($A597,Data!$V$2:$W$117,2,TRUE),"")</f>
        <v/>
      </c>
      <c r="C597" s="14" t="str">
        <f>IF(ROW()&lt;=(Results!$C$1/2)+1,IF(B597&lt;=0,"",LN(B597)),"")</f>
        <v/>
      </c>
      <c r="D597" s="1" t="str">
        <f ca="1">IF(ROW()&lt;=(Results!$C$1/2)+1,INDEX(Data!$X:$X,CEILING((COUNTA(Data!$X:$X)-1)*RAND()+1,1)),"")</f>
        <v/>
      </c>
      <c r="E597" s="1" t="str">
        <f>IF(ROW()&lt;=(Results!$C$1/2)+1,VLOOKUP($D597,Data!$X$2:$Y$117,2,TRUE),"")</f>
        <v/>
      </c>
      <c r="F597" s="14" t="str">
        <f>IF(ROW()&lt;=(Results!$C$1/2)+1,IF(E597&lt;=0,"",LN(E597)),"")</f>
        <v/>
      </c>
    </row>
    <row r="598" spans="1:6" x14ac:dyDescent="0.25">
      <c r="A598" s="1" t="str">
        <f ca="1">IF(ROW()&lt;=(Results!$C$1/2)+1,INDEX(Data!$V:$V,CEILING((COUNTA(Data!$V:$V)-1)*RAND()+1,1)),"")</f>
        <v/>
      </c>
      <c r="B598" s="1" t="str">
        <f>IF(ROW()&lt;=(Results!$C$1/2)+1,VLOOKUP($A598,Data!$V$2:$W$117,2,TRUE),"")</f>
        <v/>
      </c>
      <c r="C598" s="14" t="str">
        <f>IF(ROW()&lt;=(Results!$C$1/2)+1,IF(B598&lt;=0,"",LN(B598)),"")</f>
        <v/>
      </c>
      <c r="D598" s="1" t="str">
        <f ca="1">IF(ROW()&lt;=(Results!$C$1/2)+1,INDEX(Data!$X:$X,CEILING((COUNTA(Data!$X:$X)-1)*RAND()+1,1)),"")</f>
        <v/>
      </c>
      <c r="E598" s="1" t="str">
        <f>IF(ROW()&lt;=(Results!$C$1/2)+1,VLOOKUP($D598,Data!$X$2:$Y$117,2,TRUE),"")</f>
        <v/>
      </c>
      <c r="F598" s="14" t="str">
        <f>IF(ROW()&lt;=(Results!$C$1/2)+1,IF(E598&lt;=0,"",LN(E598)),"")</f>
        <v/>
      </c>
    </row>
    <row r="599" spans="1:6" x14ac:dyDescent="0.25">
      <c r="A599" s="1" t="str">
        <f ca="1">IF(ROW()&lt;=(Results!$C$1/2)+1,INDEX(Data!$V:$V,CEILING((COUNTA(Data!$V:$V)-1)*RAND()+1,1)),"")</f>
        <v/>
      </c>
      <c r="B599" s="1" t="str">
        <f>IF(ROW()&lt;=(Results!$C$1/2)+1,VLOOKUP($A599,Data!$V$2:$W$117,2,TRUE),"")</f>
        <v/>
      </c>
      <c r="C599" s="14" t="str">
        <f>IF(ROW()&lt;=(Results!$C$1/2)+1,IF(B599&lt;=0,"",LN(B599)),"")</f>
        <v/>
      </c>
      <c r="D599" s="1" t="str">
        <f ca="1">IF(ROW()&lt;=(Results!$C$1/2)+1,INDEX(Data!$X:$X,CEILING((COUNTA(Data!$X:$X)-1)*RAND()+1,1)),"")</f>
        <v/>
      </c>
      <c r="E599" s="1" t="str">
        <f>IF(ROW()&lt;=(Results!$C$1/2)+1,VLOOKUP($D599,Data!$X$2:$Y$117,2,TRUE),"")</f>
        <v/>
      </c>
      <c r="F599" s="14" t="str">
        <f>IF(ROW()&lt;=(Results!$C$1/2)+1,IF(E599&lt;=0,"",LN(E599)),"")</f>
        <v/>
      </c>
    </row>
    <row r="600" spans="1:6" x14ac:dyDescent="0.25">
      <c r="A600" s="1" t="str">
        <f ca="1">IF(ROW()&lt;=(Results!$C$1/2)+1,INDEX(Data!$V:$V,CEILING((COUNTA(Data!$V:$V)-1)*RAND()+1,1)),"")</f>
        <v/>
      </c>
      <c r="B600" s="1" t="str">
        <f>IF(ROW()&lt;=(Results!$C$1/2)+1,VLOOKUP($A600,Data!$V$2:$W$117,2,TRUE),"")</f>
        <v/>
      </c>
      <c r="C600" s="14" t="str">
        <f>IF(ROW()&lt;=(Results!$C$1/2)+1,IF(B600&lt;=0,"",LN(B600)),"")</f>
        <v/>
      </c>
      <c r="D600" s="1" t="str">
        <f ca="1">IF(ROW()&lt;=(Results!$C$1/2)+1,INDEX(Data!$X:$X,CEILING((COUNTA(Data!$X:$X)-1)*RAND()+1,1)),"")</f>
        <v/>
      </c>
      <c r="E600" s="1" t="str">
        <f>IF(ROW()&lt;=(Results!$C$1/2)+1,VLOOKUP($D600,Data!$X$2:$Y$117,2,TRUE),"")</f>
        <v/>
      </c>
      <c r="F600" s="14" t="str">
        <f>IF(ROW()&lt;=(Results!$C$1/2)+1,IF(E600&lt;=0,"",LN(E600)),"")</f>
        <v/>
      </c>
    </row>
    <row r="601" spans="1:6" x14ac:dyDescent="0.25">
      <c r="A601" s="1" t="str">
        <f ca="1">IF(ROW()&lt;=(Results!$C$1/2)+1,INDEX(Data!$V:$V,CEILING((COUNTA(Data!$V:$V)-1)*RAND()+1,1)),"")</f>
        <v/>
      </c>
      <c r="B601" s="1" t="str">
        <f>IF(ROW()&lt;=(Results!$C$1/2)+1,VLOOKUP($A601,Data!$V$2:$W$117,2,TRUE),"")</f>
        <v/>
      </c>
      <c r="C601" s="14" t="str">
        <f>IF(ROW()&lt;=(Results!$C$1/2)+1,IF(B601&lt;=0,"",LN(B601)),"")</f>
        <v/>
      </c>
      <c r="D601" s="1" t="str">
        <f ca="1">IF(ROW()&lt;=(Results!$C$1/2)+1,INDEX(Data!$X:$X,CEILING((COUNTA(Data!$X:$X)-1)*RAND()+1,1)),"")</f>
        <v/>
      </c>
      <c r="E601" s="1" t="str">
        <f>IF(ROW()&lt;=(Results!$C$1/2)+1,VLOOKUP($D601,Data!$X$2:$Y$117,2,TRUE),"")</f>
        <v/>
      </c>
      <c r="F601" s="14" t="str">
        <f>IF(ROW()&lt;=(Results!$C$1/2)+1,IF(E601&lt;=0,"",LN(E601)),"")</f>
        <v/>
      </c>
    </row>
    <row r="602" spans="1:6" x14ac:dyDescent="0.25">
      <c r="A602" s="1" t="str">
        <f ca="1">IF(ROW()&lt;=(Results!$C$1/2)+1,INDEX(Data!$V:$V,CEILING((COUNTA(Data!$V:$V)-1)*RAND()+1,1)),"")</f>
        <v/>
      </c>
      <c r="B602" s="1" t="str">
        <f>IF(ROW()&lt;=(Results!$C$1/2)+1,VLOOKUP($A602,Data!$V$2:$W$117,2,TRUE),"")</f>
        <v/>
      </c>
      <c r="C602" s="14" t="str">
        <f>IF(ROW()&lt;=(Results!$C$1/2)+1,IF(B602&lt;=0,"",LN(B602)),"")</f>
        <v/>
      </c>
      <c r="D602" s="1" t="str">
        <f ca="1">IF(ROW()&lt;=(Results!$C$1/2)+1,INDEX(Data!$X:$X,CEILING((COUNTA(Data!$X:$X)-1)*RAND()+1,1)),"")</f>
        <v/>
      </c>
      <c r="E602" s="1" t="str">
        <f>IF(ROW()&lt;=(Results!$C$1/2)+1,VLOOKUP($D602,Data!$X$2:$Y$117,2,TRUE),"")</f>
        <v/>
      </c>
      <c r="F602" s="14" t="str">
        <f>IF(ROW()&lt;=(Results!$C$1/2)+1,IF(E602&lt;=0,"",LN(E602)),"")</f>
        <v/>
      </c>
    </row>
    <row r="603" spans="1:6" x14ac:dyDescent="0.25">
      <c r="A603" s="1" t="str">
        <f ca="1">IF(ROW()&lt;=(Results!$C$1/2)+1,INDEX(Data!$V:$V,CEILING((COUNTA(Data!$V:$V)-1)*RAND()+1,1)),"")</f>
        <v/>
      </c>
      <c r="B603" s="1" t="str">
        <f>IF(ROW()&lt;=(Results!$C$1/2)+1,VLOOKUP($A603,Data!$V$2:$W$117,2,TRUE),"")</f>
        <v/>
      </c>
      <c r="C603" s="14" t="str">
        <f>IF(ROW()&lt;=(Results!$C$1/2)+1,IF(B603&lt;=0,"",LN(B603)),"")</f>
        <v/>
      </c>
      <c r="D603" s="1" t="str">
        <f ca="1">IF(ROW()&lt;=(Results!$C$1/2)+1,INDEX(Data!$X:$X,CEILING((COUNTA(Data!$X:$X)-1)*RAND()+1,1)),"")</f>
        <v/>
      </c>
      <c r="E603" s="1" t="str">
        <f>IF(ROW()&lt;=(Results!$C$1/2)+1,VLOOKUP($D603,Data!$X$2:$Y$117,2,TRUE),"")</f>
        <v/>
      </c>
      <c r="F603" s="14" t="str">
        <f>IF(ROW()&lt;=(Results!$C$1/2)+1,IF(E603&lt;=0,"",LN(E603)),"")</f>
        <v/>
      </c>
    </row>
    <row r="604" spans="1:6" x14ac:dyDescent="0.25">
      <c r="A604" s="1" t="str">
        <f ca="1">IF(ROW()&lt;=(Results!$C$1/2)+1,INDEX(Data!$V:$V,CEILING((COUNTA(Data!$V:$V)-1)*RAND()+1,1)),"")</f>
        <v/>
      </c>
      <c r="B604" s="1" t="str">
        <f>IF(ROW()&lt;=(Results!$C$1/2)+1,VLOOKUP($A604,Data!$V$2:$W$117,2,TRUE),"")</f>
        <v/>
      </c>
      <c r="C604" s="14" t="str">
        <f>IF(ROW()&lt;=(Results!$C$1/2)+1,IF(B604&lt;=0,"",LN(B604)),"")</f>
        <v/>
      </c>
      <c r="D604" s="1" t="str">
        <f ca="1">IF(ROW()&lt;=(Results!$C$1/2)+1,INDEX(Data!$X:$X,CEILING((COUNTA(Data!$X:$X)-1)*RAND()+1,1)),"")</f>
        <v/>
      </c>
      <c r="E604" s="1" t="str">
        <f>IF(ROW()&lt;=(Results!$C$1/2)+1,VLOOKUP($D604,Data!$X$2:$Y$117,2,TRUE),"")</f>
        <v/>
      </c>
      <c r="F604" s="14" t="str">
        <f>IF(ROW()&lt;=(Results!$C$1/2)+1,IF(E604&lt;=0,"",LN(E604)),"")</f>
        <v/>
      </c>
    </row>
    <row r="605" spans="1:6" x14ac:dyDescent="0.25">
      <c r="A605" s="1" t="str">
        <f ca="1">IF(ROW()&lt;=(Results!$C$1/2)+1,INDEX(Data!$V:$V,CEILING((COUNTA(Data!$V:$V)-1)*RAND()+1,1)),"")</f>
        <v/>
      </c>
      <c r="B605" s="1" t="str">
        <f>IF(ROW()&lt;=(Results!$C$1/2)+1,VLOOKUP($A605,Data!$V$2:$W$117,2,TRUE),"")</f>
        <v/>
      </c>
      <c r="C605" s="14" t="str">
        <f>IF(ROW()&lt;=(Results!$C$1/2)+1,IF(B605&lt;=0,"",LN(B605)),"")</f>
        <v/>
      </c>
      <c r="D605" s="1" t="str">
        <f ca="1">IF(ROW()&lt;=(Results!$C$1/2)+1,INDEX(Data!$X:$X,CEILING((COUNTA(Data!$X:$X)-1)*RAND()+1,1)),"")</f>
        <v/>
      </c>
      <c r="E605" s="1" t="str">
        <f>IF(ROW()&lt;=(Results!$C$1/2)+1,VLOOKUP($D605,Data!$X$2:$Y$117,2,TRUE),"")</f>
        <v/>
      </c>
      <c r="F605" s="14" t="str">
        <f>IF(ROW()&lt;=(Results!$C$1/2)+1,IF(E605&lt;=0,"",LN(E605)),"")</f>
        <v/>
      </c>
    </row>
    <row r="606" spans="1:6" x14ac:dyDescent="0.25">
      <c r="A606" s="1" t="str">
        <f ca="1">IF(ROW()&lt;=(Results!$C$1/2)+1,INDEX(Data!$V:$V,CEILING((COUNTA(Data!$V:$V)-1)*RAND()+1,1)),"")</f>
        <v/>
      </c>
      <c r="B606" s="1" t="str">
        <f>IF(ROW()&lt;=(Results!$C$1/2)+1,VLOOKUP($A606,Data!$V$2:$W$117,2,TRUE),"")</f>
        <v/>
      </c>
      <c r="C606" s="14" t="str">
        <f>IF(ROW()&lt;=(Results!$C$1/2)+1,IF(B606&lt;=0,"",LN(B606)),"")</f>
        <v/>
      </c>
      <c r="D606" s="1" t="str">
        <f ca="1">IF(ROW()&lt;=(Results!$C$1/2)+1,INDEX(Data!$X:$X,CEILING((COUNTA(Data!$X:$X)-1)*RAND()+1,1)),"")</f>
        <v/>
      </c>
      <c r="E606" s="1" t="str">
        <f>IF(ROW()&lt;=(Results!$C$1/2)+1,VLOOKUP($D606,Data!$X$2:$Y$117,2,TRUE),"")</f>
        <v/>
      </c>
      <c r="F606" s="14" t="str">
        <f>IF(ROW()&lt;=(Results!$C$1/2)+1,IF(E606&lt;=0,"",LN(E606)),"")</f>
        <v/>
      </c>
    </row>
    <row r="607" spans="1:6" x14ac:dyDescent="0.25">
      <c r="A607" s="1" t="str">
        <f ca="1">IF(ROW()&lt;=(Results!$C$1/2)+1,INDEX(Data!$V:$V,CEILING((COUNTA(Data!$V:$V)-1)*RAND()+1,1)),"")</f>
        <v/>
      </c>
      <c r="B607" s="1" t="str">
        <f>IF(ROW()&lt;=(Results!$C$1/2)+1,VLOOKUP($A607,Data!$V$2:$W$117,2,TRUE),"")</f>
        <v/>
      </c>
      <c r="C607" s="14" t="str">
        <f>IF(ROW()&lt;=(Results!$C$1/2)+1,IF(B607&lt;=0,"",LN(B607)),"")</f>
        <v/>
      </c>
      <c r="D607" s="1" t="str">
        <f ca="1">IF(ROW()&lt;=(Results!$C$1/2)+1,INDEX(Data!$X:$X,CEILING((COUNTA(Data!$X:$X)-1)*RAND()+1,1)),"")</f>
        <v/>
      </c>
      <c r="E607" s="1" t="str">
        <f>IF(ROW()&lt;=(Results!$C$1/2)+1,VLOOKUP($D607,Data!$X$2:$Y$117,2,TRUE),"")</f>
        <v/>
      </c>
      <c r="F607" s="14" t="str">
        <f>IF(ROW()&lt;=(Results!$C$1/2)+1,IF(E607&lt;=0,"",LN(E607)),"")</f>
        <v/>
      </c>
    </row>
    <row r="608" spans="1:6" x14ac:dyDescent="0.25">
      <c r="A608" s="1" t="str">
        <f ca="1">IF(ROW()&lt;=(Results!$C$1/2)+1,INDEX(Data!$V:$V,CEILING((COUNTA(Data!$V:$V)-1)*RAND()+1,1)),"")</f>
        <v/>
      </c>
      <c r="B608" s="1" t="str">
        <f>IF(ROW()&lt;=(Results!$C$1/2)+1,VLOOKUP($A608,Data!$V$2:$W$117,2,TRUE),"")</f>
        <v/>
      </c>
      <c r="C608" s="14" t="str">
        <f>IF(ROW()&lt;=(Results!$C$1/2)+1,IF(B608&lt;=0,"",LN(B608)),"")</f>
        <v/>
      </c>
      <c r="D608" s="1" t="str">
        <f ca="1">IF(ROW()&lt;=(Results!$C$1/2)+1,INDEX(Data!$X:$X,CEILING((COUNTA(Data!$X:$X)-1)*RAND()+1,1)),"")</f>
        <v/>
      </c>
      <c r="E608" s="1" t="str">
        <f>IF(ROW()&lt;=(Results!$C$1/2)+1,VLOOKUP($D608,Data!$X$2:$Y$117,2,TRUE),"")</f>
        <v/>
      </c>
      <c r="F608" s="14" t="str">
        <f>IF(ROW()&lt;=(Results!$C$1/2)+1,IF(E608&lt;=0,"",LN(E608)),"")</f>
        <v/>
      </c>
    </row>
    <row r="609" spans="1:6" x14ac:dyDescent="0.25">
      <c r="A609" s="1" t="str">
        <f ca="1">IF(ROW()&lt;=(Results!$C$1/2)+1,INDEX(Data!$V:$V,CEILING((COUNTA(Data!$V:$V)-1)*RAND()+1,1)),"")</f>
        <v/>
      </c>
      <c r="B609" s="1" t="str">
        <f>IF(ROW()&lt;=(Results!$C$1/2)+1,VLOOKUP($A609,Data!$V$2:$W$117,2,TRUE),"")</f>
        <v/>
      </c>
      <c r="C609" s="14" t="str">
        <f>IF(ROW()&lt;=(Results!$C$1/2)+1,IF(B609&lt;=0,"",LN(B609)),"")</f>
        <v/>
      </c>
      <c r="D609" s="1" t="str">
        <f ca="1">IF(ROW()&lt;=(Results!$C$1/2)+1,INDEX(Data!$X:$X,CEILING((COUNTA(Data!$X:$X)-1)*RAND()+1,1)),"")</f>
        <v/>
      </c>
      <c r="E609" s="1" t="str">
        <f>IF(ROW()&lt;=(Results!$C$1/2)+1,VLOOKUP($D609,Data!$X$2:$Y$117,2,TRUE),"")</f>
        <v/>
      </c>
      <c r="F609" s="14" t="str">
        <f>IF(ROW()&lt;=(Results!$C$1/2)+1,IF(E609&lt;=0,"",LN(E609)),"")</f>
        <v/>
      </c>
    </row>
    <row r="610" spans="1:6" x14ac:dyDescent="0.25">
      <c r="A610" s="1" t="str">
        <f ca="1">IF(ROW()&lt;=(Results!$C$1/2)+1,INDEX(Data!$V:$V,CEILING((COUNTA(Data!$V:$V)-1)*RAND()+1,1)),"")</f>
        <v/>
      </c>
      <c r="B610" s="1" t="str">
        <f>IF(ROW()&lt;=(Results!$C$1/2)+1,VLOOKUP($A610,Data!$V$2:$W$117,2,TRUE),"")</f>
        <v/>
      </c>
      <c r="C610" s="14" t="str">
        <f>IF(ROW()&lt;=(Results!$C$1/2)+1,IF(B610&lt;=0,"",LN(B610)),"")</f>
        <v/>
      </c>
      <c r="D610" s="1" t="str">
        <f ca="1">IF(ROW()&lt;=(Results!$C$1/2)+1,INDEX(Data!$X:$X,CEILING((COUNTA(Data!$X:$X)-1)*RAND()+1,1)),"")</f>
        <v/>
      </c>
      <c r="E610" s="1" t="str">
        <f>IF(ROW()&lt;=(Results!$C$1/2)+1,VLOOKUP($D610,Data!$X$2:$Y$117,2,TRUE),"")</f>
        <v/>
      </c>
      <c r="F610" s="14" t="str">
        <f>IF(ROW()&lt;=(Results!$C$1/2)+1,IF(E610&lt;=0,"",LN(E610)),"")</f>
        <v/>
      </c>
    </row>
    <row r="611" spans="1:6" x14ac:dyDescent="0.25">
      <c r="A611" s="1" t="str">
        <f ca="1">IF(ROW()&lt;=(Results!$C$1/2)+1,INDEX(Data!$V:$V,CEILING((COUNTA(Data!$V:$V)-1)*RAND()+1,1)),"")</f>
        <v/>
      </c>
      <c r="B611" s="1" t="str">
        <f>IF(ROW()&lt;=(Results!$C$1/2)+1,VLOOKUP($A611,Data!$V$2:$W$117,2,TRUE),"")</f>
        <v/>
      </c>
      <c r="C611" s="14" t="str">
        <f>IF(ROW()&lt;=(Results!$C$1/2)+1,IF(B611&lt;=0,"",LN(B611)),"")</f>
        <v/>
      </c>
      <c r="D611" s="1" t="str">
        <f ca="1">IF(ROW()&lt;=(Results!$C$1/2)+1,INDEX(Data!$X:$X,CEILING((COUNTA(Data!$X:$X)-1)*RAND()+1,1)),"")</f>
        <v/>
      </c>
      <c r="E611" s="1" t="str">
        <f>IF(ROW()&lt;=(Results!$C$1/2)+1,VLOOKUP($D611,Data!$X$2:$Y$117,2,TRUE),"")</f>
        <v/>
      </c>
      <c r="F611" s="14" t="str">
        <f>IF(ROW()&lt;=(Results!$C$1/2)+1,IF(E611&lt;=0,"",LN(E611)),"")</f>
        <v/>
      </c>
    </row>
    <row r="612" spans="1:6" x14ac:dyDescent="0.25">
      <c r="A612" s="1" t="str">
        <f ca="1">IF(ROW()&lt;=(Results!$C$1/2)+1,INDEX(Data!$V:$V,CEILING((COUNTA(Data!$V:$V)-1)*RAND()+1,1)),"")</f>
        <v/>
      </c>
      <c r="B612" s="1" t="str">
        <f>IF(ROW()&lt;=(Results!$C$1/2)+1,VLOOKUP($A612,Data!$V$2:$W$117,2,TRUE),"")</f>
        <v/>
      </c>
      <c r="C612" s="14" t="str">
        <f>IF(ROW()&lt;=(Results!$C$1/2)+1,IF(B612&lt;=0,"",LN(B612)),"")</f>
        <v/>
      </c>
      <c r="D612" s="1" t="str">
        <f ca="1">IF(ROW()&lt;=(Results!$C$1/2)+1,INDEX(Data!$X:$X,CEILING((COUNTA(Data!$X:$X)-1)*RAND()+1,1)),"")</f>
        <v/>
      </c>
      <c r="E612" s="1" t="str">
        <f>IF(ROW()&lt;=(Results!$C$1/2)+1,VLOOKUP($D612,Data!$X$2:$Y$117,2,TRUE),"")</f>
        <v/>
      </c>
      <c r="F612" s="14" t="str">
        <f>IF(ROW()&lt;=(Results!$C$1/2)+1,IF(E612&lt;=0,"",LN(E612)),"")</f>
        <v/>
      </c>
    </row>
    <row r="613" spans="1:6" x14ac:dyDescent="0.25">
      <c r="A613" s="1" t="str">
        <f ca="1">IF(ROW()&lt;=(Results!$C$1/2)+1,INDEX(Data!$V:$V,CEILING((COUNTA(Data!$V:$V)-1)*RAND()+1,1)),"")</f>
        <v/>
      </c>
      <c r="B613" s="1" t="str">
        <f>IF(ROW()&lt;=(Results!$C$1/2)+1,VLOOKUP($A613,Data!$V$2:$W$117,2,TRUE),"")</f>
        <v/>
      </c>
      <c r="C613" s="14" t="str">
        <f>IF(ROW()&lt;=(Results!$C$1/2)+1,IF(B613&lt;=0,"",LN(B613)),"")</f>
        <v/>
      </c>
      <c r="D613" s="1" t="str">
        <f ca="1">IF(ROW()&lt;=(Results!$C$1/2)+1,INDEX(Data!$X:$X,CEILING((COUNTA(Data!$X:$X)-1)*RAND()+1,1)),"")</f>
        <v/>
      </c>
      <c r="E613" s="1" t="str">
        <f>IF(ROW()&lt;=(Results!$C$1/2)+1,VLOOKUP($D613,Data!$X$2:$Y$117,2,TRUE),"")</f>
        <v/>
      </c>
      <c r="F613" s="14" t="str">
        <f>IF(ROW()&lt;=(Results!$C$1/2)+1,IF(E613&lt;=0,"",LN(E613)),"")</f>
        <v/>
      </c>
    </row>
    <row r="614" spans="1:6" x14ac:dyDescent="0.25">
      <c r="A614" s="1" t="str">
        <f ca="1">IF(ROW()&lt;=(Results!$C$1/2)+1,INDEX(Data!$V:$V,CEILING((COUNTA(Data!$V:$V)-1)*RAND()+1,1)),"")</f>
        <v/>
      </c>
      <c r="B614" s="1" t="str">
        <f>IF(ROW()&lt;=(Results!$C$1/2)+1,VLOOKUP($A614,Data!$V$2:$W$117,2,TRUE),"")</f>
        <v/>
      </c>
      <c r="C614" s="14" t="str">
        <f>IF(ROW()&lt;=(Results!$C$1/2)+1,IF(B614&lt;=0,"",LN(B614)),"")</f>
        <v/>
      </c>
      <c r="D614" s="1" t="str">
        <f ca="1">IF(ROW()&lt;=(Results!$C$1/2)+1,INDEX(Data!$X:$X,CEILING((COUNTA(Data!$X:$X)-1)*RAND()+1,1)),"")</f>
        <v/>
      </c>
      <c r="E614" s="1" t="str">
        <f>IF(ROW()&lt;=(Results!$C$1/2)+1,VLOOKUP($D614,Data!$X$2:$Y$117,2,TRUE),"")</f>
        <v/>
      </c>
      <c r="F614" s="14" t="str">
        <f>IF(ROW()&lt;=(Results!$C$1/2)+1,IF(E614&lt;=0,"",LN(E614)),"")</f>
        <v/>
      </c>
    </row>
    <row r="615" spans="1:6" x14ac:dyDescent="0.25">
      <c r="A615" s="1" t="str">
        <f ca="1">IF(ROW()&lt;=(Results!$C$1/2)+1,INDEX(Data!$V:$V,CEILING((COUNTA(Data!$V:$V)-1)*RAND()+1,1)),"")</f>
        <v/>
      </c>
      <c r="B615" s="1" t="str">
        <f>IF(ROW()&lt;=(Results!$C$1/2)+1,VLOOKUP($A615,Data!$V$2:$W$117,2,TRUE),"")</f>
        <v/>
      </c>
      <c r="C615" s="14" t="str">
        <f>IF(ROW()&lt;=(Results!$C$1/2)+1,IF(B615&lt;=0,"",LN(B615)),"")</f>
        <v/>
      </c>
      <c r="D615" s="1" t="str">
        <f ca="1">IF(ROW()&lt;=(Results!$C$1/2)+1,INDEX(Data!$X:$X,CEILING((COUNTA(Data!$X:$X)-1)*RAND()+1,1)),"")</f>
        <v/>
      </c>
      <c r="E615" s="1" t="str">
        <f>IF(ROW()&lt;=(Results!$C$1/2)+1,VLOOKUP($D615,Data!$X$2:$Y$117,2,TRUE),"")</f>
        <v/>
      </c>
      <c r="F615" s="14" t="str">
        <f>IF(ROW()&lt;=(Results!$C$1/2)+1,IF(E615&lt;=0,"",LN(E615)),"")</f>
        <v/>
      </c>
    </row>
    <row r="616" spans="1:6" x14ac:dyDescent="0.25">
      <c r="A616" s="1" t="str">
        <f ca="1">IF(ROW()&lt;=(Results!$C$1/2)+1,INDEX(Data!$V:$V,CEILING((COUNTA(Data!$V:$V)-1)*RAND()+1,1)),"")</f>
        <v/>
      </c>
      <c r="B616" s="1" t="str">
        <f>IF(ROW()&lt;=(Results!$C$1/2)+1,VLOOKUP($A616,Data!$V$2:$W$117,2,TRUE),"")</f>
        <v/>
      </c>
      <c r="C616" s="14" t="str">
        <f>IF(ROW()&lt;=(Results!$C$1/2)+1,IF(B616&lt;=0,"",LN(B616)),"")</f>
        <v/>
      </c>
      <c r="D616" s="1" t="str">
        <f ca="1">IF(ROW()&lt;=(Results!$C$1/2)+1,INDEX(Data!$X:$X,CEILING((COUNTA(Data!$X:$X)-1)*RAND()+1,1)),"")</f>
        <v/>
      </c>
      <c r="E616" s="1" t="str">
        <f>IF(ROW()&lt;=(Results!$C$1/2)+1,VLOOKUP($D616,Data!$X$2:$Y$117,2,TRUE),"")</f>
        <v/>
      </c>
      <c r="F616" s="14" t="str">
        <f>IF(ROW()&lt;=(Results!$C$1/2)+1,IF(E616&lt;=0,"",LN(E616)),"")</f>
        <v/>
      </c>
    </row>
    <row r="617" spans="1:6" x14ac:dyDescent="0.25">
      <c r="A617" s="1" t="str">
        <f ca="1">IF(ROW()&lt;=(Results!$C$1/2)+1,INDEX(Data!$V:$V,CEILING((COUNTA(Data!$V:$V)-1)*RAND()+1,1)),"")</f>
        <v/>
      </c>
      <c r="B617" s="1" t="str">
        <f>IF(ROW()&lt;=(Results!$C$1/2)+1,VLOOKUP($A617,Data!$V$2:$W$117,2,TRUE),"")</f>
        <v/>
      </c>
      <c r="C617" s="14" t="str">
        <f>IF(ROW()&lt;=(Results!$C$1/2)+1,IF(B617&lt;=0,"",LN(B617)),"")</f>
        <v/>
      </c>
      <c r="D617" s="1" t="str">
        <f ca="1">IF(ROW()&lt;=(Results!$C$1/2)+1,INDEX(Data!$X:$X,CEILING((COUNTA(Data!$X:$X)-1)*RAND()+1,1)),"")</f>
        <v/>
      </c>
      <c r="E617" s="1" t="str">
        <f>IF(ROW()&lt;=(Results!$C$1/2)+1,VLOOKUP($D617,Data!$X$2:$Y$117,2,TRUE),"")</f>
        <v/>
      </c>
      <c r="F617" s="14" t="str">
        <f>IF(ROW()&lt;=(Results!$C$1/2)+1,IF(E617&lt;=0,"",LN(E617)),"")</f>
        <v/>
      </c>
    </row>
    <row r="618" spans="1:6" x14ac:dyDescent="0.25">
      <c r="A618" s="1" t="str">
        <f ca="1">IF(ROW()&lt;=(Results!$C$1/2)+1,INDEX(Data!$V:$V,CEILING((COUNTA(Data!$V:$V)-1)*RAND()+1,1)),"")</f>
        <v/>
      </c>
      <c r="B618" s="1" t="str">
        <f>IF(ROW()&lt;=(Results!$C$1/2)+1,VLOOKUP($A618,Data!$V$2:$W$117,2,TRUE),"")</f>
        <v/>
      </c>
      <c r="C618" s="14" t="str">
        <f>IF(ROW()&lt;=(Results!$C$1/2)+1,IF(B618&lt;=0,"",LN(B618)),"")</f>
        <v/>
      </c>
      <c r="D618" s="1" t="str">
        <f ca="1">IF(ROW()&lt;=(Results!$C$1/2)+1,INDEX(Data!$X:$X,CEILING((COUNTA(Data!$X:$X)-1)*RAND()+1,1)),"")</f>
        <v/>
      </c>
      <c r="E618" s="1" t="str">
        <f>IF(ROW()&lt;=(Results!$C$1/2)+1,VLOOKUP($D618,Data!$X$2:$Y$117,2,TRUE),"")</f>
        <v/>
      </c>
      <c r="F618" s="14" t="str">
        <f>IF(ROW()&lt;=(Results!$C$1/2)+1,IF(E618&lt;=0,"",LN(E618)),"")</f>
        <v/>
      </c>
    </row>
    <row r="619" spans="1:6" x14ac:dyDescent="0.25">
      <c r="A619" s="1" t="str">
        <f ca="1">IF(ROW()&lt;=(Results!$C$1/2)+1,INDEX(Data!$V:$V,CEILING((COUNTA(Data!$V:$V)-1)*RAND()+1,1)),"")</f>
        <v/>
      </c>
      <c r="B619" s="1" t="str">
        <f>IF(ROW()&lt;=(Results!$C$1/2)+1,VLOOKUP($A619,Data!$V$2:$W$117,2,TRUE),"")</f>
        <v/>
      </c>
      <c r="C619" s="14" t="str">
        <f>IF(ROW()&lt;=(Results!$C$1/2)+1,IF(B619&lt;=0,"",LN(B619)),"")</f>
        <v/>
      </c>
      <c r="D619" s="1" t="str">
        <f ca="1">IF(ROW()&lt;=(Results!$C$1/2)+1,INDEX(Data!$X:$X,CEILING((COUNTA(Data!$X:$X)-1)*RAND()+1,1)),"")</f>
        <v/>
      </c>
      <c r="E619" s="1" t="str">
        <f>IF(ROW()&lt;=(Results!$C$1/2)+1,VLOOKUP($D619,Data!$X$2:$Y$117,2,TRUE),"")</f>
        <v/>
      </c>
      <c r="F619" s="14" t="str">
        <f>IF(ROW()&lt;=(Results!$C$1/2)+1,IF(E619&lt;=0,"",LN(E619)),"")</f>
        <v/>
      </c>
    </row>
    <row r="620" spans="1:6" x14ac:dyDescent="0.25">
      <c r="A620" s="1" t="str">
        <f ca="1">IF(ROW()&lt;=(Results!$C$1/2)+1,INDEX(Data!$V:$V,CEILING((COUNTA(Data!$V:$V)-1)*RAND()+1,1)),"")</f>
        <v/>
      </c>
      <c r="B620" s="1" t="str">
        <f>IF(ROW()&lt;=(Results!$C$1/2)+1,VLOOKUP($A620,Data!$V$2:$W$117,2,TRUE),"")</f>
        <v/>
      </c>
      <c r="C620" s="14" t="str">
        <f>IF(ROW()&lt;=(Results!$C$1/2)+1,IF(B620&lt;=0,"",LN(B620)),"")</f>
        <v/>
      </c>
      <c r="D620" s="1" t="str">
        <f ca="1">IF(ROW()&lt;=(Results!$C$1/2)+1,INDEX(Data!$X:$X,CEILING((COUNTA(Data!$X:$X)-1)*RAND()+1,1)),"")</f>
        <v/>
      </c>
      <c r="E620" s="1" t="str">
        <f>IF(ROW()&lt;=(Results!$C$1/2)+1,VLOOKUP($D620,Data!$X$2:$Y$117,2,TRUE),"")</f>
        <v/>
      </c>
      <c r="F620" s="14" t="str">
        <f>IF(ROW()&lt;=(Results!$C$1/2)+1,IF(E620&lt;=0,"",LN(E620)),"")</f>
        <v/>
      </c>
    </row>
    <row r="621" spans="1:6" x14ac:dyDescent="0.25">
      <c r="A621" s="1" t="str">
        <f ca="1">IF(ROW()&lt;=(Results!$C$1/2)+1,INDEX(Data!$V:$V,CEILING((COUNTA(Data!$V:$V)-1)*RAND()+1,1)),"")</f>
        <v/>
      </c>
      <c r="B621" s="1" t="str">
        <f>IF(ROW()&lt;=(Results!$C$1/2)+1,VLOOKUP($A621,Data!$V$2:$W$117,2,TRUE),"")</f>
        <v/>
      </c>
      <c r="C621" s="14" t="str">
        <f>IF(ROW()&lt;=(Results!$C$1/2)+1,IF(B621&lt;=0,"",LN(B621)),"")</f>
        <v/>
      </c>
      <c r="D621" s="1" t="str">
        <f ca="1">IF(ROW()&lt;=(Results!$C$1/2)+1,INDEX(Data!$X:$X,CEILING((COUNTA(Data!$X:$X)-1)*RAND()+1,1)),"")</f>
        <v/>
      </c>
      <c r="E621" s="1" t="str">
        <f>IF(ROW()&lt;=(Results!$C$1/2)+1,VLOOKUP($D621,Data!$X$2:$Y$117,2,TRUE),"")</f>
        <v/>
      </c>
      <c r="F621" s="14" t="str">
        <f>IF(ROW()&lt;=(Results!$C$1/2)+1,IF(E621&lt;=0,"",LN(E621)),"")</f>
        <v/>
      </c>
    </row>
    <row r="622" spans="1:6" x14ac:dyDescent="0.25">
      <c r="A622" s="1" t="str">
        <f ca="1">IF(ROW()&lt;=(Results!$C$1/2)+1,INDEX(Data!$V:$V,CEILING((COUNTA(Data!$V:$V)-1)*RAND()+1,1)),"")</f>
        <v/>
      </c>
      <c r="B622" s="1" t="str">
        <f>IF(ROW()&lt;=(Results!$C$1/2)+1,VLOOKUP($A622,Data!$V$2:$W$117,2,TRUE),"")</f>
        <v/>
      </c>
      <c r="C622" s="14" t="str">
        <f>IF(ROW()&lt;=(Results!$C$1/2)+1,IF(B622&lt;=0,"",LN(B622)),"")</f>
        <v/>
      </c>
      <c r="D622" s="1" t="str">
        <f ca="1">IF(ROW()&lt;=(Results!$C$1/2)+1,INDEX(Data!$X:$X,CEILING((COUNTA(Data!$X:$X)-1)*RAND()+1,1)),"")</f>
        <v/>
      </c>
      <c r="E622" s="1" t="str">
        <f>IF(ROW()&lt;=(Results!$C$1/2)+1,VLOOKUP($D622,Data!$X$2:$Y$117,2,TRUE),"")</f>
        <v/>
      </c>
      <c r="F622" s="14" t="str">
        <f>IF(ROW()&lt;=(Results!$C$1/2)+1,IF(E622&lt;=0,"",LN(E622)),"")</f>
        <v/>
      </c>
    </row>
    <row r="623" spans="1:6" x14ac:dyDescent="0.25">
      <c r="A623" s="1" t="str">
        <f ca="1">IF(ROW()&lt;=(Results!$C$1/2)+1,INDEX(Data!$V:$V,CEILING((COUNTA(Data!$V:$V)-1)*RAND()+1,1)),"")</f>
        <v/>
      </c>
      <c r="B623" s="1" t="str">
        <f>IF(ROW()&lt;=(Results!$C$1/2)+1,VLOOKUP($A623,Data!$V$2:$W$117,2,TRUE),"")</f>
        <v/>
      </c>
      <c r="C623" s="14" t="str">
        <f>IF(ROW()&lt;=(Results!$C$1/2)+1,IF(B623&lt;=0,"",LN(B623)),"")</f>
        <v/>
      </c>
      <c r="D623" s="1" t="str">
        <f ca="1">IF(ROW()&lt;=(Results!$C$1/2)+1,INDEX(Data!$X:$X,CEILING((COUNTA(Data!$X:$X)-1)*RAND()+1,1)),"")</f>
        <v/>
      </c>
      <c r="E623" s="1" t="str">
        <f>IF(ROW()&lt;=(Results!$C$1/2)+1,VLOOKUP($D623,Data!$X$2:$Y$117,2,TRUE),"")</f>
        <v/>
      </c>
      <c r="F623" s="14" t="str">
        <f>IF(ROW()&lt;=(Results!$C$1/2)+1,IF(E623&lt;=0,"",LN(E623)),"")</f>
        <v/>
      </c>
    </row>
    <row r="624" spans="1:6" x14ac:dyDescent="0.25">
      <c r="A624" s="1" t="str">
        <f ca="1">IF(ROW()&lt;=(Results!$C$1/2)+1,INDEX(Data!$V:$V,CEILING((COUNTA(Data!$V:$V)-1)*RAND()+1,1)),"")</f>
        <v/>
      </c>
      <c r="B624" s="1" t="str">
        <f>IF(ROW()&lt;=(Results!$C$1/2)+1,VLOOKUP($A624,Data!$V$2:$W$117,2,TRUE),"")</f>
        <v/>
      </c>
      <c r="C624" s="14" t="str">
        <f>IF(ROW()&lt;=(Results!$C$1/2)+1,IF(B624&lt;=0,"",LN(B624)),"")</f>
        <v/>
      </c>
      <c r="D624" s="1" t="str">
        <f ca="1">IF(ROW()&lt;=(Results!$C$1/2)+1,INDEX(Data!$X:$X,CEILING((COUNTA(Data!$X:$X)-1)*RAND()+1,1)),"")</f>
        <v/>
      </c>
      <c r="E624" s="1" t="str">
        <f>IF(ROW()&lt;=(Results!$C$1/2)+1,VLOOKUP($D624,Data!$X$2:$Y$117,2,TRUE),"")</f>
        <v/>
      </c>
      <c r="F624" s="14" t="str">
        <f>IF(ROW()&lt;=(Results!$C$1/2)+1,IF(E624&lt;=0,"",LN(E624)),"")</f>
        <v/>
      </c>
    </row>
    <row r="625" spans="1:6" x14ac:dyDescent="0.25">
      <c r="A625" s="1" t="str">
        <f ca="1">IF(ROW()&lt;=(Results!$C$1/2)+1,INDEX(Data!$V:$V,CEILING((COUNTA(Data!$V:$V)-1)*RAND()+1,1)),"")</f>
        <v/>
      </c>
      <c r="B625" s="1" t="str">
        <f>IF(ROW()&lt;=(Results!$C$1/2)+1,VLOOKUP($A625,Data!$V$2:$W$117,2,TRUE),"")</f>
        <v/>
      </c>
      <c r="C625" s="14" t="str">
        <f>IF(ROW()&lt;=(Results!$C$1/2)+1,IF(B625&lt;=0,"",LN(B625)),"")</f>
        <v/>
      </c>
      <c r="D625" s="1" t="str">
        <f ca="1">IF(ROW()&lt;=(Results!$C$1/2)+1,INDEX(Data!$X:$X,CEILING((COUNTA(Data!$X:$X)-1)*RAND()+1,1)),"")</f>
        <v/>
      </c>
      <c r="E625" s="1" t="str">
        <f>IF(ROW()&lt;=(Results!$C$1/2)+1,VLOOKUP($D625,Data!$X$2:$Y$117,2,TRUE),"")</f>
        <v/>
      </c>
      <c r="F625" s="14" t="str">
        <f>IF(ROW()&lt;=(Results!$C$1/2)+1,IF(E625&lt;=0,"",LN(E625)),"")</f>
        <v/>
      </c>
    </row>
    <row r="626" spans="1:6" x14ac:dyDescent="0.25">
      <c r="A626" s="1" t="str">
        <f ca="1">IF(ROW()&lt;=(Results!$C$1/2)+1,INDEX(Data!$V:$V,CEILING((COUNTA(Data!$V:$V)-1)*RAND()+1,1)),"")</f>
        <v/>
      </c>
      <c r="B626" s="1" t="str">
        <f>IF(ROW()&lt;=(Results!$C$1/2)+1,VLOOKUP($A626,Data!$V$2:$W$117,2,TRUE),"")</f>
        <v/>
      </c>
      <c r="C626" s="14" t="str">
        <f>IF(ROW()&lt;=(Results!$C$1/2)+1,IF(B626&lt;=0,"",LN(B626)),"")</f>
        <v/>
      </c>
      <c r="D626" s="1" t="str">
        <f ca="1">IF(ROW()&lt;=(Results!$C$1/2)+1,INDEX(Data!$X:$X,CEILING((COUNTA(Data!$X:$X)-1)*RAND()+1,1)),"")</f>
        <v/>
      </c>
      <c r="E626" s="1" t="str">
        <f>IF(ROW()&lt;=(Results!$C$1/2)+1,VLOOKUP($D626,Data!$X$2:$Y$117,2,TRUE),"")</f>
        <v/>
      </c>
      <c r="F626" s="14" t="str">
        <f>IF(ROW()&lt;=(Results!$C$1/2)+1,IF(E626&lt;=0,"",LN(E626)),"")</f>
        <v/>
      </c>
    </row>
    <row r="627" spans="1:6" x14ac:dyDescent="0.25">
      <c r="A627" s="1" t="str">
        <f ca="1">IF(ROW()&lt;=(Results!$C$1/2)+1,INDEX(Data!$V:$V,CEILING((COUNTA(Data!$V:$V)-1)*RAND()+1,1)),"")</f>
        <v/>
      </c>
      <c r="B627" s="1" t="str">
        <f>IF(ROW()&lt;=(Results!$C$1/2)+1,VLOOKUP($A627,Data!$V$2:$W$117,2,TRUE),"")</f>
        <v/>
      </c>
      <c r="C627" s="14" t="str">
        <f>IF(ROW()&lt;=(Results!$C$1/2)+1,IF(B627&lt;=0,"",LN(B627)),"")</f>
        <v/>
      </c>
      <c r="D627" s="1" t="str">
        <f ca="1">IF(ROW()&lt;=(Results!$C$1/2)+1,INDEX(Data!$X:$X,CEILING((COUNTA(Data!$X:$X)-1)*RAND()+1,1)),"")</f>
        <v/>
      </c>
      <c r="E627" s="1" t="str">
        <f>IF(ROW()&lt;=(Results!$C$1/2)+1,VLOOKUP($D627,Data!$X$2:$Y$117,2,TRUE),"")</f>
        <v/>
      </c>
      <c r="F627" s="14" t="str">
        <f>IF(ROW()&lt;=(Results!$C$1/2)+1,IF(E627&lt;=0,"",LN(E627)),"")</f>
        <v/>
      </c>
    </row>
    <row r="628" spans="1:6" x14ac:dyDescent="0.25">
      <c r="A628" s="1" t="str">
        <f ca="1">IF(ROW()&lt;=(Results!$C$1/2)+1,INDEX(Data!$V:$V,CEILING((COUNTA(Data!$V:$V)-1)*RAND()+1,1)),"")</f>
        <v/>
      </c>
      <c r="B628" s="1" t="str">
        <f>IF(ROW()&lt;=(Results!$C$1/2)+1,VLOOKUP($A628,Data!$V$2:$W$117,2,TRUE),"")</f>
        <v/>
      </c>
      <c r="C628" s="14" t="str">
        <f>IF(ROW()&lt;=(Results!$C$1/2)+1,IF(B628&lt;=0,"",LN(B628)),"")</f>
        <v/>
      </c>
      <c r="D628" s="1" t="str">
        <f ca="1">IF(ROW()&lt;=(Results!$C$1/2)+1,INDEX(Data!$X:$X,CEILING((COUNTA(Data!$X:$X)-1)*RAND()+1,1)),"")</f>
        <v/>
      </c>
      <c r="E628" s="1" t="str">
        <f>IF(ROW()&lt;=(Results!$C$1/2)+1,VLOOKUP($D628,Data!$X$2:$Y$117,2,TRUE),"")</f>
        <v/>
      </c>
      <c r="F628" s="14" t="str">
        <f>IF(ROW()&lt;=(Results!$C$1/2)+1,IF(E628&lt;=0,"",LN(E628)),"")</f>
        <v/>
      </c>
    </row>
    <row r="629" spans="1:6" x14ac:dyDescent="0.25">
      <c r="A629" s="1" t="str">
        <f ca="1">IF(ROW()&lt;=(Results!$C$1/2)+1,INDEX(Data!$V:$V,CEILING((COUNTA(Data!$V:$V)-1)*RAND()+1,1)),"")</f>
        <v/>
      </c>
      <c r="B629" s="1" t="str">
        <f>IF(ROW()&lt;=(Results!$C$1/2)+1,VLOOKUP($A629,Data!$V$2:$W$117,2,TRUE),"")</f>
        <v/>
      </c>
      <c r="C629" s="14" t="str">
        <f>IF(ROW()&lt;=(Results!$C$1/2)+1,IF(B629&lt;=0,"",LN(B629)),"")</f>
        <v/>
      </c>
      <c r="D629" s="1" t="str">
        <f ca="1">IF(ROW()&lt;=(Results!$C$1/2)+1,INDEX(Data!$X:$X,CEILING((COUNTA(Data!$X:$X)-1)*RAND()+1,1)),"")</f>
        <v/>
      </c>
      <c r="E629" s="1" t="str">
        <f>IF(ROW()&lt;=(Results!$C$1/2)+1,VLOOKUP($D629,Data!$X$2:$Y$117,2,TRUE),"")</f>
        <v/>
      </c>
      <c r="F629" s="14" t="str">
        <f>IF(ROW()&lt;=(Results!$C$1/2)+1,IF(E629&lt;=0,"",LN(E629)),"")</f>
        <v/>
      </c>
    </row>
    <row r="630" spans="1:6" x14ac:dyDescent="0.25">
      <c r="A630" s="1" t="str">
        <f ca="1">IF(ROW()&lt;=(Results!$C$1/2)+1,INDEX(Data!$V:$V,CEILING((COUNTA(Data!$V:$V)-1)*RAND()+1,1)),"")</f>
        <v/>
      </c>
      <c r="B630" s="1" t="str">
        <f>IF(ROW()&lt;=(Results!$C$1/2)+1,VLOOKUP($A630,Data!$V$2:$W$117,2,TRUE),"")</f>
        <v/>
      </c>
      <c r="C630" s="14" t="str">
        <f>IF(ROW()&lt;=(Results!$C$1/2)+1,IF(B630&lt;=0,"",LN(B630)),"")</f>
        <v/>
      </c>
      <c r="D630" s="1" t="str">
        <f ca="1">IF(ROW()&lt;=(Results!$C$1/2)+1,INDEX(Data!$X:$X,CEILING((COUNTA(Data!$X:$X)-1)*RAND()+1,1)),"")</f>
        <v/>
      </c>
      <c r="E630" s="1" t="str">
        <f>IF(ROW()&lt;=(Results!$C$1/2)+1,VLOOKUP($D630,Data!$X$2:$Y$117,2,TRUE),"")</f>
        <v/>
      </c>
      <c r="F630" s="14" t="str">
        <f>IF(ROW()&lt;=(Results!$C$1/2)+1,IF(E630&lt;=0,"",LN(E630)),"")</f>
        <v/>
      </c>
    </row>
    <row r="631" spans="1:6" x14ac:dyDescent="0.25">
      <c r="A631" s="1" t="str">
        <f ca="1">IF(ROW()&lt;=(Results!$C$1/2)+1,INDEX(Data!$V:$V,CEILING((COUNTA(Data!$V:$V)-1)*RAND()+1,1)),"")</f>
        <v/>
      </c>
      <c r="B631" s="1" t="str">
        <f>IF(ROW()&lt;=(Results!$C$1/2)+1,VLOOKUP($A631,Data!$V$2:$W$117,2,TRUE),"")</f>
        <v/>
      </c>
      <c r="C631" s="14" t="str">
        <f>IF(ROW()&lt;=(Results!$C$1/2)+1,IF(B631&lt;=0,"",LN(B631)),"")</f>
        <v/>
      </c>
      <c r="D631" s="1" t="str">
        <f ca="1">IF(ROW()&lt;=(Results!$C$1/2)+1,INDEX(Data!$X:$X,CEILING((COUNTA(Data!$X:$X)-1)*RAND()+1,1)),"")</f>
        <v/>
      </c>
      <c r="E631" s="1" t="str">
        <f>IF(ROW()&lt;=(Results!$C$1/2)+1,VLOOKUP($D631,Data!$X$2:$Y$117,2,TRUE),"")</f>
        <v/>
      </c>
      <c r="F631" s="14" t="str">
        <f>IF(ROW()&lt;=(Results!$C$1/2)+1,IF(E631&lt;=0,"",LN(E631)),"")</f>
        <v/>
      </c>
    </row>
    <row r="632" spans="1:6" x14ac:dyDescent="0.25">
      <c r="A632" s="1" t="str">
        <f ca="1">IF(ROW()&lt;=(Results!$C$1/2)+1,INDEX(Data!$V:$V,CEILING((COUNTA(Data!$V:$V)-1)*RAND()+1,1)),"")</f>
        <v/>
      </c>
      <c r="B632" s="1" t="str">
        <f>IF(ROW()&lt;=(Results!$C$1/2)+1,VLOOKUP($A632,Data!$V$2:$W$117,2,TRUE),"")</f>
        <v/>
      </c>
      <c r="C632" s="14" t="str">
        <f>IF(ROW()&lt;=(Results!$C$1/2)+1,IF(B632&lt;=0,"",LN(B632)),"")</f>
        <v/>
      </c>
      <c r="D632" s="1" t="str">
        <f ca="1">IF(ROW()&lt;=(Results!$C$1/2)+1,INDEX(Data!$X:$X,CEILING((COUNTA(Data!$X:$X)-1)*RAND()+1,1)),"")</f>
        <v/>
      </c>
      <c r="E632" s="1" t="str">
        <f>IF(ROW()&lt;=(Results!$C$1/2)+1,VLOOKUP($D632,Data!$X$2:$Y$117,2,TRUE),"")</f>
        <v/>
      </c>
      <c r="F632" s="14" t="str">
        <f>IF(ROW()&lt;=(Results!$C$1/2)+1,IF(E632&lt;=0,"",LN(E632)),"")</f>
        <v/>
      </c>
    </row>
    <row r="633" spans="1:6" x14ac:dyDescent="0.25">
      <c r="A633" s="1" t="str">
        <f ca="1">IF(ROW()&lt;=(Results!$C$1/2)+1,INDEX(Data!$V:$V,CEILING((COUNTA(Data!$V:$V)-1)*RAND()+1,1)),"")</f>
        <v/>
      </c>
      <c r="B633" s="1" t="str">
        <f>IF(ROW()&lt;=(Results!$C$1/2)+1,VLOOKUP($A633,Data!$V$2:$W$117,2,TRUE),"")</f>
        <v/>
      </c>
      <c r="C633" s="14" t="str">
        <f>IF(ROW()&lt;=(Results!$C$1/2)+1,IF(B633&lt;=0,"",LN(B633)),"")</f>
        <v/>
      </c>
      <c r="D633" s="1" t="str">
        <f ca="1">IF(ROW()&lt;=(Results!$C$1/2)+1,INDEX(Data!$X:$X,CEILING((COUNTA(Data!$X:$X)-1)*RAND()+1,1)),"")</f>
        <v/>
      </c>
      <c r="E633" s="1" t="str">
        <f>IF(ROW()&lt;=(Results!$C$1/2)+1,VLOOKUP($D633,Data!$X$2:$Y$117,2,TRUE),"")</f>
        <v/>
      </c>
      <c r="F633" s="14" t="str">
        <f>IF(ROW()&lt;=(Results!$C$1/2)+1,IF(E633&lt;=0,"",LN(E633)),"")</f>
        <v/>
      </c>
    </row>
    <row r="634" spans="1:6" x14ac:dyDescent="0.25">
      <c r="A634" s="1" t="str">
        <f ca="1">IF(ROW()&lt;=(Results!$C$1/2)+1,INDEX(Data!$V:$V,CEILING((COUNTA(Data!$V:$V)-1)*RAND()+1,1)),"")</f>
        <v/>
      </c>
      <c r="B634" s="1" t="str">
        <f>IF(ROW()&lt;=(Results!$C$1/2)+1,VLOOKUP($A634,Data!$V$2:$W$117,2,TRUE),"")</f>
        <v/>
      </c>
      <c r="C634" s="14" t="str">
        <f>IF(ROW()&lt;=(Results!$C$1/2)+1,IF(B634&lt;=0,"",LN(B634)),"")</f>
        <v/>
      </c>
      <c r="D634" s="1" t="str">
        <f ca="1">IF(ROW()&lt;=(Results!$C$1/2)+1,INDEX(Data!$X:$X,CEILING((COUNTA(Data!$X:$X)-1)*RAND()+1,1)),"")</f>
        <v/>
      </c>
      <c r="E634" s="1" t="str">
        <f>IF(ROW()&lt;=(Results!$C$1/2)+1,VLOOKUP($D634,Data!$X$2:$Y$117,2,TRUE),"")</f>
        <v/>
      </c>
      <c r="F634" s="14" t="str">
        <f>IF(ROW()&lt;=(Results!$C$1/2)+1,IF(E634&lt;=0,"",LN(E634)),"")</f>
        <v/>
      </c>
    </row>
    <row r="635" spans="1:6" x14ac:dyDescent="0.25">
      <c r="A635" s="1" t="str">
        <f ca="1">IF(ROW()&lt;=(Results!$C$1/2)+1,INDEX(Data!$V:$V,CEILING((COUNTA(Data!$V:$V)-1)*RAND()+1,1)),"")</f>
        <v/>
      </c>
      <c r="B635" s="1" t="str">
        <f>IF(ROW()&lt;=(Results!$C$1/2)+1,VLOOKUP($A635,Data!$V$2:$W$117,2,TRUE),"")</f>
        <v/>
      </c>
      <c r="C635" s="14" t="str">
        <f>IF(ROW()&lt;=(Results!$C$1/2)+1,IF(B635&lt;=0,"",LN(B635)),"")</f>
        <v/>
      </c>
      <c r="D635" s="1" t="str">
        <f ca="1">IF(ROW()&lt;=(Results!$C$1/2)+1,INDEX(Data!$X:$X,CEILING((COUNTA(Data!$X:$X)-1)*RAND()+1,1)),"")</f>
        <v/>
      </c>
      <c r="E635" s="1" t="str">
        <f>IF(ROW()&lt;=(Results!$C$1/2)+1,VLOOKUP($D635,Data!$X$2:$Y$117,2,TRUE),"")</f>
        <v/>
      </c>
      <c r="F635" s="14" t="str">
        <f>IF(ROW()&lt;=(Results!$C$1/2)+1,IF(E635&lt;=0,"",LN(E635)),"")</f>
        <v/>
      </c>
    </row>
    <row r="636" spans="1:6" x14ac:dyDescent="0.25">
      <c r="A636" s="1" t="str">
        <f ca="1">IF(ROW()&lt;=(Results!$C$1/2)+1,INDEX(Data!$V:$V,CEILING((COUNTA(Data!$V:$V)-1)*RAND()+1,1)),"")</f>
        <v/>
      </c>
      <c r="B636" s="1" t="str">
        <f>IF(ROW()&lt;=(Results!$C$1/2)+1,VLOOKUP($A636,Data!$V$2:$W$117,2,TRUE),"")</f>
        <v/>
      </c>
      <c r="C636" s="14" t="str">
        <f>IF(ROW()&lt;=(Results!$C$1/2)+1,IF(B636&lt;=0,"",LN(B636)),"")</f>
        <v/>
      </c>
      <c r="D636" s="1" t="str">
        <f ca="1">IF(ROW()&lt;=(Results!$C$1/2)+1,INDEX(Data!$X:$X,CEILING((COUNTA(Data!$X:$X)-1)*RAND()+1,1)),"")</f>
        <v/>
      </c>
      <c r="E636" s="1" t="str">
        <f>IF(ROW()&lt;=(Results!$C$1/2)+1,VLOOKUP($D636,Data!$X$2:$Y$117,2,TRUE),"")</f>
        <v/>
      </c>
      <c r="F636" s="14" t="str">
        <f>IF(ROW()&lt;=(Results!$C$1/2)+1,IF(E636&lt;=0,"",LN(E636)),"")</f>
        <v/>
      </c>
    </row>
    <row r="637" spans="1:6" x14ac:dyDescent="0.25">
      <c r="A637" s="1" t="str">
        <f ca="1">IF(ROW()&lt;=(Results!$C$1/2)+1,INDEX(Data!$V:$V,CEILING((COUNTA(Data!$V:$V)-1)*RAND()+1,1)),"")</f>
        <v/>
      </c>
      <c r="B637" s="1" t="str">
        <f>IF(ROW()&lt;=(Results!$C$1/2)+1,VLOOKUP($A637,Data!$V$2:$W$117,2,TRUE),"")</f>
        <v/>
      </c>
      <c r="C637" s="14" t="str">
        <f>IF(ROW()&lt;=(Results!$C$1/2)+1,IF(B637&lt;=0,"",LN(B637)),"")</f>
        <v/>
      </c>
      <c r="D637" s="1" t="str">
        <f ca="1">IF(ROW()&lt;=(Results!$C$1/2)+1,INDEX(Data!$X:$X,CEILING((COUNTA(Data!$X:$X)-1)*RAND()+1,1)),"")</f>
        <v/>
      </c>
      <c r="E637" s="1" t="str">
        <f>IF(ROW()&lt;=(Results!$C$1/2)+1,VLOOKUP($D637,Data!$X$2:$Y$117,2,TRUE),"")</f>
        <v/>
      </c>
      <c r="F637" s="14" t="str">
        <f>IF(ROW()&lt;=(Results!$C$1/2)+1,IF(E637&lt;=0,"",LN(E637)),"")</f>
        <v/>
      </c>
    </row>
    <row r="638" spans="1:6" x14ac:dyDescent="0.25">
      <c r="A638" s="1" t="str">
        <f ca="1">IF(ROW()&lt;=(Results!$C$1/2)+1,INDEX(Data!$V:$V,CEILING((COUNTA(Data!$V:$V)-1)*RAND()+1,1)),"")</f>
        <v/>
      </c>
      <c r="B638" s="1" t="str">
        <f>IF(ROW()&lt;=(Results!$C$1/2)+1,VLOOKUP($A638,Data!$V$2:$W$117,2,TRUE),"")</f>
        <v/>
      </c>
      <c r="C638" s="14" t="str">
        <f>IF(ROW()&lt;=(Results!$C$1/2)+1,IF(B638&lt;=0,"",LN(B638)),"")</f>
        <v/>
      </c>
      <c r="D638" s="1" t="str">
        <f ca="1">IF(ROW()&lt;=(Results!$C$1/2)+1,INDEX(Data!$X:$X,CEILING((COUNTA(Data!$X:$X)-1)*RAND()+1,1)),"")</f>
        <v/>
      </c>
      <c r="E638" s="1" t="str">
        <f>IF(ROW()&lt;=(Results!$C$1/2)+1,VLOOKUP($D638,Data!$X$2:$Y$117,2,TRUE),"")</f>
        <v/>
      </c>
      <c r="F638" s="14" t="str">
        <f>IF(ROW()&lt;=(Results!$C$1/2)+1,IF(E638&lt;=0,"",LN(E638)),"")</f>
        <v/>
      </c>
    </row>
    <row r="639" spans="1:6" x14ac:dyDescent="0.25">
      <c r="A639" s="1" t="str">
        <f ca="1">IF(ROW()&lt;=(Results!$C$1/2)+1,INDEX(Data!$V:$V,CEILING((COUNTA(Data!$V:$V)-1)*RAND()+1,1)),"")</f>
        <v/>
      </c>
      <c r="B639" s="1" t="str">
        <f>IF(ROW()&lt;=(Results!$C$1/2)+1,VLOOKUP($A639,Data!$V$2:$W$117,2,TRUE),"")</f>
        <v/>
      </c>
      <c r="C639" s="14" t="str">
        <f>IF(ROW()&lt;=(Results!$C$1/2)+1,IF(B639&lt;=0,"",LN(B639)),"")</f>
        <v/>
      </c>
      <c r="D639" s="1" t="str">
        <f ca="1">IF(ROW()&lt;=(Results!$C$1/2)+1,INDEX(Data!$X:$X,CEILING((COUNTA(Data!$X:$X)-1)*RAND()+1,1)),"")</f>
        <v/>
      </c>
      <c r="E639" s="1" t="str">
        <f>IF(ROW()&lt;=(Results!$C$1/2)+1,VLOOKUP($D639,Data!$X$2:$Y$117,2,TRUE),"")</f>
        <v/>
      </c>
      <c r="F639" s="14" t="str">
        <f>IF(ROW()&lt;=(Results!$C$1/2)+1,IF(E639&lt;=0,"",LN(E639)),"")</f>
        <v/>
      </c>
    </row>
    <row r="640" spans="1:6" x14ac:dyDescent="0.25">
      <c r="A640" s="1" t="str">
        <f ca="1">IF(ROW()&lt;=(Results!$C$1/2)+1,INDEX(Data!$V:$V,CEILING((COUNTA(Data!$V:$V)-1)*RAND()+1,1)),"")</f>
        <v/>
      </c>
      <c r="B640" s="1" t="str">
        <f>IF(ROW()&lt;=(Results!$C$1/2)+1,VLOOKUP($A640,Data!$V$2:$W$117,2,TRUE),"")</f>
        <v/>
      </c>
      <c r="C640" s="14" t="str">
        <f>IF(ROW()&lt;=(Results!$C$1/2)+1,IF(B640&lt;=0,"",LN(B640)),"")</f>
        <v/>
      </c>
      <c r="D640" s="1" t="str">
        <f ca="1">IF(ROW()&lt;=(Results!$C$1/2)+1,INDEX(Data!$X:$X,CEILING((COUNTA(Data!$X:$X)-1)*RAND()+1,1)),"")</f>
        <v/>
      </c>
      <c r="E640" s="1" t="str">
        <f>IF(ROW()&lt;=(Results!$C$1/2)+1,VLOOKUP($D640,Data!$X$2:$Y$117,2,TRUE),"")</f>
        <v/>
      </c>
      <c r="F640" s="14" t="str">
        <f>IF(ROW()&lt;=(Results!$C$1/2)+1,IF(E640&lt;=0,"",LN(E640)),"")</f>
        <v/>
      </c>
    </row>
    <row r="641" spans="1:6" x14ac:dyDescent="0.25">
      <c r="A641" s="1" t="str">
        <f ca="1">IF(ROW()&lt;=(Results!$C$1/2)+1,INDEX(Data!$V:$V,CEILING((COUNTA(Data!$V:$V)-1)*RAND()+1,1)),"")</f>
        <v/>
      </c>
      <c r="B641" s="1" t="str">
        <f>IF(ROW()&lt;=(Results!$C$1/2)+1,VLOOKUP($A641,Data!$V$2:$W$117,2,TRUE),"")</f>
        <v/>
      </c>
      <c r="C641" s="14" t="str">
        <f>IF(ROW()&lt;=(Results!$C$1/2)+1,IF(B641&lt;=0,"",LN(B641)),"")</f>
        <v/>
      </c>
      <c r="D641" s="1" t="str">
        <f ca="1">IF(ROW()&lt;=(Results!$C$1/2)+1,INDEX(Data!$X:$X,CEILING((COUNTA(Data!$X:$X)-1)*RAND()+1,1)),"")</f>
        <v/>
      </c>
      <c r="E641" s="1" t="str">
        <f>IF(ROW()&lt;=(Results!$C$1/2)+1,VLOOKUP($D641,Data!$X$2:$Y$117,2,TRUE),"")</f>
        <v/>
      </c>
      <c r="F641" s="14" t="str">
        <f>IF(ROW()&lt;=(Results!$C$1/2)+1,IF(E641&lt;=0,"",LN(E641)),"")</f>
        <v/>
      </c>
    </row>
    <row r="642" spans="1:6" x14ac:dyDescent="0.25">
      <c r="A642" s="1" t="str">
        <f ca="1">IF(ROW()&lt;=(Results!$C$1/2)+1,INDEX(Data!$V:$V,CEILING((COUNTA(Data!$V:$V)-1)*RAND()+1,1)),"")</f>
        <v/>
      </c>
      <c r="B642" s="1" t="str">
        <f>IF(ROW()&lt;=(Results!$C$1/2)+1,VLOOKUP($A642,Data!$V$2:$W$117,2,TRUE),"")</f>
        <v/>
      </c>
      <c r="C642" s="14" t="str">
        <f>IF(ROW()&lt;=(Results!$C$1/2)+1,IF(B642&lt;=0,"",LN(B642)),"")</f>
        <v/>
      </c>
      <c r="D642" s="1" t="str">
        <f ca="1">IF(ROW()&lt;=(Results!$C$1/2)+1,INDEX(Data!$X:$X,CEILING((COUNTA(Data!$X:$X)-1)*RAND()+1,1)),"")</f>
        <v/>
      </c>
      <c r="E642" s="1" t="str">
        <f>IF(ROW()&lt;=(Results!$C$1/2)+1,VLOOKUP($D642,Data!$X$2:$Y$117,2,TRUE),"")</f>
        <v/>
      </c>
      <c r="F642" s="14" t="str">
        <f>IF(ROW()&lt;=(Results!$C$1/2)+1,IF(E642&lt;=0,"",LN(E642)),"")</f>
        <v/>
      </c>
    </row>
    <row r="643" spans="1:6" x14ac:dyDescent="0.25">
      <c r="A643" s="1" t="str">
        <f ca="1">IF(ROW()&lt;=(Results!$C$1/2)+1,INDEX(Data!$V:$V,CEILING((COUNTA(Data!$V:$V)-1)*RAND()+1,1)),"")</f>
        <v/>
      </c>
      <c r="B643" s="1" t="str">
        <f>IF(ROW()&lt;=(Results!$C$1/2)+1,VLOOKUP($A643,Data!$V$2:$W$117,2,TRUE),"")</f>
        <v/>
      </c>
      <c r="C643" s="14" t="str">
        <f>IF(ROW()&lt;=(Results!$C$1/2)+1,IF(B643&lt;=0,"",LN(B643)),"")</f>
        <v/>
      </c>
      <c r="D643" s="1" t="str">
        <f ca="1">IF(ROW()&lt;=(Results!$C$1/2)+1,INDEX(Data!$X:$X,CEILING((COUNTA(Data!$X:$X)-1)*RAND()+1,1)),"")</f>
        <v/>
      </c>
      <c r="E643" s="1" t="str">
        <f>IF(ROW()&lt;=(Results!$C$1/2)+1,VLOOKUP($D643,Data!$X$2:$Y$117,2,TRUE),"")</f>
        <v/>
      </c>
      <c r="F643" s="14" t="str">
        <f>IF(ROW()&lt;=(Results!$C$1/2)+1,IF(E643&lt;=0,"",LN(E643)),"")</f>
        <v/>
      </c>
    </row>
    <row r="644" spans="1:6" x14ac:dyDescent="0.25">
      <c r="A644" s="1" t="str">
        <f ca="1">IF(ROW()&lt;=(Results!$C$1/2)+1,INDEX(Data!$V:$V,CEILING((COUNTA(Data!$V:$V)-1)*RAND()+1,1)),"")</f>
        <v/>
      </c>
      <c r="B644" s="1" t="str">
        <f>IF(ROW()&lt;=(Results!$C$1/2)+1,VLOOKUP($A644,Data!$V$2:$W$117,2,TRUE),"")</f>
        <v/>
      </c>
      <c r="C644" s="14" t="str">
        <f>IF(ROW()&lt;=(Results!$C$1/2)+1,IF(B644&lt;=0,"",LN(B644)),"")</f>
        <v/>
      </c>
      <c r="D644" s="1" t="str">
        <f ca="1">IF(ROW()&lt;=(Results!$C$1/2)+1,INDEX(Data!$X:$X,CEILING((COUNTA(Data!$X:$X)-1)*RAND()+1,1)),"")</f>
        <v/>
      </c>
      <c r="E644" s="1" t="str">
        <f>IF(ROW()&lt;=(Results!$C$1/2)+1,VLOOKUP($D644,Data!$X$2:$Y$117,2,TRUE),"")</f>
        <v/>
      </c>
      <c r="F644" s="14" t="str">
        <f>IF(ROW()&lt;=(Results!$C$1/2)+1,IF(E644&lt;=0,"",LN(E644)),"")</f>
        <v/>
      </c>
    </row>
    <row r="645" spans="1:6" x14ac:dyDescent="0.25">
      <c r="A645" s="1" t="str">
        <f ca="1">IF(ROW()&lt;=(Results!$C$1/2)+1,INDEX(Data!$V:$V,CEILING((COUNTA(Data!$V:$V)-1)*RAND()+1,1)),"")</f>
        <v/>
      </c>
      <c r="B645" s="1" t="str">
        <f>IF(ROW()&lt;=(Results!$C$1/2)+1,VLOOKUP($A645,Data!$V$2:$W$117,2,TRUE),"")</f>
        <v/>
      </c>
      <c r="C645" s="14" t="str">
        <f>IF(ROW()&lt;=(Results!$C$1/2)+1,IF(B645&lt;=0,"",LN(B645)),"")</f>
        <v/>
      </c>
      <c r="D645" s="1" t="str">
        <f ca="1">IF(ROW()&lt;=(Results!$C$1/2)+1,INDEX(Data!$X:$X,CEILING((COUNTA(Data!$X:$X)-1)*RAND()+1,1)),"")</f>
        <v/>
      </c>
      <c r="E645" s="1" t="str">
        <f>IF(ROW()&lt;=(Results!$C$1/2)+1,VLOOKUP($D645,Data!$X$2:$Y$117,2,TRUE),"")</f>
        <v/>
      </c>
      <c r="F645" s="14" t="str">
        <f>IF(ROW()&lt;=(Results!$C$1/2)+1,IF(E645&lt;=0,"",LN(E645)),"")</f>
        <v/>
      </c>
    </row>
    <row r="646" spans="1:6" x14ac:dyDescent="0.25">
      <c r="A646" s="1" t="str">
        <f ca="1">IF(ROW()&lt;=(Results!$C$1/2)+1,INDEX(Data!$V:$V,CEILING((COUNTA(Data!$V:$V)-1)*RAND()+1,1)),"")</f>
        <v/>
      </c>
      <c r="B646" s="1" t="str">
        <f>IF(ROW()&lt;=(Results!$C$1/2)+1,VLOOKUP($A646,Data!$V$2:$W$117,2,TRUE),"")</f>
        <v/>
      </c>
      <c r="C646" s="14" t="str">
        <f>IF(ROW()&lt;=(Results!$C$1/2)+1,IF(B646&lt;=0,"",LN(B646)),"")</f>
        <v/>
      </c>
      <c r="D646" s="1" t="str">
        <f ca="1">IF(ROW()&lt;=(Results!$C$1/2)+1,INDEX(Data!$X:$X,CEILING((COUNTA(Data!$X:$X)-1)*RAND()+1,1)),"")</f>
        <v/>
      </c>
      <c r="E646" s="1" t="str">
        <f>IF(ROW()&lt;=(Results!$C$1/2)+1,VLOOKUP($D646,Data!$X$2:$Y$117,2,TRUE),"")</f>
        <v/>
      </c>
      <c r="F646" s="14" t="str">
        <f>IF(ROW()&lt;=(Results!$C$1/2)+1,IF(E646&lt;=0,"",LN(E646)),"")</f>
        <v/>
      </c>
    </row>
    <row r="647" spans="1:6" x14ac:dyDescent="0.25">
      <c r="A647" s="1" t="str">
        <f ca="1">IF(ROW()&lt;=(Results!$C$1/2)+1,INDEX(Data!$V:$V,CEILING((COUNTA(Data!$V:$V)-1)*RAND()+1,1)),"")</f>
        <v/>
      </c>
      <c r="B647" s="1" t="str">
        <f>IF(ROW()&lt;=(Results!$C$1/2)+1,VLOOKUP($A647,Data!$V$2:$W$117,2,TRUE),"")</f>
        <v/>
      </c>
      <c r="C647" s="14" t="str">
        <f>IF(ROW()&lt;=(Results!$C$1/2)+1,IF(B647&lt;=0,"",LN(B647)),"")</f>
        <v/>
      </c>
      <c r="D647" s="1" t="str">
        <f ca="1">IF(ROW()&lt;=(Results!$C$1/2)+1,INDEX(Data!$X:$X,CEILING((COUNTA(Data!$X:$X)-1)*RAND()+1,1)),"")</f>
        <v/>
      </c>
      <c r="E647" s="1" t="str">
        <f>IF(ROW()&lt;=(Results!$C$1/2)+1,VLOOKUP($D647,Data!$X$2:$Y$117,2,TRUE),"")</f>
        <v/>
      </c>
      <c r="F647" s="14" t="str">
        <f>IF(ROW()&lt;=(Results!$C$1/2)+1,IF(E647&lt;=0,"",LN(E647)),"")</f>
        <v/>
      </c>
    </row>
    <row r="648" spans="1:6" x14ac:dyDescent="0.25">
      <c r="A648" s="1" t="str">
        <f ca="1">IF(ROW()&lt;=(Results!$C$1/2)+1,INDEX(Data!$V:$V,CEILING((COUNTA(Data!$V:$V)-1)*RAND()+1,1)),"")</f>
        <v/>
      </c>
      <c r="B648" s="1" t="str">
        <f>IF(ROW()&lt;=(Results!$C$1/2)+1,VLOOKUP($A648,Data!$V$2:$W$117,2,TRUE),"")</f>
        <v/>
      </c>
      <c r="C648" s="14" t="str">
        <f>IF(ROW()&lt;=(Results!$C$1/2)+1,IF(B648&lt;=0,"",LN(B648)),"")</f>
        <v/>
      </c>
      <c r="D648" s="1" t="str">
        <f ca="1">IF(ROW()&lt;=(Results!$C$1/2)+1,INDEX(Data!$X:$X,CEILING((COUNTA(Data!$X:$X)-1)*RAND()+1,1)),"")</f>
        <v/>
      </c>
      <c r="E648" s="1" t="str">
        <f>IF(ROW()&lt;=(Results!$C$1/2)+1,VLOOKUP($D648,Data!$X$2:$Y$117,2,TRUE),"")</f>
        <v/>
      </c>
      <c r="F648" s="14" t="str">
        <f>IF(ROW()&lt;=(Results!$C$1/2)+1,IF(E648&lt;=0,"",LN(E648)),"")</f>
        <v/>
      </c>
    </row>
    <row r="649" spans="1:6" x14ac:dyDescent="0.25">
      <c r="A649" s="1" t="str">
        <f ca="1">IF(ROW()&lt;=(Results!$C$1/2)+1,INDEX(Data!$V:$V,CEILING((COUNTA(Data!$V:$V)-1)*RAND()+1,1)),"")</f>
        <v/>
      </c>
      <c r="B649" s="1" t="str">
        <f>IF(ROW()&lt;=(Results!$C$1/2)+1,VLOOKUP($A649,Data!$V$2:$W$117,2,TRUE),"")</f>
        <v/>
      </c>
      <c r="C649" s="14" t="str">
        <f>IF(ROW()&lt;=(Results!$C$1/2)+1,IF(B649&lt;=0,"",LN(B649)),"")</f>
        <v/>
      </c>
      <c r="D649" s="1" t="str">
        <f ca="1">IF(ROW()&lt;=(Results!$C$1/2)+1,INDEX(Data!$X:$X,CEILING((COUNTA(Data!$X:$X)-1)*RAND()+1,1)),"")</f>
        <v/>
      </c>
      <c r="E649" s="1" t="str">
        <f>IF(ROW()&lt;=(Results!$C$1/2)+1,VLOOKUP($D649,Data!$X$2:$Y$117,2,TRUE),"")</f>
        <v/>
      </c>
      <c r="F649" s="14" t="str">
        <f>IF(ROW()&lt;=(Results!$C$1/2)+1,IF(E649&lt;=0,"",LN(E649)),"")</f>
        <v/>
      </c>
    </row>
    <row r="650" spans="1:6" x14ac:dyDescent="0.25">
      <c r="A650" s="1" t="str">
        <f ca="1">IF(ROW()&lt;=(Results!$C$1/2)+1,INDEX(Data!$V:$V,CEILING((COUNTA(Data!$V:$V)-1)*RAND()+1,1)),"")</f>
        <v/>
      </c>
      <c r="B650" s="1" t="str">
        <f>IF(ROW()&lt;=(Results!$C$1/2)+1,VLOOKUP($A650,Data!$V$2:$W$117,2,TRUE),"")</f>
        <v/>
      </c>
      <c r="C650" s="14" t="str">
        <f>IF(ROW()&lt;=(Results!$C$1/2)+1,IF(B650&lt;=0,"",LN(B650)),"")</f>
        <v/>
      </c>
      <c r="D650" s="1" t="str">
        <f ca="1">IF(ROW()&lt;=(Results!$C$1/2)+1,INDEX(Data!$X:$X,CEILING((COUNTA(Data!$X:$X)-1)*RAND()+1,1)),"")</f>
        <v/>
      </c>
      <c r="E650" s="1" t="str">
        <f>IF(ROW()&lt;=(Results!$C$1/2)+1,VLOOKUP($D650,Data!$X$2:$Y$117,2,TRUE),"")</f>
        <v/>
      </c>
      <c r="F650" s="14" t="str">
        <f>IF(ROW()&lt;=(Results!$C$1/2)+1,IF(E650&lt;=0,"",LN(E650)),"")</f>
        <v/>
      </c>
    </row>
    <row r="651" spans="1:6" x14ac:dyDescent="0.25">
      <c r="A651" s="1" t="str">
        <f ca="1">IF(ROW()&lt;=(Results!$C$1/2)+1,INDEX(Data!$V:$V,CEILING((COUNTA(Data!$V:$V)-1)*RAND()+1,1)),"")</f>
        <v/>
      </c>
      <c r="B651" s="1" t="str">
        <f>IF(ROW()&lt;=(Results!$C$1/2)+1,VLOOKUP($A651,Data!$V$2:$W$117,2,TRUE),"")</f>
        <v/>
      </c>
      <c r="C651" s="14" t="str">
        <f>IF(ROW()&lt;=(Results!$C$1/2)+1,IF(B651&lt;=0,"",LN(B651)),"")</f>
        <v/>
      </c>
      <c r="D651" s="1" t="str">
        <f ca="1">IF(ROW()&lt;=(Results!$C$1/2)+1,INDEX(Data!$X:$X,CEILING((COUNTA(Data!$X:$X)-1)*RAND()+1,1)),"")</f>
        <v/>
      </c>
      <c r="E651" s="1" t="str">
        <f>IF(ROW()&lt;=(Results!$C$1/2)+1,VLOOKUP($D651,Data!$X$2:$Y$117,2,TRUE),"")</f>
        <v/>
      </c>
      <c r="F651" s="14" t="str">
        <f>IF(ROW()&lt;=(Results!$C$1/2)+1,IF(E651&lt;=0,"",LN(E651)),"")</f>
        <v/>
      </c>
    </row>
    <row r="652" spans="1:6" x14ac:dyDescent="0.25">
      <c r="A652" s="1" t="str">
        <f ca="1">IF(ROW()&lt;=(Results!$C$1/2)+1,INDEX(Data!$V:$V,CEILING((COUNTA(Data!$V:$V)-1)*RAND()+1,1)),"")</f>
        <v/>
      </c>
      <c r="B652" s="1" t="str">
        <f>IF(ROW()&lt;=(Results!$C$1/2)+1,VLOOKUP($A652,Data!$V$2:$W$117,2,TRUE),"")</f>
        <v/>
      </c>
      <c r="C652" s="14" t="str">
        <f>IF(ROW()&lt;=(Results!$C$1/2)+1,IF(B652&lt;=0,"",LN(B652)),"")</f>
        <v/>
      </c>
      <c r="D652" s="1" t="str">
        <f ca="1">IF(ROW()&lt;=(Results!$C$1/2)+1,INDEX(Data!$X:$X,CEILING((COUNTA(Data!$X:$X)-1)*RAND()+1,1)),"")</f>
        <v/>
      </c>
      <c r="E652" s="1" t="str">
        <f>IF(ROW()&lt;=(Results!$C$1/2)+1,VLOOKUP($D652,Data!$X$2:$Y$117,2,TRUE),"")</f>
        <v/>
      </c>
      <c r="F652" s="14" t="str">
        <f>IF(ROW()&lt;=(Results!$C$1/2)+1,IF(E652&lt;=0,"",LN(E652)),"")</f>
        <v/>
      </c>
    </row>
    <row r="653" spans="1:6" x14ac:dyDescent="0.25">
      <c r="A653" s="1" t="str">
        <f ca="1">IF(ROW()&lt;=(Results!$C$1/2)+1,INDEX(Data!$V:$V,CEILING((COUNTA(Data!$V:$V)-1)*RAND()+1,1)),"")</f>
        <v/>
      </c>
      <c r="B653" s="1" t="str">
        <f>IF(ROW()&lt;=(Results!$C$1/2)+1,VLOOKUP($A653,Data!$V$2:$W$117,2,TRUE),"")</f>
        <v/>
      </c>
      <c r="C653" s="14" t="str">
        <f>IF(ROW()&lt;=(Results!$C$1/2)+1,IF(B653&lt;=0,"",LN(B653)),"")</f>
        <v/>
      </c>
      <c r="D653" s="1" t="str">
        <f ca="1">IF(ROW()&lt;=(Results!$C$1/2)+1,INDEX(Data!$X:$X,CEILING((COUNTA(Data!$X:$X)-1)*RAND()+1,1)),"")</f>
        <v/>
      </c>
      <c r="E653" s="1" t="str">
        <f>IF(ROW()&lt;=(Results!$C$1/2)+1,VLOOKUP($D653,Data!$X$2:$Y$117,2,TRUE),"")</f>
        <v/>
      </c>
      <c r="F653" s="14" t="str">
        <f>IF(ROW()&lt;=(Results!$C$1/2)+1,IF(E653&lt;=0,"",LN(E653)),"")</f>
        <v/>
      </c>
    </row>
    <row r="654" spans="1:6" x14ac:dyDescent="0.25">
      <c r="A654" s="1" t="str">
        <f ca="1">IF(ROW()&lt;=(Results!$C$1/2)+1,INDEX(Data!$V:$V,CEILING((COUNTA(Data!$V:$V)-1)*RAND()+1,1)),"")</f>
        <v/>
      </c>
      <c r="B654" s="1" t="str">
        <f>IF(ROW()&lt;=(Results!$C$1/2)+1,VLOOKUP($A654,Data!$V$2:$W$117,2,TRUE),"")</f>
        <v/>
      </c>
      <c r="C654" s="14" t="str">
        <f>IF(ROW()&lt;=(Results!$C$1/2)+1,IF(B654&lt;=0,"",LN(B654)),"")</f>
        <v/>
      </c>
      <c r="D654" s="1" t="str">
        <f ca="1">IF(ROW()&lt;=(Results!$C$1/2)+1,INDEX(Data!$X:$X,CEILING((COUNTA(Data!$X:$X)-1)*RAND()+1,1)),"")</f>
        <v/>
      </c>
      <c r="E654" s="1" t="str">
        <f>IF(ROW()&lt;=(Results!$C$1/2)+1,VLOOKUP($D654,Data!$X$2:$Y$117,2,TRUE),"")</f>
        <v/>
      </c>
      <c r="F654" s="14" t="str">
        <f>IF(ROW()&lt;=(Results!$C$1/2)+1,IF(E654&lt;=0,"",LN(E654)),"")</f>
        <v/>
      </c>
    </row>
    <row r="655" spans="1:6" x14ac:dyDescent="0.25">
      <c r="A655" s="1" t="str">
        <f ca="1">IF(ROW()&lt;=(Results!$C$1/2)+1,INDEX(Data!$V:$V,CEILING((COUNTA(Data!$V:$V)-1)*RAND()+1,1)),"")</f>
        <v/>
      </c>
      <c r="B655" s="1" t="str">
        <f>IF(ROW()&lt;=(Results!$C$1/2)+1,VLOOKUP($A655,Data!$V$2:$W$117,2,TRUE),"")</f>
        <v/>
      </c>
      <c r="C655" s="14" t="str">
        <f>IF(ROW()&lt;=(Results!$C$1/2)+1,IF(B655&lt;=0,"",LN(B655)),"")</f>
        <v/>
      </c>
      <c r="D655" s="1" t="str">
        <f ca="1">IF(ROW()&lt;=(Results!$C$1/2)+1,INDEX(Data!$X:$X,CEILING((COUNTA(Data!$X:$X)-1)*RAND()+1,1)),"")</f>
        <v/>
      </c>
      <c r="E655" s="1" t="str">
        <f>IF(ROW()&lt;=(Results!$C$1/2)+1,VLOOKUP($D655,Data!$X$2:$Y$117,2,TRUE),"")</f>
        <v/>
      </c>
      <c r="F655" s="14" t="str">
        <f>IF(ROW()&lt;=(Results!$C$1/2)+1,IF(E655&lt;=0,"",LN(E655)),"")</f>
        <v/>
      </c>
    </row>
    <row r="656" spans="1:6" x14ac:dyDescent="0.25">
      <c r="A656" s="1" t="str">
        <f ca="1">IF(ROW()&lt;=(Results!$C$1/2)+1,INDEX(Data!$V:$V,CEILING((COUNTA(Data!$V:$V)-1)*RAND()+1,1)),"")</f>
        <v/>
      </c>
      <c r="B656" s="1" t="str">
        <f>IF(ROW()&lt;=(Results!$C$1/2)+1,VLOOKUP($A656,Data!$V$2:$W$117,2,TRUE),"")</f>
        <v/>
      </c>
      <c r="C656" s="14" t="str">
        <f>IF(ROW()&lt;=(Results!$C$1/2)+1,IF(B656&lt;=0,"",LN(B656)),"")</f>
        <v/>
      </c>
      <c r="D656" s="1" t="str">
        <f ca="1">IF(ROW()&lt;=(Results!$C$1/2)+1,INDEX(Data!$X:$X,CEILING((COUNTA(Data!$X:$X)-1)*RAND()+1,1)),"")</f>
        <v/>
      </c>
      <c r="E656" s="1" t="str">
        <f>IF(ROW()&lt;=(Results!$C$1/2)+1,VLOOKUP($D656,Data!$X$2:$Y$117,2,TRUE),"")</f>
        <v/>
      </c>
      <c r="F656" s="14" t="str">
        <f>IF(ROW()&lt;=(Results!$C$1/2)+1,IF(E656&lt;=0,"",LN(E656)),"")</f>
        <v/>
      </c>
    </row>
    <row r="657" spans="1:6" x14ac:dyDescent="0.25">
      <c r="A657" s="1" t="str">
        <f ca="1">IF(ROW()&lt;=(Results!$C$1/2)+1,INDEX(Data!$V:$V,CEILING((COUNTA(Data!$V:$V)-1)*RAND()+1,1)),"")</f>
        <v/>
      </c>
      <c r="B657" s="1" t="str">
        <f>IF(ROW()&lt;=(Results!$C$1/2)+1,VLOOKUP($A657,Data!$V$2:$W$117,2,TRUE),"")</f>
        <v/>
      </c>
      <c r="C657" s="14" t="str">
        <f>IF(ROW()&lt;=(Results!$C$1/2)+1,IF(B657&lt;=0,"",LN(B657)),"")</f>
        <v/>
      </c>
      <c r="D657" s="1" t="str">
        <f ca="1">IF(ROW()&lt;=(Results!$C$1/2)+1,INDEX(Data!$X:$X,CEILING((COUNTA(Data!$X:$X)-1)*RAND()+1,1)),"")</f>
        <v/>
      </c>
      <c r="E657" s="1" t="str">
        <f>IF(ROW()&lt;=(Results!$C$1/2)+1,VLOOKUP($D657,Data!$X$2:$Y$117,2,TRUE),"")</f>
        <v/>
      </c>
      <c r="F657" s="14" t="str">
        <f>IF(ROW()&lt;=(Results!$C$1/2)+1,IF(E657&lt;=0,"",LN(E657)),"")</f>
        <v/>
      </c>
    </row>
    <row r="658" spans="1:6" x14ac:dyDescent="0.25">
      <c r="A658" s="1" t="str">
        <f ca="1">IF(ROW()&lt;=(Results!$C$1/2)+1,INDEX(Data!$V:$V,CEILING((COUNTA(Data!$V:$V)-1)*RAND()+1,1)),"")</f>
        <v/>
      </c>
      <c r="B658" s="1" t="str">
        <f>IF(ROW()&lt;=(Results!$C$1/2)+1,VLOOKUP($A658,Data!$V$2:$W$117,2,TRUE),"")</f>
        <v/>
      </c>
      <c r="C658" s="14" t="str">
        <f>IF(ROW()&lt;=(Results!$C$1/2)+1,IF(B658&lt;=0,"",LN(B658)),"")</f>
        <v/>
      </c>
      <c r="D658" s="1" t="str">
        <f ca="1">IF(ROW()&lt;=(Results!$C$1/2)+1,INDEX(Data!$X:$X,CEILING((COUNTA(Data!$X:$X)-1)*RAND()+1,1)),"")</f>
        <v/>
      </c>
      <c r="E658" s="1" t="str">
        <f>IF(ROW()&lt;=(Results!$C$1/2)+1,VLOOKUP($D658,Data!$X$2:$Y$117,2,TRUE),"")</f>
        <v/>
      </c>
      <c r="F658" s="14" t="str">
        <f>IF(ROW()&lt;=(Results!$C$1/2)+1,IF(E658&lt;=0,"",LN(E658)),"")</f>
        <v/>
      </c>
    </row>
    <row r="659" spans="1:6" x14ac:dyDescent="0.25">
      <c r="A659" s="1" t="str">
        <f ca="1">IF(ROW()&lt;=(Results!$C$1/2)+1,INDEX(Data!$V:$V,CEILING((COUNTA(Data!$V:$V)-1)*RAND()+1,1)),"")</f>
        <v/>
      </c>
      <c r="B659" s="1" t="str">
        <f>IF(ROW()&lt;=(Results!$C$1/2)+1,VLOOKUP($A659,Data!$V$2:$W$117,2,TRUE),"")</f>
        <v/>
      </c>
      <c r="C659" s="14" t="str">
        <f>IF(ROW()&lt;=(Results!$C$1/2)+1,IF(B659&lt;=0,"",LN(B659)),"")</f>
        <v/>
      </c>
      <c r="D659" s="1" t="str">
        <f ca="1">IF(ROW()&lt;=(Results!$C$1/2)+1,INDEX(Data!$X:$X,CEILING((COUNTA(Data!$X:$X)-1)*RAND()+1,1)),"")</f>
        <v/>
      </c>
      <c r="E659" s="1" t="str">
        <f>IF(ROW()&lt;=(Results!$C$1/2)+1,VLOOKUP($D659,Data!$X$2:$Y$117,2,TRUE),"")</f>
        <v/>
      </c>
      <c r="F659" s="14" t="str">
        <f>IF(ROW()&lt;=(Results!$C$1/2)+1,IF(E659&lt;=0,"",LN(E659)),"")</f>
        <v/>
      </c>
    </row>
    <row r="660" spans="1:6" x14ac:dyDescent="0.25">
      <c r="A660" s="1" t="str">
        <f ca="1">IF(ROW()&lt;=(Results!$C$1/2)+1,INDEX(Data!$V:$V,CEILING((COUNTA(Data!$V:$V)-1)*RAND()+1,1)),"")</f>
        <v/>
      </c>
      <c r="B660" s="1" t="str">
        <f>IF(ROW()&lt;=(Results!$C$1/2)+1,VLOOKUP($A660,Data!$V$2:$W$117,2,TRUE),"")</f>
        <v/>
      </c>
      <c r="C660" s="14" t="str">
        <f>IF(ROW()&lt;=(Results!$C$1/2)+1,IF(B660&lt;=0,"",LN(B660)),"")</f>
        <v/>
      </c>
      <c r="D660" s="1" t="str">
        <f ca="1">IF(ROW()&lt;=(Results!$C$1/2)+1,INDEX(Data!$X:$X,CEILING((COUNTA(Data!$X:$X)-1)*RAND()+1,1)),"")</f>
        <v/>
      </c>
      <c r="E660" s="1" t="str">
        <f>IF(ROW()&lt;=(Results!$C$1/2)+1,VLOOKUP($D660,Data!$X$2:$Y$117,2,TRUE),"")</f>
        <v/>
      </c>
      <c r="F660" s="14" t="str">
        <f>IF(ROW()&lt;=(Results!$C$1/2)+1,IF(E660&lt;=0,"",LN(E660)),"")</f>
        <v/>
      </c>
    </row>
    <row r="661" spans="1:6" x14ac:dyDescent="0.25">
      <c r="A661" s="1" t="str">
        <f ca="1">IF(ROW()&lt;=(Results!$C$1/2)+1,INDEX(Data!$V:$V,CEILING((COUNTA(Data!$V:$V)-1)*RAND()+1,1)),"")</f>
        <v/>
      </c>
      <c r="B661" s="1" t="str">
        <f>IF(ROW()&lt;=(Results!$C$1/2)+1,VLOOKUP($A661,Data!$V$2:$W$117,2,TRUE),"")</f>
        <v/>
      </c>
      <c r="C661" s="14" t="str">
        <f>IF(ROW()&lt;=(Results!$C$1/2)+1,IF(B661&lt;=0,"",LN(B661)),"")</f>
        <v/>
      </c>
      <c r="D661" s="1" t="str">
        <f ca="1">IF(ROW()&lt;=(Results!$C$1/2)+1,INDEX(Data!$X:$X,CEILING((COUNTA(Data!$X:$X)-1)*RAND()+1,1)),"")</f>
        <v/>
      </c>
      <c r="E661" s="1" t="str">
        <f>IF(ROW()&lt;=(Results!$C$1/2)+1,VLOOKUP($D661,Data!$X$2:$Y$117,2,TRUE),"")</f>
        <v/>
      </c>
      <c r="F661" s="14" t="str">
        <f>IF(ROW()&lt;=(Results!$C$1/2)+1,IF(E661&lt;=0,"",LN(E661)),"")</f>
        <v/>
      </c>
    </row>
    <row r="662" spans="1:6" x14ac:dyDescent="0.25">
      <c r="A662" s="1" t="str">
        <f ca="1">IF(ROW()&lt;=(Results!$C$1/2)+1,INDEX(Data!$V:$V,CEILING((COUNTA(Data!$V:$V)-1)*RAND()+1,1)),"")</f>
        <v/>
      </c>
      <c r="B662" s="1" t="str">
        <f>IF(ROW()&lt;=(Results!$C$1/2)+1,VLOOKUP($A662,Data!$V$2:$W$117,2,TRUE),"")</f>
        <v/>
      </c>
      <c r="C662" s="14" t="str">
        <f>IF(ROW()&lt;=(Results!$C$1/2)+1,IF(B662&lt;=0,"",LN(B662)),"")</f>
        <v/>
      </c>
      <c r="D662" s="1" t="str">
        <f ca="1">IF(ROW()&lt;=(Results!$C$1/2)+1,INDEX(Data!$X:$X,CEILING((COUNTA(Data!$X:$X)-1)*RAND()+1,1)),"")</f>
        <v/>
      </c>
      <c r="E662" s="1" t="str">
        <f>IF(ROW()&lt;=(Results!$C$1/2)+1,VLOOKUP($D662,Data!$X$2:$Y$117,2,TRUE),"")</f>
        <v/>
      </c>
      <c r="F662" s="14" t="str">
        <f>IF(ROW()&lt;=(Results!$C$1/2)+1,IF(E662&lt;=0,"",LN(E662)),"")</f>
        <v/>
      </c>
    </row>
    <row r="663" spans="1:6" x14ac:dyDescent="0.25">
      <c r="A663" s="1" t="str">
        <f ca="1">IF(ROW()&lt;=(Results!$C$1/2)+1,INDEX(Data!$V:$V,CEILING((COUNTA(Data!$V:$V)-1)*RAND()+1,1)),"")</f>
        <v/>
      </c>
      <c r="B663" s="1" t="str">
        <f>IF(ROW()&lt;=(Results!$C$1/2)+1,VLOOKUP($A663,Data!$V$2:$W$117,2,TRUE),"")</f>
        <v/>
      </c>
      <c r="C663" s="14" t="str">
        <f>IF(ROW()&lt;=(Results!$C$1/2)+1,IF(B663&lt;=0,"",LN(B663)),"")</f>
        <v/>
      </c>
      <c r="D663" s="1" t="str">
        <f ca="1">IF(ROW()&lt;=(Results!$C$1/2)+1,INDEX(Data!$X:$X,CEILING((COUNTA(Data!$X:$X)-1)*RAND()+1,1)),"")</f>
        <v/>
      </c>
      <c r="E663" s="1" t="str">
        <f>IF(ROW()&lt;=(Results!$C$1/2)+1,VLOOKUP($D663,Data!$X$2:$Y$117,2,TRUE),"")</f>
        <v/>
      </c>
      <c r="F663" s="14" t="str">
        <f>IF(ROW()&lt;=(Results!$C$1/2)+1,IF(E663&lt;=0,"",LN(E663)),"")</f>
        <v/>
      </c>
    </row>
    <row r="664" spans="1:6" x14ac:dyDescent="0.25">
      <c r="A664" s="1" t="str">
        <f ca="1">IF(ROW()&lt;=(Results!$C$1/2)+1,INDEX(Data!$V:$V,CEILING((COUNTA(Data!$V:$V)-1)*RAND()+1,1)),"")</f>
        <v/>
      </c>
      <c r="B664" s="1" t="str">
        <f>IF(ROW()&lt;=(Results!$C$1/2)+1,VLOOKUP($A664,Data!$V$2:$W$117,2,TRUE),"")</f>
        <v/>
      </c>
      <c r="C664" s="14" t="str">
        <f>IF(ROW()&lt;=(Results!$C$1/2)+1,IF(B664&lt;=0,"",LN(B664)),"")</f>
        <v/>
      </c>
      <c r="D664" s="1" t="str">
        <f ca="1">IF(ROW()&lt;=(Results!$C$1/2)+1,INDEX(Data!$X:$X,CEILING((COUNTA(Data!$X:$X)-1)*RAND()+1,1)),"")</f>
        <v/>
      </c>
      <c r="E664" s="1" t="str">
        <f>IF(ROW()&lt;=(Results!$C$1/2)+1,VLOOKUP($D664,Data!$X$2:$Y$117,2,TRUE),"")</f>
        <v/>
      </c>
      <c r="F664" s="14" t="str">
        <f>IF(ROW()&lt;=(Results!$C$1/2)+1,IF(E664&lt;=0,"",LN(E664)),"")</f>
        <v/>
      </c>
    </row>
    <row r="665" spans="1:6" x14ac:dyDescent="0.25">
      <c r="A665" s="1" t="str">
        <f ca="1">IF(ROW()&lt;=(Results!$C$1/2)+1,INDEX(Data!$V:$V,CEILING((COUNTA(Data!$V:$V)-1)*RAND()+1,1)),"")</f>
        <v/>
      </c>
      <c r="B665" s="1" t="str">
        <f>IF(ROW()&lt;=(Results!$C$1/2)+1,VLOOKUP($A665,Data!$V$2:$W$117,2,TRUE),"")</f>
        <v/>
      </c>
      <c r="C665" s="14" t="str">
        <f>IF(ROW()&lt;=(Results!$C$1/2)+1,IF(B665&lt;=0,"",LN(B665)),"")</f>
        <v/>
      </c>
      <c r="D665" s="1" t="str">
        <f ca="1">IF(ROW()&lt;=(Results!$C$1/2)+1,INDEX(Data!$X:$X,CEILING((COUNTA(Data!$X:$X)-1)*RAND()+1,1)),"")</f>
        <v/>
      </c>
      <c r="E665" s="1" t="str">
        <f>IF(ROW()&lt;=(Results!$C$1/2)+1,VLOOKUP($D665,Data!$X$2:$Y$117,2,TRUE),"")</f>
        <v/>
      </c>
      <c r="F665" s="14" t="str">
        <f>IF(ROW()&lt;=(Results!$C$1/2)+1,IF(E665&lt;=0,"",LN(E665)),"")</f>
        <v/>
      </c>
    </row>
    <row r="666" spans="1:6" x14ac:dyDescent="0.25">
      <c r="A666" s="1" t="str">
        <f ca="1">IF(ROW()&lt;=(Results!$C$1/2)+1,INDEX(Data!$V:$V,CEILING((COUNTA(Data!$V:$V)-1)*RAND()+1,1)),"")</f>
        <v/>
      </c>
      <c r="B666" s="1" t="str">
        <f>IF(ROW()&lt;=(Results!$C$1/2)+1,VLOOKUP($A666,Data!$V$2:$W$117,2,TRUE),"")</f>
        <v/>
      </c>
      <c r="C666" s="14" t="str">
        <f>IF(ROW()&lt;=(Results!$C$1/2)+1,IF(B666&lt;=0,"",LN(B666)),"")</f>
        <v/>
      </c>
      <c r="D666" s="1" t="str">
        <f ca="1">IF(ROW()&lt;=(Results!$C$1/2)+1,INDEX(Data!$X:$X,CEILING((COUNTA(Data!$X:$X)-1)*RAND()+1,1)),"")</f>
        <v/>
      </c>
      <c r="E666" s="1" t="str">
        <f>IF(ROW()&lt;=(Results!$C$1/2)+1,VLOOKUP($D666,Data!$X$2:$Y$117,2,TRUE),"")</f>
        <v/>
      </c>
      <c r="F666" s="14" t="str">
        <f>IF(ROW()&lt;=(Results!$C$1/2)+1,IF(E666&lt;=0,"",LN(E666)),"")</f>
        <v/>
      </c>
    </row>
    <row r="667" spans="1:6" x14ac:dyDescent="0.25">
      <c r="A667" s="1" t="str">
        <f ca="1">IF(ROW()&lt;=(Results!$C$1/2)+1,INDEX(Data!$V:$V,CEILING((COUNTA(Data!$V:$V)-1)*RAND()+1,1)),"")</f>
        <v/>
      </c>
      <c r="B667" s="1" t="str">
        <f>IF(ROW()&lt;=(Results!$C$1/2)+1,VLOOKUP($A667,Data!$V$2:$W$117,2,TRUE),"")</f>
        <v/>
      </c>
      <c r="C667" s="14" t="str">
        <f>IF(ROW()&lt;=(Results!$C$1/2)+1,IF(B667&lt;=0,"",LN(B667)),"")</f>
        <v/>
      </c>
      <c r="D667" s="1" t="str">
        <f ca="1">IF(ROW()&lt;=(Results!$C$1/2)+1,INDEX(Data!$X:$X,CEILING((COUNTA(Data!$X:$X)-1)*RAND()+1,1)),"")</f>
        <v/>
      </c>
      <c r="E667" s="1" t="str">
        <f>IF(ROW()&lt;=(Results!$C$1/2)+1,VLOOKUP($D667,Data!$X$2:$Y$117,2,TRUE),"")</f>
        <v/>
      </c>
      <c r="F667" s="14" t="str">
        <f>IF(ROW()&lt;=(Results!$C$1/2)+1,IF(E667&lt;=0,"",LN(E667)),"")</f>
        <v/>
      </c>
    </row>
    <row r="668" spans="1:6" x14ac:dyDescent="0.25">
      <c r="A668" s="1" t="str">
        <f ca="1">IF(ROW()&lt;=(Results!$C$1/2)+1,INDEX(Data!$V:$V,CEILING((COUNTA(Data!$V:$V)-1)*RAND()+1,1)),"")</f>
        <v/>
      </c>
      <c r="B668" s="1" t="str">
        <f>IF(ROW()&lt;=(Results!$C$1/2)+1,VLOOKUP($A668,Data!$V$2:$W$117,2,TRUE),"")</f>
        <v/>
      </c>
      <c r="C668" s="14" t="str">
        <f>IF(ROW()&lt;=(Results!$C$1/2)+1,IF(B668&lt;=0,"",LN(B668)),"")</f>
        <v/>
      </c>
      <c r="D668" s="1" t="str">
        <f ca="1">IF(ROW()&lt;=(Results!$C$1/2)+1,INDEX(Data!$X:$X,CEILING((COUNTA(Data!$X:$X)-1)*RAND()+1,1)),"")</f>
        <v/>
      </c>
      <c r="E668" s="1" t="str">
        <f>IF(ROW()&lt;=(Results!$C$1/2)+1,VLOOKUP($D668,Data!$X$2:$Y$117,2,TRUE),"")</f>
        <v/>
      </c>
      <c r="F668" s="14" t="str">
        <f>IF(ROW()&lt;=(Results!$C$1/2)+1,IF(E668&lt;=0,"",LN(E668)),"")</f>
        <v/>
      </c>
    </row>
    <row r="669" spans="1:6" x14ac:dyDescent="0.25">
      <c r="A669" s="1" t="str">
        <f ca="1">IF(ROW()&lt;=(Results!$C$1/2)+1,INDEX(Data!$V:$V,CEILING((COUNTA(Data!$V:$V)-1)*RAND()+1,1)),"")</f>
        <v/>
      </c>
      <c r="B669" s="1" t="str">
        <f>IF(ROW()&lt;=(Results!$C$1/2)+1,VLOOKUP($A669,Data!$V$2:$W$117,2,TRUE),"")</f>
        <v/>
      </c>
      <c r="C669" s="14" t="str">
        <f>IF(ROW()&lt;=(Results!$C$1/2)+1,IF(B669&lt;=0,"",LN(B669)),"")</f>
        <v/>
      </c>
      <c r="D669" s="1" t="str">
        <f ca="1">IF(ROW()&lt;=(Results!$C$1/2)+1,INDEX(Data!$X:$X,CEILING((COUNTA(Data!$X:$X)-1)*RAND()+1,1)),"")</f>
        <v/>
      </c>
      <c r="E669" s="1" t="str">
        <f>IF(ROW()&lt;=(Results!$C$1/2)+1,VLOOKUP($D669,Data!$X$2:$Y$117,2,TRUE),"")</f>
        <v/>
      </c>
      <c r="F669" s="14" t="str">
        <f>IF(ROW()&lt;=(Results!$C$1/2)+1,IF(E669&lt;=0,"",LN(E669)),"")</f>
        <v/>
      </c>
    </row>
    <row r="670" spans="1:6" x14ac:dyDescent="0.25">
      <c r="A670" s="1" t="str">
        <f ca="1">IF(ROW()&lt;=(Results!$C$1/2)+1,INDEX(Data!$V:$V,CEILING((COUNTA(Data!$V:$V)-1)*RAND()+1,1)),"")</f>
        <v/>
      </c>
      <c r="B670" s="1" t="str">
        <f>IF(ROW()&lt;=(Results!$C$1/2)+1,VLOOKUP($A670,Data!$V$2:$W$117,2,TRUE),"")</f>
        <v/>
      </c>
      <c r="C670" s="14" t="str">
        <f>IF(ROW()&lt;=(Results!$C$1/2)+1,IF(B670&lt;=0,"",LN(B670)),"")</f>
        <v/>
      </c>
      <c r="D670" s="1" t="str">
        <f ca="1">IF(ROW()&lt;=(Results!$C$1/2)+1,INDEX(Data!$X:$X,CEILING((COUNTA(Data!$X:$X)-1)*RAND()+1,1)),"")</f>
        <v/>
      </c>
      <c r="E670" s="1" t="str">
        <f>IF(ROW()&lt;=(Results!$C$1/2)+1,VLOOKUP($D670,Data!$X$2:$Y$117,2,TRUE),"")</f>
        <v/>
      </c>
      <c r="F670" s="14" t="str">
        <f>IF(ROW()&lt;=(Results!$C$1/2)+1,IF(E670&lt;=0,"",LN(E670)),"")</f>
        <v/>
      </c>
    </row>
    <row r="671" spans="1:6" x14ac:dyDescent="0.25">
      <c r="A671" s="1" t="str">
        <f ca="1">IF(ROW()&lt;=(Results!$C$1/2)+1,INDEX(Data!$V:$V,CEILING((COUNTA(Data!$V:$V)-1)*RAND()+1,1)),"")</f>
        <v/>
      </c>
      <c r="B671" s="1" t="str">
        <f>IF(ROW()&lt;=(Results!$C$1/2)+1,VLOOKUP($A671,Data!$V$2:$W$117,2,TRUE),"")</f>
        <v/>
      </c>
      <c r="C671" s="14" t="str">
        <f>IF(ROW()&lt;=(Results!$C$1/2)+1,IF(B671&lt;=0,"",LN(B671)),"")</f>
        <v/>
      </c>
      <c r="D671" s="1" t="str">
        <f ca="1">IF(ROW()&lt;=(Results!$C$1/2)+1,INDEX(Data!$X:$X,CEILING((COUNTA(Data!$X:$X)-1)*RAND()+1,1)),"")</f>
        <v/>
      </c>
      <c r="E671" s="1" t="str">
        <f>IF(ROW()&lt;=(Results!$C$1/2)+1,VLOOKUP($D671,Data!$X$2:$Y$117,2,TRUE),"")</f>
        <v/>
      </c>
      <c r="F671" s="14" t="str">
        <f>IF(ROW()&lt;=(Results!$C$1/2)+1,IF(E671&lt;=0,"",LN(E671)),"")</f>
        <v/>
      </c>
    </row>
    <row r="672" spans="1:6" x14ac:dyDescent="0.25">
      <c r="A672" s="1" t="str">
        <f ca="1">IF(ROW()&lt;=(Results!$C$1/2)+1,INDEX(Data!$V:$V,CEILING((COUNTA(Data!$V:$V)-1)*RAND()+1,1)),"")</f>
        <v/>
      </c>
      <c r="B672" s="1" t="str">
        <f>IF(ROW()&lt;=(Results!$C$1/2)+1,VLOOKUP($A672,Data!$V$2:$W$117,2,TRUE),"")</f>
        <v/>
      </c>
      <c r="C672" s="14" t="str">
        <f>IF(ROW()&lt;=(Results!$C$1/2)+1,IF(B672&lt;=0,"",LN(B672)),"")</f>
        <v/>
      </c>
      <c r="D672" s="1" t="str">
        <f ca="1">IF(ROW()&lt;=(Results!$C$1/2)+1,INDEX(Data!$X:$X,CEILING((COUNTA(Data!$X:$X)-1)*RAND()+1,1)),"")</f>
        <v/>
      </c>
      <c r="E672" s="1" t="str">
        <f>IF(ROW()&lt;=(Results!$C$1/2)+1,VLOOKUP($D672,Data!$X$2:$Y$117,2,TRUE),"")</f>
        <v/>
      </c>
      <c r="F672" s="14" t="str">
        <f>IF(ROW()&lt;=(Results!$C$1/2)+1,IF(E672&lt;=0,"",LN(E672)),"")</f>
        <v/>
      </c>
    </row>
    <row r="673" spans="1:6" x14ac:dyDescent="0.25">
      <c r="A673" s="1" t="str">
        <f ca="1">IF(ROW()&lt;=(Results!$C$1/2)+1,INDEX(Data!$V:$V,CEILING((COUNTA(Data!$V:$V)-1)*RAND()+1,1)),"")</f>
        <v/>
      </c>
      <c r="B673" s="1" t="str">
        <f>IF(ROW()&lt;=(Results!$C$1/2)+1,VLOOKUP($A673,Data!$V$2:$W$117,2,TRUE),"")</f>
        <v/>
      </c>
      <c r="C673" s="14" t="str">
        <f>IF(ROW()&lt;=(Results!$C$1/2)+1,IF(B673&lt;=0,"",LN(B673)),"")</f>
        <v/>
      </c>
      <c r="D673" s="1" t="str">
        <f ca="1">IF(ROW()&lt;=(Results!$C$1/2)+1,INDEX(Data!$X:$X,CEILING((COUNTA(Data!$X:$X)-1)*RAND()+1,1)),"")</f>
        <v/>
      </c>
      <c r="E673" s="1" t="str">
        <f>IF(ROW()&lt;=(Results!$C$1/2)+1,VLOOKUP($D673,Data!$X$2:$Y$117,2,TRUE),"")</f>
        <v/>
      </c>
      <c r="F673" s="14" t="str">
        <f>IF(ROW()&lt;=(Results!$C$1/2)+1,IF(E673&lt;=0,"",LN(E673)),"")</f>
        <v/>
      </c>
    </row>
    <row r="674" spans="1:6" x14ac:dyDescent="0.25">
      <c r="A674" s="1" t="str">
        <f ca="1">IF(ROW()&lt;=(Results!$C$1/2)+1,INDEX(Data!$V:$V,CEILING((COUNTA(Data!$V:$V)-1)*RAND()+1,1)),"")</f>
        <v/>
      </c>
      <c r="B674" s="1" t="str">
        <f>IF(ROW()&lt;=(Results!$C$1/2)+1,VLOOKUP($A674,Data!$V$2:$W$117,2,TRUE),"")</f>
        <v/>
      </c>
      <c r="C674" s="14" t="str">
        <f>IF(ROW()&lt;=(Results!$C$1/2)+1,IF(B674&lt;=0,"",LN(B674)),"")</f>
        <v/>
      </c>
      <c r="D674" s="1" t="str">
        <f ca="1">IF(ROW()&lt;=(Results!$C$1/2)+1,INDEX(Data!$X:$X,CEILING((COUNTA(Data!$X:$X)-1)*RAND()+1,1)),"")</f>
        <v/>
      </c>
      <c r="E674" s="1" t="str">
        <f>IF(ROW()&lt;=(Results!$C$1/2)+1,VLOOKUP($D674,Data!$X$2:$Y$117,2,TRUE),"")</f>
        <v/>
      </c>
      <c r="F674" s="14" t="str">
        <f>IF(ROW()&lt;=(Results!$C$1/2)+1,IF(E674&lt;=0,"",LN(E674)),"")</f>
        <v/>
      </c>
    </row>
    <row r="675" spans="1:6" x14ac:dyDescent="0.25">
      <c r="A675" s="1" t="str">
        <f ca="1">IF(ROW()&lt;=(Results!$C$1/2)+1,INDEX(Data!$V:$V,CEILING((COUNTA(Data!$V:$V)-1)*RAND()+1,1)),"")</f>
        <v/>
      </c>
      <c r="B675" s="1" t="str">
        <f>IF(ROW()&lt;=(Results!$C$1/2)+1,VLOOKUP($A675,Data!$V$2:$W$117,2,TRUE),"")</f>
        <v/>
      </c>
      <c r="C675" s="14" t="str">
        <f>IF(ROW()&lt;=(Results!$C$1/2)+1,IF(B675&lt;=0,"",LN(B675)),"")</f>
        <v/>
      </c>
      <c r="D675" s="1" t="str">
        <f ca="1">IF(ROW()&lt;=(Results!$C$1/2)+1,INDEX(Data!$X:$X,CEILING((COUNTA(Data!$X:$X)-1)*RAND()+1,1)),"")</f>
        <v/>
      </c>
      <c r="E675" s="1" t="str">
        <f>IF(ROW()&lt;=(Results!$C$1/2)+1,VLOOKUP($D675,Data!$X$2:$Y$117,2,TRUE),"")</f>
        <v/>
      </c>
      <c r="F675" s="14" t="str">
        <f>IF(ROW()&lt;=(Results!$C$1/2)+1,IF(E675&lt;=0,"",LN(E675)),"")</f>
        <v/>
      </c>
    </row>
    <row r="676" spans="1:6" x14ac:dyDescent="0.25">
      <c r="A676" s="1" t="str">
        <f ca="1">IF(ROW()&lt;=(Results!$C$1/2)+1,INDEX(Data!$V:$V,CEILING((COUNTA(Data!$V:$V)-1)*RAND()+1,1)),"")</f>
        <v/>
      </c>
      <c r="B676" s="1" t="str">
        <f>IF(ROW()&lt;=(Results!$C$1/2)+1,VLOOKUP($A676,Data!$V$2:$W$117,2,TRUE),"")</f>
        <v/>
      </c>
      <c r="C676" s="14" t="str">
        <f>IF(ROW()&lt;=(Results!$C$1/2)+1,IF(B676&lt;=0,"",LN(B676)),"")</f>
        <v/>
      </c>
      <c r="D676" s="1" t="str">
        <f ca="1">IF(ROW()&lt;=(Results!$C$1/2)+1,INDEX(Data!$X:$X,CEILING((COUNTA(Data!$X:$X)-1)*RAND()+1,1)),"")</f>
        <v/>
      </c>
      <c r="E676" s="1" t="str">
        <f>IF(ROW()&lt;=(Results!$C$1/2)+1,VLOOKUP($D676,Data!$X$2:$Y$117,2,TRUE),"")</f>
        <v/>
      </c>
      <c r="F676" s="14" t="str">
        <f>IF(ROW()&lt;=(Results!$C$1/2)+1,IF(E676&lt;=0,"",LN(E676)),"")</f>
        <v/>
      </c>
    </row>
    <row r="677" spans="1:6" x14ac:dyDescent="0.25">
      <c r="A677" s="1" t="str">
        <f ca="1">IF(ROW()&lt;=(Results!$C$1/2)+1,INDEX(Data!$V:$V,CEILING((COUNTA(Data!$V:$V)-1)*RAND()+1,1)),"")</f>
        <v/>
      </c>
      <c r="B677" s="1" t="str">
        <f>IF(ROW()&lt;=(Results!$C$1/2)+1,VLOOKUP($A677,Data!$V$2:$W$117,2,TRUE),"")</f>
        <v/>
      </c>
      <c r="C677" s="14" t="str">
        <f>IF(ROW()&lt;=(Results!$C$1/2)+1,IF(B677&lt;=0,"",LN(B677)),"")</f>
        <v/>
      </c>
      <c r="D677" s="1" t="str">
        <f ca="1">IF(ROW()&lt;=(Results!$C$1/2)+1,INDEX(Data!$X:$X,CEILING((COUNTA(Data!$X:$X)-1)*RAND()+1,1)),"")</f>
        <v/>
      </c>
      <c r="E677" s="1" t="str">
        <f>IF(ROW()&lt;=(Results!$C$1/2)+1,VLOOKUP($D677,Data!$X$2:$Y$117,2,TRUE),"")</f>
        <v/>
      </c>
      <c r="F677" s="14" t="str">
        <f>IF(ROW()&lt;=(Results!$C$1/2)+1,IF(E677&lt;=0,"",LN(E677)),"")</f>
        <v/>
      </c>
    </row>
    <row r="678" spans="1:6" x14ac:dyDescent="0.25">
      <c r="A678" s="1" t="str">
        <f ca="1">IF(ROW()&lt;=(Results!$C$1/2)+1,INDEX(Data!$V:$V,CEILING((COUNTA(Data!$V:$V)-1)*RAND()+1,1)),"")</f>
        <v/>
      </c>
      <c r="B678" s="1" t="str">
        <f>IF(ROW()&lt;=(Results!$C$1/2)+1,VLOOKUP($A678,Data!$V$2:$W$117,2,TRUE),"")</f>
        <v/>
      </c>
      <c r="C678" s="14" t="str">
        <f>IF(ROW()&lt;=(Results!$C$1/2)+1,IF(B678&lt;=0,"",LN(B678)),"")</f>
        <v/>
      </c>
      <c r="D678" s="1" t="str">
        <f ca="1">IF(ROW()&lt;=(Results!$C$1/2)+1,INDEX(Data!$X:$X,CEILING((COUNTA(Data!$X:$X)-1)*RAND()+1,1)),"")</f>
        <v/>
      </c>
      <c r="E678" s="1" t="str">
        <f>IF(ROW()&lt;=(Results!$C$1/2)+1,VLOOKUP($D678,Data!$X$2:$Y$117,2,TRUE),"")</f>
        <v/>
      </c>
      <c r="F678" s="14" t="str">
        <f>IF(ROW()&lt;=(Results!$C$1/2)+1,IF(E678&lt;=0,"",LN(E678)),"")</f>
        <v/>
      </c>
    </row>
    <row r="679" spans="1:6" x14ac:dyDescent="0.25">
      <c r="A679" s="1" t="str">
        <f ca="1">IF(ROW()&lt;=(Results!$C$1/2)+1,INDEX(Data!$V:$V,CEILING((COUNTA(Data!$V:$V)-1)*RAND()+1,1)),"")</f>
        <v/>
      </c>
      <c r="B679" s="1" t="str">
        <f>IF(ROW()&lt;=(Results!$C$1/2)+1,VLOOKUP($A679,Data!$V$2:$W$117,2,TRUE),"")</f>
        <v/>
      </c>
      <c r="C679" s="14" t="str">
        <f>IF(ROW()&lt;=(Results!$C$1/2)+1,IF(B679&lt;=0,"",LN(B679)),"")</f>
        <v/>
      </c>
      <c r="D679" s="1" t="str">
        <f ca="1">IF(ROW()&lt;=(Results!$C$1/2)+1,INDEX(Data!$X:$X,CEILING((COUNTA(Data!$X:$X)-1)*RAND()+1,1)),"")</f>
        <v/>
      </c>
      <c r="E679" s="1" t="str">
        <f>IF(ROW()&lt;=(Results!$C$1/2)+1,VLOOKUP($D679,Data!$X$2:$Y$117,2,TRUE),"")</f>
        <v/>
      </c>
      <c r="F679" s="14" t="str">
        <f>IF(ROW()&lt;=(Results!$C$1/2)+1,IF(E679&lt;=0,"",LN(E679)),"")</f>
        <v/>
      </c>
    </row>
    <row r="680" spans="1:6" x14ac:dyDescent="0.25">
      <c r="A680" s="1" t="str">
        <f ca="1">IF(ROW()&lt;=(Results!$C$1/2)+1,INDEX(Data!$V:$V,CEILING((COUNTA(Data!$V:$V)-1)*RAND()+1,1)),"")</f>
        <v/>
      </c>
      <c r="B680" s="1" t="str">
        <f>IF(ROW()&lt;=(Results!$C$1/2)+1,VLOOKUP($A680,Data!$V$2:$W$117,2,TRUE),"")</f>
        <v/>
      </c>
      <c r="C680" s="14" t="str">
        <f>IF(ROW()&lt;=(Results!$C$1/2)+1,IF(B680&lt;=0,"",LN(B680)),"")</f>
        <v/>
      </c>
      <c r="D680" s="1" t="str">
        <f ca="1">IF(ROW()&lt;=(Results!$C$1/2)+1,INDEX(Data!$X:$X,CEILING((COUNTA(Data!$X:$X)-1)*RAND()+1,1)),"")</f>
        <v/>
      </c>
      <c r="E680" s="1" t="str">
        <f>IF(ROW()&lt;=(Results!$C$1/2)+1,VLOOKUP($D680,Data!$X$2:$Y$117,2,TRUE),"")</f>
        <v/>
      </c>
      <c r="F680" s="14" t="str">
        <f>IF(ROW()&lt;=(Results!$C$1/2)+1,IF(E680&lt;=0,"",LN(E680)),"")</f>
        <v/>
      </c>
    </row>
    <row r="681" spans="1:6" x14ac:dyDescent="0.25">
      <c r="A681" s="1" t="str">
        <f ca="1">IF(ROW()&lt;=(Results!$C$1/2)+1,INDEX(Data!$V:$V,CEILING((COUNTA(Data!$V:$V)-1)*RAND()+1,1)),"")</f>
        <v/>
      </c>
      <c r="B681" s="1" t="str">
        <f>IF(ROW()&lt;=(Results!$C$1/2)+1,VLOOKUP($A681,Data!$V$2:$W$117,2,TRUE),"")</f>
        <v/>
      </c>
      <c r="C681" s="14" t="str">
        <f>IF(ROW()&lt;=(Results!$C$1/2)+1,IF(B681&lt;=0,"",LN(B681)),"")</f>
        <v/>
      </c>
      <c r="D681" s="1" t="str">
        <f ca="1">IF(ROW()&lt;=(Results!$C$1/2)+1,INDEX(Data!$X:$X,CEILING((COUNTA(Data!$X:$X)-1)*RAND()+1,1)),"")</f>
        <v/>
      </c>
      <c r="E681" s="1" t="str">
        <f>IF(ROW()&lt;=(Results!$C$1/2)+1,VLOOKUP($D681,Data!$X$2:$Y$117,2,TRUE),"")</f>
        <v/>
      </c>
      <c r="F681" s="14" t="str">
        <f>IF(ROW()&lt;=(Results!$C$1/2)+1,IF(E681&lt;=0,"",LN(E681)),"")</f>
        <v/>
      </c>
    </row>
    <row r="682" spans="1:6" x14ac:dyDescent="0.25">
      <c r="A682" s="1" t="str">
        <f ca="1">IF(ROW()&lt;=(Results!$C$1/2)+1,INDEX(Data!$V:$V,CEILING((COUNTA(Data!$V:$V)-1)*RAND()+1,1)),"")</f>
        <v/>
      </c>
      <c r="B682" s="1" t="str">
        <f>IF(ROW()&lt;=(Results!$C$1/2)+1,VLOOKUP($A682,Data!$V$2:$W$117,2,TRUE),"")</f>
        <v/>
      </c>
      <c r="C682" s="14" t="str">
        <f>IF(ROW()&lt;=(Results!$C$1/2)+1,IF(B682&lt;=0,"",LN(B682)),"")</f>
        <v/>
      </c>
      <c r="D682" s="1" t="str">
        <f ca="1">IF(ROW()&lt;=(Results!$C$1/2)+1,INDEX(Data!$X:$X,CEILING((COUNTA(Data!$X:$X)-1)*RAND()+1,1)),"")</f>
        <v/>
      </c>
      <c r="E682" s="1" t="str">
        <f>IF(ROW()&lt;=(Results!$C$1/2)+1,VLOOKUP($D682,Data!$X$2:$Y$117,2,TRUE),"")</f>
        <v/>
      </c>
      <c r="F682" s="14" t="str">
        <f>IF(ROW()&lt;=(Results!$C$1/2)+1,IF(E682&lt;=0,"",LN(E682)),"")</f>
        <v/>
      </c>
    </row>
    <row r="683" spans="1:6" x14ac:dyDescent="0.25">
      <c r="A683" s="1" t="str">
        <f ca="1">IF(ROW()&lt;=(Results!$C$1/2)+1,INDEX(Data!$V:$V,CEILING((COUNTA(Data!$V:$V)-1)*RAND()+1,1)),"")</f>
        <v/>
      </c>
      <c r="B683" s="1" t="str">
        <f>IF(ROW()&lt;=(Results!$C$1/2)+1,VLOOKUP($A683,Data!$V$2:$W$117,2,TRUE),"")</f>
        <v/>
      </c>
      <c r="C683" s="14" t="str">
        <f>IF(ROW()&lt;=(Results!$C$1/2)+1,IF(B683&lt;=0,"",LN(B683)),"")</f>
        <v/>
      </c>
      <c r="D683" s="1" t="str">
        <f ca="1">IF(ROW()&lt;=(Results!$C$1/2)+1,INDEX(Data!$X:$X,CEILING((COUNTA(Data!$X:$X)-1)*RAND()+1,1)),"")</f>
        <v/>
      </c>
      <c r="E683" s="1" t="str">
        <f>IF(ROW()&lt;=(Results!$C$1/2)+1,VLOOKUP($D683,Data!$X$2:$Y$117,2,TRUE),"")</f>
        <v/>
      </c>
      <c r="F683" s="14" t="str">
        <f>IF(ROW()&lt;=(Results!$C$1/2)+1,IF(E683&lt;=0,"",LN(E683)),"")</f>
        <v/>
      </c>
    </row>
    <row r="684" spans="1:6" x14ac:dyDescent="0.25">
      <c r="A684" s="1" t="str">
        <f ca="1">IF(ROW()&lt;=(Results!$C$1/2)+1,INDEX(Data!$V:$V,CEILING((COUNTA(Data!$V:$V)-1)*RAND()+1,1)),"")</f>
        <v/>
      </c>
      <c r="B684" s="1" t="str">
        <f>IF(ROW()&lt;=(Results!$C$1/2)+1,VLOOKUP($A684,Data!$V$2:$W$117,2,TRUE),"")</f>
        <v/>
      </c>
      <c r="C684" s="14" t="str">
        <f>IF(ROW()&lt;=(Results!$C$1/2)+1,IF(B684&lt;=0,"",LN(B684)),"")</f>
        <v/>
      </c>
      <c r="D684" s="1" t="str">
        <f ca="1">IF(ROW()&lt;=(Results!$C$1/2)+1,INDEX(Data!$X:$X,CEILING((COUNTA(Data!$X:$X)-1)*RAND()+1,1)),"")</f>
        <v/>
      </c>
      <c r="E684" s="1" t="str">
        <f>IF(ROW()&lt;=(Results!$C$1/2)+1,VLOOKUP($D684,Data!$X$2:$Y$117,2,TRUE),"")</f>
        <v/>
      </c>
      <c r="F684" s="14" t="str">
        <f>IF(ROW()&lt;=(Results!$C$1/2)+1,IF(E684&lt;=0,"",LN(E684)),"")</f>
        <v/>
      </c>
    </row>
    <row r="685" spans="1:6" x14ac:dyDescent="0.25">
      <c r="A685" s="1" t="str">
        <f ca="1">IF(ROW()&lt;=(Results!$C$1/2)+1,INDEX(Data!$V:$V,CEILING((COUNTA(Data!$V:$V)-1)*RAND()+1,1)),"")</f>
        <v/>
      </c>
      <c r="B685" s="1" t="str">
        <f>IF(ROW()&lt;=(Results!$C$1/2)+1,VLOOKUP($A685,Data!$V$2:$W$117,2,TRUE),"")</f>
        <v/>
      </c>
      <c r="C685" s="14" t="str">
        <f>IF(ROW()&lt;=(Results!$C$1/2)+1,IF(B685&lt;=0,"",LN(B685)),"")</f>
        <v/>
      </c>
      <c r="D685" s="1" t="str">
        <f ca="1">IF(ROW()&lt;=(Results!$C$1/2)+1,INDEX(Data!$X:$X,CEILING((COUNTA(Data!$X:$X)-1)*RAND()+1,1)),"")</f>
        <v/>
      </c>
      <c r="E685" s="1" t="str">
        <f>IF(ROW()&lt;=(Results!$C$1/2)+1,VLOOKUP($D685,Data!$X$2:$Y$117,2,TRUE),"")</f>
        <v/>
      </c>
      <c r="F685" s="14" t="str">
        <f>IF(ROW()&lt;=(Results!$C$1/2)+1,IF(E685&lt;=0,"",LN(E685)),"")</f>
        <v/>
      </c>
    </row>
    <row r="686" spans="1:6" x14ac:dyDescent="0.25">
      <c r="A686" s="1" t="str">
        <f ca="1">IF(ROW()&lt;=(Results!$C$1/2)+1,INDEX(Data!$V:$V,CEILING((COUNTA(Data!$V:$V)-1)*RAND()+1,1)),"")</f>
        <v/>
      </c>
      <c r="B686" s="1" t="str">
        <f>IF(ROW()&lt;=(Results!$C$1/2)+1,VLOOKUP($A686,Data!$V$2:$W$117,2,TRUE),"")</f>
        <v/>
      </c>
      <c r="C686" s="14" t="str">
        <f>IF(ROW()&lt;=(Results!$C$1/2)+1,IF(B686&lt;=0,"",LN(B686)),"")</f>
        <v/>
      </c>
      <c r="D686" s="1" t="str">
        <f ca="1">IF(ROW()&lt;=(Results!$C$1/2)+1,INDEX(Data!$X:$X,CEILING((COUNTA(Data!$X:$X)-1)*RAND()+1,1)),"")</f>
        <v/>
      </c>
      <c r="E686" s="1" t="str">
        <f>IF(ROW()&lt;=(Results!$C$1/2)+1,VLOOKUP($D686,Data!$X$2:$Y$117,2,TRUE),"")</f>
        <v/>
      </c>
      <c r="F686" s="14" t="str">
        <f>IF(ROW()&lt;=(Results!$C$1/2)+1,IF(E686&lt;=0,"",LN(E686)),"")</f>
        <v/>
      </c>
    </row>
    <row r="687" spans="1:6" x14ac:dyDescent="0.25">
      <c r="A687" s="1" t="str">
        <f ca="1">IF(ROW()&lt;=(Results!$C$1/2)+1,INDEX(Data!$V:$V,CEILING((COUNTA(Data!$V:$V)-1)*RAND()+1,1)),"")</f>
        <v/>
      </c>
      <c r="B687" s="1" t="str">
        <f>IF(ROW()&lt;=(Results!$C$1/2)+1,VLOOKUP($A687,Data!$V$2:$W$117,2,TRUE),"")</f>
        <v/>
      </c>
      <c r="C687" s="14" t="str">
        <f>IF(ROW()&lt;=(Results!$C$1/2)+1,IF(B687&lt;=0,"",LN(B687)),"")</f>
        <v/>
      </c>
      <c r="D687" s="1" t="str">
        <f ca="1">IF(ROW()&lt;=(Results!$C$1/2)+1,INDEX(Data!$X:$X,CEILING((COUNTA(Data!$X:$X)-1)*RAND()+1,1)),"")</f>
        <v/>
      </c>
      <c r="E687" s="1" t="str">
        <f>IF(ROW()&lt;=(Results!$C$1/2)+1,VLOOKUP($D687,Data!$X$2:$Y$117,2,TRUE),"")</f>
        <v/>
      </c>
      <c r="F687" s="14" t="str">
        <f>IF(ROW()&lt;=(Results!$C$1/2)+1,IF(E687&lt;=0,"",LN(E687)),"")</f>
        <v/>
      </c>
    </row>
    <row r="688" spans="1:6" x14ac:dyDescent="0.25">
      <c r="A688" s="1" t="str">
        <f ca="1">IF(ROW()&lt;=(Results!$C$1/2)+1,INDEX(Data!$V:$V,CEILING((COUNTA(Data!$V:$V)-1)*RAND()+1,1)),"")</f>
        <v/>
      </c>
      <c r="B688" s="1" t="str">
        <f>IF(ROW()&lt;=(Results!$C$1/2)+1,VLOOKUP($A688,Data!$V$2:$W$117,2,TRUE),"")</f>
        <v/>
      </c>
      <c r="C688" s="14" t="str">
        <f>IF(ROW()&lt;=(Results!$C$1/2)+1,IF(B688&lt;=0,"",LN(B688)),"")</f>
        <v/>
      </c>
      <c r="D688" s="1" t="str">
        <f ca="1">IF(ROW()&lt;=(Results!$C$1/2)+1,INDEX(Data!$X:$X,CEILING((COUNTA(Data!$X:$X)-1)*RAND()+1,1)),"")</f>
        <v/>
      </c>
      <c r="E688" s="1" t="str">
        <f>IF(ROW()&lt;=(Results!$C$1/2)+1,VLOOKUP($D688,Data!$X$2:$Y$117,2,TRUE),"")</f>
        <v/>
      </c>
      <c r="F688" s="14" t="str">
        <f>IF(ROW()&lt;=(Results!$C$1/2)+1,IF(E688&lt;=0,"",LN(E688)),"")</f>
        <v/>
      </c>
    </row>
    <row r="689" spans="1:6" x14ac:dyDescent="0.25">
      <c r="A689" s="1" t="str">
        <f ca="1">IF(ROW()&lt;=(Results!$C$1/2)+1,INDEX(Data!$V:$V,CEILING((COUNTA(Data!$V:$V)-1)*RAND()+1,1)),"")</f>
        <v/>
      </c>
      <c r="B689" s="1" t="str">
        <f>IF(ROW()&lt;=(Results!$C$1/2)+1,VLOOKUP($A689,Data!$V$2:$W$117,2,TRUE),"")</f>
        <v/>
      </c>
      <c r="C689" s="14" t="str">
        <f>IF(ROW()&lt;=(Results!$C$1/2)+1,IF(B689&lt;=0,"",LN(B689)),"")</f>
        <v/>
      </c>
      <c r="D689" s="1" t="str">
        <f ca="1">IF(ROW()&lt;=(Results!$C$1/2)+1,INDEX(Data!$X:$X,CEILING((COUNTA(Data!$X:$X)-1)*RAND()+1,1)),"")</f>
        <v/>
      </c>
      <c r="E689" s="1" t="str">
        <f>IF(ROW()&lt;=(Results!$C$1/2)+1,VLOOKUP($D689,Data!$X$2:$Y$117,2,TRUE),"")</f>
        <v/>
      </c>
      <c r="F689" s="14" t="str">
        <f>IF(ROW()&lt;=(Results!$C$1/2)+1,IF(E689&lt;=0,"",LN(E689)),"")</f>
        <v/>
      </c>
    </row>
    <row r="690" spans="1:6" x14ac:dyDescent="0.25">
      <c r="A690" s="1" t="str">
        <f ca="1">IF(ROW()&lt;=(Results!$C$1/2)+1,INDEX(Data!$V:$V,CEILING((COUNTA(Data!$V:$V)-1)*RAND()+1,1)),"")</f>
        <v/>
      </c>
      <c r="B690" s="1" t="str">
        <f>IF(ROW()&lt;=(Results!$C$1/2)+1,VLOOKUP($A690,Data!$V$2:$W$117,2,TRUE),"")</f>
        <v/>
      </c>
      <c r="C690" s="14" t="str">
        <f>IF(ROW()&lt;=(Results!$C$1/2)+1,IF(B690&lt;=0,"",LN(B690)),"")</f>
        <v/>
      </c>
      <c r="D690" s="1" t="str">
        <f ca="1">IF(ROW()&lt;=(Results!$C$1/2)+1,INDEX(Data!$X:$X,CEILING((COUNTA(Data!$X:$X)-1)*RAND()+1,1)),"")</f>
        <v/>
      </c>
      <c r="E690" s="1" t="str">
        <f>IF(ROW()&lt;=(Results!$C$1/2)+1,VLOOKUP($D690,Data!$X$2:$Y$117,2,TRUE),"")</f>
        <v/>
      </c>
      <c r="F690" s="14" t="str">
        <f>IF(ROW()&lt;=(Results!$C$1/2)+1,IF(E690&lt;=0,"",LN(E690)),"")</f>
        <v/>
      </c>
    </row>
    <row r="691" spans="1:6" x14ac:dyDescent="0.25">
      <c r="A691" s="1" t="str">
        <f ca="1">IF(ROW()&lt;=(Results!$C$1/2)+1,INDEX(Data!$V:$V,CEILING((COUNTA(Data!$V:$V)-1)*RAND()+1,1)),"")</f>
        <v/>
      </c>
      <c r="B691" s="1" t="str">
        <f>IF(ROW()&lt;=(Results!$C$1/2)+1,VLOOKUP($A691,Data!$V$2:$W$117,2,TRUE),"")</f>
        <v/>
      </c>
      <c r="C691" s="14" t="str">
        <f>IF(ROW()&lt;=(Results!$C$1/2)+1,IF(B691&lt;=0,"",LN(B691)),"")</f>
        <v/>
      </c>
      <c r="D691" s="1" t="str">
        <f ca="1">IF(ROW()&lt;=(Results!$C$1/2)+1,INDEX(Data!$X:$X,CEILING((COUNTA(Data!$X:$X)-1)*RAND()+1,1)),"")</f>
        <v/>
      </c>
      <c r="E691" s="1" t="str">
        <f>IF(ROW()&lt;=(Results!$C$1/2)+1,VLOOKUP($D691,Data!$X$2:$Y$117,2,TRUE),"")</f>
        <v/>
      </c>
      <c r="F691" s="14" t="str">
        <f>IF(ROW()&lt;=(Results!$C$1/2)+1,IF(E691&lt;=0,"",LN(E691)),"")</f>
        <v/>
      </c>
    </row>
    <row r="692" spans="1:6" x14ac:dyDescent="0.25">
      <c r="A692" s="1" t="str">
        <f ca="1">IF(ROW()&lt;=(Results!$C$1/2)+1,INDEX(Data!$V:$V,CEILING((COUNTA(Data!$V:$V)-1)*RAND()+1,1)),"")</f>
        <v/>
      </c>
      <c r="B692" s="1" t="str">
        <f>IF(ROW()&lt;=(Results!$C$1/2)+1,VLOOKUP($A692,Data!$V$2:$W$117,2,TRUE),"")</f>
        <v/>
      </c>
      <c r="C692" s="14" t="str">
        <f>IF(ROW()&lt;=(Results!$C$1/2)+1,IF(B692&lt;=0,"",LN(B692)),"")</f>
        <v/>
      </c>
      <c r="D692" s="1" t="str">
        <f ca="1">IF(ROW()&lt;=(Results!$C$1/2)+1,INDEX(Data!$X:$X,CEILING((COUNTA(Data!$X:$X)-1)*RAND()+1,1)),"")</f>
        <v/>
      </c>
      <c r="E692" s="1" t="str">
        <f>IF(ROW()&lt;=(Results!$C$1/2)+1,VLOOKUP($D692,Data!$X$2:$Y$117,2,TRUE),"")</f>
        <v/>
      </c>
      <c r="F692" s="14" t="str">
        <f>IF(ROW()&lt;=(Results!$C$1/2)+1,IF(E692&lt;=0,"",LN(E692)),"")</f>
        <v/>
      </c>
    </row>
    <row r="693" spans="1:6" x14ac:dyDescent="0.25">
      <c r="A693" s="1" t="str">
        <f ca="1">IF(ROW()&lt;=(Results!$C$1/2)+1,INDEX(Data!$V:$V,CEILING((COUNTA(Data!$V:$V)-1)*RAND()+1,1)),"")</f>
        <v/>
      </c>
      <c r="B693" s="1" t="str">
        <f>IF(ROW()&lt;=(Results!$C$1/2)+1,VLOOKUP($A693,Data!$V$2:$W$117,2,TRUE),"")</f>
        <v/>
      </c>
      <c r="C693" s="14" t="str">
        <f>IF(ROW()&lt;=(Results!$C$1/2)+1,IF(B693&lt;=0,"",LN(B693)),"")</f>
        <v/>
      </c>
      <c r="D693" s="1" t="str">
        <f ca="1">IF(ROW()&lt;=(Results!$C$1/2)+1,INDEX(Data!$X:$X,CEILING((COUNTA(Data!$X:$X)-1)*RAND()+1,1)),"")</f>
        <v/>
      </c>
      <c r="E693" s="1" t="str">
        <f>IF(ROW()&lt;=(Results!$C$1/2)+1,VLOOKUP($D693,Data!$X$2:$Y$117,2,TRUE),"")</f>
        <v/>
      </c>
      <c r="F693" s="14" t="str">
        <f>IF(ROW()&lt;=(Results!$C$1/2)+1,IF(E693&lt;=0,"",LN(E693)),"")</f>
        <v/>
      </c>
    </row>
    <row r="694" spans="1:6" x14ac:dyDescent="0.25">
      <c r="A694" s="1" t="str">
        <f ca="1">IF(ROW()&lt;=(Results!$C$1/2)+1,INDEX(Data!$V:$V,CEILING((COUNTA(Data!$V:$V)-1)*RAND()+1,1)),"")</f>
        <v/>
      </c>
      <c r="B694" s="1" t="str">
        <f>IF(ROW()&lt;=(Results!$C$1/2)+1,VLOOKUP($A694,Data!$V$2:$W$117,2,TRUE),"")</f>
        <v/>
      </c>
      <c r="C694" s="14" t="str">
        <f>IF(ROW()&lt;=(Results!$C$1/2)+1,IF(B694&lt;=0,"",LN(B694)),"")</f>
        <v/>
      </c>
      <c r="D694" s="1" t="str">
        <f ca="1">IF(ROW()&lt;=(Results!$C$1/2)+1,INDEX(Data!$X:$X,CEILING((COUNTA(Data!$X:$X)-1)*RAND()+1,1)),"")</f>
        <v/>
      </c>
      <c r="E694" s="1" t="str">
        <f>IF(ROW()&lt;=(Results!$C$1/2)+1,VLOOKUP($D694,Data!$X$2:$Y$117,2,TRUE),"")</f>
        <v/>
      </c>
      <c r="F694" s="14" t="str">
        <f>IF(ROW()&lt;=(Results!$C$1/2)+1,IF(E694&lt;=0,"",LN(E694)),"")</f>
        <v/>
      </c>
    </row>
    <row r="695" spans="1:6" x14ac:dyDescent="0.25">
      <c r="A695" s="1" t="str">
        <f ca="1">IF(ROW()&lt;=(Results!$C$1/2)+1,INDEX(Data!$V:$V,CEILING((COUNTA(Data!$V:$V)-1)*RAND()+1,1)),"")</f>
        <v/>
      </c>
      <c r="B695" s="1" t="str">
        <f>IF(ROW()&lt;=(Results!$C$1/2)+1,VLOOKUP($A695,Data!$V$2:$W$117,2,TRUE),"")</f>
        <v/>
      </c>
      <c r="C695" s="14" t="str">
        <f>IF(ROW()&lt;=(Results!$C$1/2)+1,IF(B695&lt;=0,"",LN(B695)),"")</f>
        <v/>
      </c>
      <c r="D695" s="1" t="str">
        <f ca="1">IF(ROW()&lt;=(Results!$C$1/2)+1,INDEX(Data!$X:$X,CEILING((COUNTA(Data!$X:$X)-1)*RAND()+1,1)),"")</f>
        <v/>
      </c>
      <c r="E695" s="1" t="str">
        <f>IF(ROW()&lt;=(Results!$C$1/2)+1,VLOOKUP($D695,Data!$X$2:$Y$117,2,TRUE),"")</f>
        <v/>
      </c>
      <c r="F695" s="14" t="str">
        <f>IF(ROW()&lt;=(Results!$C$1/2)+1,IF(E695&lt;=0,"",LN(E695)),"")</f>
        <v/>
      </c>
    </row>
    <row r="696" spans="1:6" x14ac:dyDescent="0.25">
      <c r="A696" s="1" t="str">
        <f ca="1">IF(ROW()&lt;=(Results!$C$1/2)+1,INDEX(Data!$V:$V,CEILING((COUNTA(Data!$V:$V)-1)*RAND()+1,1)),"")</f>
        <v/>
      </c>
      <c r="B696" s="1" t="str">
        <f>IF(ROW()&lt;=(Results!$C$1/2)+1,VLOOKUP($A696,Data!$V$2:$W$117,2,TRUE),"")</f>
        <v/>
      </c>
      <c r="C696" s="14" t="str">
        <f>IF(ROW()&lt;=(Results!$C$1/2)+1,IF(B696&lt;=0,"",LN(B696)),"")</f>
        <v/>
      </c>
      <c r="D696" s="1" t="str">
        <f ca="1">IF(ROW()&lt;=(Results!$C$1/2)+1,INDEX(Data!$X:$X,CEILING((COUNTA(Data!$X:$X)-1)*RAND()+1,1)),"")</f>
        <v/>
      </c>
      <c r="E696" s="1" t="str">
        <f>IF(ROW()&lt;=(Results!$C$1/2)+1,VLOOKUP($D696,Data!$X$2:$Y$117,2,TRUE),"")</f>
        <v/>
      </c>
      <c r="F696" s="14" t="str">
        <f>IF(ROW()&lt;=(Results!$C$1/2)+1,IF(E696&lt;=0,"",LN(E696)),"")</f>
        <v/>
      </c>
    </row>
    <row r="697" spans="1:6" x14ac:dyDescent="0.25">
      <c r="A697" s="1" t="str">
        <f ca="1">IF(ROW()&lt;=(Results!$C$1/2)+1,INDEX(Data!$V:$V,CEILING((COUNTA(Data!$V:$V)-1)*RAND()+1,1)),"")</f>
        <v/>
      </c>
      <c r="B697" s="1" t="str">
        <f>IF(ROW()&lt;=(Results!$C$1/2)+1,VLOOKUP($A697,Data!$V$2:$W$117,2,TRUE),"")</f>
        <v/>
      </c>
      <c r="C697" s="14" t="str">
        <f>IF(ROW()&lt;=(Results!$C$1/2)+1,IF(B697&lt;=0,"",LN(B697)),"")</f>
        <v/>
      </c>
      <c r="D697" s="1" t="str">
        <f ca="1">IF(ROW()&lt;=(Results!$C$1/2)+1,INDEX(Data!$X:$X,CEILING((COUNTA(Data!$X:$X)-1)*RAND()+1,1)),"")</f>
        <v/>
      </c>
      <c r="E697" s="1" t="str">
        <f>IF(ROW()&lt;=(Results!$C$1/2)+1,VLOOKUP($D697,Data!$X$2:$Y$117,2,TRUE),"")</f>
        <v/>
      </c>
      <c r="F697" s="14" t="str">
        <f>IF(ROW()&lt;=(Results!$C$1/2)+1,IF(E697&lt;=0,"",LN(E697)),"")</f>
        <v/>
      </c>
    </row>
    <row r="698" spans="1:6" x14ac:dyDescent="0.25">
      <c r="A698" s="1" t="str">
        <f ca="1">IF(ROW()&lt;=(Results!$C$1/2)+1,INDEX(Data!$V:$V,CEILING((COUNTA(Data!$V:$V)-1)*RAND()+1,1)),"")</f>
        <v/>
      </c>
      <c r="B698" s="1" t="str">
        <f>IF(ROW()&lt;=(Results!$C$1/2)+1,VLOOKUP($A698,Data!$V$2:$W$117,2,TRUE),"")</f>
        <v/>
      </c>
      <c r="C698" s="14" t="str">
        <f>IF(ROW()&lt;=(Results!$C$1/2)+1,IF(B698&lt;=0,"",LN(B698)),"")</f>
        <v/>
      </c>
      <c r="D698" s="1" t="str">
        <f ca="1">IF(ROW()&lt;=(Results!$C$1/2)+1,INDEX(Data!$X:$X,CEILING((COUNTA(Data!$X:$X)-1)*RAND()+1,1)),"")</f>
        <v/>
      </c>
      <c r="E698" s="1" t="str">
        <f>IF(ROW()&lt;=(Results!$C$1/2)+1,VLOOKUP($D698,Data!$X$2:$Y$117,2,TRUE),"")</f>
        <v/>
      </c>
      <c r="F698" s="14" t="str">
        <f>IF(ROW()&lt;=(Results!$C$1/2)+1,IF(E698&lt;=0,"",LN(E698)),"")</f>
        <v/>
      </c>
    </row>
    <row r="699" spans="1:6" x14ac:dyDescent="0.25">
      <c r="A699" s="1" t="str">
        <f ca="1">IF(ROW()&lt;=(Results!$C$1/2)+1,INDEX(Data!$V:$V,CEILING((COUNTA(Data!$V:$V)-1)*RAND()+1,1)),"")</f>
        <v/>
      </c>
      <c r="B699" s="1" t="str">
        <f>IF(ROW()&lt;=(Results!$C$1/2)+1,VLOOKUP($A699,Data!$V$2:$W$117,2,TRUE),"")</f>
        <v/>
      </c>
      <c r="C699" s="14" t="str">
        <f>IF(ROW()&lt;=(Results!$C$1/2)+1,IF(B699&lt;=0,"",LN(B699)),"")</f>
        <v/>
      </c>
      <c r="D699" s="1" t="str">
        <f ca="1">IF(ROW()&lt;=(Results!$C$1/2)+1,INDEX(Data!$X:$X,CEILING((COUNTA(Data!$X:$X)-1)*RAND()+1,1)),"")</f>
        <v/>
      </c>
      <c r="E699" s="1" t="str">
        <f>IF(ROW()&lt;=(Results!$C$1/2)+1,VLOOKUP($D699,Data!$X$2:$Y$117,2,TRUE),"")</f>
        <v/>
      </c>
      <c r="F699" s="14" t="str">
        <f>IF(ROW()&lt;=(Results!$C$1/2)+1,IF(E699&lt;=0,"",LN(E699)),"")</f>
        <v/>
      </c>
    </row>
    <row r="700" spans="1:6" x14ac:dyDescent="0.25">
      <c r="A700" s="1" t="str">
        <f ca="1">IF(ROW()&lt;=(Results!$C$1/2)+1,INDEX(Data!$V:$V,CEILING((COUNTA(Data!$V:$V)-1)*RAND()+1,1)),"")</f>
        <v/>
      </c>
      <c r="B700" s="1" t="str">
        <f>IF(ROW()&lt;=(Results!$C$1/2)+1,VLOOKUP($A700,Data!$V$2:$W$117,2,TRUE),"")</f>
        <v/>
      </c>
      <c r="C700" s="14" t="str">
        <f>IF(ROW()&lt;=(Results!$C$1/2)+1,IF(B700&lt;=0,"",LN(B700)),"")</f>
        <v/>
      </c>
      <c r="D700" s="1" t="str">
        <f ca="1">IF(ROW()&lt;=(Results!$C$1/2)+1,INDEX(Data!$X:$X,CEILING((COUNTA(Data!$X:$X)-1)*RAND()+1,1)),"")</f>
        <v/>
      </c>
      <c r="E700" s="1" t="str">
        <f>IF(ROW()&lt;=(Results!$C$1/2)+1,VLOOKUP($D700,Data!$X$2:$Y$117,2,TRUE),"")</f>
        <v/>
      </c>
      <c r="F700" s="14" t="str">
        <f>IF(ROW()&lt;=(Results!$C$1/2)+1,IF(E700&lt;=0,"",LN(E700)),"")</f>
        <v/>
      </c>
    </row>
    <row r="701" spans="1:6" x14ac:dyDescent="0.25">
      <c r="A701" s="1" t="str">
        <f ca="1">IF(ROW()&lt;=(Results!$C$1/2)+1,INDEX(Data!$V:$V,CEILING((COUNTA(Data!$V:$V)-1)*RAND()+1,1)),"")</f>
        <v/>
      </c>
      <c r="B701" s="1" t="str">
        <f>IF(ROW()&lt;=(Results!$C$1/2)+1,VLOOKUP($A701,Data!$V$2:$W$117,2,TRUE),"")</f>
        <v/>
      </c>
      <c r="C701" s="14" t="str">
        <f>IF(ROW()&lt;=(Results!$C$1/2)+1,IF(B701&lt;=0,"",LN(B701)),"")</f>
        <v/>
      </c>
      <c r="D701" s="1" t="str">
        <f ca="1">IF(ROW()&lt;=(Results!$C$1/2)+1,INDEX(Data!$X:$X,CEILING((COUNTA(Data!$X:$X)-1)*RAND()+1,1)),"")</f>
        <v/>
      </c>
      <c r="E701" s="1" t="str">
        <f>IF(ROW()&lt;=(Results!$C$1/2)+1,VLOOKUP($D701,Data!$X$2:$Y$117,2,TRUE),"")</f>
        <v/>
      </c>
      <c r="F701" s="14" t="str">
        <f>IF(ROW()&lt;=(Results!$C$1/2)+1,IF(E701&lt;=0,"",LN(E701)),"")</f>
        <v/>
      </c>
    </row>
    <row r="702" spans="1:6" x14ac:dyDescent="0.25">
      <c r="A702" s="1" t="str">
        <f ca="1">IF(ROW()&lt;=(Results!$C$1/2)+1,INDEX(Data!$V:$V,CEILING((COUNTA(Data!$V:$V)-1)*RAND()+1,1)),"")</f>
        <v/>
      </c>
      <c r="B702" s="1" t="str">
        <f>IF(ROW()&lt;=(Results!$C$1/2)+1,VLOOKUP($A702,Data!$V$2:$W$117,2,TRUE),"")</f>
        <v/>
      </c>
      <c r="C702" s="14" t="str">
        <f>IF(ROW()&lt;=(Results!$C$1/2)+1,IF(B702&lt;=0,"",LN(B702)),"")</f>
        <v/>
      </c>
      <c r="D702" s="1" t="str">
        <f ca="1">IF(ROW()&lt;=(Results!$C$1/2)+1,INDEX(Data!$X:$X,CEILING((COUNTA(Data!$X:$X)-1)*RAND()+1,1)),"")</f>
        <v/>
      </c>
      <c r="E702" s="1" t="str">
        <f>IF(ROW()&lt;=(Results!$C$1/2)+1,VLOOKUP($D702,Data!$X$2:$Y$117,2,TRUE),"")</f>
        <v/>
      </c>
      <c r="F702" s="14" t="str">
        <f>IF(ROW()&lt;=(Results!$C$1/2)+1,IF(E702&lt;=0,"",LN(E702)),"")</f>
        <v/>
      </c>
    </row>
    <row r="703" spans="1:6" x14ac:dyDescent="0.25">
      <c r="A703" s="1" t="str">
        <f ca="1">IF(ROW()&lt;=(Results!$C$1/2)+1,INDEX(Data!$V:$V,CEILING((COUNTA(Data!$V:$V)-1)*RAND()+1,1)),"")</f>
        <v/>
      </c>
      <c r="B703" s="1" t="str">
        <f>IF(ROW()&lt;=(Results!$C$1/2)+1,VLOOKUP($A703,Data!$V$2:$W$117,2,TRUE),"")</f>
        <v/>
      </c>
      <c r="C703" s="14" t="str">
        <f>IF(ROW()&lt;=(Results!$C$1/2)+1,IF(B703&lt;=0,"",LN(B703)),"")</f>
        <v/>
      </c>
      <c r="D703" s="1" t="str">
        <f ca="1">IF(ROW()&lt;=(Results!$C$1/2)+1,INDEX(Data!$X:$X,CEILING((COUNTA(Data!$X:$X)-1)*RAND()+1,1)),"")</f>
        <v/>
      </c>
      <c r="E703" s="1" t="str">
        <f>IF(ROW()&lt;=(Results!$C$1/2)+1,VLOOKUP($D703,Data!$X$2:$Y$117,2,TRUE),"")</f>
        <v/>
      </c>
      <c r="F703" s="14" t="str">
        <f>IF(ROW()&lt;=(Results!$C$1/2)+1,IF(E703&lt;=0,"",LN(E703)),"")</f>
        <v/>
      </c>
    </row>
    <row r="704" spans="1:6" x14ac:dyDescent="0.25">
      <c r="A704" s="1" t="str">
        <f ca="1">IF(ROW()&lt;=(Results!$C$1/2)+1,INDEX(Data!$V:$V,CEILING((COUNTA(Data!$V:$V)-1)*RAND()+1,1)),"")</f>
        <v/>
      </c>
      <c r="B704" s="1" t="str">
        <f>IF(ROW()&lt;=(Results!$C$1/2)+1,VLOOKUP($A704,Data!$V$2:$W$117,2,TRUE),"")</f>
        <v/>
      </c>
      <c r="C704" s="14" t="str">
        <f>IF(ROW()&lt;=(Results!$C$1/2)+1,IF(B704&lt;=0,"",LN(B704)),"")</f>
        <v/>
      </c>
      <c r="D704" s="1" t="str">
        <f ca="1">IF(ROW()&lt;=(Results!$C$1/2)+1,INDEX(Data!$X:$X,CEILING((COUNTA(Data!$X:$X)-1)*RAND()+1,1)),"")</f>
        <v/>
      </c>
      <c r="E704" s="1" t="str">
        <f>IF(ROW()&lt;=(Results!$C$1/2)+1,VLOOKUP($D704,Data!$X$2:$Y$117,2,TRUE),"")</f>
        <v/>
      </c>
      <c r="F704" s="14" t="str">
        <f>IF(ROW()&lt;=(Results!$C$1/2)+1,IF(E704&lt;=0,"",LN(E704)),"")</f>
        <v/>
      </c>
    </row>
    <row r="705" spans="1:6" x14ac:dyDescent="0.25">
      <c r="A705" s="1" t="str">
        <f ca="1">IF(ROW()&lt;=(Results!$C$1/2)+1,INDEX(Data!$V:$V,CEILING((COUNTA(Data!$V:$V)-1)*RAND()+1,1)),"")</f>
        <v/>
      </c>
      <c r="B705" s="1" t="str">
        <f>IF(ROW()&lt;=(Results!$C$1/2)+1,VLOOKUP($A705,Data!$V$2:$W$117,2,TRUE),"")</f>
        <v/>
      </c>
      <c r="C705" s="14" t="str">
        <f>IF(ROW()&lt;=(Results!$C$1/2)+1,IF(B705&lt;=0,"",LN(B705)),"")</f>
        <v/>
      </c>
      <c r="D705" s="1" t="str">
        <f ca="1">IF(ROW()&lt;=(Results!$C$1/2)+1,INDEX(Data!$X:$X,CEILING((COUNTA(Data!$X:$X)-1)*RAND()+1,1)),"")</f>
        <v/>
      </c>
      <c r="E705" s="1" t="str">
        <f>IF(ROW()&lt;=(Results!$C$1/2)+1,VLOOKUP($D705,Data!$X$2:$Y$117,2,TRUE),"")</f>
        <v/>
      </c>
      <c r="F705" s="14" t="str">
        <f>IF(ROW()&lt;=(Results!$C$1/2)+1,IF(E705&lt;=0,"",LN(E705)),"")</f>
        <v/>
      </c>
    </row>
    <row r="706" spans="1:6" x14ac:dyDescent="0.25">
      <c r="A706" s="1" t="str">
        <f ca="1">IF(ROW()&lt;=(Results!$C$1/2)+1,INDEX(Data!$V:$V,CEILING((COUNTA(Data!$V:$V)-1)*RAND()+1,1)),"")</f>
        <v/>
      </c>
      <c r="B706" s="1" t="str">
        <f>IF(ROW()&lt;=(Results!$C$1/2)+1,VLOOKUP($A706,Data!$V$2:$W$117,2,TRUE),"")</f>
        <v/>
      </c>
      <c r="C706" s="14" t="str">
        <f>IF(ROW()&lt;=(Results!$C$1/2)+1,IF(B706&lt;=0,"",LN(B706)),"")</f>
        <v/>
      </c>
      <c r="D706" s="1" t="str">
        <f ca="1">IF(ROW()&lt;=(Results!$C$1/2)+1,INDEX(Data!$X:$X,CEILING((COUNTA(Data!$X:$X)-1)*RAND()+1,1)),"")</f>
        <v/>
      </c>
      <c r="E706" s="1" t="str">
        <f>IF(ROW()&lt;=(Results!$C$1/2)+1,VLOOKUP($D706,Data!$X$2:$Y$117,2,TRUE),"")</f>
        <v/>
      </c>
      <c r="F706" s="14" t="str">
        <f>IF(ROW()&lt;=(Results!$C$1/2)+1,IF(E706&lt;=0,"",LN(E706)),"")</f>
        <v/>
      </c>
    </row>
    <row r="707" spans="1:6" x14ac:dyDescent="0.25">
      <c r="A707" s="1" t="str">
        <f ca="1">IF(ROW()&lt;=(Results!$C$1/2)+1,INDEX(Data!$V:$V,CEILING((COUNTA(Data!$V:$V)-1)*RAND()+1,1)),"")</f>
        <v/>
      </c>
      <c r="B707" s="1" t="str">
        <f>IF(ROW()&lt;=(Results!$C$1/2)+1,VLOOKUP($A707,Data!$V$2:$W$117,2,TRUE),"")</f>
        <v/>
      </c>
      <c r="C707" s="14" t="str">
        <f>IF(ROW()&lt;=(Results!$C$1/2)+1,IF(B707&lt;=0,"",LN(B707)),"")</f>
        <v/>
      </c>
      <c r="D707" s="1" t="str">
        <f ca="1">IF(ROW()&lt;=(Results!$C$1/2)+1,INDEX(Data!$X:$X,CEILING((COUNTA(Data!$X:$X)-1)*RAND()+1,1)),"")</f>
        <v/>
      </c>
      <c r="E707" s="1" t="str">
        <f>IF(ROW()&lt;=(Results!$C$1/2)+1,VLOOKUP($D707,Data!$X$2:$Y$117,2,TRUE),"")</f>
        <v/>
      </c>
      <c r="F707" s="14" t="str">
        <f>IF(ROW()&lt;=(Results!$C$1/2)+1,IF(E707&lt;=0,"",LN(E707)),"")</f>
        <v/>
      </c>
    </row>
    <row r="708" spans="1:6" x14ac:dyDescent="0.25">
      <c r="A708" s="1" t="str">
        <f ca="1">IF(ROW()&lt;=(Results!$C$1/2)+1,INDEX(Data!$V:$V,CEILING((COUNTA(Data!$V:$V)-1)*RAND()+1,1)),"")</f>
        <v/>
      </c>
      <c r="B708" s="1" t="str">
        <f>IF(ROW()&lt;=(Results!$C$1/2)+1,VLOOKUP($A708,Data!$V$2:$W$117,2,TRUE),"")</f>
        <v/>
      </c>
      <c r="C708" s="14" t="str">
        <f>IF(ROW()&lt;=(Results!$C$1/2)+1,IF(B708&lt;=0,"",LN(B708)),"")</f>
        <v/>
      </c>
      <c r="D708" s="1" t="str">
        <f ca="1">IF(ROW()&lt;=(Results!$C$1/2)+1,INDEX(Data!$X:$X,CEILING((COUNTA(Data!$X:$X)-1)*RAND()+1,1)),"")</f>
        <v/>
      </c>
      <c r="E708" s="1" t="str">
        <f>IF(ROW()&lt;=(Results!$C$1/2)+1,VLOOKUP($D708,Data!$X$2:$Y$117,2,TRUE),"")</f>
        <v/>
      </c>
      <c r="F708" s="14" t="str">
        <f>IF(ROW()&lt;=(Results!$C$1/2)+1,IF(E708&lt;=0,"",LN(E708)),"")</f>
        <v/>
      </c>
    </row>
    <row r="709" spans="1:6" x14ac:dyDescent="0.25">
      <c r="A709" s="1" t="str">
        <f ca="1">IF(ROW()&lt;=(Results!$C$1/2)+1,INDEX(Data!$V:$V,CEILING((COUNTA(Data!$V:$V)-1)*RAND()+1,1)),"")</f>
        <v/>
      </c>
      <c r="B709" s="1" t="str">
        <f>IF(ROW()&lt;=(Results!$C$1/2)+1,VLOOKUP($A709,Data!$V$2:$W$117,2,TRUE),"")</f>
        <v/>
      </c>
      <c r="C709" s="14" t="str">
        <f>IF(ROW()&lt;=(Results!$C$1/2)+1,IF(B709&lt;=0,"",LN(B709)),"")</f>
        <v/>
      </c>
      <c r="D709" s="1" t="str">
        <f ca="1">IF(ROW()&lt;=(Results!$C$1/2)+1,INDEX(Data!$X:$X,CEILING((COUNTA(Data!$X:$X)-1)*RAND()+1,1)),"")</f>
        <v/>
      </c>
      <c r="E709" s="1" t="str">
        <f>IF(ROW()&lt;=(Results!$C$1/2)+1,VLOOKUP($D709,Data!$X$2:$Y$117,2,TRUE),"")</f>
        <v/>
      </c>
      <c r="F709" s="14" t="str">
        <f>IF(ROW()&lt;=(Results!$C$1/2)+1,IF(E709&lt;=0,"",LN(E709)),"")</f>
        <v/>
      </c>
    </row>
    <row r="710" spans="1:6" x14ac:dyDescent="0.25">
      <c r="A710" s="1" t="str">
        <f ca="1">IF(ROW()&lt;=(Results!$C$1/2)+1,INDEX(Data!$V:$V,CEILING((COUNTA(Data!$V:$V)-1)*RAND()+1,1)),"")</f>
        <v/>
      </c>
      <c r="B710" s="1" t="str">
        <f>IF(ROW()&lt;=(Results!$C$1/2)+1,VLOOKUP($A710,Data!$V$2:$W$117,2,TRUE),"")</f>
        <v/>
      </c>
      <c r="C710" s="14" t="str">
        <f>IF(ROW()&lt;=(Results!$C$1/2)+1,IF(B710&lt;=0,"",LN(B710)),"")</f>
        <v/>
      </c>
      <c r="D710" s="1" t="str">
        <f ca="1">IF(ROW()&lt;=(Results!$C$1/2)+1,INDEX(Data!$X:$X,CEILING((COUNTA(Data!$X:$X)-1)*RAND()+1,1)),"")</f>
        <v/>
      </c>
      <c r="E710" s="1" t="str">
        <f>IF(ROW()&lt;=(Results!$C$1/2)+1,VLOOKUP($D710,Data!$X$2:$Y$117,2,TRUE),"")</f>
        <v/>
      </c>
      <c r="F710" s="14" t="str">
        <f>IF(ROW()&lt;=(Results!$C$1/2)+1,IF(E710&lt;=0,"",LN(E710)),"")</f>
        <v/>
      </c>
    </row>
    <row r="711" spans="1:6" x14ac:dyDescent="0.25">
      <c r="A711" s="1" t="str">
        <f ca="1">IF(ROW()&lt;=(Results!$C$1/2)+1,INDEX(Data!$V:$V,CEILING((COUNTA(Data!$V:$V)-1)*RAND()+1,1)),"")</f>
        <v/>
      </c>
      <c r="B711" s="1" t="str">
        <f>IF(ROW()&lt;=(Results!$C$1/2)+1,VLOOKUP($A711,Data!$V$2:$W$117,2,TRUE),"")</f>
        <v/>
      </c>
      <c r="C711" s="14" t="str">
        <f>IF(ROW()&lt;=(Results!$C$1/2)+1,IF(B711&lt;=0,"",LN(B711)),"")</f>
        <v/>
      </c>
      <c r="D711" s="1" t="str">
        <f ca="1">IF(ROW()&lt;=(Results!$C$1/2)+1,INDEX(Data!$X:$X,CEILING((COUNTA(Data!$X:$X)-1)*RAND()+1,1)),"")</f>
        <v/>
      </c>
      <c r="E711" s="1" t="str">
        <f>IF(ROW()&lt;=(Results!$C$1/2)+1,VLOOKUP($D711,Data!$X$2:$Y$117,2,TRUE),"")</f>
        <v/>
      </c>
      <c r="F711" s="14" t="str">
        <f>IF(ROW()&lt;=(Results!$C$1/2)+1,IF(E711&lt;=0,"",LN(E711)),"")</f>
        <v/>
      </c>
    </row>
    <row r="712" spans="1:6" x14ac:dyDescent="0.25">
      <c r="A712" s="1" t="str">
        <f ca="1">IF(ROW()&lt;=(Results!$C$1/2)+1,INDEX(Data!$V:$V,CEILING((COUNTA(Data!$V:$V)-1)*RAND()+1,1)),"")</f>
        <v/>
      </c>
      <c r="B712" s="1" t="str">
        <f>IF(ROW()&lt;=(Results!$C$1/2)+1,VLOOKUP($A712,Data!$V$2:$W$117,2,TRUE),"")</f>
        <v/>
      </c>
      <c r="C712" s="14" t="str">
        <f>IF(ROW()&lt;=(Results!$C$1/2)+1,IF(B712&lt;=0,"",LN(B712)),"")</f>
        <v/>
      </c>
      <c r="D712" s="1" t="str">
        <f ca="1">IF(ROW()&lt;=(Results!$C$1/2)+1,INDEX(Data!$X:$X,CEILING((COUNTA(Data!$X:$X)-1)*RAND()+1,1)),"")</f>
        <v/>
      </c>
      <c r="E712" s="1" t="str">
        <f>IF(ROW()&lt;=(Results!$C$1/2)+1,VLOOKUP($D712,Data!$X$2:$Y$117,2,TRUE),"")</f>
        <v/>
      </c>
      <c r="F712" s="14" t="str">
        <f>IF(ROW()&lt;=(Results!$C$1/2)+1,IF(E712&lt;=0,"",LN(E712)),"")</f>
        <v/>
      </c>
    </row>
    <row r="713" spans="1:6" x14ac:dyDescent="0.25">
      <c r="A713" s="1" t="str">
        <f ca="1">IF(ROW()&lt;=(Results!$C$1/2)+1,INDEX(Data!$V:$V,CEILING((COUNTA(Data!$V:$V)-1)*RAND()+1,1)),"")</f>
        <v/>
      </c>
      <c r="B713" s="1" t="str">
        <f>IF(ROW()&lt;=(Results!$C$1/2)+1,VLOOKUP($A713,Data!$V$2:$W$117,2,TRUE),"")</f>
        <v/>
      </c>
      <c r="C713" s="14" t="str">
        <f>IF(ROW()&lt;=(Results!$C$1/2)+1,IF(B713&lt;=0,"",LN(B713)),"")</f>
        <v/>
      </c>
      <c r="D713" s="1" t="str">
        <f ca="1">IF(ROW()&lt;=(Results!$C$1/2)+1,INDEX(Data!$X:$X,CEILING((COUNTA(Data!$X:$X)-1)*RAND()+1,1)),"")</f>
        <v/>
      </c>
      <c r="E713" s="1" t="str">
        <f>IF(ROW()&lt;=(Results!$C$1/2)+1,VLOOKUP($D713,Data!$X$2:$Y$117,2,TRUE),"")</f>
        <v/>
      </c>
      <c r="F713" s="14" t="str">
        <f>IF(ROW()&lt;=(Results!$C$1/2)+1,IF(E713&lt;=0,"",LN(E713)),"")</f>
        <v/>
      </c>
    </row>
    <row r="714" spans="1:6" x14ac:dyDescent="0.25">
      <c r="A714" s="1" t="str">
        <f ca="1">IF(ROW()&lt;=(Results!$C$1/2)+1,INDEX(Data!$V:$V,CEILING((COUNTA(Data!$V:$V)-1)*RAND()+1,1)),"")</f>
        <v/>
      </c>
      <c r="B714" s="1" t="str">
        <f>IF(ROW()&lt;=(Results!$C$1/2)+1,VLOOKUP($A714,Data!$V$2:$W$117,2,TRUE),"")</f>
        <v/>
      </c>
      <c r="C714" s="14" t="str">
        <f>IF(ROW()&lt;=(Results!$C$1/2)+1,IF(B714&lt;=0,"",LN(B714)),"")</f>
        <v/>
      </c>
      <c r="D714" s="1" t="str">
        <f ca="1">IF(ROW()&lt;=(Results!$C$1/2)+1,INDEX(Data!$X:$X,CEILING((COUNTA(Data!$X:$X)-1)*RAND()+1,1)),"")</f>
        <v/>
      </c>
      <c r="E714" s="1" t="str">
        <f>IF(ROW()&lt;=(Results!$C$1/2)+1,VLOOKUP($D714,Data!$X$2:$Y$117,2,TRUE),"")</f>
        <v/>
      </c>
      <c r="F714" s="14" t="str">
        <f>IF(ROW()&lt;=(Results!$C$1/2)+1,IF(E714&lt;=0,"",LN(E714)),"")</f>
        <v/>
      </c>
    </row>
    <row r="715" spans="1:6" x14ac:dyDescent="0.25">
      <c r="A715" s="1" t="str">
        <f ca="1">IF(ROW()&lt;=(Results!$C$1/2)+1,INDEX(Data!$V:$V,CEILING((COUNTA(Data!$V:$V)-1)*RAND()+1,1)),"")</f>
        <v/>
      </c>
      <c r="B715" s="1" t="str">
        <f>IF(ROW()&lt;=(Results!$C$1/2)+1,VLOOKUP($A715,Data!$V$2:$W$117,2,TRUE),"")</f>
        <v/>
      </c>
      <c r="C715" s="14" t="str">
        <f>IF(ROW()&lt;=(Results!$C$1/2)+1,IF(B715&lt;=0,"",LN(B715)),"")</f>
        <v/>
      </c>
      <c r="D715" s="1" t="str">
        <f ca="1">IF(ROW()&lt;=(Results!$C$1/2)+1,INDEX(Data!$X:$X,CEILING((COUNTA(Data!$X:$X)-1)*RAND()+1,1)),"")</f>
        <v/>
      </c>
      <c r="E715" s="1" t="str">
        <f>IF(ROW()&lt;=(Results!$C$1/2)+1,VLOOKUP($D715,Data!$X$2:$Y$117,2,TRUE),"")</f>
        <v/>
      </c>
      <c r="F715" s="14" t="str">
        <f>IF(ROW()&lt;=(Results!$C$1/2)+1,IF(E715&lt;=0,"",LN(E715)),"")</f>
        <v/>
      </c>
    </row>
    <row r="716" spans="1:6" x14ac:dyDescent="0.25">
      <c r="A716" s="1" t="str">
        <f ca="1">IF(ROW()&lt;=(Results!$C$1/2)+1,INDEX(Data!$V:$V,CEILING((COUNTA(Data!$V:$V)-1)*RAND()+1,1)),"")</f>
        <v/>
      </c>
      <c r="B716" s="1" t="str">
        <f>IF(ROW()&lt;=(Results!$C$1/2)+1,VLOOKUP($A716,Data!$V$2:$W$117,2,TRUE),"")</f>
        <v/>
      </c>
      <c r="C716" s="14" t="str">
        <f>IF(ROW()&lt;=(Results!$C$1/2)+1,IF(B716&lt;=0,"",LN(B716)),"")</f>
        <v/>
      </c>
      <c r="D716" s="1" t="str">
        <f ca="1">IF(ROW()&lt;=(Results!$C$1/2)+1,INDEX(Data!$X:$X,CEILING((COUNTA(Data!$X:$X)-1)*RAND()+1,1)),"")</f>
        <v/>
      </c>
      <c r="E716" s="1" t="str">
        <f>IF(ROW()&lt;=(Results!$C$1/2)+1,VLOOKUP($D716,Data!$X$2:$Y$117,2,TRUE),"")</f>
        <v/>
      </c>
      <c r="F716" s="14" t="str">
        <f>IF(ROW()&lt;=(Results!$C$1/2)+1,IF(E716&lt;=0,"",LN(E716)),"")</f>
        <v/>
      </c>
    </row>
    <row r="717" spans="1:6" x14ac:dyDescent="0.25">
      <c r="A717" s="1" t="str">
        <f ca="1">IF(ROW()&lt;=(Results!$C$1/2)+1,INDEX(Data!$V:$V,CEILING((COUNTA(Data!$V:$V)-1)*RAND()+1,1)),"")</f>
        <v/>
      </c>
      <c r="B717" s="1" t="str">
        <f>IF(ROW()&lt;=(Results!$C$1/2)+1,VLOOKUP($A717,Data!$V$2:$W$117,2,TRUE),"")</f>
        <v/>
      </c>
      <c r="C717" s="14" t="str">
        <f>IF(ROW()&lt;=(Results!$C$1/2)+1,IF(B717&lt;=0,"",LN(B717)),"")</f>
        <v/>
      </c>
      <c r="D717" s="1" t="str">
        <f ca="1">IF(ROW()&lt;=(Results!$C$1/2)+1,INDEX(Data!$X:$X,CEILING((COUNTA(Data!$X:$X)-1)*RAND()+1,1)),"")</f>
        <v/>
      </c>
      <c r="E717" s="1" t="str">
        <f>IF(ROW()&lt;=(Results!$C$1/2)+1,VLOOKUP($D717,Data!$X$2:$Y$117,2,TRUE),"")</f>
        <v/>
      </c>
      <c r="F717" s="14" t="str">
        <f>IF(ROW()&lt;=(Results!$C$1/2)+1,IF(E717&lt;=0,"",LN(E717)),"")</f>
        <v/>
      </c>
    </row>
    <row r="718" spans="1:6" x14ac:dyDescent="0.25">
      <c r="A718" s="1" t="str">
        <f ca="1">IF(ROW()&lt;=(Results!$C$1/2)+1,INDEX(Data!$V:$V,CEILING((COUNTA(Data!$V:$V)-1)*RAND()+1,1)),"")</f>
        <v/>
      </c>
      <c r="B718" s="1" t="str">
        <f>IF(ROW()&lt;=(Results!$C$1/2)+1,VLOOKUP($A718,Data!$V$2:$W$117,2,TRUE),"")</f>
        <v/>
      </c>
      <c r="C718" s="14" t="str">
        <f>IF(ROW()&lt;=(Results!$C$1/2)+1,IF(B718&lt;=0,"",LN(B718)),"")</f>
        <v/>
      </c>
      <c r="D718" s="1" t="str">
        <f ca="1">IF(ROW()&lt;=(Results!$C$1/2)+1,INDEX(Data!$X:$X,CEILING((COUNTA(Data!$X:$X)-1)*RAND()+1,1)),"")</f>
        <v/>
      </c>
      <c r="E718" s="1" t="str">
        <f>IF(ROW()&lt;=(Results!$C$1/2)+1,VLOOKUP($D718,Data!$X$2:$Y$117,2,TRUE),"")</f>
        <v/>
      </c>
      <c r="F718" s="14" t="str">
        <f>IF(ROW()&lt;=(Results!$C$1/2)+1,IF(E718&lt;=0,"",LN(E718)),"")</f>
        <v/>
      </c>
    </row>
    <row r="719" spans="1:6" x14ac:dyDescent="0.25">
      <c r="A719" s="1" t="str">
        <f ca="1">IF(ROW()&lt;=(Results!$C$1/2)+1,INDEX(Data!$V:$V,CEILING((COUNTA(Data!$V:$V)-1)*RAND()+1,1)),"")</f>
        <v/>
      </c>
      <c r="B719" s="1" t="str">
        <f>IF(ROW()&lt;=(Results!$C$1/2)+1,VLOOKUP($A719,Data!$V$2:$W$117,2,TRUE),"")</f>
        <v/>
      </c>
      <c r="C719" s="14" t="str">
        <f>IF(ROW()&lt;=(Results!$C$1/2)+1,IF(B719&lt;=0,"",LN(B719)),"")</f>
        <v/>
      </c>
      <c r="D719" s="1" t="str">
        <f ca="1">IF(ROW()&lt;=(Results!$C$1/2)+1,INDEX(Data!$X:$X,CEILING((COUNTA(Data!$X:$X)-1)*RAND()+1,1)),"")</f>
        <v/>
      </c>
      <c r="E719" s="1" t="str">
        <f>IF(ROW()&lt;=(Results!$C$1/2)+1,VLOOKUP($D719,Data!$X$2:$Y$117,2,TRUE),"")</f>
        <v/>
      </c>
      <c r="F719" s="14" t="str">
        <f>IF(ROW()&lt;=(Results!$C$1/2)+1,IF(E719&lt;=0,"",LN(E719)),"")</f>
        <v/>
      </c>
    </row>
    <row r="720" spans="1:6" x14ac:dyDescent="0.25">
      <c r="A720" s="1" t="str">
        <f ca="1">IF(ROW()&lt;=(Results!$C$1/2)+1,INDEX(Data!$V:$V,CEILING((COUNTA(Data!$V:$V)-1)*RAND()+1,1)),"")</f>
        <v/>
      </c>
      <c r="B720" s="1" t="str">
        <f>IF(ROW()&lt;=(Results!$C$1/2)+1,VLOOKUP($A720,Data!$V$2:$W$117,2,TRUE),"")</f>
        <v/>
      </c>
      <c r="C720" s="14" t="str">
        <f>IF(ROW()&lt;=(Results!$C$1/2)+1,IF(B720&lt;=0,"",LN(B720)),"")</f>
        <v/>
      </c>
      <c r="D720" s="1" t="str">
        <f ca="1">IF(ROW()&lt;=(Results!$C$1/2)+1,INDEX(Data!$X:$X,CEILING((COUNTA(Data!$X:$X)-1)*RAND()+1,1)),"")</f>
        <v/>
      </c>
      <c r="E720" s="1" t="str">
        <f>IF(ROW()&lt;=(Results!$C$1/2)+1,VLOOKUP($D720,Data!$X$2:$Y$117,2,TRUE),"")</f>
        <v/>
      </c>
      <c r="F720" s="14" t="str">
        <f>IF(ROW()&lt;=(Results!$C$1/2)+1,IF(E720&lt;=0,"",LN(E720)),"")</f>
        <v/>
      </c>
    </row>
    <row r="721" spans="1:6" x14ac:dyDescent="0.25">
      <c r="A721" s="1" t="str">
        <f ca="1">IF(ROW()&lt;=(Results!$C$1/2)+1,INDEX(Data!$V:$V,CEILING((COUNTA(Data!$V:$V)-1)*RAND()+1,1)),"")</f>
        <v/>
      </c>
      <c r="B721" s="1" t="str">
        <f>IF(ROW()&lt;=(Results!$C$1/2)+1,VLOOKUP($A721,Data!$V$2:$W$117,2,TRUE),"")</f>
        <v/>
      </c>
      <c r="C721" s="14" t="str">
        <f>IF(ROW()&lt;=(Results!$C$1/2)+1,IF(B721&lt;=0,"",LN(B721)),"")</f>
        <v/>
      </c>
      <c r="D721" s="1" t="str">
        <f ca="1">IF(ROW()&lt;=(Results!$C$1/2)+1,INDEX(Data!$X:$X,CEILING((COUNTA(Data!$X:$X)-1)*RAND()+1,1)),"")</f>
        <v/>
      </c>
      <c r="E721" s="1" t="str">
        <f>IF(ROW()&lt;=(Results!$C$1/2)+1,VLOOKUP($D721,Data!$X$2:$Y$117,2,TRUE),"")</f>
        <v/>
      </c>
      <c r="F721" s="14" t="str">
        <f>IF(ROW()&lt;=(Results!$C$1/2)+1,IF(E721&lt;=0,"",LN(E721)),"")</f>
        <v/>
      </c>
    </row>
    <row r="722" spans="1:6" x14ac:dyDescent="0.25">
      <c r="A722" s="1" t="str">
        <f ca="1">IF(ROW()&lt;=(Results!$C$1/2)+1,INDEX(Data!$V:$V,CEILING((COUNTA(Data!$V:$V)-1)*RAND()+1,1)),"")</f>
        <v/>
      </c>
      <c r="B722" s="1" t="str">
        <f>IF(ROW()&lt;=(Results!$C$1/2)+1,VLOOKUP($A722,Data!$V$2:$W$117,2,TRUE),"")</f>
        <v/>
      </c>
      <c r="C722" s="14" t="str">
        <f>IF(ROW()&lt;=(Results!$C$1/2)+1,IF(B722&lt;=0,"",LN(B722)),"")</f>
        <v/>
      </c>
      <c r="D722" s="1" t="str">
        <f ca="1">IF(ROW()&lt;=(Results!$C$1/2)+1,INDEX(Data!$X:$X,CEILING((COUNTA(Data!$X:$X)-1)*RAND()+1,1)),"")</f>
        <v/>
      </c>
      <c r="E722" s="1" t="str">
        <f>IF(ROW()&lt;=(Results!$C$1/2)+1,VLOOKUP($D722,Data!$X$2:$Y$117,2,TRUE),"")</f>
        <v/>
      </c>
      <c r="F722" s="14" t="str">
        <f>IF(ROW()&lt;=(Results!$C$1/2)+1,IF(E722&lt;=0,"",LN(E722)),"")</f>
        <v/>
      </c>
    </row>
    <row r="723" spans="1:6" x14ac:dyDescent="0.25">
      <c r="A723" s="1" t="str">
        <f ca="1">IF(ROW()&lt;=(Results!$C$1/2)+1,INDEX(Data!$V:$V,CEILING((COUNTA(Data!$V:$V)-1)*RAND()+1,1)),"")</f>
        <v/>
      </c>
      <c r="B723" s="1" t="str">
        <f>IF(ROW()&lt;=(Results!$C$1/2)+1,VLOOKUP($A723,Data!$V$2:$W$117,2,TRUE),"")</f>
        <v/>
      </c>
      <c r="C723" s="14" t="str">
        <f>IF(ROW()&lt;=(Results!$C$1/2)+1,IF(B723&lt;=0,"",LN(B723)),"")</f>
        <v/>
      </c>
      <c r="D723" s="1" t="str">
        <f ca="1">IF(ROW()&lt;=(Results!$C$1/2)+1,INDEX(Data!$X:$X,CEILING((COUNTA(Data!$X:$X)-1)*RAND()+1,1)),"")</f>
        <v/>
      </c>
      <c r="E723" s="1" t="str">
        <f>IF(ROW()&lt;=(Results!$C$1/2)+1,VLOOKUP($D723,Data!$X$2:$Y$117,2,TRUE),"")</f>
        <v/>
      </c>
      <c r="F723" s="14" t="str">
        <f>IF(ROW()&lt;=(Results!$C$1/2)+1,IF(E723&lt;=0,"",LN(E723)),"")</f>
        <v/>
      </c>
    </row>
    <row r="724" spans="1:6" x14ac:dyDescent="0.25">
      <c r="A724" s="1" t="str">
        <f ca="1">IF(ROW()&lt;=(Results!$C$1/2)+1,INDEX(Data!$V:$V,CEILING((COUNTA(Data!$V:$V)-1)*RAND()+1,1)),"")</f>
        <v/>
      </c>
      <c r="B724" s="1" t="str">
        <f>IF(ROW()&lt;=(Results!$C$1/2)+1,VLOOKUP($A724,Data!$V$2:$W$117,2,TRUE),"")</f>
        <v/>
      </c>
      <c r="C724" s="14" t="str">
        <f>IF(ROW()&lt;=(Results!$C$1/2)+1,IF(B724&lt;=0,"",LN(B724)),"")</f>
        <v/>
      </c>
      <c r="D724" s="1" t="str">
        <f ca="1">IF(ROW()&lt;=(Results!$C$1/2)+1,INDEX(Data!$X:$X,CEILING((COUNTA(Data!$X:$X)-1)*RAND()+1,1)),"")</f>
        <v/>
      </c>
      <c r="E724" s="1" t="str">
        <f>IF(ROW()&lt;=(Results!$C$1/2)+1,VLOOKUP($D724,Data!$X$2:$Y$117,2,TRUE),"")</f>
        <v/>
      </c>
      <c r="F724" s="14" t="str">
        <f>IF(ROW()&lt;=(Results!$C$1/2)+1,IF(E724&lt;=0,"",LN(E724)),"")</f>
        <v/>
      </c>
    </row>
    <row r="725" spans="1:6" x14ac:dyDescent="0.25">
      <c r="A725" s="1" t="str">
        <f ca="1">IF(ROW()&lt;=(Results!$C$1/2)+1,INDEX(Data!$V:$V,CEILING((COUNTA(Data!$V:$V)-1)*RAND()+1,1)),"")</f>
        <v/>
      </c>
      <c r="B725" s="1" t="str">
        <f>IF(ROW()&lt;=(Results!$C$1/2)+1,VLOOKUP($A725,Data!$V$2:$W$117,2,TRUE),"")</f>
        <v/>
      </c>
      <c r="C725" s="14" t="str">
        <f>IF(ROW()&lt;=(Results!$C$1/2)+1,IF(B725&lt;=0,"",LN(B725)),"")</f>
        <v/>
      </c>
      <c r="D725" s="1" t="str">
        <f ca="1">IF(ROW()&lt;=(Results!$C$1/2)+1,INDEX(Data!$X:$X,CEILING((COUNTA(Data!$X:$X)-1)*RAND()+1,1)),"")</f>
        <v/>
      </c>
      <c r="E725" s="1" t="str">
        <f>IF(ROW()&lt;=(Results!$C$1/2)+1,VLOOKUP($D725,Data!$X$2:$Y$117,2,TRUE),"")</f>
        <v/>
      </c>
      <c r="F725" s="14" t="str">
        <f>IF(ROW()&lt;=(Results!$C$1/2)+1,IF(E725&lt;=0,"",LN(E725)),"")</f>
        <v/>
      </c>
    </row>
    <row r="726" spans="1:6" x14ac:dyDescent="0.25">
      <c r="A726" s="1" t="str">
        <f ca="1">IF(ROW()&lt;=(Results!$C$1/2)+1,INDEX(Data!$V:$V,CEILING((COUNTA(Data!$V:$V)-1)*RAND()+1,1)),"")</f>
        <v/>
      </c>
      <c r="B726" s="1" t="str">
        <f>IF(ROW()&lt;=(Results!$C$1/2)+1,VLOOKUP($A726,Data!$V$2:$W$117,2,TRUE),"")</f>
        <v/>
      </c>
      <c r="C726" s="14" t="str">
        <f>IF(ROW()&lt;=(Results!$C$1/2)+1,IF(B726&lt;=0,"",LN(B726)),"")</f>
        <v/>
      </c>
      <c r="D726" s="1" t="str">
        <f ca="1">IF(ROW()&lt;=(Results!$C$1/2)+1,INDEX(Data!$X:$X,CEILING((COUNTA(Data!$X:$X)-1)*RAND()+1,1)),"")</f>
        <v/>
      </c>
      <c r="E726" s="1" t="str">
        <f>IF(ROW()&lt;=(Results!$C$1/2)+1,VLOOKUP($D726,Data!$X$2:$Y$117,2,TRUE),"")</f>
        <v/>
      </c>
      <c r="F726" s="14" t="str">
        <f>IF(ROW()&lt;=(Results!$C$1/2)+1,IF(E726&lt;=0,"",LN(E726)),"")</f>
        <v/>
      </c>
    </row>
    <row r="727" spans="1:6" x14ac:dyDescent="0.25">
      <c r="A727" s="1" t="str">
        <f ca="1">IF(ROW()&lt;=(Results!$C$1/2)+1,INDEX(Data!$V:$V,CEILING((COUNTA(Data!$V:$V)-1)*RAND()+1,1)),"")</f>
        <v/>
      </c>
      <c r="B727" s="1" t="str">
        <f>IF(ROW()&lt;=(Results!$C$1/2)+1,VLOOKUP($A727,Data!$V$2:$W$117,2,TRUE),"")</f>
        <v/>
      </c>
      <c r="C727" s="14" t="str">
        <f>IF(ROW()&lt;=(Results!$C$1/2)+1,IF(B727&lt;=0,"",LN(B727)),"")</f>
        <v/>
      </c>
      <c r="D727" s="1" t="str">
        <f ca="1">IF(ROW()&lt;=(Results!$C$1/2)+1,INDEX(Data!$X:$X,CEILING((COUNTA(Data!$X:$X)-1)*RAND()+1,1)),"")</f>
        <v/>
      </c>
      <c r="E727" s="1" t="str">
        <f>IF(ROW()&lt;=(Results!$C$1/2)+1,VLOOKUP($D727,Data!$X$2:$Y$117,2,TRUE),"")</f>
        <v/>
      </c>
      <c r="F727" s="14" t="str">
        <f>IF(ROW()&lt;=(Results!$C$1/2)+1,IF(E727&lt;=0,"",LN(E727)),"")</f>
        <v/>
      </c>
    </row>
    <row r="728" spans="1:6" x14ac:dyDescent="0.25">
      <c r="A728" s="1" t="str">
        <f ca="1">IF(ROW()&lt;=(Results!$C$1/2)+1,INDEX(Data!$V:$V,CEILING((COUNTA(Data!$V:$V)-1)*RAND()+1,1)),"")</f>
        <v/>
      </c>
      <c r="B728" s="1" t="str">
        <f>IF(ROW()&lt;=(Results!$C$1/2)+1,VLOOKUP($A728,Data!$V$2:$W$117,2,TRUE),"")</f>
        <v/>
      </c>
      <c r="C728" s="14" t="str">
        <f>IF(ROW()&lt;=(Results!$C$1/2)+1,IF(B728&lt;=0,"",LN(B728)),"")</f>
        <v/>
      </c>
      <c r="D728" s="1" t="str">
        <f ca="1">IF(ROW()&lt;=(Results!$C$1/2)+1,INDEX(Data!$X:$X,CEILING((COUNTA(Data!$X:$X)-1)*RAND()+1,1)),"")</f>
        <v/>
      </c>
      <c r="E728" s="1" t="str">
        <f>IF(ROW()&lt;=(Results!$C$1/2)+1,VLOOKUP($D728,Data!$X$2:$Y$117,2,TRUE),"")</f>
        <v/>
      </c>
      <c r="F728" s="14" t="str">
        <f>IF(ROW()&lt;=(Results!$C$1/2)+1,IF(E728&lt;=0,"",LN(E728)),"")</f>
        <v/>
      </c>
    </row>
    <row r="729" spans="1:6" x14ac:dyDescent="0.25">
      <c r="A729" s="1" t="str">
        <f ca="1">IF(ROW()&lt;=(Results!$C$1/2)+1,INDEX(Data!$V:$V,CEILING((COUNTA(Data!$V:$V)-1)*RAND()+1,1)),"")</f>
        <v/>
      </c>
      <c r="B729" s="1" t="str">
        <f>IF(ROW()&lt;=(Results!$C$1/2)+1,VLOOKUP($A729,Data!$V$2:$W$117,2,TRUE),"")</f>
        <v/>
      </c>
      <c r="C729" s="14" t="str">
        <f>IF(ROW()&lt;=(Results!$C$1/2)+1,IF(B729&lt;=0,"",LN(B729)),"")</f>
        <v/>
      </c>
      <c r="D729" s="1" t="str">
        <f ca="1">IF(ROW()&lt;=(Results!$C$1/2)+1,INDEX(Data!$X:$X,CEILING((COUNTA(Data!$X:$X)-1)*RAND()+1,1)),"")</f>
        <v/>
      </c>
      <c r="E729" s="1" t="str">
        <f>IF(ROW()&lt;=(Results!$C$1/2)+1,VLOOKUP($D729,Data!$X$2:$Y$117,2,TRUE),"")</f>
        <v/>
      </c>
      <c r="F729" s="14" t="str">
        <f>IF(ROW()&lt;=(Results!$C$1/2)+1,IF(E729&lt;=0,"",LN(E729)),"")</f>
        <v/>
      </c>
    </row>
    <row r="730" spans="1:6" x14ac:dyDescent="0.25">
      <c r="A730" s="1" t="str">
        <f ca="1">IF(ROW()&lt;=(Results!$C$1/2)+1,INDEX(Data!$V:$V,CEILING((COUNTA(Data!$V:$V)-1)*RAND()+1,1)),"")</f>
        <v/>
      </c>
      <c r="B730" s="1" t="str">
        <f>IF(ROW()&lt;=(Results!$C$1/2)+1,VLOOKUP($A730,Data!$V$2:$W$117,2,TRUE),"")</f>
        <v/>
      </c>
      <c r="C730" s="14" t="str">
        <f>IF(ROW()&lt;=(Results!$C$1/2)+1,IF(B730&lt;=0,"",LN(B730)),"")</f>
        <v/>
      </c>
      <c r="D730" s="1" t="str">
        <f ca="1">IF(ROW()&lt;=(Results!$C$1/2)+1,INDEX(Data!$X:$X,CEILING((COUNTA(Data!$X:$X)-1)*RAND()+1,1)),"")</f>
        <v/>
      </c>
      <c r="E730" s="1" t="str">
        <f>IF(ROW()&lt;=(Results!$C$1/2)+1,VLOOKUP($D730,Data!$X$2:$Y$117,2,TRUE),"")</f>
        <v/>
      </c>
      <c r="F730" s="14" t="str">
        <f>IF(ROW()&lt;=(Results!$C$1/2)+1,IF(E730&lt;=0,"",LN(E730)),"")</f>
        <v/>
      </c>
    </row>
    <row r="731" spans="1:6" x14ac:dyDescent="0.25">
      <c r="A731" s="1" t="str">
        <f ca="1">IF(ROW()&lt;=(Results!$C$1/2)+1,INDEX(Data!$V:$V,CEILING((COUNTA(Data!$V:$V)-1)*RAND()+1,1)),"")</f>
        <v/>
      </c>
      <c r="B731" s="1" t="str">
        <f>IF(ROW()&lt;=(Results!$C$1/2)+1,VLOOKUP($A731,Data!$V$2:$W$117,2,TRUE),"")</f>
        <v/>
      </c>
      <c r="C731" s="14" t="str">
        <f>IF(ROW()&lt;=(Results!$C$1/2)+1,IF(B731&lt;=0,"",LN(B731)),"")</f>
        <v/>
      </c>
      <c r="D731" s="1" t="str">
        <f ca="1">IF(ROW()&lt;=(Results!$C$1/2)+1,INDEX(Data!$X:$X,CEILING((COUNTA(Data!$X:$X)-1)*RAND()+1,1)),"")</f>
        <v/>
      </c>
      <c r="E731" s="1" t="str">
        <f>IF(ROW()&lt;=(Results!$C$1/2)+1,VLOOKUP($D731,Data!$X$2:$Y$117,2,TRUE),"")</f>
        <v/>
      </c>
      <c r="F731" s="14" t="str">
        <f>IF(ROW()&lt;=(Results!$C$1/2)+1,IF(E731&lt;=0,"",LN(E731)),"")</f>
        <v/>
      </c>
    </row>
    <row r="732" spans="1:6" x14ac:dyDescent="0.25">
      <c r="A732" s="1" t="str">
        <f ca="1">IF(ROW()&lt;=(Results!$C$1/2)+1,INDEX(Data!$V:$V,CEILING((COUNTA(Data!$V:$V)-1)*RAND()+1,1)),"")</f>
        <v/>
      </c>
      <c r="B732" s="1" t="str">
        <f>IF(ROW()&lt;=(Results!$C$1/2)+1,VLOOKUP($A732,Data!$V$2:$W$117,2,TRUE),"")</f>
        <v/>
      </c>
      <c r="C732" s="14" t="str">
        <f>IF(ROW()&lt;=(Results!$C$1/2)+1,IF(B732&lt;=0,"",LN(B732)),"")</f>
        <v/>
      </c>
      <c r="D732" s="1" t="str">
        <f ca="1">IF(ROW()&lt;=(Results!$C$1/2)+1,INDEX(Data!$X:$X,CEILING((COUNTA(Data!$X:$X)-1)*RAND()+1,1)),"")</f>
        <v/>
      </c>
      <c r="E732" s="1" t="str">
        <f>IF(ROW()&lt;=(Results!$C$1/2)+1,VLOOKUP($D732,Data!$X$2:$Y$117,2,TRUE),"")</f>
        <v/>
      </c>
      <c r="F732" s="14" t="str">
        <f>IF(ROW()&lt;=(Results!$C$1/2)+1,IF(E732&lt;=0,"",LN(E732)),"")</f>
        <v/>
      </c>
    </row>
    <row r="733" spans="1:6" x14ac:dyDescent="0.25">
      <c r="A733" s="1" t="str">
        <f ca="1">IF(ROW()&lt;=(Results!$C$1/2)+1,INDEX(Data!$V:$V,CEILING((COUNTA(Data!$V:$V)-1)*RAND()+1,1)),"")</f>
        <v/>
      </c>
      <c r="B733" s="1" t="str">
        <f>IF(ROW()&lt;=(Results!$C$1/2)+1,VLOOKUP($A733,Data!$V$2:$W$117,2,TRUE),"")</f>
        <v/>
      </c>
      <c r="C733" s="14" t="str">
        <f>IF(ROW()&lt;=(Results!$C$1/2)+1,IF(B733&lt;=0,"",LN(B733)),"")</f>
        <v/>
      </c>
      <c r="D733" s="1" t="str">
        <f ca="1">IF(ROW()&lt;=(Results!$C$1/2)+1,INDEX(Data!$X:$X,CEILING((COUNTA(Data!$X:$X)-1)*RAND()+1,1)),"")</f>
        <v/>
      </c>
      <c r="E733" s="1" t="str">
        <f>IF(ROW()&lt;=(Results!$C$1/2)+1,VLOOKUP($D733,Data!$X$2:$Y$117,2,TRUE),"")</f>
        <v/>
      </c>
      <c r="F733" s="14" t="str">
        <f>IF(ROW()&lt;=(Results!$C$1/2)+1,IF(E733&lt;=0,"",LN(E733)),"")</f>
        <v/>
      </c>
    </row>
    <row r="734" spans="1:6" x14ac:dyDescent="0.25">
      <c r="A734" s="1" t="str">
        <f ca="1">IF(ROW()&lt;=(Results!$C$1/2)+1,INDEX(Data!$V:$V,CEILING((COUNTA(Data!$V:$V)-1)*RAND()+1,1)),"")</f>
        <v/>
      </c>
      <c r="B734" s="1" t="str">
        <f>IF(ROW()&lt;=(Results!$C$1/2)+1,VLOOKUP($A734,Data!$V$2:$W$117,2,TRUE),"")</f>
        <v/>
      </c>
      <c r="C734" s="14" t="str">
        <f>IF(ROW()&lt;=(Results!$C$1/2)+1,IF(B734&lt;=0,"",LN(B734)),"")</f>
        <v/>
      </c>
      <c r="D734" s="1" t="str">
        <f ca="1">IF(ROW()&lt;=(Results!$C$1/2)+1,INDEX(Data!$X:$X,CEILING((COUNTA(Data!$X:$X)-1)*RAND()+1,1)),"")</f>
        <v/>
      </c>
      <c r="E734" s="1" t="str">
        <f>IF(ROW()&lt;=(Results!$C$1/2)+1,VLOOKUP($D734,Data!$X$2:$Y$117,2,TRUE),"")</f>
        <v/>
      </c>
      <c r="F734" s="14" t="str">
        <f>IF(ROW()&lt;=(Results!$C$1/2)+1,IF(E734&lt;=0,"",LN(E734)),"")</f>
        <v/>
      </c>
    </row>
    <row r="735" spans="1:6" x14ac:dyDescent="0.25">
      <c r="A735" s="1" t="str">
        <f ca="1">IF(ROW()&lt;=(Results!$C$1/2)+1,INDEX(Data!$V:$V,CEILING((COUNTA(Data!$V:$V)-1)*RAND()+1,1)),"")</f>
        <v/>
      </c>
      <c r="B735" s="1" t="str">
        <f>IF(ROW()&lt;=(Results!$C$1/2)+1,VLOOKUP($A735,Data!$V$2:$W$117,2,TRUE),"")</f>
        <v/>
      </c>
      <c r="C735" s="14" t="str">
        <f>IF(ROW()&lt;=(Results!$C$1/2)+1,IF(B735&lt;=0,"",LN(B735)),"")</f>
        <v/>
      </c>
      <c r="D735" s="1" t="str">
        <f ca="1">IF(ROW()&lt;=(Results!$C$1/2)+1,INDEX(Data!$X:$X,CEILING((COUNTA(Data!$X:$X)-1)*RAND()+1,1)),"")</f>
        <v/>
      </c>
      <c r="E735" s="1" t="str">
        <f>IF(ROW()&lt;=(Results!$C$1/2)+1,VLOOKUP($D735,Data!$X$2:$Y$117,2,TRUE),"")</f>
        <v/>
      </c>
      <c r="F735" s="14" t="str">
        <f>IF(ROW()&lt;=(Results!$C$1/2)+1,IF(E735&lt;=0,"",LN(E735)),"")</f>
        <v/>
      </c>
    </row>
    <row r="736" spans="1:6" x14ac:dyDescent="0.25">
      <c r="A736" s="1" t="str">
        <f ca="1">IF(ROW()&lt;=(Results!$C$1/2)+1,INDEX(Data!$V:$V,CEILING((COUNTA(Data!$V:$V)-1)*RAND()+1,1)),"")</f>
        <v/>
      </c>
      <c r="B736" s="1" t="str">
        <f>IF(ROW()&lt;=(Results!$C$1/2)+1,VLOOKUP($A736,Data!$V$2:$W$117,2,TRUE),"")</f>
        <v/>
      </c>
      <c r="C736" s="14" t="str">
        <f>IF(ROW()&lt;=(Results!$C$1/2)+1,IF(B736&lt;=0,"",LN(B736)),"")</f>
        <v/>
      </c>
      <c r="D736" s="1" t="str">
        <f ca="1">IF(ROW()&lt;=(Results!$C$1/2)+1,INDEX(Data!$X:$X,CEILING((COUNTA(Data!$X:$X)-1)*RAND()+1,1)),"")</f>
        <v/>
      </c>
      <c r="E736" s="1" t="str">
        <f>IF(ROW()&lt;=(Results!$C$1/2)+1,VLOOKUP($D736,Data!$X$2:$Y$117,2,TRUE),"")</f>
        <v/>
      </c>
      <c r="F736" s="14" t="str">
        <f>IF(ROW()&lt;=(Results!$C$1/2)+1,IF(E736&lt;=0,"",LN(E736)),"")</f>
        <v/>
      </c>
    </row>
    <row r="737" spans="1:6" x14ac:dyDescent="0.25">
      <c r="A737" s="1" t="str">
        <f ca="1">IF(ROW()&lt;=(Results!$C$1/2)+1,INDEX(Data!$V:$V,CEILING((COUNTA(Data!$V:$V)-1)*RAND()+1,1)),"")</f>
        <v/>
      </c>
      <c r="B737" s="1" t="str">
        <f>IF(ROW()&lt;=(Results!$C$1/2)+1,VLOOKUP($A737,Data!$V$2:$W$117,2,TRUE),"")</f>
        <v/>
      </c>
      <c r="C737" s="14" t="str">
        <f>IF(ROW()&lt;=(Results!$C$1/2)+1,IF(B737&lt;=0,"",LN(B737)),"")</f>
        <v/>
      </c>
      <c r="D737" s="1" t="str">
        <f ca="1">IF(ROW()&lt;=(Results!$C$1/2)+1,INDEX(Data!$X:$X,CEILING((COUNTA(Data!$X:$X)-1)*RAND()+1,1)),"")</f>
        <v/>
      </c>
      <c r="E737" s="1" t="str">
        <f>IF(ROW()&lt;=(Results!$C$1/2)+1,VLOOKUP($D737,Data!$X$2:$Y$117,2,TRUE),"")</f>
        <v/>
      </c>
      <c r="F737" s="14" t="str">
        <f>IF(ROW()&lt;=(Results!$C$1/2)+1,IF(E737&lt;=0,"",LN(E737)),"")</f>
        <v/>
      </c>
    </row>
    <row r="738" spans="1:6" x14ac:dyDescent="0.25">
      <c r="A738" s="1" t="str">
        <f ca="1">IF(ROW()&lt;=(Results!$C$1/2)+1,INDEX(Data!$V:$V,CEILING((COUNTA(Data!$V:$V)-1)*RAND()+1,1)),"")</f>
        <v/>
      </c>
      <c r="B738" s="1" t="str">
        <f>IF(ROW()&lt;=(Results!$C$1/2)+1,VLOOKUP($A738,Data!$V$2:$W$117,2,TRUE),"")</f>
        <v/>
      </c>
      <c r="C738" s="14" t="str">
        <f>IF(ROW()&lt;=(Results!$C$1/2)+1,IF(B738&lt;=0,"",LN(B738)),"")</f>
        <v/>
      </c>
      <c r="D738" s="1" t="str">
        <f ca="1">IF(ROW()&lt;=(Results!$C$1/2)+1,INDEX(Data!$X:$X,CEILING((COUNTA(Data!$X:$X)-1)*RAND()+1,1)),"")</f>
        <v/>
      </c>
      <c r="E738" s="1" t="str">
        <f>IF(ROW()&lt;=(Results!$C$1/2)+1,VLOOKUP($D738,Data!$X$2:$Y$117,2,TRUE),"")</f>
        <v/>
      </c>
      <c r="F738" s="14" t="str">
        <f>IF(ROW()&lt;=(Results!$C$1/2)+1,IF(E738&lt;=0,"",LN(E738)),"")</f>
        <v/>
      </c>
    </row>
    <row r="739" spans="1:6" x14ac:dyDescent="0.25">
      <c r="A739" s="1" t="str">
        <f ca="1">IF(ROW()&lt;=(Results!$C$1/2)+1,INDEX(Data!$V:$V,CEILING((COUNTA(Data!$V:$V)-1)*RAND()+1,1)),"")</f>
        <v/>
      </c>
      <c r="B739" s="1" t="str">
        <f>IF(ROW()&lt;=(Results!$C$1/2)+1,VLOOKUP($A739,Data!$V$2:$W$117,2,TRUE),"")</f>
        <v/>
      </c>
      <c r="C739" s="14" t="str">
        <f>IF(ROW()&lt;=(Results!$C$1/2)+1,IF(B739&lt;=0,"",LN(B739)),"")</f>
        <v/>
      </c>
      <c r="D739" s="1" t="str">
        <f ca="1">IF(ROW()&lt;=(Results!$C$1/2)+1,INDEX(Data!$X:$X,CEILING((COUNTA(Data!$X:$X)-1)*RAND()+1,1)),"")</f>
        <v/>
      </c>
      <c r="E739" s="1" t="str">
        <f>IF(ROW()&lt;=(Results!$C$1/2)+1,VLOOKUP($D739,Data!$X$2:$Y$117,2,TRUE),"")</f>
        <v/>
      </c>
      <c r="F739" s="14" t="str">
        <f>IF(ROW()&lt;=(Results!$C$1/2)+1,IF(E739&lt;=0,"",LN(E739)),"")</f>
        <v/>
      </c>
    </row>
    <row r="740" spans="1:6" x14ac:dyDescent="0.25">
      <c r="A740" s="1" t="str">
        <f ca="1">IF(ROW()&lt;=(Results!$C$1/2)+1,INDEX(Data!$V:$V,CEILING((COUNTA(Data!$V:$V)-1)*RAND()+1,1)),"")</f>
        <v/>
      </c>
      <c r="B740" s="1" t="str">
        <f>IF(ROW()&lt;=(Results!$C$1/2)+1,VLOOKUP($A740,Data!$V$2:$W$117,2,TRUE),"")</f>
        <v/>
      </c>
      <c r="C740" s="14" t="str">
        <f>IF(ROW()&lt;=(Results!$C$1/2)+1,IF(B740&lt;=0,"",LN(B740)),"")</f>
        <v/>
      </c>
      <c r="D740" s="1" t="str">
        <f ca="1">IF(ROW()&lt;=(Results!$C$1/2)+1,INDEX(Data!$X:$X,CEILING((COUNTA(Data!$X:$X)-1)*RAND()+1,1)),"")</f>
        <v/>
      </c>
      <c r="E740" s="1" t="str">
        <f>IF(ROW()&lt;=(Results!$C$1/2)+1,VLOOKUP($D740,Data!$X$2:$Y$117,2,TRUE),"")</f>
        <v/>
      </c>
      <c r="F740" s="14" t="str">
        <f>IF(ROW()&lt;=(Results!$C$1/2)+1,IF(E740&lt;=0,"",LN(E740)),"")</f>
        <v/>
      </c>
    </row>
    <row r="741" spans="1:6" x14ac:dyDescent="0.25">
      <c r="A741" s="1" t="str">
        <f ca="1">IF(ROW()&lt;=(Results!$C$1/2)+1,INDEX(Data!$V:$V,CEILING((COUNTA(Data!$V:$V)-1)*RAND()+1,1)),"")</f>
        <v/>
      </c>
      <c r="B741" s="1" t="str">
        <f>IF(ROW()&lt;=(Results!$C$1/2)+1,VLOOKUP($A741,Data!$V$2:$W$117,2,TRUE),"")</f>
        <v/>
      </c>
      <c r="C741" s="14" t="str">
        <f>IF(ROW()&lt;=(Results!$C$1/2)+1,IF(B741&lt;=0,"",LN(B741)),"")</f>
        <v/>
      </c>
      <c r="D741" s="1" t="str">
        <f ca="1">IF(ROW()&lt;=(Results!$C$1/2)+1,INDEX(Data!$X:$X,CEILING((COUNTA(Data!$X:$X)-1)*RAND()+1,1)),"")</f>
        <v/>
      </c>
      <c r="E741" s="1" t="str">
        <f>IF(ROW()&lt;=(Results!$C$1/2)+1,VLOOKUP($D741,Data!$X$2:$Y$117,2,TRUE),"")</f>
        <v/>
      </c>
      <c r="F741" s="14" t="str">
        <f>IF(ROW()&lt;=(Results!$C$1/2)+1,IF(E741&lt;=0,"",LN(E741)),"")</f>
        <v/>
      </c>
    </row>
    <row r="742" spans="1:6" x14ac:dyDescent="0.25">
      <c r="A742" s="1" t="str">
        <f ca="1">IF(ROW()&lt;=(Results!$C$1/2)+1,INDEX(Data!$V:$V,CEILING((COUNTA(Data!$V:$V)-1)*RAND()+1,1)),"")</f>
        <v/>
      </c>
      <c r="B742" s="1" t="str">
        <f>IF(ROW()&lt;=(Results!$C$1/2)+1,VLOOKUP($A742,Data!$V$2:$W$117,2,TRUE),"")</f>
        <v/>
      </c>
      <c r="C742" s="14" t="str">
        <f>IF(ROW()&lt;=(Results!$C$1/2)+1,IF(B742&lt;=0,"",LN(B742)),"")</f>
        <v/>
      </c>
      <c r="D742" s="1" t="str">
        <f ca="1">IF(ROW()&lt;=(Results!$C$1/2)+1,INDEX(Data!$X:$X,CEILING((COUNTA(Data!$X:$X)-1)*RAND()+1,1)),"")</f>
        <v/>
      </c>
      <c r="E742" s="1" t="str">
        <f>IF(ROW()&lt;=(Results!$C$1/2)+1,VLOOKUP($D742,Data!$X$2:$Y$117,2,TRUE),"")</f>
        <v/>
      </c>
      <c r="F742" s="14" t="str">
        <f>IF(ROW()&lt;=(Results!$C$1/2)+1,IF(E742&lt;=0,"",LN(E742)),"")</f>
        <v/>
      </c>
    </row>
    <row r="743" spans="1:6" x14ac:dyDescent="0.25">
      <c r="A743" s="1" t="str">
        <f ca="1">IF(ROW()&lt;=(Results!$C$1/2)+1,INDEX(Data!$V:$V,CEILING((COUNTA(Data!$V:$V)-1)*RAND()+1,1)),"")</f>
        <v/>
      </c>
      <c r="B743" s="1" t="str">
        <f>IF(ROW()&lt;=(Results!$C$1/2)+1,VLOOKUP($A743,Data!$V$2:$W$117,2,TRUE),"")</f>
        <v/>
      </c>
      <c r="C743" s="14" t="str">
        <f>IF(ROW()&lt;=(Results!$C$1/2)+1,IF(B743&lt;=0,"",LN(B743)),"")</f>
        <v/>
      </c>
      <c r="D743" s="1" t="str">
        <f ca="1">IF(ROW()&lt;=(Results!$C$1/2)+1,INDEX(Data!$X:$X,CEILING((COUNTA(Data!$X:$X)-1)*RAND()+1,1)),"")</f>
        <v/>
      </c>
      <c r="E743" s="1" t="str">
        <f>IF(ROW()&lt;=(Results!$C$1/2)+1,VLOOKUP($D743,Data!$X$2:$Y$117,2,TRUE),"")</f>
        <v/>
      </c>
      <c r="F743" s="14" t="str">
        <f>IF(ROW()&lt;=(Results!$C$1/2)+1,IF(E743&lt;=0,"",LN(E743)),"")</f>
        <v/>
      </c>
    </row>
    <row r="744" spans="1:6" x14ac:dyDescent="0.25">
      <c r="A744" s="1" t="str">
        <f ca="1">IF(ROW()&lt;=(Results!$C$1/2)+1,INDEX(Data!$V:$V,CEILING((COUNTA(Data!$V:$V)-1)*RAND()+1,1)),"")</f>
        <v/>
      </c>
      <c r="B744" s="1" t="str">
        <f>IF(ROW()&lt;=(Results!$C$1/2)+1,VLOOKUP($A744,Data!$V$2:$W$117,2,TRUE),"")</f>
        <v/>
      </c>
      <c r="C744" s="14" t="str">
        <f>IF(ROW()&lt;=(Results!$C$1/2)+1,IF(B744&lt;=0,"",LN(B744)),"")</f>
        <v/>
      </c>
      <c r="D744" s="1" t="str">
        <f ca="1">IF(ROW()&lt;=(Results!$C$1/2)+1,INDEX(Data!$X:$X,CEILING((COUNTA(Data!$X:$X)-1)*RAND()+1,1)),"")</f>
        <v/>
      </c>
      <c r="E744" s="1" t="str">
        <f>IF(ROW()&lt;=(Results!$C$1/2)+1,VLOOKUP($D744,Data!$X$2:$Y$117,2,TRUE),"")</f>
        <v/>
      </c>
      <c r="F744" s="14" t="str">
        <f>IF(ROW()&lt;=(Results!$C$1/2)+1,IF(E744&lt;=0,"",LN(E744)),"")</f>
        <v/>
      </c>
    </row>
    <row r="745" spans="1:6" x14ac:dyDescent="0.25">
      <c r="A745" s="1" t="str">
        <f ca="1">IF(ROW()&lt;=(Results!$C$1/2)+1,INDEX(Data!$V:$V,CEILING((COUNTA(Data!$V:$V)-1)*RAND()+1,1)),"")</f>
        <v/>
      </c>
      <c r="B745" s="1" t="str">
        <f>IF(ROW()&lt;=(Results!$C$1/2)+1,VLOOKUP($A745,Data!$V$2:$W$117,2,TRUE),"")</f>
        <v/>
      </c>
      <c r="C745" s="14" t="str">
        <f>IF(ROW()&lt;=(Results!$C$1/2)+1,IF(B745&lt;=0,"",LN(B745)),"")</f>
        <v/>
      </c>
      <c r="D745" s="1" t="str">
        <f ca="1">IF(ROW()&lt;=(Results!$C$1/2)+1,INDEX(Data!$X:$X,CEILING((COUNTA(Data!$X:$X)-1)*RAND()+1,1)),"")</f>
        <v/>
      </c>
      <c r="E745" s="1" t="str">
        <f>IF(ROW()&lt;=(Results!$C$1/2)+1,VLOOKUP($D745,Data!$X$2:$Y$117,2,TRUE),"")</f>
        <v/>
      </c>
      <c r="F745" s="14" t="str">
        <f>IF(ROW()&lt;=(Results!$C$1/2)+1,IF(E745&lt;=0,"",LN(E745)),"")</f>
        <v/>
      </c>
    </row>
    <row r="746" spans="1:6" x14ac:dyDescent="0.25">
      <c r="A746" s="1" t="str">
        <f ca="1">IF(ROW()&lt;=(Results!$C$1/2)+1,INDEX(Data!$V:$V,CEILING((COUNTA(Data!$V:$V)-1)*RAND()+1,1)),"")</f>
        <v/>
      </c>
      <c r="B746" s="1" t="str">
        <f>IF(ROW()&lt;=(Results!$C$1/2)+1,VLOOKUP($A746,Data!$V$2:$W$117,2,TRUE),"")</f>
        <v/>
      </c>
      <c r="C746" s="14" t="str">
        <f>IF(ROW()&lt;=(Results!$C$1/2)+1,IF(B746&lt;=0,"",LN(B746)),"")</f>
        <v/>
      </c>
      <c r="D746" s="1" t="str">
        <f ca="1">IF(ROW()&lt;=(Results!$C$1/2)+1,INDEX(Data!$X:$X,CEILING((COUNTA(Data!$X:$X)-1)*RAND()+1,1)),"")</f>
        <v/>
      </c>
      <c r="E746" s="1" t="str">
        <f>IF(ROW()&lt;=(Results!$C$1/2)+1,VLOOKUP($D746,Data!$X$2:$Y$117,2,TRUE),"")</f>
        <v/>
      </c>
      <c r="F746" s="14" t="str">
        <f>IF(ROW()&lt;=(Results!$C$1/2)+1,IF(E746&lt;=0,"",LN(E746)),"")</f>
        <v/>
      </c>
    </row>
    <row r="747" spans="1:6" x14ac:dyDescent="0.25">
      <c r="A747" s="1" t="str">
        <f ca="1">IF(ROW()&lt;=(Results!$C$1/2)+1,INDEX(Data!$V:$V,CEILING((COUNTA(Data!$V:$V)-1)*RAND()+1,1)),"")</f>
        <v/>
      </c>
      <c r="B747" s="1" t="str">
        <f>IF(ROW()&lt;=(Results!$C$1/2)+1,VLOOKUP($A747,Data!$V$2:$W$117,2,TRUE),"")</f>
        <v/>
      </c>
      <c r="C747" s="14" t="str">
        <f>IF(ROW()&lt;=(Results!$C$1/2)+1,IF(B747&lt;=0,"",LN(B747)),"")</f>
        <v/>
      </c>
      <c r="D747" s="1" t="str">
        <f ca="1">IF(ROW()&lt;=(Results!$C$1/2)+1,INDEX(Data!$X:$X,CEILING((COUNTA(Data!$X:$X)-1)*RAND()+1,1)),"")</f>
        <v/>
      </c>
      <c r="E747" s="1" t="str">
        <f>IF(ROW()&lt;=(Results!$C$1/2)+1,VLOOKUP($D747,Data!$X$2:$Y$117,2,TRUE),"")</f>
        <v/>
      </c>
      <c r="F747" s="14" t="str">
        <f>IF(ROW()&lt;=(Results!$C$1/2)+1,IF(E747&lt;=0,"",LN(E747)),"")</f>
        <v/>
      </c>
    </row>
    <row r="748" spans="1:6" x14ac:dyDescent="0.25">
      <c r="A748" s="1" t="str">
        <f ca="1">IF(ROW()&lt;=(Results!$C$1/2)+1,INDEX(Data!$V:$V,CEILING((COUNTA(Data!$V:$V)-1)*RAND()+1,1)),"")</f>
        <v/>
      </c>
      <c r="B748" s="1" t="str">
        <f>IF(ROW()&lt;=(Results!$C$1/2)+1,VLOOKUP($A748,Data!$V$2:$W$117,2,TRUE),"")</f>
        <v/>
      </c>
      <c r="C748" s="14" t="str">
        <f>IF(ROW()&lt;=(Results!$C$1/2)+1,IF(B748&lt;=0,"",LN(B748)),"")</f>
        <v/>
      </c>
      <c r="D748" s="1" t="str">
        <f ca="1">IF(ROW()&lt;=(Results!$C$1/2)+1,INDEX(Data!$X:$X,CEILING((COUNTA(Data!$X:$X)-1)*RAND()+1,1)),"")</f>
        <v/>
      </c>
      <c r="E748" s="1" t="str">
        <f>IF(ROW()&lt;=(Results!$C$1/2)+1,VLOOKUP($D748,Data!$X$2:$Y$117,2,TRUE),"")</f>
        <v/>
      </c>
      <c r="F748" s="14" t="str">
        <f>IF(ROW()&lt;=(Results!$C$1/2)+1,IF(E748&lt;=0,"",LN(E748)),"")</f>
        <v/>
      </c>
    </row>
    <row r="749" spans="1:6" x14ac:dyDescent="0.25">
      <c r="A749" s="1" t="str">
        <f ca="1">IF(ROW()&lt;=(Results!$C$1/2)+1,INDEX(Data!$V:$V,CEILING((COUNTA(Data!$V:$V)-1)*RAND()+1,1)),"")</f>
        <v/>
      </c>
      <c r="B749" s="1" t="str">
        <f>IF(ROW()&lt;=(Results!$C$1/2)+1,VLOOKUP($A749,Data!$V$2:$W$117,2,TRUE),"")</f>
        <v/>
      </c>
      <c r="C749" s="14" t="str">
        <f>IF(ROW()&lt;=(Results!$C$1/2)+1,IF(B749&lt;=0,"",LN(B749)),"")</f>
        <v/>
      </c>
      <c r="D749" s="1" t="str">
        <f ca="1">IF(ROW()&lt;=(Results!$C$1/2)+1,INDEX(Data!$X:$X,CEILING((COUNTA(Data!$X:$X)-1)*RAND()+1,1)),"")</f>
        <v/>
      </c>
      <c r="E749" s="1" t="str">
        <f>IF(ROW()&lt;=(Results!$C$1/2)+1,VLOOKUP($D749,Data!$X$2:$Y$117,2,TRUE),"")</f>
        <v/>
      </c>
      <c r="F749" s="14" t="str">
        <f>IF(ROW()&lt;=(Results!$C$1/2)+1,IF(E749&lt;=0,"",LN(E749)),"")</f>
        <v/>
      </c>
    </row>
    <row r="750" spans="1:6" x14ac:dyDescent="0.25">
      <c r="A750" s="1" t="str">
        <f ca="1">IF(ROW()&lt;=(Results!$C$1/2)+1,INDEX(Data!$V:$V,CEILING((COUNTA(Data!$V:$V)-1)*RAND()+1,1)),"")</f>
        <v/>
      </c>
      <c r="B750" s="1" t="str">
        <f>IF(ROW()&lt;=(Results!$C$1/2)+1,VLOOKUP($A750,Data!$V$2:$W$117,2,TRUE),"")</f>
        <v/>
      </c>
      <c r="C750" s="14" t="str">
        <f>IF(ROW()&lt;=(Results!$C$1/2)+1,IF(B750&lt;=0,"",LN(B750)),"")</f>
        <v/>
      </c>
      <c r="D750" s="1" t="str">
        <f ca="1">IF(ROW()&lt;=(Results!$C$1/2)+1,INDEX(Data!$X:$X,CEILING((COUNTA(Data!$X:$X)-1)*RAND()+1,1)),"")</f>
        <v/>
      </c>
      <c r="E750" s="1" t="str">
        <f>IF(ROW()&lt;=(Results!$C$1/2)+1,VLOOKUP($D750,Data!$X$2:$Y$117,2,TRUE),"")</f>
        <v/>
      </c>
      <c r="F750" s="14" t="str">
        <f>IF(ROW()&lt;=(Results!$C$1/2)+1,IF(E750&lt;=0,"",LN(E750)),"")</f>
        <v/>
      </c>
    </row>
    <row r="751" spans="1:6" x14ac:dyDescent="0.25">
      <c r="A751" s="1" t="str">
        <f ca="1">IF(ROW()&lt;=(Results!$C$1/2)+1,INDEX(Data!$V:$V,CEILING((COUNTA(Data!$V:$V)-1)*RAND()+1,1)),"")</f>
        <v/>
      </c>
      <c r="B751" s="1" t="str">
        <f>IF(ROW()&lt;=(Results!$C$1/2)+1,VLOOKUP($A751,Data!$V$2:$W$117,2,TRUE),"")</f>
        <v/>
      </c>
      <c r="C751" s="14" t="str">
        <f>IF(ROW()&lt;=(Results!$C$1/2)+1,IF(B751&lt;=0,"",LN(B751)),"")</f>
        <v/>
      </c>
      <c r="D751" s="1" t="str">
        <f ca="1">IF(ROW()&lt;=(Results!$C$1/2)+1,INDEX(Data!$X:$X,CEILING((COUNTA(Data!$X:$X)-1)*RAND()+1,1)),"")</f>
        <v/>
      </c>
      <c r="E751" s="1" t="str">
        <f>IF(ROW()&lt;=(Results!$C$1/2)+1,VLOOKUP($D751,Data!$X$2:$Y$117,2,TRUE),"")</f>
        <v/>
      </c>
      <c r="F751" s="14" t="str">
        <f>IF(ROW()&lt;=(Results!$C$1/2)+1,IF(E751&lt;=0,"",LN(E751)),"")</f>
        <v/>
      </c>
    </row>
    <row r="752" spans="1:6" x14ac:dyDescent="0.25">
      <c r="A752" s="1" t="str">
        <f ca="1">IF(ROW()&lt;=(Results!$C$1/2)+1,INDEX(Data!$V:$V,CEILING((COUNTA(Data!$V:$V)-1)*RAND()+1,1)),"")</f>
        <v/>
      </c>
      <c r="B752" s="1" t="str">
        <f>IF(ROW()&lt;=(Results!$C$1/2)+1,VLOOKUP($A752,Data!$V$2:$W$117,2,TRUE),"")</f>
        <v/>
      </c>
      <c r="C752" s="14" t="str">
        <f>IF(ROW()&lt;=(Results!$C$1/2)+1,IF(B752&lt;=0,"",LN(B752)),"")</f>
        <v/>
      </c>
      <c r="D752" s="1" t="str">
        <f ca="1">IF(ROW()&lt;=(Results!$C$1/2)+1,INDEX(Data!$X:$X,CEILING((COUNTA(Data!$X:$X)-1)*RAND()+1,1)),"")</f>
        <v/>
      </c>
      <c r="E752" s="1" t="str">
        <f>IF(ROW()&lt;=(Results!$C$1/2)+1,VLOOKUP($D752,Data!$X$2:$Y$117,2,TRUE),"")</f>
        <v/>
      </c>
      <c r="F752" s="14" t="str">
        <f>IF(ROW()&lt;=(Results!$C$1/2)+1,IF(E752&lt;=0,"",LN(E752)),"")</f>
        <v/>
      </c>
    </row>
    <row r="753" spans="1:6" x14ac:dyDescent="0.25">
      <c r="A753" s="1" t="str">
        <f ca="1">IF(ROW()&lt;=(Results!$C$1/2)+1,INDEX(Data!$V:$V,CEILING((COUNTA(Data!$V:$V)-1)*RAND()+1,1)),"")</f>
        <v/>
      </c>
      <c r="B753" s="1" t="str">
        <f>IF(ROW()&lt;=(Results!$C$1/2)+1,VLOOKUP($A753,Data!$V$2:$W$117,2,TRUE),"")</f>
        <v/>
      </c>
      <c r="C753" s="14" t="str">
        <f>IF(ROW()&lt;=(Results!$C$1/2)+1,IF(B753&lt;=0,"",LN(B753)),"")</f>
        <v/>
      </c>
      <c r="D753" s="1" t="str">
        <f ca="1">IF(ROW()&lt;=(Results!$C$1/2)+1,INDEX(Data!$X:$X,CEILING((COUNTA(Data!$X:$X)-1)*RAND()+1,1)),"")</f>
        <v/>
      </c>
      <c r="E753" s="1" t="str">
        <f>IF(ROW()&lt;=(Results!$C$1/2)+1,VLOOKUP($D753,Data!$X$2:$Y$117,2,TRUE),"")</f>
        <v/>
      </c>
      <c r="F753" s="14" t="str">
        <f>IF(ROW()&lt;=(Results!$C$1/2)+1,IF(E753&lt;=0,"",LN(E753)),"")</f>
        <v/>
      </c>
    </row>
    <row r="754" spans="1:6" x14ac:dyDescent="0.25">
      <c r="A754" s="1" t="str">
        <f ca="1">IF(ROW()&lt;=(Results!$C$1/2)+1,INDEX(Data!$V:$V,CEILING((COUNTA(Data!$V:$V)-1)*RAND()+1,1)),"")</f>
        <v/>
      </c>
      <c r="B754" s="1" t="str">
        <f>IF(ROW()&lt;=(Results!$C$1/2)+1,VLOOKUP($A754,Data!$V$2:$W$117,2,TRUE),"")</f>
        <v/>
      </c>
      <c r="C754" s="14" t="str">
        <f>IF(ROW()&lt;=(Results!$C$1/2)+1,IF(B754&lt;=0,"",LN(B754)),"")</f>
        <v/>
      </c>
      <c r="D754" s="1" t="str">
        <f ca="1">IF(ROW()&lt;=(Results!$C$1/2)+1,INDEX(Data!$X:$X,CEILING((COUNTA(Data!$X:$X)-1)*RAND()+1,1)),"")</f>
        <v/>
      </c>
      <c r="E754" s="1" t="str">
        <f>IF(ROW()&lt;=(Results!$C$1/2)+1,VLOOKUP($D754,Data!$X$2:$Y$117,2,TRUE),"")</f>
        <v/>
      </c>
      <c r="F754" s="14" t="str">
        <f>IF(ROW()&lt;=(Results!$C$1/2)+1,IF(E754&lt;=0,"",LN(E754)),"")</f>
        <v/>
      </c>
    </row>
    <row r="755" spans="1:6" x14ac:dyDescent="0.25">
      <c r="A755" s="1" t="str">
        <f ca="1">IF(ROW()&lt;=(Results!$C$1/2)+1,INDEX(Data!$V:$V,CEILING((COUNTA(Data!$V:$V)-1)*RAND()+1,1)),"")</f>
        <v/>
      </c>
      <c r="B755" s="1" t="str">
        <f>IF(ROW()&lt;=(Results!$C$1/2)+1,VLOOKUP($A755,Data!$V$2:$W$117,2,TRUE),"")</f>
        <v/>
      </c>
      <c r="C755" s="14" t="str">
        <f>IF(ROW()&lt;=(Results!$C$1/2)+1,IF(B755&lt;=0,"",LN(B755)),"")</f>
        <v/>
      </c>
      <c r="D755" s="1" t="str">
        <f ca="1">IF(ROW()&lt;=(Results!$C$1/2)+1,INDEX(Data!$X:$X,CEILING((COUNTA(Data!$X:$X)-1)*RAND()+1,1)),"")</f>
        <v/>
      </c>
      <c r="E755" s="1" t="str">
        <f>IF(ROW()&lt;=(Results!$C$1/2)+1,VLOOKUP($D755,Data!$X$2:$Y$117,2,TRUE),"")</f>
        <v/>
      </c>
      <c r="F755" s="14" t="str">
        <f>IF(ROW()&lt;=(Results!$C$1/2)+1,IF(E755&lt;=0,"",LN(E755)),"")</f>
        <v/>
      </c>
    </row>
    <row r="756" spans="1:6" x14ac:dyDescent="0.25">
      <c r="A756" s="1" t="str">
        <f ca="1">IF(ROW()&lt;=(Results!$C$1/2)+1,INDEX(Data!$V:$V,CEILING((COUNTA(Data!$V:$V)-1)*RAND()+1,1)),"")</f>
        <v/>
      </c>
      <c r="B756" s="1" t="str">
        <f>IF(ROW()&lt;=(Results!$C$1/2)+1,VLOOKUP($A756,Data!$V$2:$W$117,2,TRUE),"")</f>
        <v/>
      </c>
      <c r="C756" s="14" t="str">
        <f>IF(ROW()&lt;=(Results!$C$1/2)+1,IF(B756&lt;=0,"",LN(B756)),"")</f>
        <v/>
      </c>
      <c r="D756" s="1" t="str">
        <f ca="1">IF(ROW()&lt;=(Results!$C$1/2)+1,INDEX(Data!$X:$X,CEILING((COUNTA(Data!$X:$X)-1)*RAND()+1,1)),"")</f>
        <v/>
      </c>
      <c r="E756" s="1" t="str">
        <f>IF(ROW()&lt;=(Results!$C$1/2)+1,VLOOKUP($D756,Data!$X$2:$Y$117,2,TRUE),"")</f>
        <v/>
      </c>
      <c r="F756" s="14" t="str">
        <f>IF(ROW()&lt;=(Results!$C$1/2)+1,IF(E756&lt;=0,"",LN(E756)),"")</f>
        <v/>
      </c>
    </row>
    <row r="757" spans="1:6" x14ac:dyDescent="0.25">
      <c r="A757" s="1" t="str">
        <f ca="1">IF(ROW()&lt;=(Results!$C$1/2)+1,INDEX(Data!$V:$V,CEILING((COUNTA(Data!$V:$V)-1)*RAND()+1,1)),"")</f>
        <v/>
      </c>
      <c r="B757" s="1" t="str">
        <f>IF(ROW()&lt;=(Results!$C$1/2)+1,VLOOKUP($A757,Data!$V$2:$W$117,2,TRUE),"")</f>
        <v/>
      </c>
      <c r="C757" s="14" t="str">
        <f>IF(ROW()&lt;=(Results!$C$1/2)+1,IF(B757&lt;=0,"",LN(B757)),"")</f>
        <v/>
      </c>
      <c r="D757" s="1" t="str">
        <f ca="1">IF(ROW()&lt;=(Results!$C$1/2)+1,INDEX(Data!$X:$X,CEILING((COUNTA(Data!$X:$X)-1)*RAND()+1,1)),"")</f>
        <v/>
      </c>
      <c r="E757" s="1" t="str">
        <f>IF(ROW()&lt;=(Results!$C$1/2)+1,VLOOKUP($D757,Data!$X$2:$Y$117,2,TRUE),"")</f>
        <v/>
      </c>
      <c r="F757" s="14" t="str">
        <f>IF(ROW()&lt;=(Results!$C$1/2)+1,IF(E757&lt;=0,"",LN(E757)),"")</f>
        <v/>
      </c>
    </row>
    <row r="758" spans="1:6" x14ac:dyDescent="0.25">
      <c r="A758" s="1" t="str">
        <f ca="1">IF(ROW()&lt;=(Results!$C$1/2)+1,INDEX(Data!$V:$V,CEILING((COUNTA(Data!$V:$V)-1)*RAND()+1,1)),"")</f>
        <v/>
      </c>
      <c r="B758" s="1" t="str">
        <f>IF(ROW()&lt;=(Results!$C$1/2)+1,VLOOKUP($A758,Data!$V$2:$W$117,2,TRUE),"")</f>
        <v/>
      </c>
      <c r="C758" s="14" t="str">
        <f>IF(ROW()&lt;=(Results!$C$1/2)+1,IF(B758&lt;=0,"",LN(B758)),"")</f>
        <v/>
      </c>
      <c r="D758" s="1" t="str">
        <f ca="1">IF(ROW()&lt;=(Results!$C$1/2)+1,INDEX(Data!$X:$X,CEILING((COUNTA(Data!$X:$X)-1)*RAND()+1,1)),"")</f>
        <v/>
      </c>
      <c r="E758" s="1" t="str">
        <f>IF(ROW()&lt;=(Results!$C$1/2)+1,VLOOKUP($D758,Data!$X$2:$Y$117,2,TRUE),"")</f>
        <v/>
      </c>
      <c r="F758" s="14" t="str">
        <f>IF(ROW()&lt;=(Results!$C$1/2)+1,IF(E758&lt;=0,"",LN(E758)),"")</f>
        <v/>
      </c>
    </row>
    <row r="759" spans="1:6" x14ac:dyDescent="0.25">
      <c r="A759" s="1" t="str">
        <f ca="1">IF(ROW()&lt;=(Results!$C$1/2)+1,INDEX(Data!$V:$V,CEILING((COUNTA(Data!$V:$V)-1)*RAND()+1,1)),"")</f>
        <v/>
      </c>
      <c r="B759" s="1" t="str">
        <f>IF(ROW()&lt;=(Results!$C$1/2)+1,VLOOKUP($A759,Data!$V$2:$W$117,2,TRUE),"")</f>
        <v/>
      </c>
      <c r="C759" s="14" t="str">
        <f>IF(ROW()&lt;=(Results!$C$1/2)+1,IF(B759&lt;=0,"",LN(B759)),"")</f>
        <v/>
      </c>
      <c r="D759" s="1" t="str">
        <f ca="1">IF(ROW()&lt;=(Results!$C$1/2)+1,INDEX(Data!$X:$X,CEILING((COUNTA(Data!$X:$X)-1)*RAND()+1,1)),"")</f>
        <v/>
      </c>
      <c r="E759" s="1" t="str">
        <f>IF(ROW()&lt;=(Results!$C$1/2)+1,VLOOKUP($D759,Data!$X$2:$Y$117,2,TRUE),"")</f>
        <v/>
      </c>
      <c r="F759" s="14" t="str">
        <f>IF(ROW()&lt;=(Results!$C$1/2)+1,IF(E759&lt;=0,"",LN(E759)),"")</f>
        <v/>
      </c>
    </row>
    <row r="760" spans="1:6" x14ac:dyDescent="0.25">
      <c r="A760" s="1" t="str">
        <f ca="1">IF(ROW()&lt;=(Results!$C$1/2)+1,INDEX(Data!$V:$V,CEILING((COUNTA(Data!$V:$V)-1)*RAND()+1,1)),"")</f>
        <v/>
      </c>
      <c r="B760" s="1" t="str">
        <f>IF(ROW()&lt;=(Results!$C$1/2)+1,VLOOKUP($A760,Data!$V$2:$W$117,2,TRUE),"")</f>
        <v/>
      </c>
      <c r="C760" s="14" t="str">
        <f>IF(ROW()&lt;=(Results!$C$1/2)+1,IF(B760&lt;=0,"",LN(B760)),"")</f>
        <v/>
      </c>
      <c r="D760" s="1" t="str">
        <f ca="1">IF(ROW()&lt;=(Results!$C$1/2)+1,INDEX(Data!$X:$X,CEILING((COUNTA(Data!$X:$X)-1)*RAND()+1,1)),"")</f>
        <v/>
      </c>
      <c r="E760" s="1" t="str">
        <f>IF(ROW()&lt;=(Results!$C$1/2)+1,VLOOKUP($D760,Data!$X$2:$Y$117,2,TRUE),"")</f>
        <v/>
      </c>
      <c r="F760" s="14" t="str">
        <f>IF(ROW()&lt;=(Results!$C$1/2)+1,IF(E760&lt;=0,"",LN(E760)),"")</f>
        <v/>
      </c>
    </row>
    <row r="761" spans="1:6" x14ac:dyDescent="0.25">
      <c r="A761" s="1" t="str">
        <f ca="1">IF(ROW()&lt;=(Results!$C$1/2)+1,INDEX(Data!$V:$V,CEILING((COUNTA(Data!$V:$V)-1)*RAND()+1,1)),"")</f>
        <v/>
      </c>
      <c r="B761" s="1" t="str">
        <f>IF(ROW()&lt;=(Results!$C$1/2)+1,VLOOKUP($A761,Data!$V$2:$W$117,2,TRUE),"")</f>
        <v/>
      </c>
      <c r="C761" s="14" t="str">
        <f>IF(ROW()&lt;=(Results!$C$1/2)+1,IF(B761&lt;=0,"",LN(B761)),"")</f>
        <v/>
      </c>
      <c r="D761" s="1" t="str">
        <f ca="1">IF(ROW()&lt;=(Results!$C$1/2)+1,INDEX(Data!$X:$X,CEILING((COUNTA(Data!$X:$X)-1)*RAND()+1,1)),"")</f>
        <v/>
      </c>
      <c r="E761" s="1" t="str">
        <f>IF(ROW()&lt;=(Results!$C$1/2)+1,VLOOKUP($D761,Data!$X$2:$Y$117,2,TRUE),"")</f>
        <v/>
      </c>
      <c r="F761" s="14" t="str">
        <f>IF(ROW()&lt;=(Results!$C$1/2)+1,IF(E761&lt;=0,"",LN(E761)),"")</f>
        <v/>
      </c>
    </row>
    <row r="762" spans="1:6" x14ac:dyDescent="0.25">
      <c r="A762" s="1" t="str">
        <f ca="1">IF(ROW()&lt;=(Results!$C$1/2)+1,INDEX(Data!$V:$V,CEILING((COUNTA(Data!$V:$V)-1)*RAND()+1,1)),"")</f>
        <v/>
      </c>
      <c r="B762" s="1" t="str">
        <f>IF(ROW()&lt;=(Results!$C$1/2)+1,VLOOKUP($A762,Data!$V$2:$W$117,2,TRUE),"")</f>
        <v/>
      </c>
      <c r="C762" s="14" t="str">
        <f>IF(ROW()&lt;=(Results!$C$1/2)+1,IF(B762&lt;=0,"",LN(B762)),"")</f>
        <v/>
      </c>
      <c r="D762" s="1" t="str">
        <f ca="1">IF(ROW()&lt;=(Results!$C$1/2)+1,INDEX(Data!$X:$X,CEILING((COUNTA(Data!$X:$X)-1)*RAND()+1,1)),"")</f>
        <v/>
      </c>
      <c r="E762" s="1" t="str">
        <f>IF(ROW()&lt;=(Results!$C$1/2)+1,VLOOKUP($D762,Data!$X$2:$Y$117,2,TRUE),"")</f>
        <v/>
      </c>
      <c r="F762" s="14" t="str">
        <f>IF(ROW()&lt;=(Results!$C$1/2)+1,IF(E762&lt;=0,"",LN(E762)),"")</f>
        <v/>
      </c>
    </row>
    <row r="763" spans="1:6" x14ac:dyDescent="0.25">
      <c r="A763" s="1" t="str">
        <f ca="1">IF(ROW()&lt;=(Results!$C$1/2)+1,INDEX(Data!$V:$V,CEILING((COUNTA(Data!$V:$V)-1)*RAND()+1,1)),"")</f>
        <v/>
      </c>
      <c r="B763" s="1" t="str">
        <f>IF(ROW()&lt;=(Results!$C$1/2)+1,VLOOKUP($A763,Data!$V$2:$W$117,2,TRUE),"")</f>
        <v/>
      </c>
      <c r="C763" s="14" t="str">
        <f>IF(ROW()&lt;=(Results!$C$1/2)+1,IF(B763&lt;=0,"",LN(B763)),"")</f>
        <v/>
      </c>
      <c r="D763" s="1" t="str">
        <f ca="1">IF(ROW()&lt;=(Results!$C$1/2)+1,INDEX(Data!$X:$X,CEILING((COUNTA(Data!$X:$X)-1)*RAND()+1,1)),"")</f>
        <v/>
      </c>
      <c r="E763" s="1" t="str">
        <f>IF(ROW()&lt;=(Results!$C$1/2)+1,VLOOKUP($D763,Data!$X$2:$Y$117,2,TRUE),"")</f>
        <v/>
      </c>
      <c r="F763" s="14" t="str">
        <f>IF(ROW()&lt;=(Results!$C$1/2)+1,IF(E763&lt;=0,"",LN(E763)),"")</f>
        <v/>
      </c>
    </row>
    <row r="764" spans="1:6" x14ac:dyDescent="0.25">
      <c r="A764" s="1" t="str">
        <f ca="1">IF(ROW()&lt;=(Results!$C$1/2)+1,INDEX(Data!$V:$V,CEILING((COUNTA(Data!$V:$V)-1)*RAND()+1,1)),"")</f>
        <v/>
      </c>
      <c r="B764" s="1" t="str">
        <f>IF(ROW()&lt;=(Results!$C$1/2)+1,VLOOKUP($A764,Data!$V$2:$W$117,2,TRUE),"")</f>
        <v/>
      </c>
      <c r="C764" s="14" t="str">
        <f>IF(ROW()&lt;=(Results!$C$1/2)+1,IF(B764&lt;=0,"",LN(B764)),"")</f>
        <v/>
      </c>
      <c r="D764" s="1" t="str">
        <f ca="1">IF(ROW()&lt;=(Results!$C$1/2)+1,INDEX(Data!$X:$X,CEILING((COUNTA(Data!$X:$X)-1)*RAND()+1,1)),"")</f>
        <v/>
      </c>
      <c r="E764" s="1" t="str">
        <f>IF(ROW()&lt;=(Results!$C$1/2)+1,VLOOKUP($D764,Data!$X$2:$Y$117,2,TRUE),"")</f>
        <v/>
      </c>
      <c r="F764" s="14" t="str">
        <f>IF(ROW()&lt;=(Results!$C$1/2)+1,IF(E764&lt;=0,"",LN(E764)),"")</f>
        <v/>
      </c>
    </row>
    <row r="765" spans="1:6" x14ac:dyDescent="0.25">
      <c r="A765" s="1" t="str">
        <f ca="1">IF(ROW()&lt;=(Results!$C$1/2)+1,INDEX(Data!$V:$V,CEILING((COUNTA(Data!$V:$V)-1)*RAND()+1,1)),"")</f>
        <v/>
      </c>
      <c r="B765" s="1" t="str">
        <f>IF(ROW()&lt;=(Results!$C$1/2)+1,VLOOKUP($A765,Data!$V$2:$W$117,2,TRUE),"")</f>
        <v/>
      </c>
      <c r="C765" s="14" t="str">
        <f>IF(ROW()&lt;=(Results!$C$1/2)+1,IF(B765&lt;=0,"",LN(B765)),"")</f>
        <v/>
      </c>
      <c r="D765" s="1" t="str">
        <f ca="1">IF(ROW()&lt;=(Results!$C$1/2)+1,INDEX(Data!$X:$X,CEILING((COUNTA(Data!$X:$X)-1)*RAND()+1,1)),"")</f>
        <v/>
      </c>
      <c r="E765" s="1" t="str">
        <f>IF(ROW()&lt;=(Results!$C$1/2)+1,VLOOKUP($D765,Data!$X$2:$Y$117,2,TRUE),"")</f>
        <v/>
      </c>
      <c r="F765" s="14" t="str">
        <f>IF(ROW()&lt;=(Results!$C$1/2)+1,IF(E765&lt;=0,"",LN(E765)),"")</f>
        <v/>
      </c>
    </row>
    <row r="766" spans="1:6" x14ac:dyDescent="0.25">
      <c r="A766" s="1" t="str">
        <f ca="1">IF(ROW()&lt;=(Results!$C$1/2)+1,INDEX(Data!$V:$V,CEILING((COUNTA(Data!$V:$V)-1)*RAND()+1,1)),"")</f>
        <v/>
      </c>
      <c r="B766" s="1" t="str">
        <f>IF(ROW()&lt;=(Results!$C$1/2)+1,VLOOKUP($A766,Data!$V$2:$W$117,2,TRUE),"")</f>
        <v/>
      </c>
      <c r="C766" s="14" t="str">
        <f>IF(ROW()&lt;=(Results!$C$1/2)+1,IF(B766&lt;=0,"",LN(B766)),"")</f>
        <v/>
      </c>
      <c r="D766" s="1" t="str">
        <f ca="1">IF(ROW()&lt;=(Results!$C$1/2)+1,INDEX(Data!$X:$X,CEILING((COUNTA(Data!$X:$X)-1)*RAND()+1,1)),"")</f>
        <v/>
      </c>
      <c r="E766" s="1" t="str">
        <f>IF(ROW()&lt;=(Results!$C$1/2)+1,VLOOKUP($D766,Data!$X$2:$Y$117,2,TRUE),"")</f>
        <v/>
      </c>
      <c r="F766" s="14" t="str">
        <f>IF(ROW()&lt;=(Results!$C$1/2)+1,IF(E766&lt;=0,"",LN(E766)),"")</f>
        <v/>
      </c>
    </row>
    <row r="767" spans="1:6" x14ac:dyDescent="0.25">
      <c r="A767" s="1" t="str">
        <f ca="1">IF(ROW()&lt;=(Results!$C$1/2)+1,INDEX(Data!$V:$V,CEILING((COUNTA(Data!$V:$V)-1)*RAND()+1,1)),"")</f>
        <v/>
      </c>
      <c r="B767" s="1" t="str">
        <f>IF(ROW()&lt;=(Results!$C$1/2)+1,VLOOKUP($A767,Data!$V$2:$W$117,2,TRUE),"")</f>
        <v/>
      </c>
      <c r="C767" s="14" t="str">
        <f>IF(ROW()&lt;=(Results!$C$1/2)+1,IF(B767&lt;=0,"",LN(B767)),"")</f>
        <v/>
      </c>
      <c r="D767" s="1" t="str">
        <f ca="1">IF(ROW()&lt;=(Results!$C$1/2)+1,INDEX(Data!$X:$X,CEILING((COUNTA(Data!$X:$X)-1)*RAND()+1,1)),"")</f>
        <v/>
      </c>
      <c r="E767" s="1" t="str">
        <f>IF(ROW()&lt;=(Results!$C$1/2)+1,VLOOKUP($D767,Data!$X$2:$Y$117,2,TRUE),"")</f>
        <v/>
      </c>
      <c r="F767" s="14" t="str">
        <f>IF(ROW()&lt;=(Results!$C$1/2)+1,IF(E767&lt;=0,"",LN(E767)),"")</f>
        <v/>
      </c>
    </row>
    <row r="768" spans="1:6" x14ac:dyDescent="0.25">
      <c r="A768" s="1" t="str">
        <f ca="1">IF(ROW()&lt;=(Results!$C$1/2)+1,INDEX(Data!$V:$V,CEILING((COUNTA(Data!$V:$V)-1)*RAND()+1,1)),"")</f>
        <v/>
      </c>
      <c r="B768" s="1" t="str">
        <f>IF(ROW()&lt;=(Results!$C$1/2)+1,VLOOKUP($A768,Data!$V$2:$W$117,2,TRUE),"")</f>
        <v/>
      </c>
      <c r="C768" s="14" t="str">
        <f>IF(ROW()&lt;=(Results!$C$1/2)+1,IF(B768&lt;=0,"",LN(B768)),"")</f>
        <v/>
      </c>
      <c r="D768" s="1" t="str">
        <f ca="1">IF(ROW()&lt;=(Results!$C$1/2)+1,INDEX(Data!$X:$X,CEILING((COUNTA(Data!$X:$X)-1)*RAND()+1,1)),"")</f>
        <v/>
      </c>
      <c r="E768" s="1" t="str">
        <f>IF(ROW()&lt;=(Results!$C$1/2)+1,VLOOKUP($D768,Data!$X$2:$Y$117,2,TRUE),"")</f>
        <v/>
      </c>
      <c r="F768" s="14" t="str">
        <f>IF(ROW()&lt;=(Results!$C$1/2)+1,IF(E768&lt;=0,"",LN(E768)),"")</f>
        <v/>
      </c>
    </row>
    <row r="769" spans="1:6" x14ac:dyDescent="0.25">
      <c r="A769" s="1" t="str">
        <f ca="1">IF(ROW()&lt;=(Results!$C$1/2)+1,INDEX(Data!$V:$V,CEILING((COUNTA(Data!$V:$V)-1)*RAND()+1,1)),"")</f>
        <v/>
      </c>
      <c r="B769" s="1" t="str">
        <f>IF(ROW()&lt;=(Results!$C$1/2)+1,VLOOKUP($A769,Data!$V$2:$W$117,2,TRUE),"")</f>
        <v/>
      </c>
      <c r="C769" s="14" t="str">
        <f>IF(ROW()&lt;=(Results!$C$1/2)+1,IF(B769&lt;=0,"",LN(B769)),"")</f>
        <v/>
      </c>
      <c r="D769" s="1" t="str">
        <f ca="1">IF(ROW()&lt;=(Results!$C$1/2)+1,INDEX(Data!$X:$X,CEILING((COUNTA(Data!$X:$X)-1)*RAND()+1,1)),"")</f>
        <v/>
      </c>
      <c r="E769" s="1" t="str">
        <f>IF(ROW()&lt;=(Results!$C$1/2)+1,VLOOKUP($D769,Data!$X$2:$Y$117,2,TRUE),"")</f>
        <v/>
      </c>
      <c r="F769" s="14" t="str">
        <f>IF(ROW()&lt;=(Results!$C$1/2)+1,IF(E769&lt;=0,"",LN(E769)),"")</f>
        <v/>
      </c>
    </row>
    <row r="770" spans="1:6" x14ac:dyDescent="0.25">
      <c r="A770" s="1" t="str">
        <f ca="1">IF(ROW()&lt;=(Results!$C$1/2)+1,INDEX(Data!$V:$V,CEILING((COUNTA(Data!$V:$V)-1)*RAND()+1,1)),"")</f>
        <v/>
      </c>
      <c r="B770" s="1" t="str">
        <f>IF(ROW()&lt;=(Results!$C$1/2)+1,VLOOKUP($A770,Data!$V$2:$W$117,2,TRUE),"")</f>
        <v/>
      </c>
      <c r="C770" s="14" t="str">
        <f>IF(ROW()&lt;=(Results!$C$1/2)+1,IF(B770&lt;=0,"",LN(B770)),"")</f>
        <v/>
      </c>
      <c r="D770" s="1" t="str">
        <f ca="1">IF(ROW()&lt;=(Results!$C$1/2)+1,INDEX(Data!$X:$X,CEILING((COUNTA(Data!$X:$X)-1)*RAND()+1,1)),"")</f>
        <v/>
      </c>
      <c r="E770" s="1" t="str">
        <f>IF(ROW()&lt;=(Results!$C$1/2)+1,VLOOKUP($D770,Data!$X$2:$Y$117,2,TRUE),"")</f>
        <v/>
      </c>
      <c r="F770" s="14" t="str">
        <f>IF(ROW()&lt;=(Results!$C$1/2)+1,IF(E770&lt;=0,"",LN(E770)),"")</f>
        <v/>
      </c>
    </row>
    <row r="771" spans="1:6" x14ac:dyDescent="0.25">
      <c r="A771" s="1" t="str">
        <f ca="1">IF(ROW()&lt;=(Results!$C$1/2)+1,INDEX(Data!$V:$V,CEILING((COUNTA(Data!$V:$V)-1)*RAND()+1,1)),"")</f>
        <v/>
      </c>
      <c r="B771" s="1" t="str">
        <f>IF(ROW()&lt;=(Results!$C$1/2)+1,VLOOKUP($A771,Data!$V$2:$W$117,2,TRUE),"")</f>
        <v/>
      </c>
      <c r="C771" s="14" t="str">
        <f>IF(ROW()&lt;=(Results!$C$1/2)+1,IF(B771&lt;=0,"",LN(B771)),"")</f>
        <v/>
      </c>
      <c r="D771" s="1" t="str">
        <f ca="1">IF(ROW()&lt;=(Results!$C$1/2)+1,INDEX(Data!$X:$X,CEILING((COUNTA(Data!$X:$X)-1)*RAND()+1,1)),"")</f>
        <v/>
      </c>
      <c r="E771" s="1" t="str">
        <f>IF(ROW()&lt;=(Results!$C$1/2)+1,VLOOKUP($D771,Data!$X$2:$Y$117,2,TRUE),"")</f>
        <v/>
      </c>
      <c r="F771" s="14" t="str">
        <f>IF(ROW()&lt;=(Results!$C$1/2)+1,IF(E771&lt;=0,"",LN(E771)),"")</f>
        <v/>
      </c>
    </row>
    <row r="772" spans="1:6" x14ac:dyDescent="0.25">
      <c r="A772" s="1" t="str">
        <f ca="1">IF(ROW()&lt;=(Results!$C$1/2)+1,INDEX(Data!$V:$V,CEILING((COUNTA(Data!$V:$V)-1)*RAND()+1,1)),"")</f>
        <v/>
      </c>
      <c r="B772" s="1" t="str">
        <f>IF(ROW()&lt;=(Results!$C$1/2)+1,VLOOKUP($A772,Data!$V$2:$W$117,2,TRUE),"")</f>
        <v/>
      </c>
      <c r="C772" s="14" t="str">
        <f>IF(ROW()&lt;=(Results!$C$1/2)+1,IF(B772&lt;=0,"",LN(B772)),"")</f>
        <v/>
      </c>
      <c r="D772" s="1" t="str">
        <f ca="1">IF(ROW()&lt;=(Results!$C$1/2)+1,INDEX(Data!$X:$X,CEILING((COUNTA(Data!$X:$X)-1)*RAND()+1,1)),"")</f>
        <v/>
      </c>
      <c r="E772" s="1" t="str">
        <f>IF(ROW()&lt;=(Results!$C$1/2)+1,VLOOKUP($D772,Data!$X$2:$Y$117,2,TRUE),"")</f>
        <v/>
      </c>
      <c r="F772" s="14" t="str">
        <f>IF(ROW()&lt;=(Results!$C$1/2)+1,IF(E772&lt;=0,"",LN(E772)),"")</f>
        <v/>
      </c>
    </row>
    <row r="773" spans="1:6" x14ac:dyDescent="0.25">
      <c r="A773" s="1" t="str">
        <f ca="1">IF(ROW()&lt;=(Results!$C$1/2)+1,INDEX(Data!$V:$V,CEILING((COUNTA(Data!$V:$V)-1)*RAND()+1,1)),"")</f>
        <v/>
      </c>
      <c r="B773" s="1" t="str">
        <f>IF(ROW()&lt;=(Results!$C$1/2)+1,VLOOKUP($A773,Data!$V$2:$W$117,2,TRUE),"")</f>
        <v/>
      </c>
      <c r="C773" s="14" t="str">
        <f>IF(ROW()&lt;=(Results!$C$1/2)+1,IF(B773&lt;=0,"",LN(B773)),"")</f>
        <v/>
      </c>
      <c r="D773" s="1" t="str">
        <f ca="1">IF(ROW()&lt;=(Results!$C$1/2)+1,INDEX(Data!$X:$X,CEILING((COUNTA(Data!$X:$X)-1)*RAND()+1,1)),"")</f>
        <v/>
      </c>
      <c r="E773" s="1" t="str">
        <f>IF(ROW()&lt;=(Results!$C$1/2)+1,VLOOKUP($D773,Data!$X$2:$Y$117,2,TRUE),"")</f>
        <v/>
      </c>
      <c r="F773" s="14" t="str">
        <f>IF(ROW()&lt;=(Results!$C$1/2)+1,IF(E773&lt;=0,"",LN(E773)),"")</f>
        <v/>
      </c>
    </row>
    <row r="774" spans="1:6" x14ac:dyDescent="0.25">
      <c r="A774" s="1" t="str">
        <f ca="1">IF(ROW()&lt;=(Results!$C$1/2)+1,INDEX(Data!$V:$V,CEILING((COUNTA(Data!$V:$V)-1)*RAND()+1,1)),"")</f>
        <v/>
      </c>
      <c r="B774" s="1" t="str">
        <f>IF(ROW()&lt;=(Results!$C$1/2)+1,VLOOKUP($A774,Data!$V$2:$W$117,2,TRUE),"")</f>
        <v/>
      </c>
      <c r="C774" s="14" t="str">
        <f>IF(ROW()&lt;=(Results!$C$1/2)+1,IF(B774&lt;=0,"",LN(B774)),"")</f>
        <v/>
      </c>
      <c r="D774" s="1" t="str">
        <f ca="1">IF(ROW()&lt;=(Results!$C$1/2)+1,INDEX(Data!$X:$X,CEILING((COUNTA(Data!$X:$X)-1)*RAND()+1,1)),"")</f>
        <v/>
      </c>
      <c r="E774" s="1" t="str">
        <f>IF(ROW()&lt;=(Results!$C$1/2)+1,VLOOKUP($D774,Data!$X$2:$Y$117,2,TRUE),"")</f>
        <v/>
      </c>
      <c r="F774" s="14" t="str">
        <f>IF(ROW()&lt;=(Results!$C$1/2)+1,IF(E774&lt;=0,"",LN(E774)),"")</f>
        <v/>
      </c>
    </row>
    <row r="775" spans="1:6" x14ac:dyDescent="0.25">
      <c r="A775" s="1" t="str">
        <f ca="1">IF(ROW()&lt;=(Results!$C$1/2)+1,INDEX(Data!$V:$V,CEILING((COUNTA(Data!$V:$V)-1)*RAND()+1,1)),"")</f>
        <v/>
      </c>
      <c r="B775" s="1" t="str">
        <f>IF(ROW()&lt;=(Results!$C$1/2)+1,VLOOKUP($A775,Data!$V$2:$W$117,2,TRUE),"")</f>
        <v/>
      </c>
      <c r="C775" s="14" t="str">
        <f>IF(ROW()&lt;=(Results!$C$1/2)+1,IF(B775&lt;=0,"",LN(B775)),"")</f>
        <v/>
      </c>
      <c r="D775" s="1" t="str">
        <f ca="1">IF(ROW()&lt;=(Results!$C$1/2)+1,INDEX(Data!$X:$X,CEILING((COUNTA(Data!$X:$X)-1)*RAND()+1,1)),"")</f>
        <v/>
      </c>
      <c r="E775" s="1" t="str">
        <f>IF(ROW()&lt;=(Results!$C$1/2)+1,VLOOKUP($D775,Data!$X$2:$Y$117,2,TRUE),"")</f>
        <v/>
      </c>
      <c r="F775" s="14" t="str">
        <f>IF(ROW()&lt;=(Results!$C$1/2)+1,IF(E775&lt;=0,"",LN(E775)),"")</f>
        <v/>
      </c>
    </row>
    <row r="776" spans="1:6" x14ac:dyDescent="0.25">
      <c r="A776" s="1" t="str">
        <f ca="1">IF(ROW()&lt;=(Results!$C$1/2)+1,INDEX(Data!$V:$V,CEILING((COUNTA(Data!$V:$V)-1)*RAND()+1,1)),"")</f>
        <v/>
      </c>
      <c r="B776" s="1" t="str">
        <f>IF(ROW()&lt;=(Results!$C$1/2)+1,VLOOKUP($A776,Data!$V$2:$W$117,2,TRUE),"")</f>
        <v/>
      </c>
      <c r="C776" s="14" t="str">
        <f>IF(ROW()&lt;=(Results!$C$1/2)+1,IF(B776&lt;=0,"",LN(B776)),"")</f>
        <v/>
      </c>
      <c r="D776" s="1" t="str">
        <f ca="1">IF(ROW()&lt;=(Results!$C$1/2)+1,INDEX(Data!$X:$X,CEILING((COUNTA(Data!$X:$X)-1)*RAND()+1,1)),"")</f>
        <v/>
      </c>
      <c r="E776" s="1" t="str">
        <f>IF(ROW()&lt;=(Results!$C$1/2)+1,VLOOKUP($D776,Data!$X$2:$Y$117,2,TRUE),"")</f>
        <v/>
      </c>
      <c r="F776" s="14" t="str">
        <f>IF(ROW()&lt;=(Results!$C$1/2)+1,IF(E776&lt;=0,"",LN(E776)),"")</f>
        <v/>
      </c>
    </row>
    <row r="777" spans="1:6" x14ac:dyDescent="0.25">
      <c r="A777" s="1" t="str">
        <f ca="1">IF(ROW()&lt;=(Results!$C$1/2)+1,INDEX(Data!$V:$V,CEILING((COUNTA(Data!$V:$V)-1)*RAND()+1,1)),"")</f>
        <v/>
      </c>
      <c r="B777" s="1" t="str">
        <f>IF(ROW()&lt;=(Results!$C$1/2)+1,VLOOKUP($A777,Data!$V$2:$W$117,2,TRUE),"")</f>
        <v/>
      </c>
      <c r="C777" s="14" t="str">
        <f>IF(ROW()&lt;=(Results!$C$1/2)+1,IF(B777&lt;=0,"",LN(B777)),"")</f>
        <v/>
      </c>
      <c r="D777" s="1" t="str">
        <f ca="1">IF(ROW()&lt;=(Results!$C$1/2)+1,INDEX(Data!$X:$X,CEILING((COUNTA(Data!$X:$X)-1)*RAND()+1,1)),"")</f>
        <v/>
      </c>
      <c r="E777" s="1" t="str">
        <f>IF(ROW()&lt;=(Results!$C$1/2)+1,VLOOKUP($D777,Data!$X$2:$Y$117,2,TRUE),"")</f>
        <v/>
      </c>
      <c r="F777" s="14" t="str">
        <f>IF(ROW()&lt;=(Results!$C$1/2)+1,IF(E777&lt;=0,"",LN(E777)),"")</f>
        <v/>
      </c>
    </row>
    <row r="778" spans="1:6" x14ac:dyDescent="0.25">
      <c r="A778" s="1" t="str">
        <f ca="1">IF(ROW()&lt;=(Results!$C$1/2)+1,INDEX(Data!$V:$V,CEILING((COUNTA(Data!$V:$V)-1)*RAND()+1,1)),"")</f>
        <v/>
      </c>
      <c r="B778" s="1" t="str">
        <f>IF(ROW()&lt;=(Results!$C$1/2)+1,VLOOKUP($A778,Data!$V$2:$W$117,2,TRUE),"")</f>
        <v/>
      </c>
      <c r="C778" s="14" t="str">
        <f>IF(ROW()&lt;=(Results!$C$1/2)+1,IF(B778&lt;=0,"",LN(B778)),"")</f>
        <v/>
      </c>
      <c r="D778" s="1" t="str">
        <f ca="1">IF(ROW()&lt;=(Results!$C$1/2)+1,INDEX(Data!$X:$X,CEILING((COUNTA(Data!$X:$X)-1)*RAND()+1,1)),"")</f>
        <v/>
      </c>
      <c r="E778" s="1" t="str">
        <f>IF(ROW()&lt;=(Results!$C$1/2)+1,VLOOKUP($D778,Data!$X$2:$Y$117,2,TRUE),"")</f>
        <v/>
      </c>
      <c r="F778" s="14" t="str">
        <f>IF(ROW()&lt;=(Results!$C$1/2)+1,IF(E778&lt;=0,"",LN(E778)),"")</f>
        <v/>
      </c>
    </row>
    <row r="779" spans="1:6" x14ac:dyDescent="0.25">
      <c r="A779" s="1" t="str">
        <f ca="1">IF(ROW()&lt;=(Results!$C$1/2)+1,INDEX(Data!$V:$V,CEILING((COUNTA(Data!$V:$V)-1)*RAND()+1,1)),"")</f>
        <v/>
      </c>
      <c r="B779" s="1" t="str">
        <f>IF(ROW()&lt;=(Results!$C$1/2)+1,VLOOKUP($A779,Data!$V$2:$W$117,2,TRUE),"")</f>
        <v/>
      </c>
      <c r="C779" s="14" t="str">
        <f>IF(ROW()&lt;=(Results!$C$1/2)+1,IF(B779&lt;=0,"",LN(B779)),"")</f>
        <v/>
      </c>
      <c r="D779" s="1" t="str">
        <f ca="1">IF(ROW()&lt;=(Results!$C$1/2)+1,INDEX(Data!$X:$X,CEILING((COUNTA(Data!$X:$X)-1)*RAND()+1,1)),"")</f>
        <v/>
      </c>
      <c r="E779" s="1" t="str">
        <f>IF(ROW()&lt;=(Results!$C$1/2)+1,VLOOKUP($D779,Data!$X$2:$Y$117,2,TRUE),"")</f>
        <v/>
      </c>
      <c r="F779" s="14" t="str">
        <f>IF(ROW()&lt;=(Results!$C$1/2)+1,IF(E779&lt;=0,"",LN(E779)),"")</f>
        <v/>
      </c>
    </row>
    <row r="780" spans="1:6" x14ac:dyDescent="0.25">
      <c r="A780" s="1" t="str">
        <f ca="1">IF(ROW()&lt;=(Results!$C$1/2)+1,INDEX(Data!$V:$V,CEILING((COUNTA(Data!$V:$V)-1)*RAND()+1,1)),"")</f>
        <v/>
      </c>
      <c r="B780" s="1" t="str">
        <f>IF(ROW()&lt;=(Results!$C$1/2)+1,VLOOKUP($A780,Data!$V$2:$W$117,2,TRUE),"")</f>
        <v/>
      </c>
      <c r="C780" s="14" t="str">
        <f>IF(ROW()&lt;=(Results!$C$1/2)+1,IF(B780&lt;=0,"",LN(B780)),"")</f>
        <v/>
      </c>
      <c r="D780" s="1" t="str">
        <f ca="1">IF(ROW()&lt;=(Results!$C$1/2)+1,INDEX(Data!$X:$X,CEILING((COUNTA(Data!$X:$X)-1)*RAND()+1,1)),"")</f>
        <v/>
      </c>
      <c r="E780" s="1" t="str">
        <f>IF(ROW()&lt;=(Results!$C$1/2)+1,VLOOKUP($D780,Data!$X$2:$Y$117,2,TRUE),"")</f>
        <v/>
      </c>
      <c r="F780" s="14" t="str">
        <f>IF(ROW()&lt;=(Results!$C$1/2)+1,IF(E780&lt;=0,"",LN(E780)),"")</f>
        <v/>
      </c>
    </row>
    <row r="781" spans="1:6" x14ac:dyDescent="0.25">
      <c r="A781" s="1" t="str">
        <f ca="1">IF(ROW()&lt;=(Results!$C$1/2)+1,INDEX(Data!$V:$V,CEILING((COUNTA(Data!$V:$V)-1)*RAND()+1,1)),"")</f>
        <v/>
      </c>
      <c r="B781" s="1" t="str">
        <f>IF(ROW()&lt;=(Results!$C$1/2)+1,VLOOKUP($A781,Data!$V$2:$W$117,2,TRUE),"")</f>
        <v/>
      </c>
      <c r="C781" s="14" t="str">
        <f>IF(ROW()&lt;=(Results!$C$1/2)+1,IF(B781&lt;=0,"",LN(B781)),"")</f>
        <v/>
      </c>
      <c r="D781" s="1" t="str">
        <f ca="1">IF(ROW()&lt;=(Results!$C$1/2)+1,INDEX(Data!$X:$X,CEILING((COUNTA(Data!$X:$X)-1)*RAND()+1,1)),"")</f>
        <v/>
      </c>
      <c r="E781" s="1" t="str">
        <f>IF(ROW()&lt;=(Results!$C$1/2)+1,VLOOKUP($D781,Data!$X$2:$Y$117,2,TRUE),"")</f>
        <v/>
      </c>
      <c r="F781" s="14" t="str">
        <f>IF(ROW()&lt;=(Results!$C$1/2)+1,IF(E781&lt;=0,"",LN(E781)),"")</f>
        <v/>
      </c>
    </row>
    <row r="782" spans="1:6" x14ac:dyDescent="0.25">
      <c r="A782" s="1" t="str">
        <f ca="1">IF(ROW()&lt;=(Results!$C$1/2)+1,INDEX(Data!$V:$V,CEILING((COUNTA(Data!$V:$V)-1)*RAND()+1,1)),"")</f>
        <v/>
      </c>
      <c r="B782" s="1" t="str">
        <f>IF(ROW()&lt;=(Results!$C$1/2)+1,VLOOKUP($A782,Data!$V$2:$W$117,2,TRUE),"")</f>
        <v/>
      </c>
      <c r="C782" s="14" t="str">
        <f>IF(ROW()&lt;=(Results!$C$1/2)+1,IF(B782&lt;=0,"",LN(B782)),"")</f>
        <v/>
      </c>
      <c r="D782" s="1" t="str">
        <f ca="1">IF(ROW()&lt;=(Results!$C$1/2)+1,INDEX(Data!$X:$X,CEILING((COUNTA(Data!$X:$X)-1)*RAND()+1,1)),"")</f>
        <v/>
      </c>
      <c r="E782" s="1" t="str">
        <f>IF(ROW()&lt;=(Results!$C$1/2)+1,VLOOKUP($D782,Data!$X$2:$Y$117,2,TRUE),"")</f>
        <v/>
      </c>
      <c r="F782" s="14" t="str">
        <f>IF(ROW()&lt;=(Results!$C$1/2)+1,IF(E782&lt;=0,"",LN(E782)),"")</f>
        <v/>
      </c>
    </row>
    <row r="783" spans="1:6" x14ac:dyDescent="0.25">
      <c r="A783" s="1" t="str">
        <f ca="1">IF(ROW()&lt;=(Results!$C$1/2)+1,INDEX(Data!$V:$V,CEILING((COUNTA(Data!$V:$V)-1)*RAND()+1,1)),"")</f>
        <v/>
      </c>
      <c r="B783" s="1" t="str">
        <f>IF(ROW()&lt;=(Results!$C$1/2)+1,VLOOKUP($A783,Data!$V$2:$W$117,2,TRUE),"")</f>
        <v/>
      </c>
      <c r="C783" s="14" t="str">
        <f>IF(ROW()&lt;=(Results!$C$1/2)+1,IF(B783&lt;=0,"",LN(B783)),"")</f>
        <v/>
      </c>
      <c r="D783" s="1" t="str">
        <f ca="1">IF(ROW()&lt;=(Results!$C$1/2)+1,INDEX(Data!$X:$X,CEILING((COUNTA(Data!$X:$X)-1)*RAND()+1,1)),"")</f>
        <v/>
      </c>
      <c r="E783" s="1" t="str">
        <f>IF(ROW()&lt;=(Results!$C$1/2)+1,VLOOKUP($D783,Data!$X$2:$Y$117,2,TRUE),"")</f>
        <v/>
      </c>
      <c r="F783" s="14" t="str">
        <f>IF(ROW()&lt;=(Results!$C$1/2)+1,IF(E783&lt;=0,"",LN(E783)),"")</f>
        <v/>
      </c>
    </row>
    <row r="784" spans="1:6" x14ac:dyDescent="0.25">
      <c r="A784" s="1" t="str">
        <f ca="1">IF(ROW()&lt;=(Results!$C$1/2)+1,INDEX(Data!$V:$V,CEILING((COUNTA(Data!$V:$V)-1)*RAND()+1,1)),"")</f>
        <v/>
      </c>
      <c r="B784" s="1" t="str">
        <f>IF(ROW()&lt;=(Results!$C$1/2)+1,VLOOKUP($A784,Data!$V$2:$W$117,2,TRUE),"")</f>
        <v/>
      </c>
      <c r="C784" s="14" t="str">
        <f>IF(ROW()&lt;=(Results!$C$1/2)+1,IF(B784&lt;=0,"",LN(B784)),"")</f>
        <v/>
      </c>
      <c r="D784" s="1" t="str">
        <f ca="1">IF(ROW()&lt;=(Results!$C$1/2)+1,INDEX(Data!$X:$X,CEILING((COUNTA(Data!$X:$X)-1)*RAND()+1,1)),"")</f>
        <v/>
      </c>
      <c r="E784" s="1" t="str">
        <f>IF(ROW()&lt;=(Results!$C$1/2)+1,VLOOKUP($D784,Data!$X$2:$Y$117,2,TRUE),"")</f>
        <v/>
      </c>
      <c r="F784" s="14" t="str">
        <f>IF(ROW()&lt;=(Results!$C$1/2)+1,IF(E784&lt;=0,"",LN(E784)),"")</f>
        <v/>
      </c>
    </row>
    <row r="785" spans="1:6" x14ac:dyDescent="0.25">
      <c r="A785" s="1" t="str">
        <f ca="1">IF(ROW()&lt;=(Results!$C$1/2)+1,INDEX(Data!$V:$V,CEILING((COUNTA(Data!$V:$V)-1)*RAND()+1,1)),"")</f>
        <v/>
      </c>
      <c r="B785" s="1" t="str">
        <f>IF(ROW()&lt;=(Results!$C$1/2)+1,VLOOKUP($A785,Data!$V$2:$W$117,2,TRUE),"")</f>
        <v/>
      </c>
      <c r="C785" s="14" t="str">
        <f>IF(ROW()&lt;=(Results!$C$1/2)+1,IF(B785&lt;=0,"",LN(B785)),"")</f>
        <v/>
      </c>
      <c r="D785" s="1" t="str">
        <f ca="1">IF(ROW()&lt;=(Results!$C$1/2)+1,INDEX(Data!$X:$X,CEILING((COUNTA(Data!$X:$X)-1)*RAND()+1,1)),"")</f>
        <v/>
      </c>
      <c r="E785" s="1" t="str">
        <f>IF(ROW()&lt;=(Results!$C$1/2)+1,VLOOKUP($D785,Data!$X$2:$Y$117,2,TRUE),"")</f>
        <v/>
      </c>
      <c r="F785" s="14" t="str">
        <f>IF(ROW()&lt;=(Results!$C$1/2)+1,IF(E785&lt;=0,"",LN(E785)),"")</f>
        <v/>
      </c>
    </row>
    <row r="786" spans="1:6" x14ac:dyDescent="0.25">
      <c r="A786" s="1" t="str">
        <f ca="1">IF(ROW()&lt;=(Results!$C$1/2)+1,INDEX(Data!$V:$V,CEILING((COUNTA(Data!$V:$V)-1)*RAND()+1,1)),"")</f>
        <v/>
      </c>
      <c r="B786" s="1" t="str">
        <f>IF(ROW()&lt;=(Results!$C$1/2)+1,VLOOKUP($A786,Data!$V$2:$W$117,2,TRUE),"")</f>
        <v/>
      </c>
      <c r="C786" s="14" t="str">
        <f>IF(ROW()&lt;=(Results!$C$1/2)+1,IF(B786&lt;=0,"",LN(B786)),"")</f>
        <v/>
      </c>
      <c r="D786" s="1" t="str">
        <f ca="1">IF(ROW()&lt;=(Results!$C$1/2)+1,INDEX(Data!$X:$X,CEILING((COUNTA(Data!$X:$X)-1)*RAND()+1,1)),"")</f>
        <v/>
      </c>
      <c r="E786" s="1" t="str">
        <f>IF(ROW()&lt;=(Results!$C$1/2)+1,VLOOKUP($D786,Data!$X$2:$Y$117,2,TRUE),"")</f>
        <v/>
      </c>
      <c r="F786" s="14" t="str">
        <f>IF(ROW()&lt;=(Results!$C$1/2)+1,IF(E786&lt;=0,"",LN(E786)),"")</f>
        <v/>
      </c>
    </row>
    <row r="787" spans="1:6" x14ac:dyDescent="0.25">
      <c r="A787" s="1" t="str">
        <f ca="1">IF(ROW()&lt;=(Results!$C$1/2)+1,INDEX(Data!$V:$V,CEILING((COUNTA(Data!$V:$V)-1)*RAND()+1,1)),"")</f>
        <v/>
      </c>
      <c r="B787" s="1" t="str">
        <f>IF(ROW()&lt;=(Results!$C$1/2)+1,VLOOKUP($A787,Data!$V$2:$W$117,2,TRUE),"")</f>
        <v/>
      </c>
      <c r="C787" s="14" t="str">
        <f>IF(ROW()&lt;=(Results!$C$1/2)+1,IF(B787&lt;=0,"",LN(B787)),"")</f>
        <v/>
      </c>
      <c r="D787" s="1" t="str">
        <f ca="1">IF(ROW()&lt;=(Results!$C$1/2)+1,INDEX(Data!$X:$X,CEILING((COUNTA(Data!$X:$X)-1)*RAND()+1,1)),"")</f>
        <v/>
      </c>
      <c r="E787" s="1" t="str">
        <f>IF(ROW()&lt;=(Results!$C$1/2)+1,VLOOKUP($D787,Data!$X$2:$Y$117,2,TRUE),"")</f>
        <v/>
      </c>
      <c r="F787" s="14" t="str">
        <f>IF(ROW()&lt;=(Results!$C$1/2)+1,IF(E787&lt;=0,"",LN(E787)),"")</f>
        <v/>
      </c>
    </row>
    <row r="788" spans="1:6" x14ac:dyDescent="0.25">
      <c r="A788" s="1" t="str">
        <f ca="1">IF(ROW()&lt;=(Results!$C$1/2)+1,INDEX(Data!$V:$V,CEILING((COUNTA(Data!$V:$V)-1)*RAND()+1,1)),"")</f>
        <v/>
      </c>
      <c r="B788" s="1" t="str">
        <f>IF(ROW()&lt;=(Results!$C$1/2)+1,VLOOKUP($A788,Data!$V$2:$W$117,2,TRUE),"")</f>
        <v/>
      </c>
      <c r="C788" s="14" t="str">
        <f>IF(ROW()&lt;=(Results!$C$1/2)+1,IF(B788&lt;=0,"",LN(B788)),"")</f>
        <v/>
      </c>
      <c r="D788" s="1" t="str">
        <f ca="1">IF(ROW()&lt;=(Results!$C$1/2)+1,INDEX(Data!$X:$X,CEILING((COUNTA(Data!$X:$X)-1)*RAND()+1,1)),"")</f>
        <v/>
      </c>
      <c r="E788" s="1" t="str">
        <f>IF(ROW()&lt;=(Results!$C$1/2)+1,VLOOKUP($D788,Data!$X$2:$Y$117,2,TRUE),"")</f>
        <v/>
      </c>
      <c r="F788" s="14" t="str">
        <f>IF(ROW()&lt;=(Results!$C$1/2)+1,IF(E788&lt;=0,"",LN(E788)),"")</f>
        <v/>
      </c>
    </row>
    <row r="789" spans="1:6" x14ac:dyDescent="0.25">
      <c r="A789" s="1" t="str">
        <f ca="1">IF(ROW()&lt;=(Results!$C$1/2)+1,INDEX(Data!$V:$V,CEILING((COUNTA(Data!$V:$V)-1)*RAND()+1,1)),"")</f>
        <v/>
      </c>
      <c r="B789" s="1" t="str">
        <f>IF(ROW()&lt;=(Results!$C$1/2)+1,VLOOKUP($A789,Data!$V$2:$W$117,2,TRUE),"")</f>
        <v/>
      </c>
      <c r="C789" s="14" t="str">
        <f>IF(ROW()&lt;=(Results!$C$1/2)+1,IF(B789&lt;=0,"",LN(B789)),"")</f>
        <v/>
      </c>
      <c r="D789" s="1" t="str">
        <f ca="1">IF(ROW()&lt;=(Results!$C$1/2)+1,INDEX(Data!$X:$X,CEILING((COUNTA(Data!$X:$X)-1)*RAND()+1,1)),"")</f>
        <v/>
      </c>
      <c r="E789" s="1" t="str">
        <f>IF(ROW()&lt;=(Results!$C$1/2)+1,VLOOKUP($D789,Data!$X$2:$Y$117,2,TRUE),"")</f>
        <v/>
      </c>
      <c r="F789" s="14" t="str">
        <f>IF(ROW()&lt;=(Results!$C$1/2)+1,IF(E789&lt;=0,"",LN(E789)),"")</f>
        <v/>
      </c>
    </row>
    <row r="790" spans="1:6" x14ac:dyDescent="0.25">
      <c r="A790" s="1" t="str">
        <f ca="1">IF(ROW()&lt;=(Results!$C$1/2)+1,INDEX(Data!$V:$V,CEILING((COUNTA(Data!$V:$V)-1)*RAND()+1,1)),"")</f>
        <v/>
      </c>
      <c r="B790" s="1" t="str">
        <f>IF(ROW()&lt;=(Results!$C$1/2)+1,VLOOKUP($A790,Data!$V$2:$W$117,2,TRUE),"")</f>
        <v/>
      </c>
      <c r="C790" s="14" t="str">
        <f>IF(ROW()&lt;=(Results!$C$1/2)+1,IF(B790&lt;=0,"",LN(B790)),"")</f>
        <v/>
      </c>
      <c r="D790" s="1" t="str">
        <f ca="1">IF(ROW()&lt;=(Results!$C$1/2)+1,INDEX(Data!$X:$X,CEILING((COUNTA(Data!$X:$X)-1)*RAND()+1,1)),"")</f>
        <v/>
      </c>
      <c r="E790" s="1" t="str">
        <f>IF(ROW()&lt;=(Results!$C$1/2)+1,VLOOKUP($D790,Data!$X$2:$Y$117,2,TRUE),"")</f>
        <v/>
      </c>
      <c r="F790" s="14" t="str">
        <f>IF(ROW()&lt;=(Results!$C$1/2)+1,IF(E790&lt;=0,"",LN(E790)),"")</f>
        <v/>
      </c>
    </row>
    <row r="791" spans="1:6" x14ac:dyDescent="0.25">
      <c r="A791" s="1" t="str">
        <f ca="1">IF(ROW()&lt;=(Results!$C$1/2)+1,INDEX(Data!$V:$V,CEILING((COUNTA(Data!$V:$V)-1)*RAND()+1,1)),"")</f>
        <v/>
      </c>
      <c r="B791" s="1" t="str">
        <f>IF(ROW()&lt;=(Results!$C$1/2)+1,VLOOKUP($A791,Data!$V$2:$W$117,2,TRUE),"")</f>
        <v/>
      </c>
      <c r="C791" s="14" t="str">
        <f>IF(ROW()&lt;=(Results!$C$1/2)+1,IF(B791&lt;=0,"",LN(B791)),"")</f>
        <v/>
      </c>
      <c r="D791" s="1" t="str">
        <f ca="1">IF(ROW()&lt;=(Results!$C$1/2)+1,INDEX(Data!$X:$X,CEILING((COUNTA(Data!$X:$X)-1)*RAND()+1,1)),"")</f>
        <v/>
      </c>
      <c r="E791" s="1" t="str">
        <f>IF(ROW()&lt;=(Results!$C$1/2)+1,VLOOKUP($D791,Data!$X$2:$Y$117,2,TRUE),"")</f>
        <v/>
      </c>
      <c r="F791" s="14" t="str">
        <f>IF(ROW()&lt;=(Results!$C$1/2)+1,IF(E791&lt;=0,"",LN(E791)),"")</f>
        <v/>
      </c>
    </row>
    <row r="792" spans="1:6" x14ac:dyDescent="0.25">
      <c r="A792" s="1" t="str">
        <f ca="1">IF(ROW()&lt;=(Results!$C$1/2)+1,INDEX(Data!$V:$V,CEILING((COUNTA(Data!$V:$V)-1)*RAND()+1,1)),"")</f>
        <v/>
      </c>
      <c r="B792" s="1" t="str">
        <f>IF(ROW()&lt;=(Results!$C$1/2)+1,VLOOKUP($A792,Data!$V$2:$W$117,2,TRUE),"")</f>
        <v/>
      </c>
      <c r="C792" s="14" t="str">
        <f>IF(ROW()&lt;=(Results!$C$1/2)+1,IF(B792&lt;=0,"",LN(B792)),"")</f>
        <v/>
      </c>
      <c r="D792" s="1" t="str">
        <f ca="1">IF(ROW()&lt;=(Results!$C$1/2)+1,INDEX(Data!$X:$X,CEILING((COUNTA(Data!$X:$X)-1)*RAND()+1,1)),"")</f>
        <v/>
      </c>
      <c r="E792" s="1" t="str">
        <f>IF(ROW()&lt;=(Results!$C$1/2)+1,VLOOKUP($D792,Data!$X$2:$Y$117,2,TRUE),"")</f>
        <v/>
      </c>
      <c r="F792" s="14" t="str">
        <f>IF(ROW()&lt;=(Results!$C$1/2)+1,IF(E792&lt;=0,"",LN(E792)),"")</f>
        <v/>
      </c>
    </row>
    <row r="793" spans="1:6" x14ac:dyDescent="0.25">
      <c r="A793" s="1" t="str">
        <f ca="1">IF(ROW()&lt;=(Results!$C$1/2)+1,INDEX(Data!$V:$V,CEILING((COUNTA(Data!$V:$V)-1)*RAND()+1,1)),"")</f>
        <v/>
      </c>
      <c r="B793" s="1" t="str">
        <f>IF(ROW()&lt;=(Results!$C$1/2)+1,VLOOKUP($A793,Data!$V$2:$W$117,2,TRUE),"")</f>
        <v/>
      </c>
      <c r="C793" s="14" t="str">
        <f>IF(ROW()&lt;=(Results!$C$1/2)+1,IF(B793&lt;=0,"",LN(B793)),"")</f>
        <v/>
      </c>
      <c r="D793" s="1" t="str">
        <f ca="1">IF(ROW()&lt;=(Results!$C$1/2)+1,INDEX(Data!$X:$X,CEILING((COUNTA(Data!$X:$X)-1)*RAND()+1,1)),"")</f>
        <v/>
      </c>
      <c r="E793" s="1" t="str">
        <f>IF(ROW()&lt;=(Results!$C$1/2)+1,VLOOKUP($D793,Data!$X$2:$Y$117,2,TRUE),"")</f>
        <v/>
      </c>
      <c r="F793" s="14" t="str">
        <f>IF(ROW()&lt;=(Results!$C$1/2)+1,IF(E793&lt;=0,"",LN(E793)),"")</f>
        <v/>
      </c>
    </row>
    <row r="794" spans="1:6" x14ac:dyDescent="0.25">
      <c r="A794" s="1" t="str">
        <f ca="1">IF(ROW()&lt;=(Results!$C$1/2)+1,INDEX(Data!$V:$V,CEILING((COUNTA(Data!$V:$V)-1)*RAND()+1,1)),"")</f>
        <v/>
      </c>
      <c r="B794" s="1" t="str">
        <f>IF(ROW()&lt;=(Results!$C$1/2)+1,VLOOKUP($A794,Data!$V$2:$W$117,2,TRUE),"")</f>
        <v/>
      </c>
      <c r="C794" s="14" t="str">
        <f>IF(ROW()&lt;=(Results!$C$1/2)+1,IF(B794&lt;=0,"",LN(B794)),"")</f>
        <v/>
      </c>
      <c r="D794" s="1" t="str">
        <f ca="1">IF(ROW()&lt;=(Results!$C$1/2)+1,INDEX(Data!$X:$X,CEILING((COUNTA(Data!$X:$X)-1)*RAND()+1,1)),"")</f>
        <v/>
      </c>
      <c r="E794" s="1" t="str">
        <f>IF(ROW()&lt;=(Results!$C$1/2)+1,VLOOKUP($D794,Data!$X$2:$Y$117,2,TRUE),"")</f>
        <v/>
      </c>
      <c r="F794" s="14" t="str">
        <f>IF(ROW()&lt;=(Results!$C$1/2)+1,IF(E794&lt;=0,"",LN(E794)),"")</f>
        <v/>
      </c>
    </row>
    <row r="795" spans="1:6" x14ac:dyDescent="0.25">
      <c r="A795" s="1" t="str">
        <f ca="1">IF(ROW()&lt;=(Results!$C$1/2)+1,INDEX(Data!$V:$V,CEILING((COUNTA(Data!$V:$V)-1)*RAND()+1,1)),"")</f>
        <v/>
      </c>
      <c r="B795" s="1" t="str">
        <f>IF(ROW()&lt;=(Results!$C$1/2)+1,VLOOKUP($A795,Data!$V$2:$W$117,2,TRUE),"")</f>
        <v/>
      </c>
      <c r="C795" s="14" t="str">
        <f>IF(ROW()&lt;=(Results!$C$1/2)+1,IF(B795&lt;=0,"",LN(B795)),"")</f>
        <v/>
      </c>
      <c r="D795" s="1" t="str">
        <f ca="1">IF(ROW()&lt;=(Results!$C$1/2)+1,INDEX(Data!$X:$X,CEILING((COUNTA(Data!$X:$X)-1)*RAND()+1,1)),"")</f>
        <v/>
      </c>
      <c r="E795" s="1" t="str">
        <f>IF(ROW()&lt;=(Results!$C$1/2)+1,VLOOKUP($D795,Data!$X$2:$Y$117,2,TRUE),"")</f>
        <v/>
      </c>
      <c r="F795" s="14" t="str">
        <f>IF(ROW()&lt;=(Results!$C$1/2)+1,IF(E795&lt;=0,"",LN(E795)),"")</f>
        <v/>
      </c>
    </row>
    <row r="796" spans="1:6" x14ac:dyDescent="0.25">
      <c r="A796" s="1" t="str">
        <f ca="1">IF(ROW()&lt;=(Results!$C$1/2)+1,INDEX(Data!$V:$V,CEILING((COUNTA(Data!$V:$V)-1)*RAND()+1,1)),"")</f>
        <v/>
      </c>
      <c r="B796" s="1" t="str">
        <f>IF(ROW()&lt;=(Results!$C$1/2)+1,VLOOKUP($A796,Data!$V$2:$W$117,2,TRUE),"")</f>
        <v/>
      </c>
      <c r="C796" s="14" t="str">
        <f>IF(ROW()&lt;=(Results!$C$1/2)+1,IF(B796&lt;=0,"",LN(B796)),"")</f>
        <v/>
      </c>
      <c r="D796" s="1" t="str">
        <f ca="1">IF(ROW()&lt;=(Results!$C$1/2)+1,INDEX(Data!$X:$X,CEILING((COUNTA(Data!$X:$X)-1)*RAND()+1,1)),"")</f>
        <v/>
      </c>
      <c r="E796" s="1" t="str">
        <f>IF(ROW()&lt;=(Results!$C$1/2)+1,VLOOKUP($D796,Data!$X$2:$Y$117,2,TRUE),"")</f>
        <v/>
      </c>
      <c r="F796" s="14" t="str">
        <f>IF(ROW()&lt;=(Results!$C$1/2)+1,IF(E796&lt;=0,"",LN(E796)),"")</f>
        <v/>
      </c>
    </row>
    <row r="797" spans="1:6" x14ac:dyDescent="0.25">
      <c r="A797" s="1" t="str">
        <f ca="1">IF(ROW()&lt;=(Results!$C$1/2)+1,INDEX(Data!$V:$V,CEILING((COUNTA(Data!$V:$V)-1)*RAND()+1,1)),"")</f>
        <v/>
      </c>
      <c r="B797" s="1" t="str">
        <f>IF(ROW()&lt;=(Results!$C$1/2)+1,VLOOKUP($A797,Data!$V$2:$W$117,2,TRUE),"")</f>
        <v/>
      </c>
      <c r="C797" s="14" t="str">
        <f>IF(ROW()&lt;=(Results!$C$1/2)+1,IF(B797&lt;=0,"",LN(B797)),"")</f>
        <v/>
      </c>
      <c r="D797" s="1" t="str">
        <f ca="1">IF(ROW()&lt;=(Results!$C$1/2)+1,INDEX(Data!$X:$X,CEILING((COUNTA(Data!$X:$X)-1)*RAND()+1,1)),"")</f>
        <v/>
      </c>
      <c r="E797" s="1" t="str">
        <f>IF(ROW()&lt;=(Results!$C$1/2)+1,VLOOKUP($D797,Data!$X$2:$Y$117,2,TRUE),"")</f>
        <v/>
      </c>
      <c r="F797" s="14" t="str">
        <f>IF(ROW()&lt;=(Results!$C$1/2)+1,IF(E797&lt;=0,"",LN(E797)),"")</f>
        <v/>
      </c>
    </row>
    <row r="798" spans="1:6" x14ac:dyDescent="0.25">
      <c r="A798" s="1" t="str">
        <f ca="1">IF(ROW()&lt;=(Results!$C$1/2)+1,INDEX(Data!$V:$V,CEILING((COUNTA(Data!$V:$V)-1)*RAND()+1,1)),"")</f>
        <v/>
      </c>
      <c r="B798" s="1" t="str">
        <f>IF(ROW()&lt;=(Results!$C$1/2)+1,VLOOKUP($A798,Data!$V$2:$W$117,2,TRUE),"")</f>
        <v/>
      </c>
      <c r="C798" s="14" t="str">
        <f>IF(ROW()&lt;=(Results!$C$1/2)+1,IF(B798&lt;=0,"",LN(B798)),"")</f>
        <v/>
      </c>
      <c r="D798" s="1" t="str">
        <f ca="1">IF(ROW()&lt;=(Results!$C$1/2)+1,INDEX(Data!$X:$X,CEILING((COUNTA(Data!$X:$X)-1)*RAND()+1,1)),"")</f>
        <v/>
      </c>
      <c r="E798" s="1" t="str">
        <f>IF(ROW()&lt;=(Results!$C$1/2)+1,VLOOKUP($D798,Data!$X$2:$Y$117,2,TRUE),"")</f>
        <v/>
      </c>
      <c r="F798" s="14" t="str">
        <f>IF(ROW()&lt;=(Results!$C$1/2)+1,IF(E798&lt;=0,"",LN(E798)),"")</f>
        <v/>
      </c>
    </row>
    <row r="799" spans="1:6" x14ac:dyDescent="0.25">
      <c r="A799" s="1" t="str">
        <f ca="1">IF(ROW()&lt;=(Results!$C$1/2)+1,INDEX(Data!$V:$V,CEILING((COUNTA(Data!$V:$V)-1)*RAND()+1,1)),"")</f>
        <v/>
      </c>
      <c r="B799" s="1" t="str">
        <f>IF(ROW()&lt;=(Results!$C$1/2)+1,VLOOKUP($A799,Data!$V$2:$W$117,2,TRUE),"")</f>
        <v/>
      </c>
      <c r="C799" s="14" t="str">
        <f>IF(ROW()&lt;=(Results!$C$1/2)+1,IF(B799&lt;=0,"",LN(B799)),"")</f>
        <v/>
      </c>
      <c r="D799" s="1" t="str">
        <f ca="1">IF(ROW()&lt;=(Results!$C$1/2)+1,INDEX(Data!$X:$X,CEILING((COUNTA(Data!$X:$X)-1)*RAND()+1,1)),"")</f>
        <v/>
      </c>
      <c r="E799" s="1" t="str">
        <f>IF(ROW()&lt;=(Results!$C$1/2)+1,VLOOKUP($D799,Data!$X$2:$Y$117,2,TRUE),"")</f>
        <v/>
      </c>
      <c r="F799" s="14" t="str">
        <f>IF(ROW()&lt;=(Results!$C$1/2)+1,IF(E799&lt;=0,"",LN(E799)),"")</f>
        <v/>
      </c>
    </row>
    <row r="800" spans="1:6" x14ac:dyDescent="0.25">
      <c r="A800" s="1" t="str">
        <f ca="1">IF(ROW()&lt;=(Results!$C$1/2)+1,INDEX(Data!$V:$V,CEILING((COUNTA(Data!$V:$V)-1)*RAND()+1,1)),"")</f>
        <v/>
      </c>
      <c r="B800" s="1" t="str">
        <f>IF(ROW()&lt;=(Results!$C$1/2)+1,VLOOKUP($A800,Data!$V$2:$W$117,2,TRUE),"")</f>
        <v/>
      </c>
      <c r="C800" s="14" t="str">
        <f>IF(ROW()&lt;=(Results!$C$1/2)+1,IF(B800&lt;=0,"",LN(B800)),"")</f>
        <v/>
      </c>
      <c r="D800" s="1" t="str">
        <f ca="1">IF(ROW()&lt;=(Results!$C$1/2)+1,INDEX(Data!$X:$X,CEILING((COUNTA(Data!$X:$X)-1)*RAND()+1,1)),"")</f>
        <v/>
      </c>
      <c r="E800" s="1" t="str">
        <f>IF(ROW()&lt;=(Results!$C$1/2)+1,VLOOKUP($D800,Data!$X$2:$Y$117,2,TRUE),"")</f>
        <v/>
      </c>
      <c r="F800" s="14" t="str">
        <f>IF(ROW()&lt;=(Results!$C$1/2)+1,IF(E800&lt;=0,"",LN(E800)),"")</f>
        <v/>
      </c>
    </row>
    <row r="801" spans="1:6" x14ac:dyDescent="0.25">
      <c r="A801" s="1" t="str">
        <f ca="1">IF(ROW()&lt;=(Results!$C$1/2)+1,INDEX(Data!$V:$V,CEILING((COUNTA(Data!$V:$V)-1)*RAND()+1,1)),"")</f>
        <v/>
      </c>
      <c r="B801" s="1" t="str">
        <f>IF(ROW()&lt;=(Results!$C$1/2)+1,VLOOKUP($A801,Data!$V$2:$W$117,2,TRUE),"")</f>
        <v/>
      </c>
      <c r="C801" s="14" t="str">
        <f>IF(ROW()&lt;=(Results!$C$1/2)+1,IF(B801&lt;=0,"",LN(B801)),"")</f>
        <v/>
      </c>
      <c r="D801" s="1" t="str">
        <f ca="1">IF(ROW()&lt;=(Results!$C$1/2)+1,INDEX(Data!$X:$X,CEILING((COUNTA(Data!$X:$X)-1)*RAND()+1,1)),"")</f>
        <v/>
      </c>
      <c r="E801" s="1" t="str">
        <f>IF(ROW()&lt;=(Results!$C$1/2)+1,VLOOKUP($D801,Data!$X$2:$Y$117,2,TRUE),"")</f>
        <v/>
      </c>
      <c r="F801" s="14" t="str">
        <f>IF(ROW()&lt;=(Results!$C$1/2)+1,IF(E801&lt;=0,"",LN(E801)),"")</f>
        <v/>
      </c>
    </row>
    <row r="802" spans="1:6" x14ac:dyDescent="0.25">
      <c r="A802" s="1" t="str">
        <f ca="1">IF(ROW()&lt;=(Results!$C$1/2)+1,INDEX(Data!$V:$V,CEILING((COUNTA(Data!$V:$V)-1)*RAND()+1,1)),"")</f>
        <v/>
      </c>
      <c r="B802" s="1" t="str">
        <f>IF(ROW()&lt;=(Results!$C$1/2)+1,VLOOKUP($A802,Data!$V$2:$W$117,2,TRUE),"")</f>
        <v/>
      </c>
      <c r="C802" s="14" t="str">
        <f>IF(ROW()&lt;=(Results!$C$1/2)+1,IF(B802&lt;=0,"",LN(B802)),"")</f>
        <v/>
      </c>
      <c r="D802" s="1" t="str">
        <f ca="1">IF(ROW()&lt;=(Results!$C$1/2)+1,INDEX(Data!$X:$X,CEILING((COUNTA(Data!$X:$X)-1)*RAND()+1,1)),"")</f>
        <v/>
      </c>
      <c r="E802" s="1" t="str">
        <f>IF(ROW()&lt;=(Results!$C$1/2)+1,VLOOKUP($D802,Data!$X$2:$Y$117,2,TRUE),"")</f>
        <v/>
      </c>
      <c r="F802" s="14" t="str">
        <f>IF(ROW()&lt;=(Results!$C$1/2)+1,IF(E802&lt;=0,"",LN(E802)),"")</f>
        <v/>
      </c>
    </row>
    <row r="803" spans="1:6" x14ac:dyDescent="0.25">
      <c r="A803" s="1" t="str">
        <f ca="1">IF(ROW()&lt;=(Results!$C$1/2)+1,INDEX(Data!$V:$V,CEILING((COUNTA(Data!$V:$V)-1)*RAND()+1,1)),"")</f>
        <v/>
      </c>
      <c r="B803" s="1" t="str">
        <f>IF(ROW()&lt;=(Results!$C$1/2)+1,VLOOKUP($A803,Data!$V$2:$W$117,2,TRUE),"")</f>
        <v/>
      </c>
      <c r="C803" s="14" t="str">
        <f>IF(ROW()&lt;=(Results!$C$1/2)+1,IF(B803&lt;=0,"",LN(B803)),"")</f>
        <v/>
      </c>
      <c r="D803" s="1" t="str">
        <f ca="1">IF(ROW()&lt;=(Results!$C$1/2)+1,INDEX(Data!$X:$X,CEILING((COUNTA(Data!$X:$X)-1)*RAND()+1,1)),"")</f>
        <v/>
      </c>
      <c r="E803" s="1" t="str">
        <f>IF(ROW()&lt;=(Results!$C$1/2)+1,VLOOKUP($D803,Data!$X$2:$Y$117,2,TRUE),"")</f>
        <v/>
      </c>
      <c r="F803" s="14" t="str">
        <f>IF(ROW()&lt;=(Results!$C$1/2)+1,IF(E803&lt;=0,"",LN(E803)),"")</f>
        <v/>
      </c>
    </row>
    <row r="804" spans="1:6" x14ac:dyDescent="0.25">
      <c r="A804" s="1" t="str">
        <f ca="1">IF(ROW()&lt;=(Results!$C$1/2)+1,INDEX(Data!$V:$V,CEILING((COUNTA(Data!$V:$V)-1)*RAND()+1,1)),"")</f>
        <v/>
      </c>
      <c r="B804" s="1" t="str">
        <f>IF(ROW()&lt;=(Results!$C$1/2)+1,VLOOKUP($A804,Data!$V$2:$W$117,2,TRUE),"")</f>
        <v/>
      </c>
      <c r="C804" s="14" t="str">
        <f>IF(ROW()&lt;=(Results!$C$1/2)+1,IF(B804&lt;=0,"",LN(B804)),"")</f>
        <v/>
      </c>
      <c r="D804" s="1" t="str">
        <f ca="1">IF(ROW()&lt;=(Results!$C$1/2)+1,INDEX(Data!$X:$X,CEILING((COUNTA(Data!$X:$X)-1)*RAND()+1,1)),"")</f>
        <v/>
      </c>
      <c r="E804" s="1" t="str">
        <f>IF(ROW()&lt;=(Results!$C$1/2)+1,VLOOKUP($D804,Data!$X$2:$Y$117,2,TRUE),"")</f>
        <v/>
      </c>
      <c r="F804" s="14" t="str">
        <f>IF(ROW()&lt;=(Results!$C$1/2)+1,IF(E804&lt;=0,"",LN(E804)),"")</f>
        <v/>
      </c>
    </row>
    <row r="805" spans="1:6" x14ac:dyDescent="0.25">
      <c r="A805" s="1" t="str">
        <f ca="1">IF(ROW()&lt;=(Results!$C$1/2)+1,INDEX(Data!$V:$V,CEILING((COUNTA(Data!$V:$V)-1)*RAND()+1,1)),"")</f>
        <v/>
      </c>
      <c r="B805" s="1" t="str">
        <f>IF(ROW()&lt;=(Results!$C$1/2)+1,VLOOKUP($A805,Data!$V$2:$W$117,2,TRUE),"")</f>
        <v/>
      </c>
      <c r="C805" s="14" t="str">
        <f>IF(ROW()&lt;=(Results!$C$1/2)+1,IF(B805&lt;=0,"",LN(B805)),"")</f>
        <v/>
      </c>
      <c r="D805" s="1" t="str">
        <f ca="1">IF(ROW()&lt;=(Results!$C$1/2)+1,INDEX(Data!$X:$X,CEILING((COUNTA(Data!$X:$X)-1)*RAND()+1,1)),"")</f>
        <v/>
      </c>
      <c r="E805" s="1" t="str">
        <f>IF(ROW()&lt;=(Results!$C$1/2)+1,VLOOKUP($D805,Data!$X$2:$Y$117,2,TRUE),"")</f>
        <v/>
      </c>
      <c r="F805" s="14" t="str">
        <f>IF(ROW()&lt;=(Results!$C$1/2)+1,IF(E805&lt;=0,"",LN(E805)),"")</f>
        <v/>
      </c>
    </row>
    <row r="806" spans="1:6" x14ac:dyDescent="0.25">
      <c r="A806" s="1" t="str">
        <f ca="1">IF(ROW()&lt;=(Results!$C$1/2)+1,INDEX(Data!$V:$V,CEILING((COUNTA(Data!$V:$V)-1)*RAND()+1,1)),"")</f>
        <v/>
      </c>
      <c r="B806" s="1" t="str">
        <f>IF(ROW()&lt;=(Results!$C$1/2)+1,VLOOKUP($A806,Data!$V$2:$W$117,2,TRUE),"")</f>
        <v/>
      </c>
      <c r="C806" s="14" t="str">
        <f>IF(ROW()&lt;=(Results!$C$1/2)+1,IF(B806&lt;=0,"",LN(B806)),"")</f>
        <v/>
      </c>
      <c r="D806" s="1" t="str">
        <f ca="1">IF(ROW()&lt;=(Results!$C$1/2)+1,INDEX(Data!$X:$X,CEILING((COUNTA(Data!$X:$X)-1)*RAND()+1,1)),"")</f>
        <v/>
      </c>
      <c r="E806" s="1" t="str">
        <f>IF(ROW()&lt;=(Results!$C$1/2)+1,VLOOKUP($D806,Data!$X$2:$Y$117,2,TRUE),"")</f>
        <v/>
      </c>
      <c r="F806" s="14" t="str">
        <f>IF(ROW()&lt;=(Results!$C$1/2)+1,IF(E806&lt;=0,"",LN(E806)),"")</f>
        <v/>
      </c>
    </row>
    <row r="807" spans="1:6" x14ac:dyDescent="0.25">
      <c r="A807" s="1" t="str">
        <f ca="1">IF(ROW()&lt;=(Results!$C$1/2)+1,INDEX(Data!$V:$V,CEILING((COUNTA(Data!$V:$V)-1)*RAND()+1,1)),"")</f>
        <v/>
      </c>
      <c r="B807" s="1" t="str">
        <f>IF(ROW()&lt;=(Results!$C$1/2)+1,VLOOKUP($A807,Data!$V$2:$W$117,2,TRUE),"")</f>
        <v/>
      </c>
      <c r="C807" s="14" t="str">
        <f>IF(ROW()&lt;=(Results!$C$1/2)+1,IF(B807&lt;=0,"",LN(B807)),"")</f>
        <v/>
      </c>
      <c r="D807" s="1" t="str">
        <f ca="1">IF(ROW()&lt;=(Results!$C$1/2)+1,INDEX(Data!$X:$X,CEILING((COUNTA(Data!$X:$X)-1)*RAND()+1,1)),"")</f>
        <v/>
      </c>
      <c r="E807" s="1" t="str">
        <f>IF(ROW()&lt;=(Results!$C$1/2)+1,VLOOKUP($D807,Data!$X$2:$Y$117,2,TRUE),"")</f>
        <v/>
      </c>
      <c r="F807" s="14" t="str">
        <f>IF(ROW()&lt;=(Results!$C$1/2)+1,IF(E807&lt;=0,"",LN(E807)),"")</f>
        <v/>
      </c>
    </row>
    <row r="808" spans="1:6" x14ac:dyDescent="0.25">
      <c r="A808" s="1" t="str">
        <f ca="1">IF(ROW()&lt;=(Results!$C$1/2)+1,INDEX(Data!$V:$V,CEILING((COUNTA(Data!$V:$V)-1)*RAND()+1,1)),"")</f>
        <v/>
      </c>
      <c r="B808" s="1" t="str">
        <f>IF(ROW()&lt;=(Results!$C$1/2)+1,VLOOKUP($A808,Data!$V$2:$W$117,2,TRUE),"")</f>
        <v/>
      </c>
      <c r="C808" s="14" t="str">
        <f>IF(ROW()&lt;=(Results!$C$1/2)+1,IF(B808&lt;=0,"",LN(B808)),"")</f>
        <v/>
      </c>
      <c r="D808" s="1" t="str">
        <f ca="1">IF(ROW()&lt;=(Results!$C$1/2)+1,INDEX(Data!$X:$X,CEILING((COUNTA(Data!$X:$X)-1)*RAND()+1,1)),"")</f>
        <v/>
      </c>
      <c r="E808" s="1" t="str">
        <f>IF(ROW()&lt;=(Results!$C$1/2)+1,VLOOKUP($D808,Data!$X$2:$Y$117,2,TRUE),"")</f>
        <v/>
      </c>
      <c r="F808" s="14" t="str">
        <f>IF(ROW()&lt;=(Results!$C$1/2)+1,IF(E808&lt;=0,"",LN(E808)),"")</f>
        <v/>
      </c>
    </row>
    <row r="809" spans="1:6" x14ac:dyDescent="0.25">
      <c r="A809" s="1" t="str">
        <f ca="1">IF(ROW()&lt;=(Results!$C$1/2)+1,INDEX(Data!$V:$V,CEILING((COUNTA(Data!$V:$V)-1)*RAND()+1,1)),"")</f>
        <v/>
      </c>
      <c r="B809" s="1" t="str">
        <f>IF(ROW()&lt;=(Results!$C$1/2)+1,VLOOKUP($A809,Data!$V$2:$W$117,2,TRUE),"")</f>
        <v/>
      </c>
      <c r="C809" s="14" t="str">
        <f>IF(ROW()&lt;=(Results!$C$1/2)+1,IF(B809&lt;=0,"",LN(B809)),"")</f>
        <v/>
      </c>
      <c r="D809" s="1" t="str">
        <f ca="1">IF(ROW()&lt;=(Results!$C$1/2)+1,INDEX(Data!$X:$X,CEILING((COUNTA(Data!$X:$X)-1)*RAND()+1,1)),"")</f>
        <v/>
      </c>
      <c r="E809" s="1" t="str">
        <f>IF(ROW()&lt;=(Results!$C$1/2)+1,VLOOKUP($D809,Data!$X$2:$Y$117,2,TRUE),"")</f>
        <v/>
      </c>
      <c r="F809" s="14" t="str">
        <f>IF(ROW()&lt;=(Results!$C$1/2)+1,IF(E809&lt;=0,"",LN(E809)),"")</f>
        <v/>
      </c>
    </row>
    <row r="810" spans="1:6" x14ac:dyDescent="0.25">
      <c r="A810" s="1" t="str">
        <f ca="1">IF(ROW()&lt;=(Results!$C$1/2)+1,INDEX(Data!$V:$V,CEILING((COUNTA(Data!$V:$V)-1)*RAND()+1,1)),"")</f>
        <v/>
      </c>
      <c r="B810" s="1" t="str">
        <f>IF(ROW()&lt;=(Results!$C$1/2)+1,VLOOKUP($A810,Data!$V$2:$W$117,2,TRUE),"")</f>
        <v/>
      </c>
      <c r="C810" s="14" t="str">
        <f>IF(ROW()&lt;=(Results!$C$1/2)+1,IF(B810&lt;=0,"",LN(B810)),"")</f>
        <v/>
      </c>
      <c r="D810" s="1" t="str">
        <f ca="1">IF(ROW()&lt;=(Results!$C$1/2)+1,INDEX(Data!$X:$X,CEILING((COUNTA(Data!$X:$X)-1)*RAND()+1,1)),"")</f>
        <v/>
      </c>
      <c r="E810" s="1" t="str">
        <f>IF(ROW()&lt;=(Results!$C$1/2)+1,VLOOKUP($D810,Data!$X$2:$Y$117,2,TRUE),"")</f>
        <v/>
      </c>
      <c r="F810" s="14" t="str">
        <f>IF(ROW()&lt;=(Results!$C$1/2)+1,IF(E810&lt;=0,"",LN(E810)),"")</f>
        <v/>
      </c>
    </row>
    <row r="811" spans="1:6" x14ac:dyDescent="0.25">
      <c r="A811" s="1" t="str">
        <f ca="1">IF(ROW()&lt;=(Results!$C$1/2)+1,INDEX(Data!$V:$V,CEILING((COUNTA(Data!$V:$V)-1)*RAND()+1,1)),"")</f>
        <v/>
      </c>
      <c r="B811" s="1" t="str">
        <f>IF(ROW()&lt;=(Results!$C$1/2)+1,VLOOKUP($A811,Data!$V$2:$W$117,2,TRUE),"")</f>
        <v/>
      </c>
      <c r="C811" s="14" t="str">
        <f>IF(ROW()&lt;=(Results!$C$1/2)+1,IF(B811&lt;=0,"",LN(B811)),"")</f>
        <v/>
      </c>
      <c r="D811" s="1" t="str">
        <f ca="1">IF(ROW()&lt;=(Results!$C$1/2)+1,INDEX(Data!$X:$X,CEILING((COUNTA(Data!$X:$X)-1)*RAND()+1,1)),"")</f>
        <v/>
      </c>
      <c r="E811" s="1" t="str">
        <f>IF(ROW()&lt;=(Results!$C$1/2)+1,VLOOKUP($D811,Data!$X$2:$Y$117,2,TRUE),"")</f>
        <v/>
      </c>
      <c r="F811" s="14" t="str">
        <f>IF(ROW()&lt;=(Results!$C$1/2)+1,IF(E811&lt;=0,"",LN(E811)),"")</f>
        <v/>
      </c>
    </row>
    <row r="812" spans="1:6" x14ac:dyDescent="0.25">
      <c r="A812" s="1" t="str">
        <f ca="1">IF(ROW()&lt;=(Results!$C$1/2)+1,INDEX(Data!$V:$V,CEILING((COUNTA(Data!$V:$V)-1)*RAND()+1,1)),"")</f>
        <v/>
      </c>
      <c r="B812" s="1" t="str">
        <f>IF(ROW()&lt;=(Results!$C$1/2)+1,VLOOKUP($A812,Data!$V$2:$W$117,2,TRUE),"")</f>
        <v/>
      </c>
      <c r="C812" s="14" t="str">
        <f>IF(ROW()&lt;=(Results!$C$1/2)+1,IF(B812&lt;=0,"",LN(B812)),"")</f>
        <v/>
      </c>
      <c r="D812" s="1" t="str">
        <f ca="1">IF(ROW()&lt;=(Results!$C$1/2)+1,INDEX(Data!$X:$X,CEILING((COUNTA(Data!$X:$X)-1)*RAND()+1,1)),"")</f>
        <v/>
      </c>
      <c r="E812" s="1" t="str">
        <f>IF(ROW()&lt;=(Results!$C$1/2)+1,VLOOKUP($D812,Data!$X$2:$Y$117,2,TRUE),"")</f>
        <v/>
      </c>
      <c r="F812" s="14" t="str">
        <f>IF(ROW()&lt;=(Results!$C$1/2)+1,IF(E812&lt;=0,"",LN(E812)),"")</f>
        <v/>
      </c>
    </row>
    <row r="813" spans="1:6" x14ac:dyDescent="0.25">
      <c r="A813" s="1" t="str">
        <f ca="1">IF(ROW()&lt;=(Results!$C$1/2)+1,INDEX(Data!$V:$V,CEILING((COUNTA(Data!$V:$V)-1)*RAND()+1,1)),"")</f>
        <v/>
      </c>
      <c r="B813" s="1" t="str">
        <f>IF(ROW()&lt;=(Results!$C$1/2)+1,VLOOKUP($A813,Data!$V$2:$W$117,2,TRUE),"")</f>
        <v/>
      </c>
      <c r="C813" s="14" t="str">
        <f>IF(ROW()&lt;=(Results!$C$1/2)+1,IF(B813&lt;=0,"",LN(B813)),"")</f>
        <v/>
      </c>
      <c r="D813" s="1" t="str">
        <f ca="1">IF(ROW()&lt;=(Results!$C$1/2)+1,INDEX(Data!$X:$X,CEILING((COUNTA(Data!$X:$X)-1)*RAND()+1,1)),"")</f>
        <v/>
      </c>
      <c r="E813" s="1" t="str">
        <f>IF(ROW()&lt;=(Results!$C$1/2)+1,VLOOKUP($D813,Data!$X$2:$Y$117,2,TRUE),"")</f>
        <v/>
      </c>
      <c r="F813" s="14" t="str">
        <f>IF(ROW()&lt;=(Results!$C$1/2)+1,IF(E813&lt;=0,"",LN(E813)),"")</f>
        <v/>
      </c>
    </row>
    <row r="814" spans="1:6" x14ac:dyDescent="0.25">
      <c r="A814" s="1" t="str">
        <f ca="1">IF(ROW()&lt;=(Results!$C$1/2)+1,INDEX(Data!$V:$V,CEILING((COUNTA(Data!$V:$V)-1)*RAND()+1,1)),"")</f>
        <v/>
      </c>
      <c r="B814" s="1" t="str">
        <f>IF(ROW()&lt;=(Results!$C$1/2)+1,VLOOKUP($A814,Data!$V$2:$W$117,2,TRUE),"")</f>
        <v/>
      </c>
      <c r="C814" s="14" t="str">
        <f>IF(ROW()&lt;=(Results!$C$1/2)+1,IF(B814&lt;=0,"",LN(B814)),"")</f>
        <v/>
      </c>
      <c r="D814" s="1" t="str">
        <f ca="1">IF(ROW()&lt;=(Results!$C$1/2)+1,INDEX(Data!$X:$X,CEILING((COUNTA(Data!$X:$X)-1)*RAND()+1,1)),"")</f>
        <v/>
      </c>
      <c r="E814" s="1" t="str">
        <f>IF(ROW()&lt;=(Results!$C$1/2)+1,VLOOKUP($D814,Data!$X$2:$Y$117,2,TRUE),"")</f>
        <v/>
      </c>
      <c r="F814" s="14" t="str">
        <f>IF(ROW()&lt;=(Results!$C$1/2)+1,IF(E814&lt;=0,"",LN(E814)),"")</f>
        <v/>
      </c>
    </row>
    <row r="815" spans="1:6" x14ac:dyDescent="0.25">
      <c r="A815" s="1" t="str">
        <f ca="1">IF(ROW()&lt;=(Results!$C$1/2)+1,INDEX(Data!$V:$V,CEILING((COUNTA(Data!$V:$V)-1)*RAND()+1,1)),"")</f>
        <v/>
      </c>
      <c r="B815" s="1" t="str">
        <f>IF(ROW()&lt;=(Results!$C$1/2)+1,VLOOKUP($A815,Data!$V$2:$W$117,2,TRUE),"")</f>
        <v/>
      </c>
      <c r="C815" s="14" t="str">
        <f>IF(ROW()&lt;=(Results!$C$1/2)+1,IF(B815&lt;=0,"",LN(B815)),"")</f>
        <v/>
      </c>
      <c r="D815" s="1" t="str">
        <f ca="1">IF(ROW()&lt;=(Results!$C$1/2)+1,INDEX(Data!$X:$X,CEILING((COUNTA(Data!$X:$X)-1)*RAND()+1,1)),"")</f>
        <v/>
      </c>
      <c r="E815" s="1" t="str">
        <f>IF(ROW()&lt;=(Results!$C$1/2)+1,VLOOKUP($D815,Data!$X$2:$Y$117,2,TRUE),"")</f>
        <v/>
      </c>
      <c r="F815" s="14" t="str">
        <f>IF(ROW()&lt;=(Results!$C$1/2)+1,IF(E815&lt;=0,"",LN(E815)),"")</f>
        <v/>
      </c>
    </row>
    <row r="816" spans="1:6" x14ac:dyDescent="0.25">
      <c r="A816" s="1" t="str">
        <f ca="1">IF(ROW()&lt;=(Results!$C$1/2)+1,INDEX(Data!$V:$V,CEILING((COUNTA(Data!$V:$V)-1)*RAND()+1,1)),"")</f>
        <v/>
      </c>
      <c r="B816" s="1" t="str">
        <f>IF(ROW()&lt;=(Results!$C$1/2)+1,VLOOKUP($A816,Data!$V$2:$W$117,2,TRUE),"")</f>
        <v/>
      </c>
      <c r="C816" s="14" t="str">
        <f>IF(ROW()&lt;=(Results!$C$1/2)+1,IF(B816&lt;=0,"",LN(B816)),"")</f>
        <v/>
      </c>
      <c r="D816" s="1" t="str">
        <f ca="1">IF(ROW()&lt;=(Results!$C$1/2)+1,INDEX(Data!$X:$X,CEILING((COUNTA(Data!$X:$X)-1)*RAND()+1,1)),"")</f>
        <v/>
      </c>
      <c r="E816" s="1" t="str">
        <f>IF(ROW()&lt;=(Results!$C$1/2)+1,VLOOKUP($D816,Data!$X$2:$Y$117,2,TRUE),"")</f>
        <v/>
      </c>
      <c r="F816" s="14" t="str">
        <f>IF(ROW()&lt;=(Results!$C$1/2)+1,IF(E816&lt;=0,"",LN(E816)),"")</f>
        <v/>
      </c>
    </row>
    <row r="817" spans="1:6" x14ac:dyDescent="0.25">
      <c r="A817" s="1" t="str">
        <f ca="1">IF(ROW()&lt;=(Results!$C$1/2)+1,INDEX(Data!$V:$V,CEILING((COUNTA(Data!$V:$V)-1)*RAND()+1,1)),"")</f>
        <v/>
      </c>
      <c r="B817" s="1" t="str">
        <f>IF(ROW()&lt;=(Results!$C$1/2)+1,VLOOKUP($A817,Data!$V$2:$W$117,2,TRUE),"")</f>
        <v/>
      </c>
      <c r="C817" s="14" t="str">
        <f>IF(ROW()&lt;=(Results!$C$1/2)+1,IF(B817&lt;=0,"",LN(B817)),"")</f>
        <v/>
      </c>
      <c r="D817" s="1" t="str">
        <f ca="1">IF(ROW()&lt;=(Results!$C$1/2)+1,INDEX(Data!$X:$X,CEILING((COUNTA(Data!$X:$X)-1)*RAND()+1,1)),"")</f>
        <v/>
      </c>
      <c r="E817" s="1" t="str">
        <f>IF(ROW()&lt;=(Results!$C$1/2)+1,VLOOKUP($D817,Data!$X$2:$Y$117,2,TRUE),"")</f>
        <v/>
      </c>
      <c r="F817" s="14" t="str">
        <f>IF(ROW()&lt;=(Results!$C$1/2)+1,IF(E817&lt;=0,"",LN(E817)),"")</f>
        <v/>
      </c>
    </row>
    <row r="818" spans="1:6" x14ac:dyDescent="0.25">
      <c r="A818" s="1" t="str">
        <f ca="1">IF(ROW()&lt;=(Results!$C$1/2)+1,INDEX(Data!$V:$V,CEILING((COUNTA(Data!$V:$V)-1)*RAND()+1,1)),"")</f>
        <v/>
      </c>
      <c r="B818" s="1" t="str">
        <f>IF(ROW()&lt;=(Results!$C$1/2)+1,VLOOKUP($A818,Data!$V$2:$W$117,2,TRUE),"")</f>
        <v/>
      </c>
      <c r="C818" s="14" t="str">
        <f>IF(ROW()&lt;=(Results!$C$1/2)+1,IF(B818&lt;=0,"",LN(B818)),"")</f>
        <v/>
      </c>
      <c r="D818" s="1" t="str">
        <f ca="1">IF(ROW()&lt;=(Results!$C$1/2)+1,INDEX(Data!$X:$X,CEILING((COUNTA(Data!$X:$X)-1)*RAND()+1,1)),"")</f>
        <v/>
      </c>
      <c r="E818" s="1" t="str">
        <f>IF(ROW()&lt;=(Results!$C$1/2)+1,VLOOKUP($D818,Data!$X$2:$Y$117,2,TRUE),"")</f>
        <v/>
      </c>
      <c r="F818" s="14" t="str">
        <f>IF(ROW()&lt;=(Results!$C$1/2)+1,IF(E818&lt;=0,"",LN(E818)),"")</f>
        <v/>
      </c>
    </row>
    <row r="819" spans="1:6" x14ac:dyDescent="0.25">
      <c r="A819" s="1" t="str">
        <f ca="1">IF(ROW()&lt;=(Results!$C$1/2)+1,INDEX(Data!$V:$V,CEILING((COUNTA(Data!$V:$V)-1)*RAND()+1,1)),"")</f>
        <v/>
      </c>
      <c r="B819" s="1" t="str">
        <f>IF(ROW()&lt;=(Results!$C$1/2)+1,VLOOKUP($A819,Data!$V$2:$W$117,2,TRUE),"")</f>
        <v/>
      </c>
      <c r="C819" s="14" t="str">
        <f>IF(ROW()&lt;=(Results!$C$1/2)+1,IF(B819&lt;=0,"",LN(B819)),"")</f>
        <v/>
      </c>
      <c r="D819" s="1" t="str">
        <f ca="1">IF(ROW()&lt;=(Results!$C$1/2)+1,INDEX(Data!$X:$X,CEILING((COUNTA(Data!$X:$X)-1)*RAND()+1,1)),"")</f>
        <v/>
      </c>
      <c r="E819" s="1" t="str">
        <f>IF(ROW()&lt;=(Results!$C$1/2)+1,VLOOKUP($D819,Data!$X$2:$Y$117,2,TRUE),"")</f>
        <v/>
      </c>
      <c r="F819" s="14" t="str">
        <f>IF(ROW()&lt;=(Results!$C$1/2)+1,IF(E819&lt;=0,"",LN(E819)),"")</f>
        <v/>
      </c>
    </row>
    <row r="820" spans="1:6" x14ac:dyDescent="0.25">
      <c r="A820" s="1" t="str">
        <f ca="1">IF(ROW()&lt;=(Results!$C$1/2)+1,INDEX(Data!$V:$V,CEILING((COUNTA(Data!$V:$V)-1)*RAND()+1,1)),"")</f>
        <v/>
      </c>
      <c r="B820" s="1" t="str">
        <f>IF(ROW()&lt;=(Results!$C$1/2)+1,VLOOKUP($A820,Data!$V$2:$W$117,2,TRUE),"")</f>
        <v/>
      </c>
      <c r="C820" s="14" t="str">
        <f>IF(ROW()&lt;=(Results!$C$1/2)+1,IF(B820&lt;=0,"",LN(B820)),"")</f>
        <v/>
      </c>
      <c r="D820" s="1" t="str">
        <f ca="1">IF(ROW()&lt;=(Results!$C$1/2)+1,INDEX(Data!$X:$X,CEILING((COUNTA(Data!$X:$X)-1)*RAND()+1,1)),"")</f>
        <v/>
      </c>
      <c r="E820" s="1" t="str">
        <f>IF(ROW()&lt;=(Results!$C$1/2)+1,VLOOKUP($D820,Data!$X$2:$Y$117,2,TRUE),"")</f>
        <v/>
      </c>
      <c r="F820" s="14" t="str">
        <f>IF(ROW()&lt;=(Results!$C$1/2)+1,IF(E820&lt;=0,"",LN(E820)),"")</f>
        <v/>
      </c>
    </row>
    <row r="821" spans="1:6" x14ac:dyDescent="0.25">
      <c r="A821" s="1" t="str">
        <f ca="1">IF(ROW()&lt;=(Results!$C$1/2)+1,INDEX(Data!$V:$V,CEILING((COUNTA(Data!$V:$V)-1)*RAND()+1,1)),"")</f>
        <v/>
      </c>
      <c r="B821" s="1" t="str">
        <f>IF(ROW()&lt;=(Results!$C$1/2)+1,VLOOKUP($A821,Data!$V$2:$W$117,2,TRUE),"")</f>
        <v/>
      </c>
      <c r="C821" s="14" t="str">
        <f>IF(ROW()&lt;=(Results!$C$1/2)+1,IF(B821&lt;=0,"",LN(B821)),"")</f>
        <v/>
      </c>
      <c r="D821" s="1" t="str">
        <f ca="1">IF(ROW()&lt;=(Results!$C$1/2)+1,INDEX(Data!$X:$X,CEILING((COUNTA(Data!$X:$X)-1)*RAND()+1,1)),"")</f>
        <v/>
      </c>
      <c r="E821" s="1" t="str">
        <f>IF(ROW()&lt;=(Results!$C$1/2)+1,VLOOKUP($D821,Data!$X$2:$Y$117,2,TRUE),"")</f>
        <v/>
      </c>
      <c r="F821" s="14" t="str">
        <f>IF(ROW()&lt;=(Results!$C$1/2)+1,IF(E821&lt;=0,"",LN(E821)),"")</f>
        <v/>
      </c>
    </row>
    <row r="822" spans="1:6" x14ac:dyDescent="0.25">
      <c r="A822" s="1" t="str">
        <f ca="1">IF(ROW()&lt;=(Results!$C$1/2)+1,INDEX(Data!$V:$V,CEILING((COUNTA(Data!$V:$V)-1)*RAND()+1,1)),"")</f>
        <v/>
      </c>
      <c r="B822" s="1" t="str">
        <f>IF(ROW()&lt;=(Results!$C$1/2)+1,VLOOKUP($A822,Data!$V$2:$W$117,2,TRUE),"")</f>
        <v/>
      </c>
      <c r="C822" s="14" t="str">
        <f>IF(ROW()&lt;=(Results!$C$1/2)+1,IF(B822&lt;=0,"",LN(B822)),"")</f>
        <v/>
      </c>
      <c r="D822" s="1" t="str">
        <f ca="1">IF(ROW()&lt;=(Results!$C$1/2)+1,INDEX(Data!$X:$X,CEILING((COUNTA(Data!$X:$X)-1)*RAND()+1,1)),"")</f>
        <v/>
      </c>
      <c r="E822" s="1" t="str">
        <f>IF(ROW()&lt;=(Results!$C$1/2)+1,VLOOKUP($D822,Data!$X$2:$Y$117,2,TRUE),"")</f>
        <v/>
      </c>
      <c r="F822" s="14" t="str">
        <f>IF(ROW()&lt;=(Results!$C$1/2)+1,IF(E822&lt;=0,"",LN(E822)),"")</f>
        <v/>
      </c>
    </row>
    <row r="823" spans="1:6" x14ac:dyDescent="0.25">
      <c r="A823" s="1" t="str">
        <f ca="1">IF(ROW()&lt;=(Results!$C$1/2)+1,INDEX(Data!$V:$V,CEILING((COUNTA(Data!$V:$V)-1)*RAND()+1,1)),"")</f>
        <v/>
      </c>
      <c r="B823" s="1" t="str">
        <f>IF(ROW()&lt;=(Results!$C$1/2)+1,VLOOKUP($A823,Data!$V$2:$W$117,2,TRUE),"")</f>
        <v/>
      </c>
      <c r="C823" s="14" t="str">
        <f>IF(ROW()&lt;=(Results!$C$1/2)+1,IF(B823&lt;=0,"",LN(B823)),"")</f>
        <v/>
      </c>
      <c r="D823" s="1" t="str">
        <f ca="1">IF(ROW()&lt;=(Results!$C$1/2)+1,INDEX(Data!$X:$X,CEILING((COUNTA(Data!$X:$X)-1)*RAND()+1,1)),"")</f>
        <v/>
      </c>
      <c r="E823" s="1" t="str">
        <f>IF(ROW()&lt;=(Results!$C$1/2)+1,VLOOKUP($D823,Data!$X$2:$Y$117,2,TRUE),"")</f>
        <v/>
      </c>
      <c r="F823" s="14" t="str">
        <f>IF(ROW()&lt;=(Results!$C$1/2)+1,IF(E823&lt;=0,"",LN(E823)),"")</f>
        <v/>
      </c>
    </row>
    <row r="824" spans="1:6" x14ac:dyDescent="0.25">
      <c r="A824" s="1" t="str">
        <f ca="1">IF(ROW()&lt;=(Results!$C$1/2)+1,INDEX(Data!$V:$V,CEILING((COUNTA(Data!$V:$V)-1)*RAND()+1,1)),"")</f>
        <v/>
      </c>
      <c r="B824" s="1" t="str">
        <f>IF(ROW()&lt;=(Results!$C$1/2)+1,VLOOKUP($A824,Data!$V$2:$W$117,2,TRUE),"")</f>
        <v/>
      </c>
      <c r="C824" s="14" t="str">
        <f>IF(ROW()&lt;=(Results!$C$1/2)+1,IF(B824&lt;=0,"",LN(B824)),"")</f>
        <v/>
      </c>
      <c r="D824" s="1" t="str">
        <f ca="1">IF(ROW()&lt;=(Results!$C$1/2)+1,INDEX(Data!$X:$X,CEILING((COUNTA(Data!$X:$X)-1)*RAND()+1,1)),"")</f>
        <v/>
      </c>
      <c r="E824" s="1" t="str">
        <f>IF(ROW()&lt;=(Results!$C$1/2)+1,VLOOKUP($D824,Data!$X$2:$Y$117,2,TRUE),"")</f>
        <v/>
      </c>
      <c r="F824" s="14" t="str">
        <f>IF(ROW()&lt;=(Results!$C$1/2)+1,IF(E824&lt;=0,"",LN(E824)),"")</f>
        <v/>
      </c>
    </row>
    <row r="825" spans="1:6" x14ac:dyDescent="0.25">
      <c r="A825" s="1" t="str">
        <f ca="1">IF(ROW()&lt;=(Results!$C$1/2)+1,INDEX(Data!$V:$V,CEILING((COUNTA(Data!$V:$V)-1)*RAND()+1,1)),"")</f>
        <v/>
      </c>
      <c r="B825" s="1" t="str">
        <f>IF(ROW()&lt;=(Results!$C$1/2)+1,VLOOKUP($A825,Data!$V$2:$W$117,2,TRUE),"")</f>
        <v/>
      </c>
      <c r="C825" s="14" t="str">
        <f>IF(ROW()&lt;=(Results!$C$1/2)+1,IF(B825&lt;=0,"",LN(B825)),"")</f>
        <v/>
      </c>
      <c r="D825" s="1" t="str">
        <f ca="1">IF(ROW()&lt;=(Results!$C$1/2)+1,INDEX(Data!$X:$X,CEILING((COUNTA(Data!$X:$X)-1)*RAND()+1,1)),"")</f>
        <v/>
      </c>
      <c r="E825" s="1" t="str">
        <f>IF(ROW()&lt;=(Results!$C$1/2)+1,VLOOKUP($D825,Data!$X$2:$Y$117,2,TRUE),"")</f>
        <v/>
      </c>
      <c r="F825" s="14" t="str">
        <f>IF(ROW()&lt;=(Results!$C$1/2)+1,IF(E825&lt;=0,"",LN(E825)),"")</f>
        <v/>
      </c>
    </row>
    <row r="826" spans="1:6" x14ac:dyDescent="0.25">
      <c r="A826" s="1" t="str">
        <f ca="1">IF(ROW()&lt;=(Results!$C$1/2)+1,INDEX(Data!$V:$V,CEILING((COUNTA(Data!$V:$V)-1)*RAND()+1,1)),"")</f>
        <v/>
      </c>
      <c r="B826" s="1" t="str">
        <f>IF(ROW()&lt;=(Results!$C$1/2)+1,VLOOKUP($A826,Data!$V$2:$W$117,2,TRUE),"")</f>
        <v/>
      </c>
      <c r="C826" s="14" t="str">
        <f>IF(ROW()&lt;=(Results!$C$1/2)+1,IF(B826&lt;=0,"",LN(B826)),"")</f>
        <v/>
      </c>
      <c r="D826" s="1" t="str">
        <f ca="1">IF(ROW()&lt;=(Results!$C$1/2)+1,INDEX(Data!$X:$X,CEILING((COUNTA(Data!$X:$X)-1)*RAND()+1,1)),"")</f>
        <v/>
      </c>
      <c r="E826" s="1" t="str">
        <f>IF(ROW()&lt;=(Results!$C$1/2)+1,VLOOKUP($D826,Data!$X$2:$Y$117,2,TRUE),"")</f>
        <v/>
      </c>
      <c r="F826" s="14" t="str">
        <f>IF(ROW()&lt;=(Results!$C$1/2)+1,IF(E826&lt;=0,"",LN(E826)),"")</f>
        <v/>
      </c>
    </row>
    <row r="827" spans="1:6" x14ac:dyDescent="0.25">
      <c r="A827" s="1" t="str">
        <f ca="1">IF(ROW()&lt;=(Results!$C$1/2)+1,INDEX(Data!$V:$V,CEILING((COUNTA(Data!$V:$V)-1)*RAND()+1,1)),"")</f>
        <v/>
      </c>
      <c r="B827" s="1" t="str">
        <f>IF(ROW()&lt;=(Results!$C$1/2)+1,VLOOKUP($A827,Data!$V$2:$W$117,2,TRUE),"")</f>
        <v/>
      </c>
      <c r="C827" s="14" t="str">
        <f>IF(ROW()&lt;=(Results!$C$1/2)+1,IF(B827&lt;=0,"",LN(B827)),"")</f>
        <v/>
      </c>
      <c r="D827" s="1" t="str">
        <f ca="1">IF(ROW()&lt;=(Results!$C$1/2)+1,INDEX(Data!$X:$X,CEILING((COUNTA(Data!$X:$X)-1)*RAND()+1,1)),"")</f>
        <v/>
      </c>
      <c r="E827" s="1" t="str">
        <f>IF(ROW()&lt;=(Results!$C$1/2)+1,VLOOKUP($D827,Data!$X$2:$Y$117,2,TRUE),"")</f>
        <v/>
      </c>
      <c r="F827" s="14" t="str">
        <f>IF(ROW()&lt;=(Results!$C$1/2)+1,IF(E827&lt;=0,"",LN(E827)),"")</f>
        <v/>
      </c>
    </row>
    <row r="828" spans="1:6" x14ac:dyDescent="0.25">
      <c r="A828" s="1" t="str">
        <f ca="1">IF(ROW()&lt;=(Results!$C$1/2)+1,INDEX(Data!$V:$V,CEILING((COUNTA(Data!$V:$V)-1)*RAND()+1,1)),"")</f>
        <v/>
      </c>
      <c r="B828" s="1" t="str">
        <f>IF(ROW()&lt;=(Results!$C$1/2)+1,VLOOKUP($A828,Data!$V$2:$W$117,2,TRUE),"")</f>
        <v/>
      </c>
      <c r="C828" s="14" t="str">
        <f>IF(ROW()&lt;=(Results!$C$1/2)+1,IF(B828&lt;=0,"",LN(B828)),"")</f>
        <v/>
      </c>
      <c r="D828" s="1" t="str">
        <f ca="1">IF(ROW()&lt;=(Results!$C$1/2)+1,INDEX(Data!$X:$X,CEILING((COUNTA(Data!$X:$X)-1)*RAND()+1,1)),"")</f>
        <v/>
      </c>
      <c r="E828" s="1" t="str">
        <f>IF(ROW()&lt;=(Results!$C$1/2)+1,VLOOKUP($D828,Data!$X$2:$Y$117,2,TRUE),"")</f>
        <v/>
      </c>
      <c r="F828" s="14" t="str">
        <f>IF(ROW()&lt;=(Results!$C$1/2)+1,IF(E828&lt;=0,"",LN(E828)),"")</f>
        <v/>
      </c>
    </row>
    <row r="829" spans="1:6" x14ac:dyDescent="0.25">
      <c r="A829" s="1" t="str">
        <f ca="1">IF(ROW()&lt;=(Results!$C$1/2)+1,INDEX(Data!$V:$V,CEILING((COUNTA(Data!$V:$V)-1)*RAND()+1,1)),"")</f>
        <v/>
      </c>
      <c r="B829" s="1" t="str">
        <f>IF(ROW()&lt;=(Results!$C$1/2)+1,VLOOKUP($A829,Data!$V$2:$W$117,2,TRUE),"")</f>
        <v/>
      </c>
      <c r="C829" s="14" t="str">
        <f>IF(ROW()&lt;=(Results!$C$1/2)+1,IF(B829&lt;=0,"",LN(B829)),"")</f>
        <v/>
      </c>
      <c r="D829" s="1" t="str">
        <f ca="1">IF(ROW()&lt;=(Results!$C$1/2)+1,INDEX(Data!$X:$X,CEILING((COUNTA(Data!$X:$X)-1)*RAND()+1,1)),"")</f>
        <v/>
      </c>
      <c r="E829" s="1" t="str">
        <f>IF(ROW()&lt;=(Results!$C$1/2)+1,VLOOKUP($D829,Data!$X$2:$Y$117,2,TRUE),"")</f>
        <v/>
      </c>
      <c r="F829" s="14" t="str">
        <f>IF(ROW()&lt;=(Results!$C$1/2)+1,IF(E829&lt;=0,"",LN(E829)),"")</f>
        <v/>
      </c>
    </row>
    <row r="830" spans="1:6" x14ac:dyDescent="0.25">
      <c r="A830" s="1" t="str">
        <f ca="1">IF(ROW()&lt;=(Results!$C$1/2)+1,INDEX(Data!$V:$V,CEILING((COUNTA(Data!$V:$V)-1)*RAND()+1,1)),"")</f>
        <v/>
      </c>
      <c r="B830" s="1" t="str">
        <f>IF(ROW()&lt;=(Results!$C$1/2)+1,VLOOKUP($A830,Data!$V$2:$W$117,2,TRUE),"")</f>
        <v/>
      </c>
      <c r="C830" s="14" t="str">
        <f>IF(ROW()&lt;=(Results!$C$1/2)+1,IF(B830&lt;=0,"",LN(B830)),"")</f>
        <v/>
      </c>
      <c r="D830" s="1" t="str">
        <f ca="1">IF(ROW()&lt;=(Results!$C$1/2)+1,INDEX(Data!$X:$X,CEILING((COUNTA(Data!$X:$X)-1)*RAND()+1,1)),"")</f>
        <v/>
      </c>
      <c r="E830" s="1" t="str">
        <f>IF(ROW()&lt;=(Results!$C$1/2)+1,VLOOKUP($D830,Data!$X$2:$Y$117,2,TRUE),"")</f>
        <v/>
      </c>
      <c r="F830" s="14" t="str">
        <f>IF(ROW()&lt;=(Results!$C$1/2)+1,IF(E830&lt;=0,"",LN(E830)),"")</f>
        <v/>
      </c>
    </row>
    <row r="831" spans="1:6" x14ac:dyDescent="0.25">
      <c r="A831" s="1" t="str">
        <f ca="1">IF(ROW()&lt;=(Results!$C$1/2)+1,INDEX(Data!$V:$V,CEILING((COUNTA(Data!$V:$V)-1)*RAND()+1,1)),"")</f>
        <v/>
      </c>
      <c r="B831" s="1" t="str">
        <f>IF(ROW()&lt;=(Results!$C$1/2)+1,VLOOKUP($A831,Data!$V$2:$W$117,2,TRUE),"")</f>
        <v/>
      </c>
      <c r="C831" s="14" t="str">
        <f>IF(ROW()&lt;=(Results!$C$1/2)+1,IF(B831&lt;=0,"",LN(B831)),"")</f>
        <v/>
      </c>
      <c r="D831" s="1" t="str">
        <f ca="1">IF(ROW()&lt;=(Results!$C$1/2)+1,INDEX(Data!$X:$X,CEILING((COUNTA(Data!$X:$X)-1)*RAND()+1,1)),"")</f>
        <v/>
      </c>
      <c r="E831" s="1" t="str">
        <f>IF(ROW()&lt;=(Results!$C$1/2)+1,VLOOKUP($D831,Data!$X$2:$Y$117,2,TRUE),"")</f>
        <v/>
      </c>
      <c r="F831" s="14" t="str">
        <f>IF(ROW()&lt;=(Results!$C$1/2)+1,IF(E831&lt;=0,"",LN(E831)),"")</f>
        <v/>
      </c>
    </row>
    <row r="832" spans="1:6" x14ac:dyDescent="0.25">
      <c r="A832" s="1" t="str">
        <f ca="1">IF(ROW()&lt;=(Results!$C$1/2)+1,INDEX(Data!$V:$V,CEILING((COUNTA(Data!$V:$V)-1)*RAND()+1,1)),"")</f>
        <v/>
      </c>
      <c r="B832" s="1" t="str">
        <f>IF(ROW()&lt;=(Results!$C$1/2)+1,VLOOKUP($A832,Data!$V$2:$W$117,2,TRUE),"")</f>
        <v/>
      </c>
      <c r="C832" s="14" t="str">
        <f>IF(ROW()&lt;=(Results!$C$1/2)+1,IF(B832&lt;=0,"",LN(B832)),"")</f>
        <v/>
      </c>
      <c r="D832" s="1" t="str">
        <f ca="1">IF(ROW()&lt;=(Results!$C$1/2)+1,INDEX(Data!$X:$X,CEILING((COUNTA(Data!$X:$X)-1)*RAND()+1,1)),"")</f>
        <v/>
      </c>
      <c r="E832" s="1" t="str">
        <f>IF(ROW()&lt;=(Results!$C$1/2)+1,VLOOKUP($D832,Data!$X$2:$Y$117,2,TRUE),"")</f>
        <v/>
      </c>
      <c r="F832" s="14" t="str">
        <f>IF(ROW()&lt;=(Results!$C$1/2)+1,IF(E832&lt;=0,"",LN(E832)),"")</f>
        <v/>
      </c>
    </row>
    <row r="833" spans="1:6" x14ac:dyDescent="0.25">
      <c r="A833" s="1" t="str">
        <f ca="1">IF(ROW()&lt;=(Results!$C$1/2)+1,INDEX(Data!$V:$V,CEILING((COUNTA(Data!$V:$V)-1)*RAND()+1,1)),"")</f>
        <v/>
      </c>
      <c r="B833" s="1" t="str">
        <f>IF(ROW()&lt;=(Results!$C$1/2)+1,VLOOKUP($A833,Data!$V$2:$W$117,2,TRUE),"")</f>
        <v/>
      </c>
      <c r="C833" s="14" t="str">
        <f>IF(ROW()&lt;=(Results!$C$1/2)+1,IF(B833&lt;=0,"",LN(B833)),"")</f>
        <v/>
      </c>
      <c r="D833" s="1" t="str">
        <f ca="1">IF(ROW()&lt;=(Results!$C$1/2)+1,INDEX(Data!$X:$X,CEILING((COUNTA(Data!$X:$X)-1)*RAND()+1,1)),"")</f>
        <v/>
      </c>
      <c r="E833" s="1" t="str">
        <f>IF(ROW()&lt;=(Results!$C$1/2)+1,VLOOKUP($D833,Data!$X$2:$Y$117,2,TRUE),"")</f>
        <v/>
      </c>
      <c r="F833" s="14" t="str">
        <f>IF(ROW()&lt;=(Results!$C$1/2)+1,IF(E833&lt;=0,"",LN(E833)),"")</f>
        <v/>
      </c>
    </row>
    <row r="834" spans="1:6" x14ac:dyDescent="0.25">
      <c r="A834" s="1" t="str">
        <f ca="1">IF(ROW()&lt;=(Results!$C$1/2)+1,INDEX(Data!$V:$V,CEILING((COUNTA(Data!$V:$V)-1)*RAND()+1,1)),"")</f>
        <v/>
      </c>
      <c r="B834" s="1" t="str">
        <f>IF(ROW()&lt;=(Results!$C$1/2)+1,VLOOKUP($A834,Data!$V$2:$W$117,2,TRUE),"")</f>
        <v/>
      </c>
      <c r="C834" s="14" t="str">
        <f>IF(ROW()&lt;=(Results!$C$1/2)+1,IF(B834&lt;=0,"",LN(B834)),"")</f>
        <v/>
      </c>
      <c r="D834" s="1" t="str">
        <f ca="1">IF(ROW()&lt;=(Results!$C$1/2)+1,INDEX(Data!$X:$X,CEILING((COUNTA(Data!$X:$X)-1)*RAND()+1,1)),"")</f>
        <v/>
      </c>
      <c r="E834" s="1" t="str">
        <f>IF(ROW()&lt;=(Results!$C$1/2)+1,VLOOKUP($D834,Data!$X$2:$Y$117,2,TRUE),"")</f>
        <v/>
      </c>
      <c r="F834" s="14" t="str">
        <f>IF(ROW()&lt;=(Results!$C$1/2)+1,IF(E834&lt;=0,"",LN(E834)),"")</f>
        <v/>
      </c>
    </row>
    <row r="835" spans="1:6" x14ac:dyDescent="0.25">
      <c r="A835" s="1" t="str">
        <f ca="1">IF(ROW()&lt;=(Results!$C$1/2)+1,INDEX(Data!$V:$V,CEILING((COUNTA(Data!$V:$V)-1)*RAND()+1,1)),"")</f>
        <v/>
      </c>
      <c r="B835" s="1" t="str">
        <f>IF(ROW()&lt;=(Results!$C$1/2)+1,VLOOKUP($A835,Data!$V$2:$W$117,2,TRUE),"")</f>
        <v/>
      </c>
      <c r="C835" s="14" t="str">
        <f>IF(ROW()&lt;=(Results!$C$1/2)+1,IF(B835&lt;=0,"",LN(B835)),"")</f>
        <v/>
      </c>
      <c r="D835" s="1" t="str">
        <f ca="1">IF(ROW()&lt;=(Results!$C$1/2)+1,INDEX(Data!$X:$X,CEILING((COUNTA(Data!$X:$X)-1)*RAND()+1,1)),"")</f>
        <v/>
      </c>
      <c r="E835" s="1" t="str">
        <f>IF(ROW()&lt;=(Results!$C$1/2)+1,VLOOKUP($D835,Data!$X$2:$Y$117,2,TRUE),"")</f>
        <v/>
      </c>
      <c r="F835" s="14" t="str">
        <f>IF(ROW()&lt;=(Results!$C$1/2)+1,IF(E835&lt;=0,"",LN(E835)),"")</f>
        <v/>
      </c>
    </row>
    <row r="836" spans="1:6" x14ac:dyDescent="0.25">
      <c r="A836" s="1" t="str">
        <f ca="1">IF(ROW()&lt;=(Results!$C$1/2)+1,INDEX(Data!$V:$V,CEILING((COUNTA(Data!$V:$V)-1)*RAND()+1,1)),"")</f>
        <v/>
      </c>
      <c r="B836" s="1" t="str">
        <f>IF(ROW()&lt;=(Results!$C$1/2)+1,VLOOKUP($A836,Data!$V$2:$W$117,2,TRUE),"")</f>
        <v/>
      </c>
      <c r="C836" s="14" t="str">
        <f>IF(ROW()&lt;=(Results!$C$1/2)+1,IF(B836&lt;=0,"",LN(B836)),"")</f>
        <v/>
      </c>
      <c r="D836" s="1" t="str">
        <f ca="1">IF(ROW()&lt;=(Results!$C$1/2)+1,INDEX(Data!$X:$X,CEILING((COUNTA(Data!$X:$X)-1)*RAND()+1,1)),"")</f>
        <v/>
      </c>
      <c r="E836" s="1" t="str">
        <f>IF(ROW()&lt;=(Results!$C$1/2)+1,VLOOKUP($D836,Data!$X$2:$Y$117,2,TRUE),"")</f>
        <v/>
      </c>
      <c r="F836" s="14" t="str">
        <f>IF(ROW()&lt;=(Results!$C$1/2)+1,IF(E836&lt;=0,"",LN(E836)),"")</f>
        <v/>
      </c>
    </row>
    <row r="837" spans="1:6" x14ac:dyDescent="0.25">
      <c r="A837" s="1" t="str">
        <f ca="1">IF(ROW()&lt;=(Results!$C$1/2)+1,INDEX(Data!$V:$V,CEILING((COUNTA(Data!$V:$V)-1)*RAND()+1,1)),"")</f>
        <v/>
      </c>
      <c r="B837" s="1" t="str">
        <f>IF(ROW()&lt;=(Results!$C$1/2)+1,VLOOKUP($A837,Data!$V$2:$W$117,2,TRUE),"")</f>
        <v/>
      </c>
      <c r="C837" s="14" t="str">
        <f>IF(ROW()&lt;=(Results!$C$1/2)+1,IF(B837&lt;=0,"",LN(B837)),"")</f>
        <v/>
      </c>
      <c r="D837" s="1" t="str">
        <f ca="1">IF(ROW()&lt;=(Results!$C$1/2)+1,INDEX(Data!$X:$X,CEILING((COUNTA(Data!$X:$X)-1)*RAND()+1,1)),"")</f>
        <v/>
      </c>
      <c r="E837" s="1" t="str">
        <f>IF(ROW()&lt;=(Results!$C$1/2)+1,VLOOKUP($D837,Data!$X$2:$Y$117,2,TRUE),"")</f>
        <v/>
      </c>
      <c r="F837" s="14" t="str">
        <f>IF(ROW()&lt;=(Results!$C$1/2)+1,IF(E837&lt;=0,"",LN(E837)),"")</f>
        <v/>
      </c>
    </row>
    <row r="838" spans="1:6" x14ac:dyDescent="0.25">
      <c r="A838" s="1" t="str">
        <f ca="1">IF(ROW()&lt;=(Results!$C$1/2)+1,INDEX(Data!$V:$V,CEILING((COUNTA(Data!$V:$V)-1)*RAND()+1,1)),"")</f>
        <v/>
      </c>
      <c r="B838" s="1" t="str">
        <f>IF(ROW()&lt;=(Results!$C$1/2)+1,VLOOKUP($A838,Data!$V$2:$W$117,2,TRUE),"")</f>
        <v/>
      </c>
      <c r="C838" s="14" t="str">
        <f>IF(ROW()&lt;=(Results!$C$1/2)+1,IF(B838&lt;=0,"",LN(B838)),"")</f>
        <v/>
      </c>
      <c r="D838" s="1" t="str">
        <f ca="1">IF(ROW()&lt;=(Results!$C$1/2)+1,INDEX(Data!$X:$X,CEILING((COUNTA(Data!$X:$X)-1)*RAND()+1,1)),"")</f>
        <v/>
      </c>
      <c r="E838" s="1" t="str">
        <f>IF(ROW()&lt;=(Results!$C$1/2)+1,VLOOKUP($D838,Data!$X$2:$Y$117,2,TRUE),"")</f>
        <v/>
      </c>
      <c r="F838" s="14" t="str">
        <f>IF(ROW()&lt;=(Results!$C$1/2)+1,IF(E838&lt;=0,"",LN(E838)),"")</f>
        <v/>
      </c>
    </row>
    <row r="839" spans="1:6" x14ac:dyDescent="0.25">
      <c r="A839" s="1" t="str">
        <f ca="1">IF(ROW()&lt;=(Results!$C$1/2)+1,INDEX(Data!$V:$V,CEILING((COUNTA(Data!$V:$V)-1)*RAND()+1,1)),"")</f>
        <v/>
      </c>
      <c r="B839" s="1" t="str">
        <f>IF(ROW()&lt;=(Results!$C$1/2)+1,VLOOKUP($A839,Data!$V$2:$W$117,2,TRUE),"")</f>
        <v/>
      </c>
      <c r="C839" s="14" t="str">
        <f>IF(ROW()&lt;=(Results!$C$1/2)+1,IF(B839&lt;=0,"",LN(B839)),"")</f>
        <v/>
      </c>
      <c r="D839" s="1" t="str">
        <f ca="1">IF(ROW()&lt;=(Results!$C$1/2)+1,INDEX(Data!$X:$X,CEILING((COUNTA(Data!$X:$X)-1)*RAND()+1,1)),"")</f>
        <v/>
      </c>
      <c r="E839" s="1" t="str">
        <f>IF(ROW()&lt;=(Results!$C$1/2)+1,VLOOKUP($D839,Data!$X$2:$Y$117,2,TRUE),"")</f>
        <v/>
      </c>
      <c r="F839" s="14" t="str">
        <f>IF(ROW()&lt;=(Results!$C$1/2)+1,IF(E839&lt;=0,"",LN(E839)),"")</f>
        <v/>
      </c>
    </row>
    <row r="840" spans="1:6" x14ac:dyDescent="0.25">
      <c r="A840" s="1" t="str">
        <f ca="1">IF(ROW()&lt;=(Results!$C$1/2)+1,INDEX(Data!$V:$V,CEILING((COUNTA(Data!$V:$V)-1)*RAND()+1,1)),"")</f>
        <v/>
      </c>
      <c r="B840" s="1" t="str">
        <f>IF(ROW()&lt;=(Results!$C$1/2)+1,VLOOKUP($A840,Data!$V$2:$W$117,2,TRUE),"")</f>
        <v/>
      </c>
      <c r="C840" s="14" t="str">
        <f>IF(ROW()&lt;=(Results!$C$1/2)+1,IF(B840&lt;=0,"",LN(B840)),"")</f>
        <v/>
      </c>
      <c r="D840" s="1" t="str">
        <f ca="1">IF(ROW()&lt;=(Results!$C$1/2)+1,INDEX(Data!$X:$X,CEILING((COUNTA(Data!$X:$X)-1)*RAND()+1,1)),"")</f>
        <v/>
      </c>
      <c r="E840" s="1" t="str">
        <f>IF(ROW()&lt;=(Results!$C$1/2)+1,VLOOKUP($D840,Data!$X$2:$Y$117,2,TRUE),"")</f>
        <v/>
      </c>
      <c r="F840" s="14" t="str">
        <f>IF(ROW()&lt;=(Results!$C$1/2)+1,IF(E840&lt;=0,"",LN(E840)),"")</f>
        <v/>
      </c>
    </row>
    <row r="841" spans="1:6" x14ac:dyDescent="0.25">
      <c r="A841" s="1" t="str">
        <f ca="1">IF(ROW()&lt;=(Results!$C$1/2)+1,INDEX(Data!$V:$V,CEILING((COUNTA(Data!$V:$V)-1)*RAND()+1,1)),"")</f>
        <v/>
      </c>
      <c r="B841" s="1" t="str">
        <f>IF(ROW()&lt;=(Results!$C$1/2)+1,VLOOKUP($A841,Data!$V$2:$W$117,2,TRUE),"")</f>
        <v/>
      </c>
      <c r="C841" s="14" t="str">
        <f>IF(ROW()&lt;=(Results!$C$1/2)+1,IF(B841&lt;=0,"",LN(B841)),"")</f>
        <v/>
      </c>
      <c r="D841" s="1" t="str">
        <f ca="1">IF(ROW()&lt;=(Results!$C$1/2)+1,INDEX(Data!$X:$X,CEILING((COUNTA(Data!$X:$X)-1)*RAND()+1,1)),"")</f>
        <v/>
      </c>
      <c r="E841" s="1" t="str">
        <f>IF(ROW()&lt;=(Results!$C$1/2)+1,VLOOKUP($D841,Data!$X$2:$Y$117,2,TRUE),"")</f>
        <v/>
      </c>
      <c r="F841" s="14" t="str">
        <f>IF(ROW()&lt;=(Results!$C$1/2)+1,IF(E841&lt;=0,"",LN(E841)),"")</f>
        <v/>
      </c>
    </row>
    <row r="842" spans="1:6" x14ac:dyDescent="0.25">
      <c r="A842" s="1" t="str">
        <f ca="1">IF(ROW()&lt;=(Results!$C$1/2)+1,INDEX(Data!$V:$V,CEILING((COUNTA(Data!$V:$V)-1)*RAND()+1,1)),"")</f>
        <v/>
      </c>
      <c r="B842" s="1" t="str">
        <f>IF(ROW()&lt;=(Results!$C$1/2)+1,VLOOKUP($A842,Data!$V$2:$W$117,2,TRUE),"")</f>
        <v/>
      </c>
      <c r="C842" s="14" t="str">
        <f>IF(ROW()&lt;=(Results!$C$1/2)+1,IF(B842&lt;=0,"",LN(B842)),"")</f>
        <v/>
      </c>
      <c r="D842" s="1" t="str">
        <f ca="1">IF(ROW()&lt;=(Results!$C$1/2)+1,INDEX(Data!$X:$X,CEILING((COUNTA(Data!$X:$X)-1)*RAND()+1,1)),"")</f>
        <v/>
      </c>
      <c r="E842" s="1" t="str">
        <f>IF(ROW()&lt;=(Results!$C$1/2)+1,VLOOKUP($D842,Data!$X$2:$Y$117,2,TRUE),"")</f>
        <v/>
      </c>
      <c r="F842" s="14" t="str">
        <f>IF(ROW()&lt;=(Results!$C$1/2)+1,IF(E842&lt;=0,"",LN(E842)),"")</f>
        <v/>
      </c>
    </row>
    <row r="843" spans="1:6" x14ac:dyDescent="0.25">
      <c r="A843" s="1" t="str">
        <f ca="1">IF(ROW()&lt;=(Results!$C$1/2)+1,INDEX(Data!$V:$V,CEILING((COUNTA(Data!$V:$V)-1)*RAND()+1,1)),"")</f>
        <v/>
      </c>
      <c r="B843" s="1" t="str">
        <f>IF(ROW()&lt;=(Results!$C$1/2)+1,VLOOKUP($A843,Data!$V$2:$W$117,2,TRUE),"")</f>
        <v/>
      </c>
      <c r="C843" s="14" t="str">
        <f>IF(ROW()&lt;=(Results!$C$1/2)+1,IF(B843&lt;=0,"",LN(B843)),"")</f>
        <v/>
      </c>
      <c r="D843" s="1" t="str">
        <f ca="1">IF(ROW()&lt;=(Results!$C$1/2)+1,INDEX(Data!$X:$X,CEILING((COUNTA(Data!$X:$X)-1)*RAND()+1,1)),"")</f>
        <v/>
      </c>
      <c r="E843" s="1" t="str">
        <f>IF(ROW()&lt;=(Results!$C$1/2)+1,VLOOKUP($D843,Data!$X$2:$Y$117,2,TRUE),"")</f>
        <v/>
      </c>
      <c r="F843" s="14" t="str">
        <f>IF(ROW()&lt;=(Results!$C$1/2)+1,IF(E843&lt;=0,"",LN(E843)),"")</f>
        <v/>
      </c>
    </row>
    <row r="844" spans="1:6" x14ac:dyDescent="0.25">
      <c r="A844" s="1" t="str">
        <f ca="1">IF(ROW()&lt;=(Results!$C$1/2)+1,INDEX(Data!$V:$V,CEILING((COUNTA(Data!$V:$V)-1)*RAND()+1,1)),"")</f>
        <v/>
      </c>
      <c r="B844" s="1" t="str">
        <f>IF(ROW()&lt;=(Results!$C$1/2)+1,VLOOKUP($A844,Data!$V$2:$W$117,2,TRUE),"")</f>
        <v/>
      </c>
      <c r="C844" s="14" t="str">
        <f>IF(ROW()&lt;=(Results!$C$1/2)+1,IF(B844&lt;=0,"",LN(B844)),"")</f>
        <v/>
      </c>
      <c r="D844" s="1" t="str">
        <f ca="1">IF(ROW()&lt;=(Results!$C$1/2)+1,INDEX(Data!$X:$X,CEILING((COUNTA(Data!$X:$X)-1)*RAND()+1,1)),"")</f>
        <v/>
      </c>
      <c r="E844" s="1" t="str">
        <f>IF(ROW()&lt;=(Results!$C$1/2)+1,VLOOKUP($D844,Data!$X$2:$Y$117,2,TRUE),"")</f>
        <v/>
      </c>
      <c r="F844" s="14" t="str">
        <f>IF(ROW()&lt;=(Results!$C$1/2)+1,IF(E844&lt;=0,"",LN(E844)),"")</f>
        <v/>
      </c>
    </row>
    <row r="845" spans="1:6" x14ac:dyDescent="0.25">
      <c r="A845" s="1" t="str">
        <f ca="1">IF(ROW()&lt;=(Results!$C$1/2)+1,INDEX(Data!$V:$V,CEILING((COUNTA(Data!$V:$V)-1)*RAND()+1,1)),"")</f>
        <v/>
      </c>
      <c r="B845" s="1" t="str">
        <f>IF(ROW()&lt;=(Results!$C$1/2)+1,VLOOKUP($A845,Data!$V$2:$W$117,2,TRUE),"")</f>
        <v/>
      </c>
      <c r="C845" s="14" t="str">
        <f>IF(ROW()&lt;=(Results!$C$1/2)+1,IF(B845&lt;=0,"",LN(B845)),"")</f>
        <v/>
      </c>
      <c r="D845" s="1" t="str">
        <f ca="1">IF(ROW()&lt;=(Results!$C$1/2)+1,INDEX(Data!$X:$X,CEILING((COUNTA(Data!$X:$X)-1)*RAND()+1,1)),"")</f>
        <v/>
      </c>
      <c r="E845" s="1" t="str">
        <f>IF(ROW()&lt;=(Results!$C$1/2)+1,VLOOKUP($D845,Data!$X$2:$Y$117,2,TRUE),"")</f>
        <v/>
      </c>
      <c r="F845" s="14" t="str">
        <f>IF(ROW()&lt;=(Results!$C$1/2)+1,IF(E845&lt;=0,"",LN(E845)),"")</f>
        <v/>
      </c>
    </row>
    <row r="846" spans="1:6" x14ac:dyDescent="0.25">
      <c r="A846" s="1" t="str">
        <f ca="1">IF(ROW()&lt;=(Results!$C$1/2)+1,INDEX(Data!$V:$V,CEILING((COUNTA(Data!$V:$V)-1)*RAND()+1,1)),"")</f>
        <v/>
      </c>
      <c r="B846" s="1" t="str">
        <f>IF(ROW()&lt;=(Results!$C$1/2)+1,VLOOKUP($A846,Data!$V$2:$W$117,2,TRUE),"")</f>
        <v/>
      </c>
      <c r="C846" s="14" t="str">
        <f>IF(ROW()&lt;=(Results!$C$1/2)+1,IF(B846&lt;=0,"",LN(B846)),"")</f>
        <v/>
      </c>
      <c r="D846" s="1" t="str">
        <f ca="1">IF(ROW()&lt;=(Results!$C$1/2)+1,INDEX(Data!$X:$X,CEILING((COUNTA(Data!$X:$X)-1)*RAND()+1,1)),"")</f>
        <v/>
      </c>
      <c r="E846" s="1" t="str">
        <f>IF(ROW()&lt;=(Results!$C$1/2)+1,VLOOKUP($D846,Data!$X$2:$Y$117,2,TRUE),"")</f>
        <v/>
      </c>
      <c r="F846" s="14" t="str">
        <f>IF(ROW()&lt;=(Results!$C$1/2)+1,IF(E846&lt;=0,"",LN(E846)),"")</f>
        <v/>
      </c>
    </row>
    <row r="847" spans="1:6" x14ac:dyDescent="0.25">
      <c r="A847" s="1" t="str">
        <f ca="1">IF(ROW()&lt;=(Results!$C$1/2)+1,INDEX(Data!$V:$V,CEILING((COUNTA(Data!$V:$V)-1)*RAND()+1,1)),"")</f>
        <v/>
      </c>
      <c r="B847" s="1" t="str">
        <f>IF(ROW()&lt;=(Results!$C$1/2)+1,VLOOKUP($A847,Data!$V$2:$W$117,2,TRUE),"")</f>
        <v/>
      </c>
      <c r="C847" s="14" t="str">
        <f>IF(ROW()&lt;=(Results!$C$1/2)+1,IF(B847&lt;=0,"",LN(B847)),"")</f>
        <v/>
      </c>
      <c r="D847" s="1" t="str">
        <f ca="1">IF(ROW()&lt;=(Results!$C$1/2)+1,INDEX(Data!$X:$X,CEILING((COUNTA(Data!$X:$X)-1)*RAND()+1,1)),"")</f>
        <v/>
      </c>
      <c r="E847" s="1" t="str">
        <f>IF(ROW()&lt;=(Results!$C$1/2)+1,VLOOKUP($D847,Data!$X$2:$Y$117,2,TRUE),"")</f>
        <v/>
      </c>
      <c r="F847" s="14" t="str">
        <f>IF(ROW()&lt;=(Results!$C$1/2)+1,IF(E847&lt;=0,"",LN(E847)),"")</f>
        <v/>
      </c>
    </row>
    <row r="848" spans="1:6" x14ac:dyDescent="0.25">
      <c r="A848" s="1" t="str">
        <f ca="1">IF(ROW()&lt;=(Results!$C$1/2)+1,INDEX(Data!$V:$V,CEILING((COUNTA(Data!$V:$V)-1)*RAND()+1,1)),"")</f>
        <v/>
      </c>
      <c r="B848" s="1" t="str">
        <f>IF(ROW()&lt;=(Results!$C$1/2)+1,VLOOKUP($A848,Data!$V$2:$W$117,2,TRUE),"")</f>
        <v/>
      </c>
      <c r="C848" s="14" t="str">
        <f>IF(ROW()&lt;=(Results!$C$1/2)+1,IF(B848&lt;=0,"",LN(B848)),"")</f>
        <v/>
      </c>
      <c r="D848" s="1" t="str">
        <f ca="1">IF(ROW()&lt;=(Results!$C$1/2)+1,INDEX(Data!$X:$X,CEILING((COUNTA(Data!$X:$X)-1)*RAND()+1,1)),"")</f>
        <v/>
      </c>
      <c r="E848" s="1" t="str">
        <f>IF(ROW()&lt;=(Results!$C$1/2)+1,VLOOKUP($D848,Data!$X$2:$Y$117,2,TRUE),"")</f>
        <v/>
      </c>
      <c r="F848" s="14" t="str">
        <f>IF(ROW()&lt;=(Results!$C$1/2)+1,IF(E848&lt;=0,"",LN(E848)),"")</f>
        <v/>
      </c>
    </row>
    <row r="849" spans="1:6" x14ac:dyDescent="0.25">
      <c r="A849" s="1" t="str">
        <f ca="1">IF(ROW()&lt;=(Results!$C$1/2)+1,INDEX(Data!$V:$V,CEILING((COUNTA(Data!$V:$V)-1)*RAND()+1,1)),"")</f>
        <v/>
      </c>
      <c r="B849" s="1" t="str">
        <f>IF(ROW()&lt;=(Results!$C$1/2)+1,VLOOKUP($A849,Data!$V$2:$W$117,2,TRUE),"")</f>
        <v/>
      </c>
      <c r="C849" s="14" t="str">
        <f>IF(ROW()&lt;=(Results!$C$1/2)+1,IF(B849&lt;=0,"",LN(B849)),"")</f>
        <v/>
      </c>
      <c r="D849" s="1" t="str">
        <f ca="1">IF(ROW()&lt;=(Results!$C$1/2)+1,INDEX(Data!$X:$X,CEILING((COUNTA(Data!$X:$X)-1)*RAND()+1,1)),"")</f>
        <v/>
      </c>
      <c r="E849" s="1" t="str">
        <f>IF(ROW()&lt;=(Results!$C$1/2)+1,VLOOKUP($D849,Data!$X$2:$Y$117,2,TRUE),"")</f>
        <v/>
      </c>
      <c r="F849" s="14" t="str">
        <f>IF(ROW()&lt;=(Results!$C$1/2)+1,IF(E849&lt;=0,"",LN(E849)),"")</f>
        <v/>
      </c>
    </row>
    <row r="850" spans="1:6" x14ac:dyDescent="0.25">
      <c r="A850" s="1" t="str">
        <f ca="1">IF(ROW()&lt;=(Results!$C$1/2)+1,INDEX(Data!$V:$V,CEILING((COUNTA(Data!$V:$V)-1)*RAND()+1,1)),"")</f>
        <v/>
      </c>
      <c r="B850" s="1" t="str">
        <f>IF(ROW()&lt;=(Results!$C$1/2)+1,VLOOKUP($A850,Data!$V$2:$W$117,2,TRUE),"")</f>
        <v/>
      </c>
      <c r="C850" s="14" t="str">
        <f>IF(ROW()&lt;=(Results!$C$1/2)+1,IF(B850&lt;=0,"",LN(B850)),"")</f>
        <v/>
      </c>
      <c r="D850" s="1" t="str">
        <f ca="1">IF(ROW()&lt;=(Results!$C$1/2)+1,INDEX(Data!$X:$X,CEILING((COUNTA(Data!$X:$X)-1)*RAND()+1,1)),"")</f>
        <v/>
      </c>
      <c r="E850" s="1" t="str">
        <f>IF(ROW()&lt;=(Results!$C$1/2)+1,VLOOKUP($D850,Data!$X$2:$Y$117,2,TRUE),"")</f>
        <v/>
      </c>
      <c r="F850" s="14" t="str">
        <f>IF(ROW()&lt;=(Results!$C$1/2)+1,IF(E850&lt;=0,"",LN(E850)),"")</f>
        <v/>
      </c>
    </row>
    <row r="851" spans="1:6" x14ac:dyDescent="0.25">
      <c r="A851" s="1" t="str">
        <f ca="1">IF(ROW()&lt;=(Results!$C$1/2)+1,INDEX(Data!$V:$V,CEILING((COUNTA(Data!$V:$V)-1)*RAND()+1,1)),"")</f>
        <v/>
      </c>
      <c r="B851" s="1" t="str">
        <f>IF(ROW()&lt;=(Results!$C$1/2)+1,VLOOKUP($A851,Data!$V$2:$W$117,2,TRUE),"")</f>
        <v/>
      </c>
      <c r="C851" s="14" t="str">
        <f>IF(ROW()&lt;=(Results!$C$1/2)+1,IF(B851&lt;=0,"",LN(B851)),"")</f>
        <v/>
      </c>
      <c r="D851" s="1" t="str">
        <f ca="1">IF(ROW()&lt;=(Results!$C$1/2)+1,INDEX(Data!$X:$X,CEILING((COUNTA(Data!$X:$X)-1)*RAND()+1,1)),"")</f>
        <v/>
      </c>
      <c r="E851" s="1" t="str">
        <f>IF(ROW()&lt;=(Results!$C$1/2)+1,VLOOKUP($D851,Data!$X$2:$Y$117,2,TRUE),"")</f>
        <v/>
      </c>
      <c r="F851" s="14" t="str">
        <f>IF(ROW()&lt;=(Results!$C$1/2)+1,IF(E851&lt;=0,"",LN(E851)),"")</f>
        <v/>
      </c>
    </row>
    <row r="852" spans="1:6" x14ac:dyDescent="0.25">
      <c r="A852" s="1" t="str">
        <f ca="1">IF(ROW()&lt;=(Results!$C$1/2)+1,INDEX(Data!$V:$V,CEILING((COUNTA(Data!$V:$V)-1)*RAND()+1,1)),"")</f>
        <v/>
      </c>
      <c r="B852" s="1" t="str">
        <f>IF(ROW()&lt;=(Results!$C$1/2)+1,VLOOKUP($A852,Data!$V$2:$W$117,2,TRUE),"")</f>
        <v/>
      </c>
      <c r="C852" s="14" t="str">
        <f>IF(ROW()&lt;=(Results!$C$1/2)+1,IF(B852&lt;=0,"",LN(B852)),"")</f>
        <v/>
      </c>
      <c r="D852" s="1" t="str">
        <f ca="1">IF(ROW()&lt;=(Results!$C$1/2)+1,INDEX(Data!$X:$X,CEILING((COUNTA(Data!$X:$X)-1)*RAND()+1,1)),"")</f>
        <v/>
      </c>
      <c r="E852" s="1" t="str">
        <f>IF(ROW()&lt;=(Results!$C$1/2)+1,VLOOKUP($D852,Data!$X$2:$Y$117,2,TRUE),"")</f>
        <v/>
      </c>
      <c r="F852" s="14" t="str">
        <f>IF(ROW()&lt;=(Results!$C$1/2)+1,IF(E852&lt;=0,"",LN(E852)),"")</f>
        <v/>
      </c>
    </row>
    <row r="853" spans="1:6" x14ac:dyDescent="0.25">
      <c r="A853" s="1" t="str">
        <f ca="1">IF(ROW()&lt;=(Results!$C$1/2)+1,INDEX(Data!$V:$V,CEILING((COUNTA(Data!$V:$V)-1)*RAND()+1,1)),"")</f>
        <v/>
      </c>
      <c r="B853" s="1" t="str">
        <f>IF(ROW()&lt;=(Results!$C$1/2)+1,VLOOKUP($A853,Data!$V$2:$W$117,2,TRUE),"")</f>
        <v/>
      </c>
      <c r="C853" s="14" t="str">
        <f>IF(ROW()&lt;=(Results!$C$1/2)+1,IF(B853&lt;=0,"",LN(B853)),"")</f>
        <v/>
      </c>
      <c r="D853" s="1" t="str">
        <f ca="1">IF(ROW()&lt;=(Results!$C$1/2)+1,INDEX(Data!$X:$X,CEILING((COUNTA(Data!$X:$X)-1)*RAND()+1,1)),"")</f>
        <v/>
      </c>
      <c r="E853" s="1" t="str">
        <f>IF(ROW()&lt;=(Results!$C$1/2)+1,VLOOKUP($D853,Data!$X$2:$Y$117,2,TRUE),"")</f>
        <v/>
      </c>
      <c r="F853" s="14" t="str">
        <f>IF(ROW()&lt;=(Results!$C$1/2)+1,IF(E853&lt;=0,"",LN(E853)),"")</f>
        <v/>
      </c>
    </row>
    <row r="854" spans="1:6" x14ac:dyDescent="0.25">
      <c r="A854" s="1" t="str">
        <f ca="1">IF(ROW()&lt;=(Results!$C$1/2)+1,INDEX(Data!$V:$V,CEILING((COUNTA(Data!$V:$V)-1)*RAND()+1,1)),"")</f>
        <v/>
      </c>
      <c r="B854" s="1" t="str">
        <f>IF(ROW()&lt;=(Results!$C$1/2)+1,VLOOKUP($A854,Data!$V$2:$W$117,2,TRUE),"")</f>
        <v/>
      </c>
      <c r="C854" s="14" t="str">
        <f>IF(ROW()&lt;=(Results!$C$1/2)+1,IF(B854&lt;=0,"",LN(B854)),"")</f>
        <v/>
      </c>
      <c r="D854" s="1" t="str">
        <f ca="1">IF(ROW()&lt;=(Results!$C$1/2)+1,INDEX(Data!$X:$X,CEILING((COUNTA(Data!$X:$X)-1)*RAND()+1,1)),"")</f>
        <v/>
      </c>
      <c r="E854" s="1" t="str">
        <f>IF(ROW()&lt;=(Results!$C$1/2)+1,VLOOKUP($D854,Data!$X$2:$Y$117,2,TRUE),"")</f>
        <v/>
      </c>
      <c r="F854" s="14" t="str">
        <f>IF(ROW()&lt;=(Results!$C$1/2)+1,IF(E854&lt;=0,"",LN(E854)),"")</f>
        <v/>
      </c>
    </row>
    <row r="855" spans="1:6" x14ac:dyDescent="0.25">
      <c r="A855" s="1" t="str">
        <f ca="1">IF(ROW()&lt;=(Results!$C$1/2)+1,INDEX(Data!$V:$V,CEILING((COUNTA(Data!$V:$V)-1)*RAND()+1,1)),"")</f>
        <v/>
      </c>
      <c r="B855" s="1" t="str">
        <f>IF(ROW()&lt;=(Results!$C$1/2)+1,VLOOKUP($A855,Data!$V$2:$W$117,2,TRUE),"")</f>
        <v/>
      </c>
      <c r="C855" s="14" t="str">
        <f>IF(ROW()&lt;=(Results!$C$1/2)+1,IF(B855&lt;=0,"",LN(B855)),"")</f>
        <v/>
      </c>
      <c r="D855" s="1" t="str">
        <f ca="1">IF(ROW()&lt;=(Results!$C$1/2)+1,INDEX(Data!$X:$X,CEILING((COUNTA(Data!$X:$X)-1)*RAND()+1,1)),"")</f>
        <v/>
      </c>
      <c r="E855" s="1" t="str">
        <f>IF(ROW()&lt;=(Results!$C$1/2)+1,VLOOKUP($D855,Data!$X$2:$Y$117,2,TRUE),"")</f>
        <v/>
      </c>
      <c r="F855" s="14" t="str">
        <f>IF(ROW()&lt;=(Results!$C$1/2)+1,IF(E855&lt;=0,"",LN(E855)),"")</f>
        <v/>
      </c>
    </row>
    <row r="856" spans="1:6" x14ac:dyDescent="0.25">
      <c r="A856" s="1" t="str">
        <f ca="1">IF(ROW()&lt;=(Results!$C$1/2)+1,INDEX(Data!$V:$V,CEILING((COUNTA(Data!$V:$V)-1)*RAND()+1,1)),"")</f>
        <v/>
      </c>
      <c r="B856" s="1" t="str">
        <f>IF(ROW()&lt;=(Results!$C$1/2)+1,VLOOKUP($A856,Data!$V$2:$W$117,2,TRUE),"")</f>
        <v/>
      </c>
      <c r="C856" s="14" t="str">
        <f>IF(ROW()&lt;=(Results!$C$1/2)+1,IF(B856&lt;=0,"",LN(B856)),"")</f>
        <v/>
      </c>
      <c r="D856" s="1" t="str">
        <f ca="1">IF(ROW()&lt;=(Results!$C$1/2)+1,INDEX(Data!$X:$X,CEILING((COUNTA(Data!$X:$X)-1)*RAND()+1,1)),"")</f>
        <v/>
      </c>
      <c r="E856" s="1" t="str">
        <f>IF(ROW()&lt;=(Results!$C$1/2)+1,VLOOKUP($D856,Data!$X$2:$Y$117,2,TRUE),"")</f>
        <v/>
      </c>
      <c r="F856" s="14" t="str">
        <f>IF(ROW()&lt;=(Results!$C$1/2)+1,IF(E856&lt;=0,"",LN(E856)),"")</f>
        <v/>
      </c>
    </row>
    <row r="857" spans="1:6" x14ac:dyDescent="0.25">
      <c r="A857" s="1" t="str">
        <f ca="1">IF(ROW()&lt;=(Results!$C$1/2)+1,INDEX(Data!$V:$V,CEILING((COUNTA(Data!$V:$V)-1)*RAND()+1,1)),"")</f>
        <v/>
      </c>
      <c r="B857" s="1" t="str">
        <f>IF(ROW()&lt;=(Results!$C$1/2)+1,VLOOKUP($A857,Data!$V$2:$W$117,2,TRUE),"")</f>
        <v/>
      </c>
      <c r="C857" s="14" t="str">
        <f>IF(ROW()&lt;=(Results!$C$1/2)+1,IF(B857&lt;=0,"",LN(B857)),"")</f>
        <v/>
      </c>
      <c r="D857" s="1" t="str">
        <f ca="1">IF(ROW()&lt;=(Results!$C$1/2)+1,INDEX(Data!$X:$X,CEILING((COUNTA(Data!$X:$X)-1)*RAND()+1,1)),"")</f>
        <v/>
      </c>
      <c r="E857" s="1" t="str">
        <f>IF(ROW()&lt;=(Results!$C$1/2)+1,VLOOKUP($D857,Data!$X$2:$Y$117,2,TRUE),"")</f>
        <v/>
      </c>
      <c r="F857" s="14" t="str">
        <f>IF(ROW()&lt;=(Results!$C$1/2)+1,IF(E857&lt;=0,"",LN(E857)),"")</f>
        <v/>
      </c>
    </row>
    <row r="858" spans="1:6" x14ac:dyDescent="0.25">
      <c r="A858" s="1" t="str">
        <f ca="1">IF(ROW()&lt;=(Results!$C$1/2)+1,INDEX(Data!$V:$V,CEILING((COUNTA(Data!$V:$V)-1)*RAND()+1,1)),"")</f>
        <v/>
      </c>
      <c r="B858" s="1" t="str">
        <f>IF(ROW()&lt;=(Results!$C$1/2)+1,VLOOKUP($A858,Data!$V$2:$W$117,2,TRUE),"")</f>
        <v/>
      </c>
      <c r="C858" s="14" t="str">
        <f>IF(ROW()&lt;=(Results!$C$1/2)+1,IF(B858&lt;=0,"",LN(B858)),"")</f>
        <v/>
      </c>
      <c r="D858" s="1" t="str">
        <f ca="1">IF(ROW()&lt;=(Results!$C$1/2)+1,INDEX(Data!$X:$X,CEILING((COUNTA(Data!$X:$X)-1)*RAND()+1,1)),"")</f>
        <v/>
      </c>
      <c r="E858" s="1" t="str">
        <f>IF(ROW()&lt;=(Results!$C$1/2)+1,VLOOKUP($D858,Data!$X$2:$Y$117,2,TRUE),"")</f>
        <v/>
      </c>
      <c r="F858" s="14" t="str">
        <f>IF(ROW()&lt;=(Results!$C$1/2)+1,IF(E858&lt;=0,"",LN(E858)),"")</f>
        <v/>
      </c>
    </row>
    <row r="859" spans="1:6" x14ac:dyDescent="0.25">
      <c r="A859" s="1" t="str">
        <f ca="1">IF(ROW()&lt;=(Results!$C$1/2)+1,INDEX(Data!$V:$V,CEILING((COUNTA(Data!$V:$V)-1)*RAND()+1,1)),"")</f>
        <v/>
      </c>
      <c r="B859" s="1" t="str">
        <f>IF(ROW()&lt;=(Results!$C$1/2)+1,VLOOKUP($A859,Data!$V$2:$W$117,2,TRUE),"")</f>
        <v/>
      </c>
      <c r="C859" s="14" t="str">
        <f>IF(ROW()&lt;=(Results!$C$1/2)+1,IF(B859&lt;=0,"",LN(B859)),"")</f>
        <v/>
      </c>
      <c r="D859" s="1" t="str">
        <f ca="1">IF(ROW()&lt;=(Results!$C$1/2)+1,INDEX(Data!$X:$X,CEILING((COUNTA(Data!$X:$X)-1)*RAND()+1,1)),"")</f>
        <v/>
      </c>
      <c r="E859" s="1" t="str">
        <f>IF(ROW()&lt;=(Results!$C$1/2)+1,VLOOKUP($D859,Data!$X$2:$Y$117,2,TRUE),"")</f>
        <v/>
      </c>
      <c r="F859" s="14" t="str">
        <f>IF(ROW()&lt;=(Results!$C$1/2)+1,IF(E859&lt;=0,"",LN(E859)),"")</f>
        <v/>
      </c>
    </row>
    <row r="860" spans="1:6" x14ac:dyDescent="0.25">
      <c r="A860" s="1" t="str">
        <f ca="1">IF(ROW()&lt;=(Results!$C$1/2)+1,INDEX(Data!$V:$V,CEILING((COUNTA(Data!$V:$V)-1)*RAND()+1,1)),"")</f>
        <v/>
      </c>
      <c r="B860" s="1" t="str">
        <f>IF(ROW()&lt;=(Results!$C$1/2)+1,VLOOKUP($A860,Data!$V$2:$W$117,2,TRUE),"")</f>
        <v/>
      </c>
      <c r="C860" s="14" t="str">
        <f>IF(ROW()&lt;=(Results!$C$1/2)+1,IF(B860&lt;=0,"",LN(B860)),"")</f>
        <v/>
      </c>
      <c r="D860" s="1" t="str">
        <f ca="1">IF(ROW()&lt;=(Results!$C$1/2)+1,INDEX(Data!$X:$X,CEILING((COUNTA(Data!$X:$X)-1)*RAND()+1,1)),"")</f>
        <v/>
      </c>
      <c r="E860" s="1" t="str">
        <f>IF(ROW()&lt;=(Results!$C$1/2)+1,VLOOKUP($D860,Data!$X$2:$Y$117,2,TRUE),"")</f>
        <v/>
      </c>
      <c r="F860" s="14" t="str">
        <f>IF(ROW()&lt;=(Results!$C$1/2)+1,IF(E860&lt;=0,"",LN(E860)),"")</f>
        <v/>
      </c>
    </row>
    <row r="861" spans="1:6" x14ac:dyDescent="0.25">
      <c r="A861" s="1" t="str">
        <f ca="1">IF(ROW()&lt;=(Results!$C$1/2)+1,INDEX(Data!$V:$V,CEILING((COUNTA(Data!$V:$V)-1)*RAND()+1,1)),"")</f>
        <v/>
      </c>
      <c r="B861" s="1" t="str">
        <f>IF(ROW()&lt;=(Results!$C$1/2)+1,VLOOKUP($A861,Data!$V$2:$W$117,2,TRUE),"")</f>
        <v/>
      </c>
      <c r="C861" s="14" t="str">
        <f>IF(ROW()&lt;=(Results!$C$1/2)+1,IF(B861&lt;=0,"",LN(B861)),"")</f>
        <v/>
      </c>
      <c r="D861" s="1" t="str">
        <f ca="1">IF(ROW()&lt;=(Results!$C$1/2)+1,INDEX(Data!$X:$X,CEILING((COUNTA(Data!$X:$X)-1)*RAND()+1,1)),"")</f>
        <v/>
      </c>
      <c r="E861" s="1" t="str">
        <f>IF(ROW()&lt;=(Results!$C$1/2)+1,VLOOKUP($D861,Data!$X$2:$Y$117,2,TRUE),"")</f>
        <v/>
      </c>
      <c r="F861" s="14" t="str">
        <f>IF(ROW()&lt;=(Results!$C$1/2)+1,IF(E861&lt;=0,"",LN(E861)),"")</f>
        <v/>
      </c>
    </row>
    <row r="862" spans="1:6" x14ac:dyDescent="0.25">
      <c r="A862" s="1" t="str">
        <f ca="1">IF(ROW()&lt;=(Results!$C$1/2)+1,INDEX(Data!$V:$V,CEILING((COUNTA(Data!$V:$V)-1)*RAND()+1,1)),"")</f>
        <v/>
      </c>
      <c r="B862" s="1" t="str">
        <f>IF(ROW()&lt;=(Results!$C$1/2)+1,VLOOKUP($A862,Data!$V$2:$W$117,2,TRUE),"")</f>
        <v/>
      </c>
      <c r="C862" s="14" t="str">
        <f>IF(ROW()&lt;=(Results!$C$1/2)+1,IF(B862&lt;=0,"",LN(B862)),"")</f>
        <v/>
      </c>
      <c r="D862" s="1" t="str">
        <f ca="1">IF(ROW()&lt;=(Results!$C$1/2)+1,INDEX(Data!$X:$X,CEILING((COUNTA(Data!$X:$X)-1)*RAND()+1,1)),"")</f>
        <v/>
      </c>
      <c r="E862" s="1" t="str">
        <f>IF(ROW()&lt;=(Results!$C$1/2)+1,VLOOKUP($D862,Data!$X$2:$Y$117,2,TRUE),"")</f>
        <v/>
      </c>
      <c r="F862" s="14" t="str">
        <f>IF(ROW()&lt;=(Results!$C$1/2)+1,IF(E862&lt;=0,"",LN(E862)),"")</f>
        <v/>
      </c>
    </row>
    <row r="863" spans="1:6" x14ac:dyDescent="0.25">
      <c r="A863" s="1" t="str">
        <f ca="1">IF(ROW()&lt;=(Results!$C$1/2)+1,INDEX(Data!$V:$V,CEILING((COUNTA(Data!$V:$V)-1)*RAND()+1,1)),"")</f>
        <v/>
      </c>
      <c r="B863" s="1" t="str">
        <f>IF(ROW()&lt;=(Results!$C$1/2)+1,VLOOKUP($A863,Data!$V$2:$W$117,2,TRUE),"")</f>
        <v/>
      </c>
      <c r="C863" s="14" t="str">
        <f>IF(ROW()&lt;=(Results!$C$1/2)+1,IF(B863&lt;=0,"",LN(B863)),"")</f>
        <v/>
      </c>
      <c r="D863" s="1" t="str">
        <f ca="1">IF(ROW()&lt;=(Results!$C$1/2)+1,INDEX(Data!$X:$X,CEILING((COUNTA(Data!$X:$X)-1)*RAND()+1,1)),"")</f>
        <v/>
      </c>
      <c r="E863" s="1" t="str">
        <f>IF(ROW()&lt;=(Results!$C$1/2)+1,VLOOKUP($D863,Data!$X$2:$Y$117,2,TRUE),"")</f>
        <v/>
      </c>
      <c r="F863" s="14" t="str">
        <f>IF(ROW()&lt;=(Results!$C$1/2)+1,IF(E863&lt;=0,"",LN(E863)),"")</f>
        <v/>
      </c>
    </row>
    <row r="864" spans="1:6" x14ac:dyDescent="0.25">
      <c r="A864" s="1" t="str">
        <f ca="1">IF(ROW()&lt;=(Results!$C$1/2)+1,INDEX(Data!$V:$V,CEILING((COUNTA(Data!$V:$V)-1)*RAND()+1,1)),"")</f>
        <v/>
      </c>
      <c r="B864" s="1" t="str">
        <f>IF(ROW()&lt;=(Results!$C$1/2)+1,VLOOKUP($A864,Data!$V$2:$W$117,2,TRUE),"")</f>
        <v/>
      </c>
      <c r="C864" s="14" t="str">
        <f>IF(ROW()&lt;=(Results!$C$1/2)+1,IF(B864&lt;=0,"",LN(B864)),"")</f>
        <v/>
      </c>
      <c r="D864" s="1" t="str">
        <f ca="1">IF(ROW()&lt;=(Results!$C$1/2)+1,INDEX(Data!$X:$X,CEILING((COUNTA(Data!$X:$X)-1)*RAND()+1,1)),"")</f>
        <v/>
      </c>
      <c r="E864" s="1" t="str">
        <f>IF(ROW()&lt;=(Results!$C$1/2)+1,VLOOKUP($D864,Data!$X$2:$Y$117,2,TRUE),"")</f>
        <v/>
      </c>
      <c r="F864" s="14" t="str">
        <f>IF(ROW()&lt;=(Results!$C$1/2)+1,IF(E864&lt;=0,"",LN(E864)),"")</f>
        <v/>
      </c>
    </row>
    <row r="865" spans="1:6" x14ac:dyDescent="0.25">
      <c r="A865" s="1" t="str">
        <f ca="1">IF(ROW()&lt;=(Results!$C$1/2)+1,INDEX(Data!$V:$V,CEILING((COUNTA(Data!$V:$V)-1)*RAND()+1,1)),"")</f>
        <v/>
      </c>
      <c r="B865" s="1" t="str">
        <f>IF(ROW()&lt;=(Results!$C$1/2)+1,VLOOKUP($A865,Data!$V$2:$W$117,2,TRUE),"")</f>
        <v/>
      </c>
      <c r="C865" s="14" t="str">
        <f>IF(ROW()&lt;=(Results!$C$1/2)+1,IF(B865&lt;=0,"",LN(B865)),"")</f>
        <v/>
      </c>
      <c r="D865" s="1" t="str">
        <f ca="1">IF(ROW()&lt;=(Results!$C$1/2)+1,INDEX(Data!$X:$X,CEILING((COUNTA(Data!$X:$X)-1)*RAND()+1,1)),"")</f>
        <v/>
      </c>
      <c r="E865" s="1" t="str">
        <f>IF(ROW()&lt;=(Results!$C$1/2)+1,VLOOKUP($D865,Data!$X$2:$Y$117,2,TRUE),"")</f>
        <v/>
      </c>
      <c r="F865" s="14" t="str">
        <f>IF(ROW()&lt;=(Results!$C$1/2)+1,IF(E865&lt;=0,"",LN(E865)),"")</f>
        <v/>
      </c>
    </row>
    <row r="866" spans="1:6" x14ac:dyDescent="0.25">
      <c r="A866" s="1" t="str">
        <f ca="1">IF(ROW()&lt;=(Results!$C$1/2)+1,INDEX(Data!$V:$V,CEILING((COUNTA(Data!$V:$V)-1)*RAND()+1,1)),"")</f>
        <v/>
      </c>
      <c r="B866" s="1" t="str">
        <f>IF(ROW()&lt;=(Results!$C$1/2)+1,VLOOKUP($A866,Data!$V$2:$W$117,2,TRUE),"")</f>
        <v/>
      </c>
      <c r="C866" s="14" t="str">
        <f>IF(ROW()&lt;=(Results!$C$1/2)+1,IF(B866&lt;=0,"",LN(B866)),"")</f>
        <v/>
      </c>
      <c r="D866" s="1" t="str">
        <f ca="1">IF(ROW()&lt;=(Results!$C$1/2)+1,INDEX(Data!$X:$X,CEILING((COUNTA(Data!$X:$X)-1)*RAND()+1,1)),"")</f>
        <v/>
      </c>
      <c r="E866" s="1" t="str">
        <f>IF(ROW()&lt;=(Results!$C$1/2)+1,VLOOKUP($D866,Data!$X$2:$Y$117,2,TRUE),"")</f>
        <v/>
      </c>
      <c r="F866" s="14" t="str">
        <f>IF(ROW()&lt;=(Results!$C$1/2)+1,IF(E866&lt;=0,"",LN(E866)),"")</f>
        <v/>
      </c>
    </row>
    <row r="867" spans="1:6" x14ac:dyDescent="0.25">
      <c r="A867" s="1" t="str">
        <f ca="1">IF(ROW()&lt;=(Results!$C$1/2)+1,INDEX(Data!$V:$V,CEILING((COUNTA(Data!$V:$V)-1)*RAND()+1,1)),"")</f>
        <v/>
      </c>
      <c r="B867" s="1" t="str">
        <f>IF(ROW()&lt;=(Results!$C$1/2)+1,VLOOKUP($A867,Data!$V$2:$W$117,2,TRUE),"")</f>
        <v/>
      </c>
      <c r="C867" s="14" t="str">
        <f>IF(ROW()&lt;=(Results!$C$1/2)+1,IF(B867&lt;=0,"",LN(B867)),"")</f>
        <v/>
      </c>
      <c r="D867" s="1" t="str">
        <f ca="1">IF(ROW()&lt;=(Results!$C$1/2)+1,INDEX(Data!$X:$X,CEILING((COUNTA(Data!$X:$X)-1)*RAND()+1,1)),"")</f>
        <v/>
      </c>
      <c r="E867" s="1" t="str">
        <f>IF(ROW()&lt;=(Results!$C$1/2)+1,VLOOKUP($D867,Data!$X$2:$Y$117,2,TRUE),"")</f>
        <v/>
      </c>
      <c r="F867" s="14" t="str">
        <f>IF(ROW()&lt;=(Results!$C$1/2)+1,IF(E867&lt;=0,"",LN(E867)),"")</f>
        <v/>
      </c>
    </row>
    <row r="868" spans="1:6" x14ac:dyDescent="0.25">
      <c r="A868" s="1" t="str">
        <f ca="1">IF(ROW()&lt;=(Results!$C$1/2)+1,INDEX(Data!$V:$V,CEILING((COUNTA(Data!$V:$V)-1)*RAND()+1,1)),"")</f>
        <v/>
      </c>
      <c r="B868" s="1" t="str">
        <f>IF(ROW()&lt;=(Results!$C$1/2)+1,VLOOKUP($A868,Data!$V$2:$W$117,2,TRUE),"")</f>
        <v/>
      </c>
      <c r="C868" s="14" t="str">
        <f>IF(ROW()&lt;=(Results!$C$1/2)+1,IF(B868&lt;=0,"",LN(B868)),"")</f>
        <v/>
      </c>
      <c r="D868" s="1" t="str">
        <f ca="1">IF(ROW()&lt;=(Results!$C$1/2)+1,INDEX(Data!$X:$X,CEILING((COUNTA(Data!$X:$X)-1)*RAND()+1,1)),"")</f>
        <v/>
      </c>
      <c r="E868" s="1" t="str">
        <f>IF(ROW()&lt;=(Results!$C$1/2)+1,VLOOKUP($D868,Data!$X$2:$Y$117,2,TRUE),"")</f>
        <v/>
      </c>
      <c r="F868" s="14" t="str">
        <f>IF(ROW()&lt;=(Results!$C$1/2)+1,IF(E868&lt;=0,"",LN(E868)),"")</f>
        <v/>
      </c>
    </row>
    <row r="869" spans="1:6" x14ac:dyDescent="0.25">
      <c r="A869" s="1" t="str">
        <f ca="1">IF(ROW()&lt;=(Results!$C$1/2)+1,INDEX(Data!$V:$V,CEILING((COUNTA(Data!$V:$V)-1)*RAND()+1,1)),"")</f>
        <v/>
      </c>
      <c r="B869" s="1" t="str">
        <f>IF(ROW()&lt;=(Results!$C$1/2)+1,VLOOKUP($A869,Data!$V$2:$W$117,2,TRUE),"")</f>
        <v/>
      </c>
      <c r="C869" s="14" t="str">
        <f>IF(ROW()&lt;=(Results!$C$1/2)+1,IF(B869&lt;=0,"",LN(B869)),"")</f>
        <v/>
      </c>
      <c r="D869" s="1" t="str">
        <f ca="1">IF(ROW()&lt;=(Results!$C$1/2)+1,INDEX(Data!$X:$X,CEILING((COUNTA(Data!$X:$X)-1)*RAND()+1,1)),"")</f>
        <v/>
      </c>
      <c r="E869" s="1" t="str">
        <f>IF(ROW()&lt;=(Results!$C$1/2)+1,VLOOKUP($D869,Data!$X$2:$Y$117,2,TRUE),"")</f>
        <v/>
      </c>
      <c r="F869" s="14" t="str">
        <f>IF(ROW()&lt;=(Results!$C$1/2)+1,IF(E869&lt;=0,"",LN(E869)),"")</f>
        <v/>
      </c>
    </row>
    <row r="870" spans="1:6" x14ac:dyDescent="0.25">
      <c r="A870" s="1" t="str">
        <f ca="1">IF(ROW()&lt;=(Results!$C$1/2)+1,INDEX(Data!$V:$V,CEILING((COUNTA(Data!$V:$V)-1)*RAND()+1,1)),"")</f>
        <v/>
      </c>
      <c r="B870" s="1" t="str">
        <f>IF(ROW()&lt;=(Results!$C$1/2)+1,VLOOKUP($A870,Data!$V$2:$W$117,2,TRUE),"")</f>
        <v/>
      </c>
      <c r="C870" s="14" t="str">
        <f>IF(ROW()&lt;=(Results!$C$1/2)+1,IF(B870&lt;=0,"",LN(B870)),"")</f>
        <v/>
      </c>
      <c r="D870" s="1" t="str">
        <f ca="1">IF(ROW()&lt;=(Results!$C$1/2)+1,INDEX(Data!$X:$X,CEILING((COUNTA(Data!$X:$X)-1)*RAND()+1,1)),"")</f>
        <v/>
      </c>
      <c r="E870" s="1" t="str">
        <f>IF(ROW()&lt;=(Results!$C$1/2)+1,VLOOKUP($D870,Data!$X$2:$Y$117,2,TRUE),"")</f>
        <v/>
      </c>
      <c r="F870" s="14" t="str">
        <f>IF(ROW()&lt;=(Results!$C$1/2)+1,IF(E870&lt;=0,"",LN(E870)),"")</f>
        <v/>
      </c>
    </row>
    <row r="871" spans="1:6" x14ac:dyDescent="0.25">
      <c r="A871" s="1" t="str">
        <f ca="1">IF(ROW()&lt;=(Results!$C$1/2)+1,INDEX(Data!$V:$V,CEILING((COUNTA(Data!$V:$V)-1)*RAND()+1,1)),"")</f>
        <v/>
      </c>
      <c r="B871" s="1" t="str">
        <f>IF(ROW()&lt;=(Results!$C$1/2)+1,VLOOKUP($A871,Data!$V$2:$W$117,2,TRUE),"")</f>
        <v/>
      </c>
      <c r="C871" s="14" t="str">
        <f>IF(ROW()&lt;=(Results!$C$1/2)+1,IF(B871&lt;=0,"",LN(B871)),"")</f>
        <v/>
      </c>
      <c r="D871" s="1" t="str">
        <f ca="1">IF(ROW()&lt;=(Results!$C$1/2)+1,INDEX(Data!$X:$X,CEILING((COUNTA(Data!$X:$X)-1)*RAND()+1,1)),"")</f>
        <v/>
      </c>
      <c r="E871" s="1" t="str">
        <f>IF(ROW()&lt;=(Results!$C$1/2)+1,VLOOKUP($D871,Data!$X$2:$Y$117,2,TRUE),"")</f>
        <v/>
      </c>
      <c r="F871" s="14" t="str">
        <f>IF(ROW()&lt;=(Results!$C$1/2)+1,IF(E871&lt;=0,"",LN(E871)),"")</f>
        <v/>
      </c>
    </row>
    <row r="872" spans="1:6" x14ac:dyDescent="0.25">
      <c r="A872" s="1" t="str">
        <f ca="1">IF(ROW()&lt;=(Results!$C$1/2)+1,INDEX(Data!$V:$V,CEILING((COUNTA(Data!$V:$V)-1)*RAND()+1,1)),"")</f>
        <v/>
      </c>
      <c r="B872" s="1" t="str">
        <f>IF(ROW()&lt;=(Results!$C$1/2)+1,VLOOKUP($A872,Data!$V$2:$W$117,2,TRUE),"")</f>
        <v/>
      </c>
      <c r="C872" s="14" t="str">
        <f>IF(ROW()&lt;=(Results!$C$1/2)+1,IF(B872&lt;=0,"",LN(B872)),"")</f>
        <v/>
      </c>
      <c r="D872" s="1" t="str">
        <f ca="1">IF(ROW()&lt;=(Results!$C$1/2)+1,INDEX(Data!$X:$X,CEILING((COUNTA(Data!$X:$X)-1)*RAND()+1,1)),"")</f>
        <v/>
      </c>
      <c r="E872" s="1" t="str">
        <f>IF(ROW()&lt;=(Results!$C$1/2)+1,VLOOKUP($D872,Data!$X$2:$Y$117,2,TRUE),"")</f>
        <v/>
      </c>
      <c r="F872" s="14" t="str">
        <f>IF(ROW()&lt;=(Results!$C$1/2)+1,IF(E872&lt;=0,"",LN(E872)),"")</f>
        <v/>
      </c>
    </row>
    <row r="873" spans="1:6" x14ac:dyDescent="0.25">
      <c r="A873" s="1" t="str">
        <f ca="1">IF(ROW()&lt;=(Results!$C$1/2)+1,INDEX(Data!$V:$V,CEILING((COUNTA(Data!$V:$V)-1)*RAND()+1,1)),"")</f>
        <v/>
      </c>
      <c r="B873" s="1" t="str">
        <f>IF(ROW()&lt;=(Results!$C$1/2)+1,VLOOKUP($A873,Data!$V$2:$W$117,2,TRUE),"")</f>
        <v/>
      </c>
      <c r="C873" s="14" t="str">
        <f>IF(ROW()&lt;=(Results!$C$1/2)+1,IF(B873&lt;=0,"",LN(B873)),"")</f>
        <v/>
      </c>
      <c r="D873" s="1" t="str">
        <f ca="1">IF(ROW()&lt;=(Results!$C$1/2)+1,INDEX(Data!$X:$X,CEILING((COUNTA(Data!$X:$X)-1)*RAND()+1,1)),"")</f>
        <v/>
      </c>
      <c r="E873" s="1" t="str">
        <f>IF(ROW()&lt;=(Results!$C$1/2)+1,VLOOKUP($D873,Data!$X$2:$Y$117,2,TRUE),"")</f>
        <v/>
      </c>
      <c r="F873" s="14" t="str">
        <f>IF(ROW()&lt;=(Results!$C$1/2)+1,IF(E873&lt;=0,"",LN(E873)),"")</f>
        <v/>
      </c>
    </row>
    <row r="874" spans="1:6" x14ac:dyDescent="0.25">
      <c r="A874" s="1" t="str">
        <f ca="1">IF(ROW()&lt;=(Results!$C$1/2)+1,INDEX(Data!$V:$V,CEILING((COUNTA(Data!$V:$V)-1)*RAND()+1,1)),"")</f>
        <v/>
      </c>
      <c r="B874" s="1" t="str">
        <f>IF(ROW()&lt;=(Results!$C$1/2)+1,VLOOKUP($A874,Data!$V$2:$W$117,2,TRUE),"")</f>
        <v/>
      </c>
      <c r="C874" s="14" t="str">
        <f>IF(ROW()&lt;=(Results!$C$1/2)+1,IF(B874&lt;=0,"",LN(B874)),"")</f>
        <v/>
      </c>
      <c r="D874" s="1" t="str">
        <f ca="1">IF(ROW()&lt;=(Results!$C$1/2)+1,INDEX(Data!$X:$X,CEILING((COUNTA(Data!$X:$X)-1)*RAND()+1,1)),"")</f>
        <v/>
      </c>
      <c r="E874" s="1" t="str">
        <f>IF(ROW()&lt;=(Results!$C$1/2)+1,VLOOKUP($D874,Data!$X$2:$Y$117,2,TRUE),"")</f>
        <v/>
      </c>
      <c r="F874" s="14" t="str">
        <f>IF(ROW()&lt;=(Results!$C$1/2)+1,IF(E874&lt;=0,"",LN(E874)),"")</f>
        <v/>
      </c>
    </row>
    <row r="875" spans="1:6" x14ac:dyDescent="0.25">
      <c r="A875" s="1" t="str">
        <f ca="1">IF(ROW()&lt;=(Results!$C$1/2)+1,INDEX(Data!$V:$V,CEILING((COUNTA(Data!$V:$V)-1)*RAND()+1,1)),"")</f>
        <v/>
      </c>
      <c r="B875" s="1" t="str">
        <f>IF(ROW()&lt;=(Results!$C$1/2)+1,VLOOKUP($A875,Data!$V$2:$W$117,2,TRUE),"")</f>
        <v/>
      </c>
      <c r="C875" s="14" t="str">
        <f>IF(ROW()&lt;=(Results!$C$1/2)+1,IF(B875&lt;=0,"",LN(B875)),"")</f>
        <v/>
      </c>
      <c r="D875" s="1" t="str">
        <f ca="1">IF(ROW()&lt;=(Results!$C$1/2)+1,INDEX(Data!$X:$X,CEILING((COUNTA(Data!$X:$X)-1)*RAND()+1,1)),"")</f>
        <v/>
      </c>
      <c r="E875" s="1" t="str">
        <f>IF(ROW()&lt;=(Results!$C$1/2)+1,VLOOKUP($D875,Data!$X$2:$Y$117,2,TRUE),"")</f>
        <v/>
      </c>
      <c r="F875" s="14" t="str">
        <f>IF(ROW()&lt;=(Results!$C$1/2)+1,IF(E875&lt;=0,"",LN(E875)),"")</f>
        <v/>
      </c>
    </row>
    <row r="876" spans="1:6" x14ac:dyDescent="0.25">
      <c r="A876" s="1" t="str">
        <f ca="1">IF(ROW()&lt;=(Results!$C$1/2)+1,INDEX(Data!$V:$V,CEILING((COUNTA(Data!$V:$V)-1)*RAND()+1,1)),"")</f>
        <v/>
      </c>
      <c r="B876" s="1" t="str">
        <f>IF(ROW()&lt;=(Results!$C$1/2)+1,VLOOKUP($A876,Data!$V$2:$W$117,2,TRUE),"")</f>
        <v/>
      </c>
      <c r="C876" s="14" t="str">
        <f>IF(ROW()&lt;=(Results!$C$1/2)+1,IF(B876&lt;=0,"",LN(B876)),"")</f>
        <v/>
      </c>
      <c r="D876" s="1" t="str">
        <f ca="1">IF(ROW()&lt;=(Results!$C$1/2)+1,INDEX(Data!$X:$X,CEILING((COUNTA(Data!$X:$X)-1)*RAND()+1,1)),"")</f>
        <v/>
      </c>
      <c r="E876" s="1" t="str">
        <f>IF(ROW()&lt;=(Results!$C$1/2)+1,VLOOKUP($D876,Data!$X$2:$Y$117,2,TRUE),"")</f>
        <v/>
      </c>
      <c r="F876" s="14" t="str">
        <f>IF(ROW()&lt;=(Results!$C$1/2)+1,IF(E876&lt;=0,"",LN(E876)),"")</f>
        <v/>
      </c>
    </row>
    <row r="877" spans="1:6" x14ac:dyDescent="0.25">
      <c r="A877" s="1" t="str">
        <f ca="1">IF(ROW()&lt;=(Results!$C$1/2)+1,INDEX(Data!$V:$V,CEILING((COUNTA(Data!$V:$V)-1)*RAND()+1,1)),"")</f>
        <v/>
      </c>
      <c r="B877" s="1" t="str">
        <f>IF(ROW()&lt;=(Results!$C$1/2)+1,VLOOKUP($A877,Data!$V$2:$W$117,2,TRUE),"")</f>
        <v/>
      </c>
      <c r="C877" s="14" t="str">
        <f>IF(ROW()&lt;=(Results!$C$1/2)+1,IF(B877&lt;=0,"",LN(B877)),"")</f>
        <v/>
      </c>
      <c r="D877" s="1" t="str">
        <f ca="1">IF(ROW()&lt;=(Results!$C$1/2)+1,INDEX(Data!$X:$X,CEILING((COUNTA(Data!$X:$X)-1)*RAND()+1,1)),"")</f>
        <v/>
      </c>
      <c r="E877" s="1" t="str">
        <f>IF(ROW()&lt;=(Results!$C$1/2)+1,VLOOKUP($D877,Data!$X$2:$Y$117,2,TRUE),"")</f>
        <v/>
      </c>
      <c r="F877" s="14" t="str">
        <f>IF(ROW()&lt;=(Results!$C$1/2)+1,IF(E877&lt;=0,"",LN(E877)),"")</f>
        <v/>
      </c>
    </row>
    <row r="878" spans="1:6" x14ac:dyDescent="0.25">
      <c r="A878" s="1" t="str">
        <f ca="1">IF(ROW()&lt;=(Results!$C$1/2)+1,INDEX(Data!$V:$V,CEILING((COUNTA(Data!$V:$V)-1)*RAND()+1,1)),"")</f>
        <v/>
      </c>
      <c r="B878" s="1" t="str">
        <f>IF(ROW()&lt;=(Results!$C$1/2)+1,VLOOKUP($A878,Data!$V$2:$W$117,2,TRUE),"")</f>
        <v/>
      </c>
      <c r="C878" s="14" t="str">
        <f>IF(ROW()&lt;=(Results!$C$1/2)+1,IF(B878&lt;=0,"",LN(B878)),"")</f>
        <v/>
      </c>
      <c r="D878" s="1" t="str">
        <f ca="1">IF(ROW()&lt;=(Results!$C$1/2)+1,INDEX(Data!$X:$X,CEILING((COUNTA(Data!$X:$X)-1)*RAND()+1,1)),"")</f>
        <v/>
      </c>
      <c r="E878" s="1" t="str">
        <f>IF(ROW()&lt;=(Results!$C$1/2)+1,VLOOKUP($D878,Data!$X$2:$Y$117,2,TRUE),"")</f>
        <v/>
      </c>
      <c r="F878" s="14" t="str">
        <f>IF(ROW()&lt;=(Results!$C$1/2)+1,IF(E878&lt;=0,"",LN(E878)),"")</f>
        <v/>
      </c>
    </row>
    <row r="879" spans="1:6" x14ac:dyDescent="0.25">
      <c r="A879" s="1" t="str">
        <f ca="1">IF(ROW()&lt;=(Results!$C$1/2)+1,INDEX(Data!$V:$V,CEILING((COUNTA(Data!$V:$V)-1)*RAND()+1,1)),"")</f>
        <v/>
      </c>
      <c r="B879" s="1" t="str">
        <f>IF(ROW()&lt;=(Results!$C$1/2)+1,VLOOKUP($A879,Data!$V$2:$W$117,2,TRUE),"")</f>
        <v/>
      </c>
      <c r="C879" s="14" t="str">
        <f>IF(ROW()&lt;=(Results!$C$1/2)+1,IF(B879&lt;=0,"",LN(B879)),"")</f>
        <v/>
      </c>
      <c r="D879" s="1" t="str">
        <f ca="1">IF(ROW()&lt;=(Results!$C$1/2)+1,INDEX(Data!$X:$X,CEILING((COUNTA(Data!$X:$X)-1)*RAND()+1,1)),"")</f>
        <v/>
      </c>
      <c r="E879" s="1" t="str">
        <f>IF(ROW()&lt;=(Results!$C$1/2)+1,VLOOKUP($D879,Data!$X$2:$Y$117,2,TRUE),"")</f>
        <v/>
      </c>
      <c r="F879" s="14" t="str">
        <f>IF(ROW()&lt;=(Results!$C$1/2)+1,IF(E879&lt;=0,"",LN(E879)),"")</f>
        <v/>
      </c>
    </row>
    <row r="880" spans="1:6" x14ac:dyDescent="0.25">
      <c r="A880" s="1" t="str">
        <f ca="1">IF(ROW()&lt;=(Results!$C$1/2)+1,INDEX(Data!$V:$V,CEILING((COUNTA(Data!$V:$V)-1)*RAND()+1,1)),"")</f>
        <v/>
      </c>
      <c r="B880" s="1" t="str">
        <f>IF(ROW()&lt;=(Results!$C$1/2)+1,VLOOKUP($A880,Data!$V$2:$W$117,2,TRUE),"")</f>
        <v/>
      </c>
      <c r="C880" s="14" t="str">
        <f>IF(ROW()&lt;=(Results!$C$1/2)+1,IF(B880&lt;=0,"",LN(B880)),"")</f>
        <v/>
      </c>
      <c r="D880" s="1" t="str">
        <f ca="1">IF(ROW()&lt;=(Results!$C$1/2)+1,INDEX(Data!$X:$X,CEILING((COUNTA(Data!$X:$X)-1)*RAND()+1,1)),"")</f>
        <v/>
      </c>
      <c r="E880" s="1" t="str">
        <f>IF(ROW()&lt;=(Results!$C$1/2)+1,VLOOKUP($D880,Data!$X$2:$Y$117,2,TRUE),"")</f>
        <v/>
      </c>
      <c r="F880" s="14" t="str">
        <f>IF(ROW()&lt;=(Results!$C$1/2)+1,IF(E880&lt;=0,"",LN(E880)),"")</f>
        <v/>
      </c>
    </row>
    <row r="881" spans="1:6" x14ac:dyDescent="0.25">
      <c r="A881" s="1" t="str">
        <f ca="1">IF(ROW()&lt;=(Results!$C$1/2)+1,INDEX(Data!$V:$V,CEILING((COUNTA(Data!$V:$V)-1)*RAND()+1,1)),"")</f>
        <v/>
      </c>
      <c r="B881" s="1" t="str">
        <f>IF(ROW()&lt;=(Results!$C$1/2)+1,VLOOKUP($A881,Data!$V$2:$W$117,2,TRUE),"")</f>
        <v/>
      </c>
      <c r="C881" s="14" t="str">
        <f>IF(ROW()&lt;=(Results!$C$1/2)+1,IF(B881&lt;=0,"",LN(B881)),"")</f>
        <v/>
      </c>
      <c r="D881" s="1" t="str">
        <f ca="1">IF(ROW()&lt;=(Results!$C$1/2)+1,INDEX(Data!$X:$X,CEILING((COUNTA(Data!$X:$X)-1)*RAND()+1,1)),"")</f>
        <v/>
      </c>
      <c r="E881" s="1" t="str">
        <f>IF(ROW()&lt;=(Results!$C$1/2)+1,VLOOKUP($D881,Data!$X$2:$Y$117,2,TRUE),"")</f>
        <v/>
      </c>
      <c r="F881" s="14" t="str">
        <f>IF(ROW()&lt;=(Results!$C$1/2)+1,IF(E881&lt;=0,"",LN(E881)),"")</f>
        <v/>
      </c>
    </row>
    <row r="882" spans="1:6" x14ac:dyDescent="0.25">
      <c r="A882" s="1" t="str">
        <f ca="1">IF(ROW()&lt;=(Results!$C$1/2)+1,INDEX(Data!$V:$V,CEILING((COUNTA(Data!$V:$V)-1)*RAND()+1,1)),"")</f>
        <v/>
      </c>
      <c r="B882" s="1" t="str">
        <f>IF(ROW()&lt;=(Results!$C$1/2)+1,VLOOKUP($A882,Data!$V$2:$W$117,2,TRUE),"")</f>
        <v/>
      </c>
      <c r="C882" s="14" t="str">
        <f>IF(ROW()&lt;=(Results!$C$1/2)+1,IF(B882&lt;=0,"",LN(B882)),"")</f>
        <v/>
      </c>
      <c r="D882" s="1" t="str">
        <f ca="1">IF(ROW()&lt;=(Results!$C$1/2)+1,INDEX(Data!$X:$X,CEILING((COUNTA(Data!$X:$X)-1)*RAND()+1,1)),"")</f>
        <v/>
      </c>
      <c r="E882" s="1" t="str">
        <f>IF(ROW()&lt;=(Results!$C$1/2)+1,VLOOKUP($D882,Data!$X$2:$Y$117,2,TRUE),"")</f>
        <v/>
      </c>
      <c r="F882" s="14" t="str">
        <f>IF(ROW()&lt;=(Results!$C$1/2)+1,IF(E882&lt;=0,"",LN(E882)),"")</f>
        <v/>
      </c>
    </row>
    <row r="883" spans="1:6" x14ac:dyDescent="0.25">
      <c r="A883" s="1" t="str">
        <f ca="1">IF(ROW()&lt;=(Results!$C$1/2)+1,INDEX(Data!$V:$V,CEILING((COUNTA(Data!$V:$V)-1)*RAND()+1,1)),"")</f>
        <v/>
      </c>
      <c r="B883" s="1" t="str">
        <f>IF(ROW()&lt;=(Results!$C$1/2)+1,VLOOKUP($A883,Data!$V$2:$W$117,2,TRUE),"")</f>
        <v/>
      </c>
      <c r="C883" s="14" t="str">
        <f>IF(ROW()&lt;=(Results!$C$1/2)+1,IF(B883&lt;=0,"",LN(B883)),"")</f>
        <v/>
      </c>
      <c r="D883" s="1" t="str">
        <f ca="1">IF(ROW()&lt;=(Results!$C$1/2)+1,INDEX(Data!$X:$X,CEILING((COUNTA(Data!$X:$X)-1)*RAND()+1,1)),"")</f>
        <v/>
      </c>
      <c r="E883" s="1" t="str">
        <f>IF(ROW()&lt;=(Results!$C$1/2)+1,VLOOKUP($D883,Data!$X$2:$Y$117,2,TRUE),"")</f>
        <v/>
      </c>
      <c r="F883" s="14" t="str">
        <f>IF(ROW()&lt;=(Results!$C$1/2)+1,IF(E883&lt;=0,"",LN(E883)),"")</f>
        <v/>
      </c>
    </row>
    <row r="884" spans="1:6" x14ac:dyDescent="0.25">
      <c r="A884" s="1" t="str">
        <f ca="1">IF(ROW()&lt;=(Results!$C$1/2)+1,INDEX(Data!$V:$V,CEILING((COUNTA(Data!$V:$V)-1)*RAND()+1,1)),"")</f>
        <v/>
      </c>
      <c r="B884" s="1" t="str">
        <f>IF(ROW()&lt;=(Results!$C$1/2)+1,VLOOKUP($A884,Data!$V$2:$W$117,2,TRUE),"")</f>
        <v/>
      </c>
      <c r="C884" s="14" t="str">
        <f>IF(ROW()&lt;=(Results!$C$1/2)+1,IF(B884&lt;=0,"",LN(B884)),"")</f>
        <v/>
      </c>
      <c r="D884" s="1" t="str">
        <f ca="1">IF(ROW()&lt;=(Results!$C$1/2)+1,INDEX(Data!$X:$X,CEILING((COUNTA(Data!$X:$X)-1)*RAND()+1,1)),"")</f>
        <v/>
      </c>
      <c r="E884" s="1" t="str">
        <f>IF(ROW()&lt;=(Results!$C$1/2)+1,VLOOKUP($D884,Data!$X$2:$Y$117,2,TRUE),"")</f>
        <v/>
      </c>
      <c r="F884" s="14" t="str">
        <f>IF(ROW()&lt;=(Results!$C$1/2)+1,IF(E884&lt;=0,"",LN(E884)),"")</f>
        <v/>
      </c>
    </row>
    <row r="885" spans="1:6" x14ac:dyDescent="0.25">
      <c r="A885" s="1" t="str">
        <f ca="1">IF(ROW()&lt;=(Results!$C$1/2)+1,INDEX(Data!$V:$V,CEILING((COUNTA(Data!$V:$V)-1)*RAND()+1,1)),"")</f>
        <v/>
      </c>
      <c r="B885" s="1" t="str">
        <f>IF(ROW()&lt;=(Results!$C$1/2)+1,VLOOKUP($A885,Data!$V$2:$W$117,2,TRUE),"")</f>
        <v/>
      </c>
      <c r="C885" s="14" t="str">
        <f>IF(ROW()&lt;=(Results!$C$1/2)+1,IF(B885&lt;=0,"",LN(B885)),"")</f>
        <v/>
      </c>
      <c r="D885" s="1" t="str">
        <f ca="1">IF(ROW()&lt;=(Results!$C$1/2)+1,INDEX(Data!$X:$X,CEILING((COUNTA(Data!$X:$X)-1)*RAND()+1,1)),"")</f>
        <v/>
      </c>
      <c r="E885" s="1" t="str">
        <f>IF(ROW()&lt;=(Results!$C$1/2)+1,VLOOKUP($D885,Data!$X$2:$Y$117,2,TRUE),"")</f>
        <v/>
      </c>
      <c r="F885" s="14" t="str">
        <f>IF(ROW()&lt;=(Results!$C$1/2)+1,IF(E885&lt;=0,"",LN(E885)),"")</f>
        <v/>
      </c>
    </row>
    <row r="886" spans="1:6" x14ac:dyDescent="0.25">
      <c r="A886" s="1" t="str">
        <f ca="1">IF(ROW()&lt;=(Results!$C$1/2)+1,INDEX(Data!$V:$V,CEILING((COUNTA(Data!$V:$V)-1)*RAND()+1,1)),"")</f>
        <v/>
      </c>
      <c r="B886" s="1" t="str">
        <f>IF(ROW()&lt;=(Results!$C$1/2)+1,VLOOKUP($A886,Data!$V$2:$W$117,2,TRUE),"")</f>
        <v/>
      </c>
      <c r="C886" s="14" t="str">
        <f>IF(ROW()&lt;=(Results!$C$1/2)+1,IF(B886&lt;=0,"",LN(B886)),"")</f>
        <v/>
      </c>
      <c r="D886" s="1" t="str">
        <f ca="1">IF(ROW()&lt;=(Results!$C$1/2)+1,INDEX(Data!$X:$X,CEILING((COUNTA(Data!$X:$X)-1)*RAND()+1,1)),"")</f>
        <v/>
      </c>
      <c r="E886" s="1" t="str">
        <f>IF(ROW()&lt;=(Results!$C$1/2)+1,VLOOKUP($D886,Data!$X$2:$Y$117,2,TRUE),"")</f>
        <v/>
      </c>
      <c r="F886" s="14" t="str">
        <f>IF(ROW()&lt;=(Results!$C$1/2)+1,IF(E886&lt;=0,"",LN(E886)),"")</f>
        <v/>
      </c>
    </row>
    <row r="887" spans="1:6" x14ac:dyDescent="0.25">
      <c r="A887" s="1" t="str">
        <f ca="1">IF(ROW()&lt;=(Results!$C$1/2)+1,INDEX(Data!$V:$V,CEILING((COUNTA(Data!$V:$V)-1)*RAND()+1,1)),"")</f>
        <v/>
      </c>
      <c r="B887" s="1" t="str">
        <f>IF(ROW()&lt;=(Results!$C$1/2)+1,VLOOKUP($A887,Data!$V$2:$W$117,2,TRUE),"")</f>
        <v/>
      </c>
      <c r="C887" s="14" t="str">
        <f>IF(ROW()&lt;=(Results!$C$1/2)+1,IF(B887&lt;=0,"",LN(B887)),"")</f>
        <v/>
      </c>
      <c r="D887" s="1" t="str">
        <f ca="1">IF(ROW()&lt;=(Results!$C$1/2)+1,INDEX(Data!$X:$X,CEILING((COUNTA(Data!$X:$X)-1)*RAND()+1,1)),"")</f>
        <v/>
      </c>
      <c r="E887" s="1" t="str">
        <f>IF(ROW()&lt;=(Results!$C$1/2)+1,VLOOKUP($D887,Data!$X$2:$Y$117,2,TRUE),"")</f>
        <v/>
      </c>
      <c r="F887" s="14" t="str">
        <f>IF(ROW()&lt;=(Results!$C$1/2)+1,IF(E887&lt;=0,"",LN(E887)),"")</f>
        <v/>
      </c>
    </row>
    <row r="888" spans="1:6" x14ac:dyDescent="0.25">
      <c r="A888" s="1" t="str">
        <f ca="1">IF(ROW()&lt;=(Results!$C$1/2)+1,INDEX(Data!$V:$V,CEILING((COUNTA(Data!$V:$V)-1)*RAND()+1,1)),"")</f>
        <v/>
      </c>
      <c r="B888" s="1" t="str">
        <f>IF(ROW()&lt;=(Results!$C$1/2)+1,VLOOKUP($A888,Data!$V$2:$W$117,2,TRUE),"")</f>
        <v/>
      </c>
      <c r="C888" s="14" t="str">
        <f>IF(ROW()&lt;=(Results!$C$1/2)+1,IF(B888&lt;=0,"",LN(B888)),"")</f>
        <v/>
      </c>
      <c r="D888" s="1" t="str">
        <f ca="1">IF(ROW()&lt;=(Results!$C$1/2)+1,INDEX(Data!$X:$X,CEILING((COUNTA(Data!$X:$X)-1)*RAND()+1,1)),"")</f>
        <v/>
      </c>
      <c r="E888" s="1" t="str">
        <f>IF(ROW()&lt;=(Results!$C$1/2)+1,VLOOKUP($D888,Data!$X$2:$Y$117,2,TRUE),"")</f>
        <v/>
      </c>
      <c r="F888" s="14" t="str">
        <f>IF(ROW()&lt;=(Results!$C$1/2)+1,IF(E888&lt;=0,"",LN(E888)),"")</f>
        <v/>
      </c>
    </row>
    <row r="889" spans="1:6" x14ac:dyDescent="0.25">
      <c r="A889" s="1" t="str">
        <f ca="1">IF(ROW()&lt;=(Results!$C$1/2)+1,INDEX(Data!$V:$V,CEILING((COUNTA(Data!$V:$V)-1)*RAND()+1,1)),"")</f>
        <v/>
      </c>
      <c r="B889" s="1" t="str">
        <f>IF(ROW()&lt;=(Results!$C$1/2)+1,VLOOKUP($A889,Data!$V$2:$W$117,2,TRUE),"")</f>
        <v/>
      </c>
      <c r="C889" s="14" t="str">
        <f>IF(ROW()&lt;=(Results!$C$1/2)+1,IF(B889&lt;=0,"",LN(B889)),"")</f>
        <v/>
      </c>
      <c r="D889" s="1" t="str">
        <f ca="1">IF(ROW()&lt;=(Results!$C$1/2)+1,INDEX(Data!$X:$X,CEILING((COUNTA(Data!$X:$X)-1)*RAND()+1,1)),"")</f>
        <v/>
      </c>
      <c r="E889" s="1" t="str">
        <f>IF(ROW()&lt;=(Results!$C$1/2)+1,VLOOKUP($D889,Data!$X$2:$Y$117,2,TRUE),"")</f>
        <v/>
      </c>
      <c r="F889" s="14" t="str">
        <f>IF(ROW()&lt;=(Results!$C$1/2)+1,IF(E889&lt;=0,"",LN(E889)),"")</f>
        <v/>
      </c>
    </row>
    <row r="890" spans="1:6" x14ac:dyDescent="0.25">
      <c r="A890" s="1" t="str">
        <f ca="1">IF(ROW()&lt;=(Results!$C$1/2)+1,INDEX(Data!$V:$V,CEILING((COUNTA(Data!$V:$V)-1)*RAND()+1,1)),"")</f>
        <v/>
      </c>
      <c r="B890" s="1" t="str">
        <f>IF(ROW()&lt;=(Results!$C$1/2)+1,VLOOKUP($A890,Data!$V$2:$W$117,2,TRUE),"")</f>
        <v/>
      </c>
      <c r="C890" s="14" t="str">
        <f>IF(ROW()&lt;=(Results!$C$1/2)+1,IF(B890&lt;=0,"",LN(B890)),"")</f>
        <v/>
      </c>
      <c r="D890" s="1" t="str">
        <f ca="1">IF(ROW()&lt;=(Results!$C$1/2)+1,INDEX(Data!$X:$X,CEILING((COUNTA(Data!$X:$X)-1)*RAND()+1,1)),"")</f>
        <v/>
      </c>
      <c r="E890" s="1" t="str">
        <f>IF(ROW()&lt;=(Results!$C$1/2)+1,VLOOKUP($D890,Data!$X$2:$Y$117,2,TRUE),"")</f>
        <v/>
      </c>
      <c r="F890" s="14" t="str">
        <f>IF(ROW()&lt;=(Results!$C$1/2)+1,IF(E890&lt;=0,"",LN(E890)),"")</f>
        <v/>
      </c>
    </row>
    <row r="891" spans="1:6" x14ac:dyDescent="0.25">
      <c r="A891" s="1" t="str">
        <f ca="1">IF(ROW()&lt;=(Results!$C$1/2)+1,INDEX(Data!$V:$V,CEILING((COUNTA(Data!$V:$V)-1)*RAND()+1,1)),"")</f>
        <v/>
      </c>
      <c r="B891" s="1" t="str">
        <f>IF(ROW()&lt;=(Results!$C$1/2)+1,VLOOKUP($A891,Data!$V$2:$W$117,2,TRUE),"")</f>
        <v/>
      </c>
      <c r="C891" s="14" t="str">
        <f>IF(ROW()&lt;=(Results!$C$1/2)+1,IF(B891&lt;=0,"",LN(B891)),"")</f>
        <v/>
      </c>
      <c r="D891" s="1" t="str">
        <f ca="1">IF(ROW()&lt;=(Results!$C$1/2)+1,INDEX(Data!$X:$X,CEILING((COUNTA(Data!$X:$X)-1)*RAND()+1,1)),"")</f>
        <v/>
      </c>
      <c r="E891" s="1" t="str">
        <f>IF(ROW()&lt;=(Results!$C$1/2)+1,VLOOKUP($D891,Data!$X$2:$Y$117,2,TRUE),"")</f>
        <v/>
      </c>
      <c r="F891" s="14" t="str">
        <f>IF(ROW()&lt;=(Results!$C$1/2)+1,IF(E891&lt;=0,"",LN(E891)),"")</f>
        <v/>
      </c>
    </row>
    <row r="892" spans="1:6" x14ac:dyDescent="0.25">
      <c r="A892" s="1" t="str">
        <f ca="1">IF(ROW()&lt;=(Results!$C$1/2)+1,INDEX(Data!$V:$V,CEILING((COUNTA(Data!$V:$V)-1)*RAND()+1,1)),"")</f>
        <v/>
      </c>
      <c r="B892" s="1" t="str">
        <f>IF(ROW()&lt;=(Results!$C$1/2)+1,VLOOKUP($A892,Data!$V$2:$W$117,2,TRUE),"")</f>
        <v/>
      </c>
      <c r="C892" s="14" t="str">
        <f>IF(ROW()&lt;=(Results!$C$1/2)+1,IF(B892&lt;=0,"",LN(B892)),"")</f>
        <v/>
      </c>
      <c r="D892" s="1" t="str">
        <f ca="1">IF(ROW()&lt;=(Results!$C$1/2)+1,INDEX(Data!$X:$X,CEILING((COUNTA(Data!$X:$X)-1)*RAND()+1,1)),"")</f>
        <v/>
      </c>
      <c r="E892" s="1" t="str">
        <f>IF(ROW()&lt;=(Results!$C$1/2)+1,VLOOKUP($D892,Data!$X$2:$Y$117,2,TRUE),"")</f>
        <v/>
      </c>
      <c r="F892" s="14" t="str">
        <f>IF(ROW()&lt;=(Results!$C$1/2)+1,IF(E892&lt;=0,"",LN(E892)),"")</f>
        <v/>
      </c>
    </row>
    <row r="893" spans="1:6" x14ac:dyDescent="0.25">
      <c r="A893" s="1" t="str">
        <f ca="1">IF(ROW()&lt;=(Results!$C$1/2)+1,INDEX(Data!$V:$V,CEILING((COUNTA(Data!$V:$V)-1)*RAND()+1,1)),"")</f>
        <v/>
      </c>
      <c r="B893" s="1" t="str">
        <f>IF(ROW()&lt;=(Results!$C$1/2)+1,VLOOKUP($A893,Data!$V$2:$W$117,2,TRUE),"")</f>
        <v/>
      </c>
      <c r="C893" s="14" t="str">
        <f>IF(ROW()&lt;=(Results!$C$1/2)+1,IF(B893&lt;=0,"",LN(B893)),"")</f>
        <v/>
      </c>
      <c r="D893" s="1" t="str">
        <f ca="1">IF(ROW()&lt;=(Results!$C$1/2)+1,INDEX(Data!$X:$X,CEILING((COUNTA(Data!$X:$X)-1)*RAND()+1,1)),"")</f>
        <v/>
      </c>
      <c r="E893" s="1" t="str">
        <f>IF(ROW()&lt;=(Results!$C$1/2)+1,VLOOKUP($D893,Data!$X$2:$Y$117,2,TRUE),"")</f>
        <v/>
      </c>
      <c r="F893" s="14" t="str">
        <f>IF(ROW()&lt;=(Results!$C$1/2)+1,IF(E893&lt;=0,"",LN(E893)),"")</f>
        <v/>
      </c>
    </row>
    <row r="894" spans="1:6" x14ac:dyDescent="0.25">
      <c r="A894" s="1" t="str">
        <f ca="1">IF(ROW()&lt;=(Results!$C$1/2)+1,INDEX(Data!$V:$V,CEILING((COUNTA(Data!$V:$V)-1)*RAND()+1,1)),"")</f>
        <v/>
      </c>
      <c r="B894" s="1" t="str">
        <f>IF(ROW()&lt;=(Results!$C$1/2)+1,VLOOKUP($A894,Data!$V$2:$W$117,2,TRUE),"")</f>
        <v/>
      </c>
      <c r="C894" s="14" t="str">
        <f>IF(ROW()&lt;=(Results!$C$1/2)+1,IF(B894&lt;=0,"",LN(B894)),"")</f>
        <v/>
      </c>
      <c r="D894" s="1" t="str">
        <f ca="1">IF(ROW()&lt;=(Results!$C$1/2)+1,INDEX(Data!$X:$X,CEILING((COUNTA(Data!$X:$X)-1)*RAND()+1,1)),"")</f>
        <v/>
      </c>
      <c r="E894" s="1" t="str">
        <f>IF(ROW()&lt;=(Results!$C$1/2)+1,VLOOKUP($D894,Data!$X$2:$Y$117,2,TRUE),"")</f>
        <v/>
      </c>
      <c r="F894" s="14" t="str">
        <f>IF(ROW()&lt;=(Results!$C$1/2)+1,IF(E894&lt;=0,"",LN(E894)),"")</f>
        <v/>
      </c>
    </row>
    <row r="895" spans="1:6" x14ac:dyDescent="0.25">
      <c r="A895" s="1" t="str">
        <f ca="1">IF(ROW()&lt;=(Results!$C$1/2)+1,INDEX(Data!$V:$V,CEILING((COUNTA(Data!$V:$V)-1)*RAND()+1,1)),"")</f>
        <v/>
      </c>
      <c r="B895" s="1" t="str">
        <f>IF(ROW()&lt;=(Results!$C$1/2)+1,VLOOKUP($A895,Data!$V$2:$W$117,2,TRUE),"")</f>
        <v/>
      </c>
      <c r="C895" s="14" t="str">
        <f>IF(ROW()&lt;=(Results!$C$1/2)+1,IF(B895&lt;=0,"",LN(B895)),"")</f>
        <v/>
      </c>
      <c r="D895" s="1" t="str">
        <f ca="1">IF(ROW()&lt;=(Results!$C$1/2)+1,INDEX(Data!$X:$X,CEILING((COUNTA(Data!$X:$X)-1)*RAND()+1,1)),"")</f>
        <v/>
      </c>
      <c r="E895" s="1" t="str">
        <f>IF(ROW()&lt;=(Results!$C$1/2)+1,VLOOKUP($D895,Data!$X$2:$Y$117,2,TRUE),"")</f>
        <v/>
      </c>
      <c r="F895" s="14" t="str">
        <f>IF(ROW()&lt;=(Results!$C$1/2)+1,IF(E895&lt;=0,"",LN(E895)),"")</f>
        <v/>
      </c>
    </row>
    <row r="896" spans="1:6" x14ac:dyDescent="0.25">
      <c r="A896" s="1" t="str">
        <f ca="1">IF(ROW()&lt;=(Results!$C$1/2)+1,INDEX(Data!$V:$V,CEILING((COUNTA(Data!$V:$V)-1)*RAND()+1,1)),"")</f>
        <v/>
      </c>
      <c r="B896" s="1" t="str">
        <f>IF(ROW()&lt;=(Results!$C$1/2)+1,VLOOKUP($A896,Data!$V$2:$W$117,2,TRUE),"")</f>
        <v/>
      </c>
      <c r="C896" s="14" t="str">
        <f>IF(ROW()&lt;=(Results!$C$1/2)+1,IF(B896&lt;=0,"",LN(B896)),"")</f>
        <v/>
      </c>
      <c r="D896" s="1" t="str">
        <f ca="1">IF(ROW()&lt;=(Results!$C$1/2)+1,INDEX(Data!$X:$X,CEILING((COUNTA(Data!$X:$X)-1)*RAND()+1,1)),"")</f>
        <v/>
      </c>
      <c r="E896" s="1" t="str">
        <f>IF(ROW()&lt;=(Results!$C$1/2)+1,VLOOKUP($D896,Data!$X$2:$Y$117,2,TRUE),"")</f>
        <v/>
      </c>
      <c r="F896" s="14" t="str">
        <f>IF(ROW()&lt;=(Results!$C$1/2)+1,IF(E896&lt;=0,"",LN(E896)),"")</f>
        <v/>
      </c>
    </row>
    <row r="897" spans="1:6" x14ac:dyDescent="0.25">
      <c r="A897" s="1" t="str">
        <f ca="1">IF(ROW()&lt;=(Results!$C$1/2)+1,INDEX(Data!$V:$V,CEILING((COUNTA(Data!$V:$V)-1)*RAND()+1,1)),"")</f>
        <v/>
      </c>
      <c r="B897" s="1" t="str">
        <f>IF(ROW()&lt;=(Results!$C$1/2)+1,VLOOKUP($A897,Data!$V$2:$W$117,2,TRUE),"")</f>
        <v/>
      </c>
      <c r="C897" s="14" t="str">
        <f>IF(ROW()&lt;=(Results!$C$1/2)+1,IF(B897&lt;=0,"",LN(B897)),"")</f>
        <v/>
      </c>
      <c r="D897" s="1" t="str">
        <f ca="1">IF(ROW()&lt;=(Results!$C$1/2)+1,INDEX(Data!$X:$X,CEILING((COUNTA(Data!$X:$X)-1)*RAND()+1,1)),"")</f>
        <v/>
      </c>
      <c r="E897" s="1" t="str">
        <f>IF(ROW()&lt;=(Results!$C$1/2)+1,VLOOKUP($D897,Data!$X$2:$Y$117,2,TRUE),"")</f>
        <v/>
      </c>
      <c r="F897" s="14" t="str">
        <f>IF(ROW()&lt;=(Results!$C$1/2)+1,IF(E897&lt;=0,"",LN(E897)),"")</f>
        <v/>
      </c>
    </row>
    <row r="898" spans="1:6" x14ac:dyDescent="0.25">
      <c r="A898" s="1" t="str">
        <f ca="1">IF(ROW()&lt;=(Results!$C$1/2)+1,INDEX(Data!$V:$V,CEILING((COUNTA(Data!$V:$V)-1)*RAND()+1,1)),"")</f>
        <v/>
      </c>
      <c r="B898" s="1" t="str">
        <f>IF(ROW()&lt;=(Results!$C$1/2)+1,VLOOKUP($A898,Data!$V$2:$W$117,2,TRUE),"")</f>
        <v/>
      </c>
      <c r="C898" s="14" t="str">
        <f>IF(ROW()&lt;=(Results!$C$1/2)+1,IF(B898&lt;=0,"",LN(B898)),"")</f>
        <v/>
      </c>
      <c r="D898" s="1" t="str">
        <f ca="1">IF(ROW()&lt;=(Results!$C$1/2)+1,INDEX(Data!$X:$X,CEILING((COUNTA(Data!$X:$X)-1)*RAND()+1,1)),"")</f>
        <v/>
      </c>
      <c r="E898" s="1" t="str">
        <f>IF(ROW()&lt;=(Results!$C$1/2)+1,VLOOKUP($D898,Data!$X$2:$Y$117,2,TRUE),"")</f>
        <v/>
      </c>
      <c r="F898" s="14" t="str">
        <f>IF(ROW()&lt;=(Results!$C$1/2)+1,IF(E898&lt;=0,"",LN(E898)),"")</f>
        <v/>
      </c>
    </row>
    <row r="899" spans="1:6" x14ac:dyDescent="0.25">
      <c r="A899" s="1" t="str">
        <f ca="1">IF(ROW()&lt;=(Results!$C$1/2)+1,INDEX(Data!$V:$V,CEILING((COUNTA(Data!$V:$V)-1)*RAND()+1,1)),"")</f>
        <v/>
      </c>
      <c r="B899" s="1" t="str">
        <f>IF(ROW()&lt;=(Results!$C$1/2)+1,VLOOKUP($A899,Data!$V$2:$W$117,2,TRUE),"")</f>
        <v/>
      </c>
      <c r="C899" s="14" t="str">
        <f>IF(ROW()&lt;=(Results!$C$1/2)+1,IF(B899&lt;=0,"",LN(B899)),"")</f>
        <v/>
      </c>
      <c r="D899" s="1" t="str">
        <f ca="1">IF(ROW()&lt;=(Results!$C$1/2)+1,INDEX(Data!$X:$X,CEILING((COUNTA(Data!$X:$X)-1)*RAND()+1,1)),"")</f>
        <v/>
      </c>
      <c r="E899" s="1" t="str">
        <f>IF(ROW()&lt;=(Results!$C$1/2)+1,VLOOKUP($D899,Data!$X$2:$Y$117,2,TRUE),"")</f>
        <v/>
      </c>
      <c r="F899" s="14" t="str">
        <f>IF(ROW()&lt;=(Results!$C$1/2)+1,IF(E899&lt;=0,"",LN(E899)),"")</f>
        <v/>
      </c>
    </row>
    <row r="900" spans="1:6" x14ac:dyDescent="0.25">
      <c r="A900" s="1" t="str">
        <f ca="1">IF(ROW()&lt;=(Results!$C$1/2)+1,INDEX(Data!$V:$V,CEILING((COUNTA(Data!$V:$V)-1)*RAND()+1,1)),"")</f>
        <v/>
      </c>
      <c r="B900" s="1" t="str">
        <f>IF(ROW()&lt;=(Results!$C$1/2)+1,VLOOKUP($A900,Data!$V$2:$W$117,2,TRUE),"")</f>
        <v/>
      </c>
      <c r="C900" s="14" t="str">
        <f>IF(ROW()&lt;=(Results!$C$1/2)+1,IF(B900&lt;=0,"",LN(B900)),"")</f>
        <v/>
      </c>
      <c r="D900" s="1" t="str">
        <f ca="1">IF(ROW()&lt;=(Results!$C$1/2)+1,INDEX(Data!$X:$X,CEILING((COUNTA(Data!$X:$X)-1)*RAND()+1,1)),"")</f>
        <v/>
      </c>
      <c r="E900" s="1" t="str">
        <f>IF(ROW()&lt;=(Results!$C$1/2)+1,VLOOKUP($D900,Data!$X$2:$Y$117,2,TRUE),"")</f>
        <v/>
      </c>
      <c r="F900" s="14" t="str">
        <f>IF(ROW()&lt;=(Results!$C$1/2)+1,IF(E900&lt;=0,"",LN(E900)),"")</f>
        <v/>
      </c>
    </row>
    <row r="901" spans="1:6" x14ac:dyDescent="0.25">
      <c r="A901" s="1" t="str">
        <f ca="1">IF(ROW()&lt;=(Results!$C$1/2)+1,INDEX(Data!$V:$V,CEILING((COUNTA(Data!$V:$V)-1)*RAND()+1,1)),"")</f>
        <v/>
      </c>
      <c r="B901" s="1" t="str">
        <f>IF(ROW()&lt;=(Results!$C$1/2)+1,VLOOKUP($A901,Data!$V$2:$W$117,2,TRUE),"")</f>
        <v/>
      </c>
      <c r="C901" s="14" t="str">
        <f>IF(ROW()&lt;=(Results!$C$1/2)+1,IF(B901&lt;=0,"",LN(B901)),"")</f>
        <v/>
      </c>
      <c r="D901" s="1" t="str">
        <f ca="1">IF(ROW()&lt;=(Results!$C$1/2)+1,INDEX(Data!$X:$X,CEILING((COUNTA(Data!$X:$X)-1)*RAND()+1,1)),"")</f>
        <v/>
      </c>
      <c r="E901" s="1" t="str">
        <f>IF(ROW()&lt;=(Results!$C$1/2)+1,VLOOKUP($D901,Data!$X$2:$Y$117,2,TRUE),"")</f>
        <v/>
      </c>
      <c r="F901" s="14" t="str">
        <f>IF(ROW()&lt;=(Results!$C$1/2)+1,IF(E901&lt;=0,"",LN(E901)),"")</f>
        <v/>
      </c>
    </row>
    <row r="902" spans="1:6" x14ac:dyDescent="0.25">
      <c r="A902" s="1" t="str">
        <f ca="1">IF(ROW()&lt;=(Results!$C$1/2)+1,INDEX(Data!$V:$V,CEILING((COUNTA(Data!$V:$V)-1)*RAND()+1,1)),"")</f>
        <v/>
      </c>
      <c r="B902" s="1" t="str">
        <f>IF(ROW()&lt;=(Results!$C$1/2)+1,VLOOKUP($A902,Data!$V$2:$W$117,2,TRUE),"")</f>
        <v/>
      </c>
      <c r="C902" s="14" t="str">
        <f>IF(ROW()&lt;=(Results!$C$1/2)+1,IF(B902&lt;=0,"",LN(B902)),"")</f>
        <v/>
      </c>
      <c r="D902" s="1" t="str">
        <f ca="1">IF(ROW()&lt;=(Results!$C$1/2)+1,INDEX(Data!$X:$X,CEILING((COUNTA(Data!$X:$X)-1)*RAND()+1,1)),"")</f>
        <v/>
      </c>
      <c r="E902" s="1" t="str">
        <f>IF(ROW()&lt;=(Results!$C$1/2)+1,VLOOKUP($D902,Data!$X$2:$Y$117,2,TRUE),"")</f>
        <v/>
      </c>
      <c r="F902" s="14" t="str">
        <f>IF(ROW()&lt;=(Results!$C$1/2)+1,IF(E902&lt;=0,"",LN(E902)),"")</f>
        <v/>
      </c>
    </row>
    <row r="903" spans="1:6" x14ac:dyDescent="0.25">
      <c r="A903" s="1" t="str">
        <f ca="1">IF(ROW()&lt;=(Results!$C$1/2)+1,INDEX(Data!$V:$V,CEILING((COUNTA(Data!$V:$V)-1)*RAND()+1,1)),"")</f>
        <v/>
      </c>
      <c r="B903" s="1" t="str">
        <f>IF(ROW()&lt;=(Results!$C$1/2)+1,VLOOKUP($A903,Data!$V$2:$W$117,2,TRUE),"")</f>
        <v/>
      </c>
      <c r="C903" s="14" t="str">
        <f>IF(ROW()&lt;=(Results!$C$1/2)+1,IF(B903&lt;=0,"",LN(B903)),"")</f>
        <v/>
      </c>
      <c r="D903" s="1" t="str">
        <f ca="1">IF(ROW()&lt;=(Results!$C$1/2)+1,INDEX(Data!$X:$X,CEILING((COUNTA(Data!$X:$X)-1)*RAND()+1,1)),"")</f>
        <v/>
      </c>
      <c r="E903" s="1" t="str">
        <f>IF(ROW()&lt;=(Results!$C$1/2)+1,VLOOKUP($D903,Data!$X$2:$Y$117,2,TRUE),"")</f>
        <v/>
      </c>
      <c r="F903" s="14" t="str">
        <f>IF(ROW()&lt;=(Results!$C$1/2)+1,IF(E903&lt;=0,"",LN(E903)),"")</f>
        <v/>
      </c>
    </row>
    <row r="904" spans="1:6" x14ac:dyDescent="0.25">
      <c r="A904" s="1" t="str">
        <f ca="1">IF(ROW()&lt;=(Results!$C$1/2)+1,INDEX(Data!$V:$V,CEILING((COUNTA(Data!$V:$V)-1)*RAND()+1,1)),"")</f>
        <v/>
      </c>
      <c r="B904" s="1" t="str">
        <f>IF(ROW()&lt;=(Results!$C$1/2)+1,VLOOKUP($A904,Data!$V$2:$W$117,2,TRUE),"")</f>
        <v/>
      </c>
      <c r="C904" s="14" t="str">
        <f>IF(ROW()&lt;=(Results!$C$1/2)+1,IF(B904&lt;=0,"",LN(B904)),"")</f>
        <v/>
      </c>
      <c r="D904" s="1" t="str">
        <f ca="1">IF(ROW()&lt;=(Results!$C$1/2)+1,INDEX(Data!$X:$X,CEILING((COUNTA(Data!$X:$X)-1)*RAND()+1,1)),"")</f>
        <v/>
      </c>
      <c r="E904" s="1" t="str">
        <f>IF(ROW()&lt;=(Results!$C$1/2)+1,VLOOKUP($D904,Data!$X$2:$Y$117,2,TRUE),"")</f>
        <v/>
      </c>
      <c r="F904" s="14" t="str">
        <f>IF(ROW()&lt;=(Results!$C$1/2)+1,IF(E904&lt;=0,"",LN(E904)),"")</f>
        <v/>
      </c>
    </row>
    <row r="905" spans="1:6" x14ac:dyDescent="0.25">
      <c r="A905" s="1" t="str">
        <f ca="1">IF(ROW()&lt;=(Results!$C$1/2)+1,INDEX(Data!$V:$V,CEILING((COUNTA(Data!$V:$V)-1)*RAND()+1,1)),"")</f>
        <v/>
      </c>
      <c r="B905" s="1" t="str">
        <f>IF(ROW()&lt;=(Results!$C$1/2)+1,VLOOKUP($A905,Data!$V$2:$W$117,2,TRUE),"")</f>
        <v/>
      </c>
      <c r="C905" s="14" t="str">
        <f>IF(ROW()&lt;=(Results!$C$1/2)+1,IF(B905&lt;=0,"",LN(B905)),"")</f>
        <v/>
      </c>
      <c r="D905" s="1" t="str">
        <f ca="1">IF(ROW()&lt;=(Results!$C$1/2)+1,INDEX(Data!$X:$X,CEILING((COUNTA(Data!$X:$X)-1)*RAND()+1,1)),"")</f>
        <v/>
      </c>
      <c r="E905" s="1" t="str">
        <f>IF(ROW()&lt;=(Results!$C$1/2)+1,VLOOKUP($D905,Data!$X$2:$Y$117,2,TRUE),"")</f>
        <v/>
      </c>
      <c r="F905" s="14" t="str">
        <f>IF(ROW()&lt;=(Results!$C$1/2)+1,IF(E905&lt;=0,"",LN(E905)),"")</f>
        <v/>
      </c>
    </row>
    <row r="906" spans="1:6" x14ac:dyDescent="0.25">
      <c r="A906" s="1" t="str">
        <f ca="1">IF(ROW()&lt;=(Results!$C$1/2)+1,INDEX(Data!$V:$V,CEILING((COUNTA(Data!$V:$V)-1)*RAND()+1,1)),"")</f>
        <v/>
      </c>
      <c r="B906" s="1" t="str">
        <f>IF(ROW()&lt;=(Results!$C$1/2)+1,VLOOKUP($A906,Data!$V$2:$W$117,2,TRUE),"")</f>
        <v/>
      </c>
      <c r="C906" s="14" t="str">
        <f>IF(ROW()&lt;=(Results!$C$1/2)+1,IF(B906&lt;=0,"",LN(B906)),"")</f>
        <v/>
      </c>
      <c r="D906" s="1" t="str">
        <f ca="1">IF(ROW()&lt;=(Results!$C$1/2)+1,INDEX(Data!$X:$X,CEILING((COUNTA(Data!$X:$X)-1)*RAND()+1,1)),"")</f>
        <v/>
      </c>
      <c r="E906" s="1" t="str">
        <f>IF(ROW()&lt;=(Results!$C$1/2)+1,VLOOKUP($D906,Data!$X$2:$Y$117,2,TRUE),"")</f>
        <v/>
      </c>
      <c r="F906" s="14" t="str">
        <f>IF(ROW()&lt;=(Results!$C$1/2)+1,IF(E906&lt;=0,"",LN(E906)),"")</f>
        <v/>
      </c>
    </row>
    <row r="907" spans="1:6" x14ac:dyDescent="0.25">
      <c r="A907" s="1" t="str">
        <f ca="1">IF(ROW()&lt;=(Results!$C$1/2)+1,INDEX(Data!$V:$V,CEILING((COUNTA(Data!$V:$V)-1)*RAND()+1,1)),"")</f>
        <v/>
      </c>
      <c r="B907" s="1" t="str">
        <f>IF(ROW()&lt;=(Results!$C$1/2)+1,VLOOKUP($A907,Data!$V$2:$W$117,2,TRUE),"")</f>
        <v/>
      </c>
      <c r="C907" s="14" t="str">
        <f>IF(ROW()&lt;=(Results!$C$1/2)+1,IF(B907&lt;=0,"",LN(B907)),"")</f>
        <v/>
      </c>
      <c r="D907" s="1" t="str">
        <f ca="1">IF(ROW()&lt;=(Results!$C$1/2)+1,INDEX(Data!$X:$X,CEILING((COUNTA(Data!$X:$X)-1)*RAND()+1,1)),"")</f>
        <v/>
      </c>
      <c r="E907" s="1" t="str">
        <f>IF(ROW()&lt;=(Results!$C$1/2)+1,VLOOKUP($D907,Data!$X$2:$Y$117,2,TRUE),"")</f>
        <v/>
      </c>
      <c r="F907" s="14" t="str">
        <f>IF(ROW()&lt;=(Results!$C$1/2)+1,IF(E907&lt;=0,"",LN(E907)),"")</f>
        <v/>
      </c>
    </row>
    <row r="908" spans="1:6" x14ac:dyDescent="0.25">
      <c r="A908" s="1" t="str">
        <f ca="1">IF(ROW()&lt;=(Results!$C$1/2)+1,INDEX(Data!$V:$V,CEILING((COUNTA(Data!$V:$V)-1)*RAND()+1,1)),"")</f>
        <v/>
      </c>
      <c r="B908" s="1" t="str">
        <f>IF(ROW()&lt;=(Results!$C$1/2)+1,VLOOKUP($A908,Data!$V$2:$W$117,2,TRUE),"")</f>
        <v/>
      </c>
      <c r="C908" s="14" t="str">
        <f>IF(ROW()&lt;=(Results!$C$1/2)+1,IF(B908&lt;=0,"",LN(B908)),"")</f>
        <v/>
      </c>
      <c r="D908" s="1" t="str">
        <f ca="1">IF(ROW()&lt;=(Results!$C$1/2)+1,INDEX(Data!$X:$X,CEILING((COUNTA(Data!$X:$X)-1)*RAND()+1,1)),"")</f>
        <v/>
      </c>
      <c r="E908" s="1" t="str">
        <f>IF(ROW()&lt;=(Results!$C$1/2)+1,VLOOKUP($D908,Data!$X$2:$Y$117,2,TRUE),"")</f>
        <v/>
      </c>
      <c r="F908" s="14" t="str">
        <f>IF(ROW()&lt;=(Results!$C$1/2)+1,IF(E908&lt;=0,"",LN(E908)),"")</f>
        <v/>
      </c>
    </row>
    <row r="909" spans="1:6" x14ac:dyDescent="0.25">
      <c r="A909" s="1" t="str">
        <f ca="1">IF(ROW()&lt;=(Results!$C$1/2)+1,INDEX(Data!$V:$V,CEILING((COUNTA(Data!$V:$V)-1)*RAND()+1,1)),"")</f>
        <v/>
      </c>
      <c r="B909" s="1" t="str">
        <f>IF(ROW()&lt;=(Results!$C$1/2)+1,VLOOKUP($A909,Data!$V$2:$W$117,2,TRUE),"")</f>
        <v/>
      </c>
      <c r="C909" s="14" t="str">
        <f>IF(ROW()&lt;=(Results!$C$1/2)+1,IF(B909&lt;=0,"",LN(B909)),"")</f>
        <v/>
      </c>
      <c r="D909" s="1" t="str">
        <f ca="1">IF(ROW()&lt;=(Results!$C$1/2)+1,INDEX(Data!$X:$X,CEILING((COUNTA(Data!$X:$X)-1)*RAND()+1,1)),"")</f>
        <v/>
      </c>
      <c r="E909" s="1" t="str">
        <f>IF(ROW()&lt;=(Results!$C$1/2)+1,VLOOKUP($D909,Data!$X$2:$Y$117,2,TRUE),"")</f>
        <v/>
      </c>
      <c r="F909" s="14" t="str">
        <f>IF(ROW()&lt;=(Results!$C$1/2)+1,IF(E909&lt;=0,"",LN(E909)),"")</f>
        <v/>
      </c>
    </row>
    <row r="910" spans="1:6" x14ac:dyDescent="0.25">
      <c r="A910" s="1" t="str">
        <f ca="1">IF(ROW()&lt;=(Results!$C$1/2)+1,INDEX(Data!$V:$V,CEILING((COUNTA(Data!$V:$V)-1)*RAND()+1,1)),"")</f>
        <v/>
      </c>
      <c r="B910" s="1" t="str">
        <f>IF(ROW()&lt;=(Results!$C$1/2)+1,VLOOKUP($A910,Data!$V$2:$W$117,2,TRUE),"")</f>
        <v/>
      </c>
      <c r="C910" s="14" t="str">
        <f>IF(ROW()&lt;=(Results!$C$1/2)+1,IF(B910&lt;=0,"",LN(B910)),"")</f>
        <v/>
      </c>
      <c r="D910" s="1" t="str">
        <f ca="1">IF(ROW()&lt;=(Results!$C$1/2)+1,INDEX(Data!$X:$X,CEILING((COUNTA(Data!$X:$X)-1)*RAND()+1,1)),"")</f>
        <v/>
      </c>
      <c r="E910" s="1" t="str">
        <f>IF(ROW()&lt;=(Results!$C$1/2)+1,VLOOKUP($D910,Data!$X$2:$Y$117,2,TRUE),"")</f>
        <v/>
      </c>
      <c r="F910" s="14" t="str">
        <f>IF(ROW()&lt;=(Results!$C$1/2)+1,IF(E910&lt;=0,"",LN(E910)),"")</f>
        <v/>
      </c>
    </row>
    <row r="911" spans="1:6" x14ac:dyDescent="0.25">
      <c r="A911" s="1" t="str">
        <f ca="1">IF(ROW()&lt;=(Results!$C$1/2)+1,INDEX(Data!$V:$V,CEILING((COUNTA(Data!$V:$V)-1)*RAND()+1,1)),"")</f>
        <v/>
      </c>
      <c r="B911" s="1" t="str">
        <f>IF(ROW()&lt;=(Results!$C$1/2)+1,VLOOKUP($A911,Data!$V$2:$W$117,2,TRUE),"")</f>
        <v/>
      </c>
      <c r="C911" s="14" t="str">
        <f>IF(ROW()&lt;=(Results!$C$1/2)+1,IF(B911&lt;=0,"",LN(B911)),"")</f>
        <v/>
      </c>
      <c r="D911" s="1" t="str">
        <f ca="1">IF(ROW()&lt;=(Results!$C$1/2)+1,INDEX(Data!$X:$X,CEILING((COUNTA(Data!$X:$X)-1)*RAND()+1,1)),"")</f>
        <v/>
      </c>
      <c r="E911" s="1" t="str">
        <f>IF(ROW()&lt;=(Results!$C$1/2)+1,VLOOKUP($D911,Data!$X$2:$Y$117,2,TRUE),"")</f>
        <v/>
      </c>
      <c r="F911" s="14" t="str">
        <f>IF(ROW()&lt;=(Results!$C$1/2)+1,IF(E911&lt;=0,"",LN(E911)),"")</f>
        <v/>
      </c>
    </row>
    <row r="912" spans="1:6" x14ac:dyDescent="0.25">
      <c r="A912" s="1" t="str">
        <f ca="1">IF(ROW()&lt;=(Results!$C$1/2)+1,INDEX(Data!$V:$V,CEILING((COUNTA(Data!$V:$V)-1)*RAND()+1,1)),"")</f>
        <v/>
      </c>
      <c r="B912" s="1" t="str">
        <f>IF(ROW()&lt;=(Results!$C$1/2)+1,VLOOKUP($A912,Data!$V$2:$W$117,2,TRUE),"")</f>
        <v/>
      </c>
      <c r="C912" s="14" t="str">
        <f>IF(ROW()&lt;=(Results!$C$1/2)+1,IF(B912&lt;=0,"",LN(B912)),"")</f>
        <v/>
      </c>
      <c r="D912" s="1" t="str">
        <f ca="1">IF(ROW()&lt;=(Results!$C$1/2)+1,INDEX(Data!$X:$X,CEILING((COUNTA(Data!$X:$X)-1)*RAND()+1,1)),"")</f>
        <v/>
      </c>
      <c r="E912" s="1" t="str">
        <f>IF(ROW()&lt;=(Results!$C$1/2)+1,VLOOKUP($D912,Data!$X$2:$Y$117,2,TRUE),"")</f>
        <v/>
      </c>
      <c r="F912" s="14" t="str">
        <f>IF(ROW()&lt;=(Results!$C$1/2)+1,IF(E912&lt;=0,"",LN(E912)),"")</f>
        <v/>
      </c>
    </row>
    <row r="913" spans="1:6" x14ac:dyDescent="0.25">
      <c r="A913" s="1" t="str">
        <f ca="1">IF(ROW()&lt;=(Results!$C$1/2)+1,INDEX(Data!$V:$V,CEILING((COUNTA(Data!$V:$V)-1)*RAND()+1,1)),"")</f>
        <v/>
      </c>
      <c r="B913" s="1" t="str">
        <f>IF(ROW()&lt;=(Results!$C$1/2)+1,VLOOKUP($A913,Data!$V$2:$W$117,2,TRUE),"")</f>
        <v/>
      </c>
      <c r="C913" s="14" t="str">
        <f>IF(ROW()&lt;=(Results!$C$1/2)+1,IF(B913&lt;=0,"",LN(B913)),"")</f>
        <v/>
      </c>
      <c r="D913" s="1" t="str">
        <f ca="1">IF(ROW()&lt;=(Results!$C$1/2)+1,INDEX(Data!$X:$X,CEILING((COUNTA(Data!$X:$X)-1)*RAND()+1,1)),"")</f>
        <v/>
      </c>
      <c r="E913" s="1" t="str">
        <f>IF(ROW()&lt;=(Results!$C$1/2)+1,VLOOKUP($D913,Data!$X$2:$Y$117,2,TRUE),"")</f>
        <v/>
      </c>
      <c r="F913" s="14" t="str">
        <f>IF(ROW()&lt;=(Results!$C$1/2)+1,IF(E913&lt;=0,"",LN(E913)),"")</f>
        <v/>
      </c>
    </row>
    <row r="914" spans="1:6" x14ac:dyDescent="0.25">
      <c r="A914" s="1" t="str">
        <f ca="1">IF(ROW()&lt;=(Results!$C$1/2)+1,INDEX(Data!$V:$V,CEILING((COUNTA(Data!$V:$V)-1)*RAND()+1,1)),"")</f>
        <v/>
      </c>
      <c r="B914" s="1" t="str">
        <f>IF(ROW()&lt;=(Results!$C$1/2)+1,VLOOKUP($A914,Data!$V$2:$W$117,2,TRUE),"")</f>
        <v/>
      </c>
      <c r="C914" s="14" t="str">
        <f>IF(ROW()&lt;=(Results!$C$1/2)+1,IF(B914&lt;=0,"",LN(B914)),"")</f>
        <v/>
      </c>
      <c r="D914" s="1" t="str">
        <f ca="1">IF(ROW()&lt;=(Results!$C$1/2)+1,INDEX(Data!$X:$X,CEILING((COUNTA(Data!$X:$X)-1)*RAND()+1,1)),"")</f>
        <v/>
      </c>
      <c r="E914" s="1" t="str">
        <f>IF(ROW()&lt;=(Results!$C$1/2)+1,VLOOKUP($D914,Data!$X$2:$Y$117,2,TRUE),"")</f>
        <v/>
      </c>
      <c r="F914" s="14" t="str">
        <f>IF(ROW()&lt;=(Results!$C$1/2)+1,IF(E914&lt;=0,"",LN(E914)),"")</f>
        <v/>
      </c>
    </row>
    <row r="915" spans="1:6" x14ac:dyDescent="0.25">
      <c r="A915" s="1" t="str">
        <f ca="1">IF(ROW()&lt;=(Results!$C$1/2)+1,INDEX(Data!$V:$V,CEILING((COUNTA(Data!$V:$V)-1)*RAND()+1,1)),"")</f>
        <v/>
      </c>
      <c r="B915" s="1" t="str">
        <f>IF(ROW()&lt;=(Results!$C$1/2)+1,VLOOKUP($A915,Data!$V$2:$W$117,2,TRUE),"")</f>
        <v/>
      </c>
      <c r="C915" s="14" t="str">
        <f>IF(ROW()&lt;=(Results!$C$1/2)+1,IF(B915&lt;=0,"",LN(B915)),"")</f>
        <v/>
      </c>
      <c r="D915" s="1" t="str">
        <f ca="1">IF(ROW()&lt;=(Results!$C$1/2)+1,INDEX(Data!$X:$X,CEILING((COUNTA(Data!$X:$X)-1)*RAND()+1,1)),"")</f>
        <v/>
      </c>
      <c r="E915" s="1" t="str">
        <f>IF(ROW()&lt;=(Results!$C$1/2)+1,VLOOKUP($D915,Data!$X$2:$Y$117,2,TRUE),"")</f>
        <v/>
      </c>
      <c r="F915" s="14" t="str">
        <f>IF(ROW()&lt;=(Results!$C$1/2)+1,IF(E915&lt;=0,"",LN(E915)),"")</f>
        <v/>
      </c>
    </row>
    <row r="916" spans="1:6" x14ac:dyDescent="0.25">
      <c r="A916" s="1" t="str">
        <f ca="1">IF(ROW()&lt;=(Results!$C$1/2)+1,INDEX(Data!$V:$V,CEILING((COUNTA(Data!$V:$V)-1)*RAND()+1,1)),"")</f>
        <v/>
      </c>
      <c r="B916" s="1" t="str">
        <f>IF(ROW()&lt;=(Results!$C$1/2)+1,VLOOKUP($A916,Data!$V$2:$W$117,2,TRUE),"")</f>
        <v/>
      </c>
      <c r="C916" s="14" t="str">
        <f>IF(ROW()&lt;=(Results!$C$1/2)+1,IF(B916&lt;=0,"",LN(B916)),"")</f>
        <v/>
      </c>
      <c r="D916" s="1" t="str">
        <f ca="1">IF(ROW()&lt;=(Results!$C$1/2)+1,INDEX(Data!$X:$X,CEILING((COUNTA(Data!$X:$X)-1)*RAND()+1,1)),"")</f>
        <v/>
      </c>
      <c r="E916" s="1" t="str">
        <f>IF(ROW()&lt;=(Results!$C$1/2)+1,VLOOKUP($D916,Data!$X$2:$Y$117,2,TRUE),"")</f>
        <v/>
      </c>
      <c r="F916" s="14" t="str">
        <f>IF(ROW()&lt;=(Results!$C$1/2)+1,IF(E916&lt;=0,"",LN(E916)),"")</f>
        <v/>
      </c>
    </row>
    <row r="917" spans="1:6" x14ac:dyDescent="0.25">
      <c r="A917" s="1" t="str">
        <f ca="1">IF(ROW()&lt;=(Results!$C$1/2)+1,INDEX(Data!$V:$V,CEILING((COUNTA(Data!$V:$V)-1)*RAND()+1,1)),"")</f>
        <v/>
      </c>
      <c r="B917" s="1" t="str">
        <f>IF(ROW()&lt;=(Results!$C$1/2)+1,VLOOKUP($A917,Data!$V$2:$W$117,2,TRUE),"")</f>
        <v/>
      </c>
      <c r="C917" s="14" t="str">
        <f>IF(ROW()&lt;=(Results!$C$1/2)+1,IF(B917&lt;=0,"",LN(B917)),"")</f>
        <v/>
      </c>
      <c r="D917" s="1" t="str">
        <f ca="1">IF(ROW()&lt;=(Results!$C$1/2)+1,INDEX(Data!$X:$X,CEILING((COUNTA(Data!$X:$X)-1)*RAND()+1,1)),"")</f>
        <v/>
      </c>
      <c r="E917" s="1" t="str">
        <f>IF(ROW()&lt;=(Results!$C$1/2)+1,VLOOKUP($D917,Data!$X$2:$Y$117,2,TRUE),"")</f>
        <v/>
      </c>
      <c r="F917" s="14" t="str">
        <f>IF(ROW()&lt;=(Results!$C$1/2)+1,IF(E917&lt;=0,"",LN(E917)),"")</f>
        <v/>
      </c>
    </row>
    <row r="918" spans="1:6" x14ac:dyDescent="0.25">
      <c r="A918" s="1" t="str">
        <f ca="1">IF(ROW()&lt;=(Results!$C$1/2)+1,INDEX(Data!$V:$V,CEILING((COUNTA(Data!$V:$V)-1)*RAND()+1,1)),"")</f>
        <v/>
      </c>
      <c r="B918" s="1" t="str">
        <f>IF(ROW()&lt;=(Results!$C$1/2)+1,VLOOKUP($A918,Data!$V$2:$W$117,2,TRUE),"")</f>
        <v/>
      </c>
      <c r="C918" s="14" t="str">
        <f>IF(ROW()&lt;=(Results!$C$1/2)+1,IF(B918&lt;=0,"",LN(B918)),"")</f>
        <v/>
      </c>
      <c r="D918" s="1" t="str">
        <f ca="1">IF(ROW()&lt;=(Results!$C$1/2)+1,INDEX(Data!$X:$X,CEILING((COUNTA(Data!$X:$X)-1)*RAND()+1,1)),"")</f>
        <v/>
      </c>
      <c r="E918" s="1" t="str">
        <f>IF(ROW()&lt;=(Results!$C$1/2)+1,VLOOKUP($D918,Data!$X$2:$Y$117,2,TRUE),"")</f>
        <v/>
      </c>
      <c r="F918" s="14" t="str">
        <f>IF(ROW()&lt;=(Results!$C$1/2)+1,IF(E918&lt;=0,"",LN(E918)),"")</f>
        <v/>
      </c>
    </row>
    <row r="919" spans="1:6" x14ac:dyDescent="0.25">
      <c r="A919" s="1" t="str">
        <f ca="1">IF(ROW()&lt;=(Results!$C$1/2)+1,INDEX(Data!$V:$V,CEILING((COUNTA(Data!$V:$V)-1)*RAND()+1,1)),"")</f>
        <v/>
      </c>
      <c r="B919" s="1" t="str">
        <f>IF(ROW()&lt;=(Results!$C$1/2)+1,VLOOKUP($A919,Data!$V$2:$W$117,2,TRUE),"")</f>
        <v/>
      </c>
      <c r="C919" s="14" t="str">
        <f>IF(ROW()&lt;=(Results!$C$1/2)+1,IF(B919&lt;=0,"",LN(B919)),"")</f>
        <v/>
      </c>
      <c r="D919" s="1" t="str">
        <f ca="1">IF(ROW()&lt;=(Results!$C$1/2)+1,INDEX(Data!$X:$X,CEILING((COUNTA(Data!$X:$X)-1)*RAND()+1,1)),"")</f>
        <v/>
      </c>
      <c r="E919" s="1" t="str">
        <f>IF(ROW()&lt;=(Results!$C$1/2)+1,VLOOKUP($D919,Data!$X$2:$Y$117,2,TRUE),"")</f>
        <v/>
      </c>
      <c r="F919" s="14" t="str">
        <f>IF(ROW()&lt;=(Results!$C$1/2)+1,IF(E919&lt;=0,"",LN(E919)),"")</f>
        <v/>
      </c>
    </row>
    <row r="920" spans="1:6" x14ac:dyDescent="0.25">
      <c r="A920" s="1" t="str">
        <f ca="1">IF(ROW()&lt;=(Results!$C$1/2)+1,INDEX(Data!$V:$V,CEILING((COUNTA(Data!$V:$V)-1)*RAND()+1,1)),"")</f>
        <v/>
      </c>
      <c r="B920" s="1" t="str">
        <f>IF(ROW()&lt;=(Results!$C$1/2)+1,VLOOKUP($A920,Data!$V$2:$W$117,2,TRUE),"")</f>
        <v/>
      </c>
      <c r="C920" s="14" t="str">
        <f>IF(ROW()&lt;=(Results!$C$1/2)+1,IF(B920&lt;=0,"",LN(B920)),"")</f>
        <v/>
      </c>
      <c r="D920" s="1" t="str">
        <f ca="1">IF(ROW()&lt;=(Results!$C$1/2)+1,INDEX(Data!$X:$X,CEILING((COUNTA(Data!$X:$X)-1)*RAND()+1,1)),"")</f>
        <v/>
      </c>
      <c r="E920" s="1" t="str">
        <f>IF(ROW()&lt;=(Results!$C$1/2)+1,VLOOKUP($D920,Data!$X$2:$Y$117,2,TRUE),"")</f>
        <v/>
      </c>
      <c r="F920" s="14" t="str">
        <f>IF(ROW()&lt;=(Results!$C$1/2)+1,IF(E920&lt;=0,"",LN(E920)),"")</f>
        <v/>
      </c>
    </row>
    <row r="921" spans="1:6" x14ac:dyDescent="0.25">
      <c r="A921" s="1" t="str">
        <f ca="1">IF(ROW()&lt;=(Results!$C$1/2)+1,INDEX(Data!$V:$V,CEILING((COUNTA(Data!$V:$V)-1)*RAND()+1,1)),"")</f>
        <v/>
      </c>
      <c r="B921" s="1" t="str">
        <f>IF(ROW()&lt;=(Results!$C$1/2)+1,VLOOKUP($A921,Data!$V$2:$W$117,2,TRUE),"")</f>
        <v/>
      </c>
      <c r="C921" s="14" t="str">
        <f>IF(ROW()&lt;=(Results!$C$1/2)+1,IF(B921&lt;=0,"",LN(B921)),"")</f>
        <v/>
      </c>
      <c r="D921" s="1" t="str">
        <f ca="1">IF(ROW()&lt;=(Results!$C$1/2)+1,INDEX(Data!$X:$X,CEILING((COUNTA(Data!$X:$X)-1)*RAND()+1,1)),"")</f>
        <v/>
      </c>
      <c r="E921" s="1" t="str">
        <f>IF(ROW()&lt;=(Results!$C$1/2)+1,VLOOKUP($D921,Data!$X$2:$Y$117,2,TRUE),"")</f>
        <v/>
      </c>
      <c r="F921" s="14" t="str">
        <f>IF(ROW()&lt;=(Results!$C$1/2)+1,IF(E921&lt;=0,"",LN(E921)),"")</f>
        <v/>
      </c>
    </row>
    <row r="922" spans="1:6" x14ac:dyDescent="0.25">
      <c r="A922" s="1" t="str">
        <f ca="1">IF(ROW()&lt;=(Results!$C$1/2)+1,INDEX(Data!$V:$V,CEILING((COUNTA(Data!$V:$V)-1)*RAND()+1,1)),"")</f>
        <v/>
      </c>
      <c r="B922" s="1" t="str">
        <f>IF(ROW()&lt;=(Results!$C$1/2)+1,VLOOKUP($A922,Data!$V$2:$W$117,2,TRUE),"")</f>
        <v/>
      </c>
      <c r="C922" s="14" t="str">
        <f>IF(ROW()&lt;=(Results!$C$1/2)+1,IF(B922&lt;=0,"",LN(B922)),"")</f>
        <v/>
      </c>
      <c r="D922" s="1" t="str">
        <f ca="1">IF(ROW()&lt;=(Results!$C$1/2)+1,INDEX(Data!$X:$X,CEILING((COUNTA(Data!$X:$X)-1)*RAND()+1,1)),"")</f>
        <v/>
      </c>
      <c r="E922" s="1" t="str">
        <f>IF(ROW()&lt;=(Results!$C$1/2)+1,VLOOKUP($D922,Data!$X$2:$Y$117,2,TRUE),"")</f>
        <v/>
      </c>
      <c r="F922" s="14" t="str">
        <f>IF(ROW()&lt;=(Results!$C$1/2)+1,IF(E922&lt;=0,"",LN(E922)),"")</f>
        <v/>
      </c>
    </row>
    <row r="923" spans="1:6" x14ac:dyDescent="0.25">
      <c r="A923" s="1" t="str">
        <f ca="1">IF(ROW()&lt;=(Results!$C$1/2)+1,INDEX(Data!$V:$V,CEILING((COUNTA(Data!$V:$V)-1)*RAND()+1,1)),"")</f>
        <v/>
      </c>
      <c r="B923" s="1" t="str">
        <f>IF(ROW()&lt;=(Results!$C$1/2)+1,VLOOKUP($A923,Data!$V$2:$W$117,2,TRUE),"")</f>
        <v/>
      </c>
      <c r="C923" s="14" t="str">
        <f>IF(ROW()&lt;=(Results!$C$1/2)+1,IF(B923&lt;=0,"",LN(B923)),"")</f>
        <v/>
      </c>
      <c r="D923" s="1" t="str">
        <f ca="1">IF(ROW()&lt;=(Results!$C$1/2)+1,INDEX(Data!$X:$X,CEILING((COUNTA(Data!$X:$X)-1)*RAND()+1,1)),"")</f>
        <v/>
      </c>
      <c r="E923" s="1" t="str">
        <f>IF(ROW()&lt;=(Results!$C$1/2)+1,VLOOKUP($D923,Data!$X$2:$Y$117,2,TRUE),"")</f>
        <v/>
      </c>
      <c r="F923" s="14" t="str">
        <f>IF(ROW()&lt;=(Results!$C$1/2)+1,IF(E923&lt;=0,"",LN(E923)),"")</f>
        <v/>
      </c>
    </row>
    <row r="924" spans="1:6" x14ac:dyDescent="0.25">
      <c r="A924" s="1" t="str">
        <f ca="1">IF(ROW()&lt;=(Results!$C$1/2)+1,INDEX(Data!$V:$V,CEILING((COUNTA(Data!$V:$V)-1)*RAND()+1,1)),"")</f>
        <v/>
      </c>
      <c r="B924" s="1" t="str">
        <f>IF(ROW()&lt;=(Results!$C$1/2)+1,VLOOKUP($A924,Data!$V$2:$W$117,2,TRUE),"")</f>
        <v/>
      </c>
      <c r="C924" s="14" t="str">
        <f>IF(ROW()&lt;=(Results!$C$1/2)+1,IF(B924&lt;=0,"",LN(B924)),"")</f>
        <v/>
      </c>
      <c r="D924" s="1" t="str">
        <f ca="1">IF(ROW()&lt;=(Results!$C$1/2)+1,INDEX(Data!$X:$X,CEILING((COUNTA(Data!$X:$X)-1)*RAND()+1,1)),"")</f>
        <v/>
      </c>
      <c r="E924" s="1" t="str">
        <f>IF(ROW()&lt;=(Results!$C$1/2)+1,VLOOKUP($D924,Data!$X$2:$Y$117,2,TRUE),"")</f>
        <v/>
      </c>
      <c r="F924" s="14" t="str">
        <f>IF(ROW()&lt;=(Results!$C$1/2)+1,IF(E924&lt;=0,"",LN(E924)),"")</f>
        <v/>
      </c>
    </row>
    <row r="925" spans="1:6" x14ac:dyDescent="0.25">
      <c r="A925" s="1" t="str">
        <f ca="1">IF(ROW()&lt;=(Results!$C$1/2)+1,INDEX(Data!$V:$V,CEILING((COUNTA(Data!$V:$V)-1)*RAND()+1,1)),"")</f>
        <v/>
      </c>
      <c r="B925" s="1" t="str">
        <f>IF(ROW()&lt;=(Results!$C$1/2)+1,VLOOKUP($A925,Data!$V$2:$W$117,2,TRUE),"")</f>
        <v/>
      </c>
      <c r="C925" s="14" t="str">
        <f>IF(ROW()&lt;=(Results!$C$1/2)+1,IF(B925&lt;=0,"",LN(B925)),"")</f>
        <v/>
      </c>
      <c r="D925" s="1" t="str">
        <f ca="1">IF(ROW()&lt;=(Results!$C$1/2)+1,INDEX(Data!$X:$X,CEILING((COUNTA(Data!$X:$X)-1)*RAND()+1,1)),"")</f>
        <v/>
      </c>
      <c r="E925" s="1" t="str">
        <f>IF(ROW()&lt;=(Results!$C$1/2)+1,VLOOKUP($D925,Data!$X$2:$Y$117,2,TRUE),"")</f>
        <v/>
      </c>
      <c r="F925" s="14" t="str">
        <f>IF(ROW()&lt;=(Results!$C$1/2)+1,IF(E925&lt;=0,"",LN(E925)),"")</f>
        <v/>
      </c>
    </row>
    <row r="926" spans="1:6" x14ac:dyDescent="0.25">
      <c r="A926" s="1" t="str">
        <f ca="1">IF(ROW()&lt;=(Results!$C$1/2)+1,INDEX(Data!$V:$V,CEILING((COUNTA(Data!$V:$V)-1)*RAND()+1,1)),"")</f>
        <v/>
      </c>
      <c r="B926" s="1" t="str">
        <f>IF(ROW()&lt;=(Results!$C$1/2)+1,VLOOKUP($A926,Data!$V$2:$W$117,2,TRUE),"")</f>
        <v/>
      </c>
      <c r="C926" s="14" t="str">
        <f>IF(ROW()&lt;=(Results!$C$1/2)+1,IF(B926&lt;=0,"",LN(B926)),"")</f>
        <v/>
      </c>
      <c r="D926" s="1" t="str">
        <f ca="1">IF(ROW()&lt;=(Results!$C$1/2)+1,INDEX(Data!$X:$X,CEILING((COUNTA(Data!$X:$X)-1)*RAND()+1,1)),"")</f>
        <v/>
      </c>
      <c r="E926" s="1" t="str">
        <f>IF(ROW()&lt;=(Results!$C$1/2)+1,VLOOKUP($D926,Data!$X$2:$Y$117,2,TRUE),"")</f>
        <v/>
      </c>
      <c r="F926" s="14" t="str">
        <f>IF(ROW()&lt;=(Results!$C$1/2)+1,IF(E926&lt;=0,"",LN(E926)),"")</f>
        <v/>
      </c>
    </row>
    <row r="927" spans="1:6" x14ac:dyDescent="0.25">
      <c r="A927" s="1" t="str">
        <f ca="1">IF(ROW()&lt;=(Results!$C$1/2)+1,INDEX(Data!$V:$V,CEILING((COUNTA(Data!$V:$V)-1)*RAND()+1,1)),"")</f>
        <v/>
      </c>
      <c r="B927" s="1" t="str">
        <f>IF(ROW()&lt;=(Results!$C$1/2)+1,VLOOKUP($A927,Data!$V$2:$W$117,2,TRUE),"")</f>
        <v/>
      </c>
      <c r="C927" s="14" t="str">
        <f>IF(ROW()&lt;=(Results!$C$1/2)+1,IF(B927&lt;=0,"",LN(B927)),"")</f>
        <v/>
      </c>
      <c r="D927" s="1" t="str">
        <f ca="1">IF(ROW()&lt;=(Results!$C$1/2)+1,INDEX(Data!$X:$X,CEILING((COUNTA(Data!$X:$X)-1)*RAND()+1,1)),"")</f>
        <v/>
      </c>
      <c r="E927" s="1" t="str">
        <f>IF(ROW()&lt;=(Results!$C$1/2)+1,VLOOKUP($D927,Data!$X$2:$Y$117,2,TRUE),"")</f>
        <v/>
      </c>
      <c r="F927" s="14" t="str">
        <f>IF(ROW()&lt;=(Results!$C$1/2)+1,IF(E927&lt;=0,"",LN(E927)),"")</f>
        <v/>
      </c>
    </row>
    <row r="928" spans="1:6" x14ac:dyDescent="0.25">
      <c r="A928" s="1" t="str">
        <f ca="1">IF(ROW()&lt;=(Results!$C$1/2)+1,INDEX(Data!$V:$V,CEILING((COUNTA(Data!$V:$V)-1)*RAND()+1,1)),"")</f>
        <v/>
      </c>
      <c r="B928" s="1" t="str">
        <f>IF(ROW()&lt;=(Results!$C$1/2)+1,VLOOKUP($A928,Data!$V$2:$W$117,2,TRUE),"")</f>
        <v/>
      </c>
      <c r="C928" s="14" t="str">
        <f>IF(ROW()&lt;=(Results!$C$1/2)+1,IF(B928&lt;=0,"",LN(B928)),"")</f>
        <v/>
      </c>
      <c r="D928" s="1" t="str">
        <f ca="1">IF(ROW()&lt;=(Results!$C$1/2)+1,INDEX(Data!$X:$X,CEILING((COUNTA(Data!$X:$X)-1)*RAND()+1,1)),"")</f>
        <v/>
      </c>
      <c r="E928" s="1" t="str">
        <f>IF(ROW()&lt;=(Results!$C$1/2)+1,VLOOKUP($D928,Data!$X$2:$Y$117,2,TRUE),"")</f>
        <v/>
      </c>
      <c r="F928" s="14" t="str">
        <f>IF(ROW()&lt;=(Results!$C$1/2)+1,IF(E928&lt;=0,"",LN(E928)),"")</f>
        <v/>
      </c>
    </row>
    <row r="929" spans="1:6" x14ac:dyDescent="0.25">
      <c r="A929" s="1" t="str">
        <f ca="1">IF(ROW()&lt;=(Results!$C$1/2)+1,INDEX(Data!$V:$V,CEILING((COUNTA(Data!$V:$V)-1)*RAND()+1,1)),"")</f>
        <v/>
      </c>
      <c r="B929" s="1" t="str">
        <f>IF(ROW()&lt;=(Results!$C$1/2)+1,VLOOKUP($A929,Data!$V$2:$W$117,2,TRUE),"")</f>
        <v/>
      </c>
      <c r="C929" s="14" t="str">
        <f>IF(ROW()&lt;=(Results!$C$1/2)+1,IF(B929&lt;=0,"",LN(B929)),"")</f>
        <v/>
      </c>
      <c r="D929" s="1" t="str">
        <f ca="1">IF(ROW()&lt;=(Results!$C$1/2)+1,INDEX(Data!$X:$X,CEILING((COUNTA(Data!$X:$X)-1)*RAND()+1,1)),"")</f>
        <v/>
      </c>
      <c r="E929" s="1" t="str">
        <f>IF(ROW()&lt;=(Results!$C$1/2)+1,VLOOKUP($D929,Data!$X$2:$Y$117,2,TRUE),"")</f>
        <v/>
      </c>
      <c r="F929" s="14" t="str">
        <f>IF(ROW()&lt;=(Results!$C$1/2)+1,IF(E929&lt;=0,"",LN(E929)),"")</f>
        <v/>
      </c>
    </row>
    <row r="930" spans="1:6" x14ac:dyDescent="0.25">
      <c r="A930" s="1" t="str">
        <f ca="1">IF(ROW()&lt;=(Results!$C$1/2)+1,INDEX(Data!$V:$V,CEILING((COUNTA(Data!$V:$V)-1)*RAND()+1,1)),"")</f>
        <v/>
      </c>
      <c r="B930" s="1" t="str">
        <f>IF(ROW()&lt;=(Results!$C$1/2)+1,VLOOKUP($A930,Data!$V$2:$W$117,2,TRUE),"")</f>
        <v/>
      </c>
      <c r="C930" s="14" t="str">
        <f>IF(ROW()&lt;=(Results!$C$1/2)+1,IF(B930&lt;=0,"",LN(B930)),"")</f>
        <v/>
      </c>
      <c r="D930" s="1" t="str">
        <f ca="1">IF(ROW()&lt;=(Results!$C$1/2)+1,INDEX(Data!$X:$X,CEILING((COUNTA(Data!$X:$X)-1)*RAND()+1,1)),"")</f>
        <v/>
      </c>
      <c r="E930" s="1" t="str">
        <f>IF(ROW()&lt;=(Results!$C$1/2)+1,VLOOKUP($D930,Data!$X$2:$Y$117,2,TRUE),"")</f>
        <v/>
      </c>
      <c r="F930" s="14" t="str">
        <f>IF(ROW()&lt;=(Results!$C$1/2)+1,IF(E930&lt;=0,"",LN(E930)),"")</f>
        <v/>
      </c>
    </row>
    <row r="931" spans="1:6" x14ac:dyDescent="0.25">
      <c r="A931" s="1" t="str">
        <f ca="1">IF(ROW()&lt;=(Results!$C$1/2)+1,INDEX(Data!$V:$V,CEILING((COUNTA(Data!$V:$V)-1)*RAND()+1,1)),"")</f>
        <v/>
      </c>
      <c r="B931" s="1" t="str">
        <f>IF(ROW()&lt;=(Results!$C$1/2)+1,VLOOKUP($A931,Data!$V$2:$W$117,2,TRUE),"")</f>
        <v/>
      </c>
      <c r="C931" s="14" t="str">
        <f>IF(ROW()&lt;=(Results!$C$1/2)+1,IF(B931&lt;=0,"",LN(B931)),"")</f>
        <v/>
      </c>
      <c r="D931" s="1" t="str">
        <f ca="1">IF(ROW()&lt;=(Results!$C$1/2)+1,INDEX(Data!$X:$X,CEILING((COUNTA(Data!$X:$X)-1)*RAND()+1,1)),"")</f>
        <v/>
      </c>
      <c r="E931" s="1" t="str">
        <f>IF(ROW()&lt;=(Results!$C$1/2)+1,VLOOKUP($D931,Data!$X$2:$Y$117,2,TRUE),"")</f>
        <v/>
      </c>
      <c r="F931" s="14" t="str">
        <f>IF(ROW()&lt;=(Results!$C$1/2)+1,IF(E931&lt;=0,"",LN(E931)),"")</f>
        <v/>
      </c>
    </row>
    <row r="932" spans="1:6" x14ac:dyDescent="0.25">
      <c r="A932" s="1" t="str">
        <f ca="1">IF(ROW()&lt;=(Results!$C$1/2)+1,INDEX(Data!$V:$V,CEILING((COUNTA(Data!$V:$V)-1)*RAND()+1,1)),"")</f>
        <v/>
      </c>
      <c r="B932" s="1" t="str">
        <f>IF(ROW()&lt;=(Results!$C$1/2)+1,VLOOKUP($A932,Data!$V$2:$W$117,2,TRUE),"")</f>
        <v/>
      </c>
      <c r="C932" s="14" t="str">
        <f>IF(ROW()&lt;=(Results!$C$1/2)+1,IF(B932&lt;=0,"",LN(B932)),"")</f>
        <v/>
      </c>
      <c r="D932" s="1" t="str">
        <f ca="1">IF(ROW()&lt;=(Results!$C$1/2)+1,INDEX(Data!$X:$X,CEILING((COUNTA(Data!$X:$X)-1)*RAND()+1,1)),"")</f>
        <v/>
      </c>
      <c r="E932" s="1" t="str">
        <f>IF(ROW()&lt;=(Results!$C$1/2)+1,VLOOKUP($D932,Data!$X$2:$Y$117,2,TRUE),"")</f>
        <v/>
      </c>
      <c r="F932" s="14" t="str">
        <f>IF(ROW()&lt;=(Results!$C$1/2)+1,IF(E932&lt;=0,"",LN(E932)),"")</f>
        <v/>
      </c>
    </row>
    <row r="933" spans="1:6" x14ac:dyDescent="0.25">
      <c r="A933" s="1" t="str">
        <f ca="1">IF(ROW()&lt;=(Results!$C$1/2)+1,INDEX(Data!$V:$V,CEILING((COUNTA(Data!$V:$V)-1)*RAND()+1,1)),"")</f>
        <v/>
      </c>
      <c r="B933" s="1" t="str">
        <f>IF(ROW()&lt;=(Results!$C$1/2)+1,VLOOKUP($A933,Data!$V$2:$W$117,2,TRUE),"")</f>
        <v/>
      </c>
      <c r="C933" s="14" t="str">
        <f>IF(ROW()&lt;=(Results!$C$1/2)+1,IF(B933&lt;=0,"",LN(B933)),"")</f>
        <v/>
      </c>
      <c r="D933" s="1" t="str">
        <f ca="1">IF(ROW()&lt;=(Results!$C$1/2)+1,INDEX(Data!$X:$X,CEILING((COUNTA(Data!$X:$X)-1)*RAND()+1,1)),"")</f>
        <v/>
      </c>
      <c r="E933" s="1" t="str">
        <f>IF(ROW()&lt;=(Results!$C$1/2)+1,VLOOKUP($D933,Data!$X$2:$Y$117,2,TRUE),"")</f>
        <v/>
      </c>
      <c r="F933" s="14" t="str">
        <f>IF(ROW()&lt;=(Results!$C$1/2)+1,IF(E933&lt;=0,"",LN(E933)),"")</f>
        <v/>
      </c>
    </row>
    <row r="934" spans="1:6" x14ac:dyDescent="0.25">
      <c r="A934" s="1" t="str">
        <f ca="1">IF(ROW()&lt;=(Results!$C$1/2)+1,INDEX(Data!$V:$V,CEILING((COUNTA(Data!$V:$V)-1)*RAND()+1,1)),"")</f>
        <v/>
      </c>
      <c r="B934" s="1" t="str">
        <f>IF(ROW()&lt;=(Results!$C$1/2)+1,VLOOKUP($A934,Data!$V$2:$W$117,2,TRUE),"")</f>
        <v/>
      </c>
      <c r="C934" s="14" t="str">
        <f>IF(ROW()&lt;=(Results!$C$1/2)+1,IF(B934&lt;=0,"",LN(B934)),"")</f>
        <v/>
      </c>
      <c r="D934" s="1" t="str">
        <f ca="1">IF(ROW()&lt;=(Results!$C$1/2)+1,INDEX(Data!$X:$X,CEILING((COUNTA(Data!$X:$X)-1)*RAND()+1,1)),"")</f>
        <v/>
      </c>
      <c r="E934" s="1" t="str">
        <f>IF(ROW()&lt;=(Results!$C$1/2)+1,VLOOKUP($D934,Data!$X$2:$Y$117,2,TRUE),"")</f>
        <v/>
      </c>
      <c r="F934" s="14" t="str">
        <f>IF(ROW()&lt;=(Results!$C$1/2)+1,IF(E934&lt;=0,"",LN(E934)),"")</f>
        <v/>
      </c>
    </row>
    <row r="935" spans="1:6" x14ac:dyDescent="0.25">
      <c r="A935" s="1" t="str">
        <f ca="1">IF(ROW()&lt;=(Results!$C$1/2)+1,INDEX(Data!$V:$V,CEILING((COUNTA(Data!$V:$V)-1)*RAND()+1,1)),"")</f>
        <v/>
      </c>
      <c r="B935" s="1" t="str">
        <f>IF(ROW()&lt;=(Results!$C$1/2)+1,VLOOKUP($A935,Data!$V$2:$W$117,2,TRUE),"")</f>
        <v/>
      </c>
      <c r="C935" s="14" t="str">
        <f>IF(ROW()&lt;=(Results!$C$1/2)+1,IF(B935&lt;=0,"",LN(B935)),"")</f>
        <v/>
      </c>
      <c r="D935" s="1" t="str">
        <f ca="1">IF(ROW()&lt;=(Results!$C$1/2)+1,INDEX(Data!$X:$X,CEILING((COUNTA(Data!$X:$X)-1)*RAND()+1,1)),"")</f>
        <v/>
      </c>
      <c r="E935" s="1" t="str">
        <f>IF(ROW()&lt;=(Results!$C$1/2)+1,VLOOKUP($D935,Data!$X$2:$Y$117,2,TRUE),"")</f>
        <v/>
      </c>
      <c r="F935" s="14" t="str">
        <f>IF(ROW()&lt;=(Results!$C$1/2)+1,IF(E935&lt;=0,"",LN(E935)),"")</f>
        <v/>
      </c>
    </row>
    <row r="936" spans="1:6" x14ac:dyDescent="0.25">
      <c r="A936" s="1" t="str">
        <f ca="1">IF(ROW()&lt;=(Results!$C$1/2)+1,INDEX(Data!$V:$V,CEILING((COUNTA(Data!$V:$V)-1)*RAND()+1,1)),"")</f>
        <v/>
      </c>
      <c r="B936" s="1" t="str">
        <f>IF(ROW()&lt;=(Results!$C$1/2)+1,VLOOKUP($A936,Data!$V$2:$W$117,2,TRUE),"")</f>
        <v/>
      </c>
      <c r="C936" s="14" t="str">
        <f>IF(ROW()&lt;=(Results!$C$1/2)+1,IF(B936&lt;=0,"",LN(B936)),"")</f>
        <v/>
      </c>
      <c r="D936" s="1" t="str">
        <f ca="1">IF(ROW()&lt;=(Results!$C$1/2)+1,INDEX(Data!$X:$X,CEILING((COUNTA(Data!$X:$X)-1)*RAND()+1,1)),"")</f>
        <v/>
      </c>
      <c r="E936" s="1" t="str">
        <f>IF(ROW()&lt;=(Results!$C$1/2)+1,VLOOKUP($D936,Data!$X$2:$Y$117,2,TRUE),"")</f>
        <v/>
      </c>
      <c r="F936" s="14" t="str">
        <f>IF(ROW()&lt;=(Results!$C$1/2)+1,IF(E936&lt;=0,"",LN(E936)),"")</f>
        <v/>
      </c>
    </row>
    <row r="937" spans="1:6" x14ac:dyDescent="0.25">
      <c r="A937" s="1" t="str">
        <f ca="1">IF(ROW()&lt;=(Results!$C$1/2)+1,INDEX(Data!$V:$V,CEILING((COUNTA(Data!$V:$V)-1)*RAND()+1,1)),"")</f>
        <v/>
      </c>
      <c r="B937" s="1" t="str">
        <f>IF(ROW()&lt;=(Results!$C$1/2)+1,VLOOKUP($A937,Data!$V$2:$W$117,2,TRUE),"")</f>
        <v/>
      </c>
      <c r="C937" s="14" t="str">
        <f>IF(ROW()&lt;=(Results!$C$1/2)+1,IF(B937&lt;=0,"",LN(B937)),"")</f>
        <v/>
      </c>
      <c r="D937" s="1" t="str">
        <f ca="1">IF(ROW()&lt;=(Results!$C$1/2)+1,INDEX(Data!$X:$X,CEILING((COUNTA(Data!$X:$X)-1)*RAND()+1,1)),"")</f>
        <v/>
      </c>
      <c r="E937" s="1" t="str">
        <f>IF(ROW()&lt;=(Results!$C$1/2)+1,VLOOKUP($D937,Data!$X$2:$Y$117,2,TRUE),"")</f>
        <v/>
      </c>
      <c r="F937" s="14" t="str">
        <f>IF(ROW()&lt;=(Results!$C$1/2)+1,IF(E937&lt;=0,"",LN(E937)),"")</f>
        <v/>
      </c>
    </row>
    <row r="938" spans="1:6" x14ac:dyDescent="0.25">
      <c r="A938" s="1" t="str">
        <f ca="1">IF(ROW()&lt;=(Results!$C$1/2)+1,INDEX(Data!$V:$V,CEILING((COUNTA(Data!$V:$V)-1)*RAND()+1,1)),"")</f>
        <v/>
      </c>
      <c r="B938" s="1" t="str">
        <f>IF(ROW()&lt;=(Results!$C$1/2)+1,VLOOKUP($A938,Data!$V$2:$W$117,2,TRUE),"")</f>
        <v/>
      </c>
      <c r="C938" s="14" t="str">
        <f>IF(ROW()&lt;=(Results!$C$1/2)+1,IF(B938&lt;=0,"",LN(B938)),"")</f>
        <v/>
      </c>
      <c r="D938" s="1" t="str">
        <f ca="1">IF(ROW()&lt;=(Results!$C$1/2)+1,INDEX(Data!$X:$X,CEILING((COUNTA(Data!$X:$X)-1)*RAND()+1,1)),"")</f>
        <v/>
      </c>
      <c r="E938" s="1" t="str">
        <f>IF(ROW()&lt;=(Results!$C$1/2)+1,VLOOKUP($D938,Data!$X$2:$Y$117,2,TRUE),"")</f>
        <v/>
      </c>
      <c r="F938" s="14" t="str">
        <f>IF(ROW()&lt;=(Results!$C$1/2)+1,IF(E938&lt;=0,"",LN(E938)),"")</f>
        <v/>
      </c>
    </row>
    <row r="939" spans="1:6" x14ac:dyDescent="0.25">
      <c r="A939" s="1" t="str">
        <f ca="1">IF(ROW()&lt;=(Results!$C$1/2)+1,INDEX(Data!$V:$V,CEILING((COUNTA(Data!$V:$V)-1)*RAND()+1,1)),"")</f>
        <v/>
      </c>
      <c r="B939" s="1" t="str">
        <f>IF(ROW()&lt;=(Results!$C$1/2)+1,VLOOKUP($A939,Data!$V$2:$W$117,2,TRUE),"")</f>
        <v/>
      </c>
      <c r="C939" s="14" t="str">
        <f>IF(ROW()&lt;=(Results!$C$1/2)+1,IF(B939&lt;=0,"",LN(B939)),"")</f>
        <v/>
      </c>
      <c r="D939" s="1" t="str">
        <f ca="1">IF(ROW()&lt;=(Results!$C$1/2)+1,INDEX(Data!$X:$X,CEILING((COUNTA(Data!$X:$X)-1)*RAND()+1,1)),"")</f>
        <v/>
      </c>
      <c r="E939" s="1" t="str">
        <f>IF(ROW()&lt;=(Results!$C$1/2)+1,VLOOKUP($D939,Data!$X$2:$Y$117,2,TRUE),"")</f>
        <v/>
      </c>
      <c r="F939" s="14" t="str">
        <f>IF(ROW()&lt;=(Results!$C$1/2)+1,IF(E939&lt;=0,"",LN(E939)),"")</f>
        <v/>
      </c>
    </row>
    <row r="940" spans="1:6" x14ac:dyDescent="0.25">
      <c r="A940" s="1" t="str">
        <f ca="1">IF(ROW()&lt;=(Results!$C$1/2)+1,INDEX(Data!$V:$V,CEILING((COUNTA(Data!$V:$V)-1)*RAND()+1,1)),"")</f>
        <v/>
      </c>
      <c r="B940" s="1" t="str">
        <f>IF(ROW()&lt;=(Results!$C$1/2)+1,VLOOKUP($A940,Data!$V$2:$W$117,2,TRUE),"")</f>
        <v/>
      </c>
      <c r="C940" s="14" t="str">
        <f>IF(ROW()&lt;=(Results!$C$1/2)+1,IF(B940&lt;=0,"",LN(B940)),"")</f>
        <v/>
      </c>
      <c r="D940" s="1" t="str">
        <f ca="1">IF(ROW()&lt;=(Results!$C$1/2)+1,INDEX(Data!$X:$X,CEILING((COUNTA(Data!$X:$X)-1)*RAND()+1,1)),"")</f>
        <v/>
      </c>
      <c r="E940" s="1" t="str">
        <f>IF(ROW()&lt;=(Results!$C$1/2)+1,VLOOKUP($D940,Data!$X$2:$Y$117,2,TRUE),"")</f>
        <v/>
      </c>
      <c r="F940" s="14" t="str">
        <f>IF(ROW()&lt;=(Results!$C$1/2)+1,IF(E940&lt;=0,"",LN(E940)),"")</f>
        <v/>
      </c>
    </row>
    <row r="941" spans="1:6" x14ac:dyDescent="0.25">
      <c r="A941" s="1" t="str">
        <f ca="1">IF(ROW()&lt;=(Results!$C$1/2)+1,INDEX(Data!$V:$V,CEILING((COUNTA(Data!$V:$V)-1)*RAND()+1,1)),"")</f>
        <v/>
      </c>
      <c r="B941" s="1" t="str">
        <f>IF(ROW()&lt;=(Results!$C$1/2)+1,VLOOKUP($A941,Data!$V$2:$W$117,2,TRUE),"")</f>
        <v/>
      </c>
      <c r="C941" s="14" t="str">
        <f>IF(ROW()&lt;=(Results!$C$1/2)+1,IF(B941&lt;=0,"",LN(B941)),"")</f>
        <v/>
      </c>
      <c r="D941" s="1" t="str">
        <f ca="1">IF(ROW()&lt;=(Results!$C$1/2)+1,INDEX(Data!$X:$X,CEILING((COUNTA(Data!$X:$X)-1)*RAND()+1,1)),"")</f>
        <v/>
      </c>
      <c r="E941" s="1" t="str">
        <f>IF(ROW()&lt;=(Results!$C$1/2)+1,VLOOKUP($D941,Data!$X$2:$Y$117,2,TRUE),"")</f>
        <v/>
      </c>
      <c r="F941" s="14" t="str">
        <f>IF(ROW()&lt;=(Results!$C$1/2)+1,IF(E941&lt;=0,"",LN(E941)),"")</f>
        <v/>
      </c>
    </row>
    <row r="942" spans="1:6" x14ac:dyDescent="0.25">
      <c r="A942" s="1" t="str">
        <f ca="1">IF(ROW()&lt;=(Results!$C$1/2)+1,INDEX(Data!$V:$V,CEILING((COUNTA(Data!$V:$V)-1)*RAND()+1,1)),"")</f>
        <v/>
      </c>
      <c r="B942" s="1" t="str">
        <f>IF(ROW()&lt;=(Results!$C$1/2)+1,VLOOKUP($A942,Data!$V$2:$W$117,2,TRUE),"")</f>
        <v/>
      </c>
      <c r="C942" s="14" t="str">
        <f>IF(ROW()&lt;=(Results!$C$1/2)+1,IF(B942&lt;=0,"",LN(B942)),"")</f>
        <v/>
      </c>
      <c r="D942" s="1" t="str">
        <f ca="1">IF(ROW()&lt;=(Results!$C$1/2)+1,INDEX(Data!$X:$X,CEILING((COUNTA(Data!$X:$X)-1)*RAND()+1,1)),"")</f>
        <v/>
      </c>
      <c r="E942" s="1" t="str">
        <f>IF(ROW()&lt;=(Results!$C$1/2)+1,VLOOKUP($D942,Data!$X$2:$Y$117,2,TRUE),"")</f>
        <v/>
      </c>
      <c r="F942" s="14" t="str">
        <f>IF(ROW()&lt;=(Results!$C$1/2)+1,IF(E942&lt;=0,"",LN(E942)),"")</f>
        <v/>
      </c>
    </row>
    <row r="943" spans="1:6" x14ac:dyDescent="0.25">
      <c r="A943" s="1" t="str">
        <f ca="1">IF(ROW()&lt;=(Results!$C$1/2)+1,INDEX(Data!$V:$V,CEILING((COUNTA(Data!$V:$V)-1)*RAND()+1,1)),"")</f>
        <v/>
      </c>
      <c r="B943" s="1" t="str">
        <f>IF(ROW()&lt;=(Results!$C$1/2)+1,VLOOKUP($A943,Data!$V$2:$W$117,2,TRUE),"")</f>
        <v/>
      </c>
      <c r="C943" s="14" t="str">
        <f>IF(ROW()&lt;=(Results!$C$1/2)+1,IF(B943&lt;=0,"",LN(B943)),"")</f>
        <v/>
      </c>
      <c r="D943" s="1" t="str">
        <f ca="1">IF(ROW()&lt;=(Results!$C$1/2)+1,INDEX(Data!$X:$X,CEILING((COUNTA(Data!$X:$X)-1)*RAND()+1,1)),"")</f>
        <v/>
      </c>
      <c r="E943" s="1" t="str">
        <f>IF(ROW()&lt;=(Results!$C$1/2)+1,VLOOKUP($D943,Data!$X$2:$Y$117,2,TRUE),"")</f>
        <v/>
      </c>
      <c r="F943" s="14" t="str">
        <f>IF(ROW()&lt;=(Results!$C$1/2)+1,IF(E943&lt;=0,"",LN(E943)),"")</f>
        <v/>
      </c>
    </row>
    <row r="944" spans="1:6" x14ac:dyDescent="0.25">
      <c r="A944" s="1" t="str">
        <f ca="1">IF(ROW()&lt;=(Results!$C$1/2)+1,INDEX(Data!$V:$V,CEILING((COUNTA(Data!$V:$V)-1)*RAND()+1,1)),"")</f>
        <v/>
      </c>
      <c r="B944" s="1" t="str">
        <f>IF(ROW()&lt;=(Results!$C$1/2)+1,VLOOKUP($A944,Data!$V$2:$W$117,2,TRUE),"")</f>
        <v/>
      </c>
      <c r="C944" s="14" t="str">
        <f>IF(ROW()&lt;=(Results!$C$1/2)+1,IF(B944&lt;=0,"",LN(B944)),"")</f>
        <v/>
      </c>
      <c r="D944" s="1" t="str">
        <f ca="1">IF(ROW()&lt;=(Results!$C$1/2)+1,INDEX(Data!$X:$X,CEILING((COUNTA(Data!$X:$X)-1)*RAND()+1,1)),"")</f>
        <v/>
      </c>
      <c r="E944" s="1" t="str">
        <f>IF(ROW()&lt;=(Results!$C$1/2)+1,VLOOKUP($D944,Data!$X$2:$Y$117,2,TRUE),"")</f>
        <v/>
      </c>
      <c r="F944" s="14" t="str">
        <f>IF(ROW()&lt;=(Results!$C$1/2)+1,IF(E944&lt;=0,"",LN(E944)),"")</f>
        <v/>
      </c>
    </row>
    <row r="945" spans="1:6" x14ac:dyDescent="0.25">
      <c r="A945" s="1" t="str">
        <f ca="1">IF(ROW()&lt;=(Results!$C$1/2)+1,INDEX(Data!$V:$V,CEILING((COUNTA(Data!$V:$V)-1)*RAND()+1,1)),"")</f>
        <v/>
      </c>
      <c r="B945" s="1" t="str">
        <f>IF(ROW()&lt;=(Results!$C$1/2)+1,VLOOKUP($A945,Data!$V$2:$W$117,2,TRUE),"")</f>
        <v/>
      </c>
      <c r="C945" s="14" t="str">
        <f>IF(ROW()&lt;=(Results!$C$1/2)+1,IF(B945&lt;=0,"",LN(B945)),"")</f>
        <v/>
      </c>
      <c r="D945" s="1" t="str">
        <f ca="1">IF(ROW()&lt;=(Results!$C$1/2)+1,INDEX(Data!$X:$X,CEILING((COUNTA(Data!$X:$X)-1)*RAND()+1,1)),"")</f>
        <v/>
      </c>
      <c r="E945" s="1" t="str">
        <f>IF(ROW()&lt;=(Results!$C$1/2)+1,VLOOKUP($D945,Data!$X$2:$Y$117,2,TRUE),"")</f>
        <v/>
      </c>
      <c r="F945" s="14" t="str">
        <f>IF(ROW()&lt;=(Results!$C$1/2)+1,IF(E945&lt;=0,"",LN(E945)),"")</f>
        <v/>
      </c>
    </row>
    <row r="946" spans="1:6" x14ac:dyDescent="0.25">
      <c r="A946" s="1" t="str">
        <f ca="1">IF(ROW()&lt;=(Results!$C$1/2)+1,INDEX(Data!$V:$V,CEILING((COUNTA(Data!$V:$V)-1)*RAND()+1,1)),"")</f>
        <v/>
      </c>
      <c r="B946" s="1" t="str">
        <f>IF(ROW()&lt;=(Results!$C$1/2)+1,VLOOKUP($A946,Data!$V$2:$W$117,2,TRUE),"")</f>
        <v/>
      </c>
      <c r="C946" s="14" t="str">
        <f>IF(ROW()&lt;=(Results!$C$1/2)+1,IF(B946&lt;=0,"",LN(B946)),"")</f>
        <v/>
      </c>
      <c r="D946" s="1" t="str">
        <f ca="1">IF(ROW()&lt;=(Results!$C$1/2)+1,INDEX(Data!$X:$X,CEILING((COUNTA(Data!$X:$X)-1)*RAND()+1,1)),"")</f>
        <v/>
      </c>
      <c r="E946" s="1" t="str">
        <f>IF(ROW()&lt;=(Results!$C$1/2)+1,VLOOKUP($D946,Data!$X$2:$Y$117,2,TRUE),"")</f>
        <v/>
      </c>
      <c r="F946" s="14" t="str">
        <f>IF(ROW()&lt;=(Results!$C$1/2)+1,IF(E946&lt;=0,"",LN(E946)),"")</f>
        <v/>
      </c>
    </row>
    <row r="947" spans="1:6" x14ac:dyDescent="0.25">
      <c r="A947" s="1" t="str">
        <f ca="1">IF(ROW()&lt;=(Results!$C$1/2)+1,INDEX(Data!$V:$V,CEILING((COUNTA(Data!$V:$V)-1)*RAND()+1,1)),"")</f>
        <v/>
      </c>
      <c r="B947" s="1" t="str">
        <f>IF(ROW()&lt;=(Results!$C$1/2)+1,VLOOKUP($A947,Data!$V$2:$W$117,2,TRUE),"")</f>
        <v/>
      </c>
      <c r="C947" s="14" t="str">
        <f>IF(ROW()&lt;=(Results!$C$1/2)+1,IF(B947&lt;=0,"",LN(B947)),"")</f>
        <v/>
      </c>
      <c r="D947" s="1" t="str">
        <f ca="1">IF(ROW()&lt;=(Results!$C$1/2)+1,INDEX(Data!$X:$X,CEILING((COUNTA(Data!$X:$X)-1)*RAND()+1,1)),"")</f>
        <v/>
      </c>
      <c r="E947" s="1" t="str">
        <f>IF(ROW()&lt;=(Results!$C$1/2)+1,VLOOKUP($D947,Data!$X$2:$Y$117,2,TRUE),"")</f>
        <v/>
      </c>
      <c r="F947" s="14" t="str">
        <f>IF(ROW()&lt;=(Results!$C$1/2)+1,IF(E947&lt;=0,"",LN(E947)),"")</f>
        <v/>
      </c>
    </row>
    <row r="948" spans="1:6" x14ac:dyDescent="0.25">
      <c r="A948" s="1" t="str">
        <f ca="1">IF(ROW()&lt;=(Results!$C$1/2)+1,INDEX(Data!$V:$V,CEILING((COUNTA(Data!$V:$V)-1)*RAND()+1,1)),"")</f>
        <v/>
      </c>
      <c r="B948" s="1" t="str">
        <f>IF(ROW()&lt;=(Results!$C$1/2)+1,VLOOKUP($A948,Data!$V$2:$W$117,2,TRUE),"")</f>
        <v/>
      </c>
      <c r="C948" s="14" t="str">
        <f>IF(ROW()&lt;=(Results!$C$1/2)+1,IF(B948&lt;=0,"",LN(B948)),"")</f>
        <v/>
      </c>
      <c r="D948" s="1" t="str">
        <f ca="1">IF(ROW()&lt;=(Results!$C$1/2)+1,INDEX(Data!$X:$X,CEILING((COUNTA(Data!$X:$X)-1)*RAND()+1,1)),"")</f>
        <v/>
      </c>
      <c r="E948" s="1" t="str">
        <f>IF(ROW()&lt;=(Results!$C$1/2)+1,VLOOKUP($D948,Data!$X$2:$Y$117,2,TRUE),"")</f>
        <v/>
      </c>
      <c r="F948" s="14" t="str">
        <f>IF(ROW()&lt;=(Results!$C$1/2)+1,IF(E948&lt;=0,"",LN(E948)),"")</f>
        <v/>
      </c>
    </row>
    <row r="949" spans="1:6" x14ac:dyDescent="0.25">
      <c r="A949" s="1" t="str">
        <f ca="1">IF(ROW()&lt;=(Results!$C$1/2)+1,INDEX(Data!$V:$V,CEILING((COUNTA(Data!$V:$V)-1)*RAND()+1,1)),"")</f>
        <v/>
      </c>
      <c r="B949" s="1" t="str">
        <f>IF(ROW()&lt;=(Results!$C$1/2)+1,VLOOKUP($A949,Data!$V$2:$W$117,2,TRUE),"")</f>
        <v/>
      </c>
      <c r="C949" s="14" t="str">
        <f>IF(ROW()&lt;=(Results!$C$1/2)+1,IF(B949&lt;=0,"",LN(B949)),"")</f>
        <v/>
      </c>
      <c r="D949" s="1" t="str">
        <f ca="1">IF(ROW()&lt;=(Results!$C$1/2)+1,INDEX(Data!$X:$X,CEILING((COUNTA(Data!$X:$X)-1)*RAND()+1,1)),"")</f>
        <v/>
      </c>
      <c r="E949" s="1" t="str">
        <f>IF(ROW()&lt;=(Results!$C$1/2)+1,VLOOKUP($D949,Data!$X$2:$Y$117,2,TRUE),"")</f>
        <v/>
      </c>
      <c r="F949" s="14" t="str">
        <f>IF(ROW()&lt;=(Results!$C$1/2)+1,IF(E949&lt;=0,"",LN(E949)),"")</f>
        <v/>
      </c>
    </row>
    <row r="950" spans="1:6" x14ac:dyDescent="0.25">
      <c r="A950" s="1" t="str">
        <f ca="1">IF(ROW()&lt;=(Results!$C$1/2)+1,INDEX(Data!$V:$V,CEILING((COUNTA(Data!$V:$V)-1)*RAND()+1,1)),"")</f>
        <v/>
      </c>
      <c r="B950" s="1" t="str">
        <f>IF(ROW()&lt;=(Results!$C$1/2)+1,VLOOKUP($A950,Data!$V$2:$W$117,2,TRUE),"")</f>
        <v/>
      </c>
      <c r="C950" s="14" t="str">
        <f>IF(ROW()&lt;=(Results!$C$1/2)+1,IF(B950&lt;=0,"",LN(B950)),"")</f>
        <v/>
      </c>
      <c r="D950" s="1" t="str">
        <f ca="1">IF(ROW()&lt;=(Results!$C$1/2)+1,INDEX(Data!$X:$X,CEILING((COUNTA(Data!$X:$X)-1)*RAND()+1,1)),"")</f>
        <v/>
      </c>
      <c r="E950" s="1" t="str">
        <f>IF(ROW()&lt;=(Results!$C$1/2)+1,VLOOKUP($D950,Data!$X$2:$Y$117,2,TRUE),"")</f>
        <v/>
      </c>
      <c r="F950" s="14" t="str">
        <f>IF(ROW()&lt;=(Results!$C$1/2)+1,IF(E950&lt;=0,"",LN(E950)),"")</f>
        <v/>
      </c>
    </row>
    <row r="951" spans="1:6" x14ac:dyDescent="0.25">
      <c r="A951" s="1" t="str">
        <f ca="1">IF(ROW()&lt;=(Results!$C$1/2)+1,INDEX(Data!$V:$V,CEILING((COUNTA(Data!$V:$V)-1)*RAND()+1,1)),"")</f>
        <v/>
      </c>
      <c r="B951" s="1" t="str">
        <f>IF(ROW()&lt;=(Results!$C$1/2)+1,VLOOKUP($A951,Data!$V$2:$W$117,2,TRUE),"")</f>
        <v/>
      </c>
      <c r="C951" s="14" t="str">
        <f>IF(ROW()&lt;=(Results!$C$1/2)+1,IF(B951&lt;=0,"",LN(B951)),"")</f>
        <v/>
      </c>
      <c r="D951" s="1" t="str">
        <f ca="1">IF(ROW()&lt;=(Results!$C$1/2)+1,INDEX(Data!$X:$X,CEILING((COUNTA(Data!$X:$X)-1)*RAND()+1,1)),"")</f>
        <v/>
      </c>
      <c r="E951" s="1" t="str">
        <f>IF(ROW()&lt;=(Results!$C$1/2)+1,VLOOKUP($D951,Data!$X$2:$Y$117,2,TRUE),"")</f>
        <v/>
      </c>
      <c r="F951" s="14" t="str">
        <f>IF(ROW()&lt;=(Results!$C$1/2)+1,IF(E951&lt;=0,"",LN(E951)),"")</f>
        <v/>
      </c>
    </row>
    <row r="952" spans="1:6" x14ac:dyDescent="0.25">
      <c r="A952" s="1" t="str">
        <f ca="1">IF(ROW()&lt;=(Results!$C$1/2)+1,INDEX(Data!$V:$V,CEILING((COUNTA(Data!$V:$V)-1)*RAND()+1,1)),"")</f>
        <v/>
      </c>
      <c r="B952" s="1" t="str">
        <f>IF(ROW()&lt;=(Results!$C$1/2)+1,VLOOKUP($A952,Data!$V$2:$W$117,2,TRUE),"")</f>
        <v/>
      </c>
      <c r="C952" s="14" t="str">
        <f>IF(ROW()&lt;=(Results!$C$1/2)+1,IF(B952&lt;=0,"",LN(B952)),"")</f>
        <v/>
      </c>
      <c r="D952" s="1" t="str">
        <f ca="1">IF(ROW()&lt;=(Results!$C$1/2)+1,INDEX(Data!$X:$X,CEILING((COUNTA(Data!$X:$X)-1)*RAND()+1,1)),"")</f>
        <v/>
      </c>
      <c r="E952" s="1" t="str">
        <f>IF(ROW()&lt;=(Results!$C$1/2)+1,VLOOKUP($D952,Data!$X$2:$Y$117,2,TRUE),"")</f>
        <v/>
      </c>
      <c r="F952" s="14" t="str">
        <f>IF(ROW()&lt;=(Results!$C$1/2)+1,IF(E952&lt;=0,"",LN(E952)),"")</f>
        <v/>
      </c>
    </row>
    <row r="953" spans="1:6" x14ac:dyDescent="0.25">
      <c r="A953" s="1" t="str">
        <f ca="1">IF(ROW()&lt;=(Results!$C$1/2)+1,INDEX(Data!$V:$V,CEILING((COUNTA(Data!$V:$V)-1)*RAND()+1,1)),"")</f>
        <v/>
      </c>
      <c r="B953" s="1" t="str">
        <f>IF(ROW()&lt;=(Results!$C$1/2)+1,VLOOKUP($A953,Data!$V$2:$W$117,2,TRUE),"")</f>
        <v/>
      </c>
      <c r="C953" s="14" t="str">
        <f>IF(ROW()&lt;=(Results!$C$1/2)+1,IF(B953&lt;=0,"",LN(B953)),"")</f>
        <v/>
      </c>
      <c r="D953" s="1" t="str">
        <f ca="1">IF(ROW()&lt;=(Results!$C$1/2)+1,INDEX(Data!$X:$X,CEILING((COUNTA(Data!$X:$X)-1)*RAND()+1,1)),"")</f>
        <v/>
      </c>
      <c r="E953" s="1" t="str">
        <f>IF(ROW()&lt;=(Results!$C$1/2)+1,VLOOKUP($D953,Data!$X$2:$Y$117,2,TRUE),"")</f>
        <v/>
      </c>
      <c r="F953" s="14" t="str">
        <f>IF(ROW()&lt;=(Results!$C$1/2)+1,IF(E953&lt;=0,"",LN(E953)),"")</f>
        <v/>
      </c>
    </row>
    <row r="954" spans="1:6" x14ac:dyDescent="0.25">
      <c r="A954" s="1" t="str">
        <f ca="1">IF(ROW()&lt;=(Results!$C$1/2)+1,INDEX(Data!$V:$V,CEILING((COUNTA(Data!$V:$V)-1)*RAND()+1,1)),"")</f>
        <v/>
      </c>
      <c r="B954" s="1" t="str">
        <f>IF(ROW()&lt;=(Results!$C$1/2)+1,VLOOKUP($A954,Data!$V$2:$W$117,2,TRUE),"")</f>
        <v/>
      </c>
      <c r="C954" s="14" t="str">
        <f>IF(ROW()&lt;=(Results!$C$1/2)+1,IF(B954&lt;=0,"",LN(B954)),"")</f>
        <v/>
      </c>
      <c r="D954" s="1" t="str">
        <f ca="1">IF(ROW()&lt;=(Results!$C$1/2)+1,INDEX(Data!$X:$X,CEILING((COUNTA(Data!$X:$X)-1)*RAND()+1,1)),"")</f>
        <v/>
      </c>
      <c r="E954" s="1" t="str">
        <f>IF(ROW()&lt;=(Results!$C$1/2)+1,VLOOKUP($D954,Data!$X$2:$Y$117,2,TRUE),"")</f>
        <v/>
      </c>
      <c r="F954" s="14" t="str">
        <f>IF(ROW()&lt;=(Results!$C$1/2)+1,IF(E954&lt;=0,"",LN(E954)),"")</f>
        <v/>
      </c>
    </row>
    <row r="955" spans="1:6" x14ac:dyDescent="0.25">
      <c r="A955" s="1" t="str">
        <f ca="1">IF(ROW()&lt;=(Results!$C$1/2)+1,INDEX(Data!$V:$V,CEILING((COUNTA(Data!$V:$V)-1)*RAND()+1,1)),"")</f>
        <v/>
      </c>
      <c r="B955" s="1" t="str">
        <f>IF(ROW()&lt;=(Results!$C$1/2)+1,VLOOKUP($A955,Data!$V$2:$W$117,2,TRUE),"")</f>
        <v/>
      </c>
      <c r="C955" s="14" t="str">
        <f>IF(ROW()&lt;=(Results!$C$1/2)+1,IF(B955&lt;=0,"",LN(B955)),"")</f>
        <v/>
      </c>
      <c r="D955" s="1" t="str">
        <f ca="1">IF(ROW()&lt;=(Results!$C$1/2)+1,INDEX(Data!$X:$X,CEILING((COUNTA(Data!$X:$X)-1)*RAND()+1,1)),"")</f>
        <v/>
      </c>
      <c r="E955" s="1" t="str">
        <f>IF(ROW()&lt;=(Results!$C$1/2)+1,VLOOKUP($D955,Data!$X$2:$Y$117,2,TRUE),"")</f>
        <v/>
      </c>
      <c r="F955" s="14" t="str">
        <f>IF(ROW()&lt;=(Results!$C$1/2)+1,IF(E955&lt;=0,"",LN(E955)),"")</f>
        <v/>
      </c>
    </row>
    <row r="956" spans="1:6" x14ac:dyDescent="0.25">
      <c r="A956" s="1" t="str">
        <f ca="1">IF(ROW()&lt;=(Results!$C$1/2)+1,INDEX(Data!$V:$V,CEILING((COUNTA(Data!$V:$V)-1)*RAND()+1,1)),"")</f>
        <v/>
      </c>
      <c r="B956" s="1" t="str">
        <f>IF(ROW()&lt;=(Results!$C$1/2)+1,VLOOKUP($A956,Data!$V$2:$W$117,2,TRUE),"")</f>
        <v/>
      </c>
      <c r="C956" s="14" t="str">
        <f>IF(ROW()&lt;=(Results!$C$1/2)+1,IF(B956&lt;=0,"",LN(B956)),"")</f>
        <v/>
      </c>
      <c r="D956" s="1" t="str">
        <f ca="1">IF(ROW()&lt;=(Results!$C$1/2)+1,INDEX(Data!$X:$X,CEILING((COUNTA(Data!$X:$X)-1)*RAND()+1,1)),"")</f>
        <v/>
      </c>
      <c r="E956" s="1" t="str">
        <f>IF(ROW()&lt;=(Results!$C$1/2)+1,VLOOKUP($D956,Data!$X$2:$Y$117,2,TRUE),"")</f>
        <v/>
      </c>
      <c r="F956" s="14" t="str">
        <f>IF(ROW()&lt;=(Results!$C$1/2)+1,IF(E956&lt;=0,"",LN(E956)),"")</f>
        <v/>
      </c>
    </row>
    <row r="957" spans="1:6" x14ac:dyDescent="0.25">
      <c r="A957" s="1" t="str">
        <f ca="1">IF(ROW()&lt;=(Results!$C$1/2)+1,INDEX(Data!$V:$V,CEILING((COUNTA(Data!$V:$V)-1)*RAND()+1,1)),"")</f>
        <v/>
      </c>
      <c r="B957" s="1" t="str">
        <f>IF(ROW()&lt;=(Results!$C$1/2)+1,VLOOKUP($A957,Data!$V$2:$W$117,2,TRUE),"")</f>
        <v/>
      </c>
      <c r="C957" s="14" t="str">
        <f>IF(ROW()&lt;=(Results!$C$1/2)+1,IF(B957&lt;=0,"",LN(B957)),"")</f>
        <v/>
      </c>
      <c r="D957" s="1" t="str">
        <f ca="1">IF(ROW()&lt;=(Results!$C$1/2)+1,INDEX(Data!$X:$X,CEILING((COUNTA(Data!$X:$X)-1)*RAND()+1,1)),"")</f>
        <v/>
      </c>
      <c r="E957" s="1" t="str">
        <f>IF(ROW()&lt;=(Results!$C$1/2)+1,VLOOKUP($D957,Data!$X$2:$Y$117,2,TRUE),"")</f>
        <v/>
      </c>
      <c r="F957" s="14" t="str">
        <f>IF(ROW()&lt;=(Results!$C$1/2)+1,IF(E957&lt;=0,"",LN(E957)),"")</f>
        <v/>
      </c>
    </row>
    <row r="958" spans="1:6" x14ac:dyDescent="0.25">
      <c r="A958" s="1" t="str">
        <f ca="1">IF(ROW()&lt;=(Results!$C$1/2)+1,INDEX(Data!$V:$V,CEILING((COUNTA(Data!$V:$V)-1)*RAND()+1,1)),"")</f>
        <v/>
      </c>
      <c r="B958" s="1" t="str">
        <f>IF(ROW()&lt;=(Results!$C$1/2)+1,VLOOKUP($A958,Data!$V$2:$W$117,2,TRUE),"")</f>
        <v/>
      </c>
      <c r="C958" s="14" t="str">
        <f>IF(ROW()&lt;=(Results!$C$1/2)+1,IF(B958&lt;=0,"",LN(B958)),"")</f>
        <v/>
      </c>
      <c r="D958" s="1" t="str">
        <f ca="1">IF(ROW()&lt;=(Results!$C$1/2)+1,INDEX(Data!$X:$X,CEILING((COUNTA(Data!$X:$X)-1)*RAND()+1,1)),"")</f>
        <v/>
      </c>
      <c r="E958" s="1" t="str">
        <f>IF(ROW()&lt;=(Results!$C$1/2)+1,VLOOKUP($D958,Data!$X$2:$Y$117,2,TRUE),"")</f>
        <v/>
      </c>
      <c r="F958" s="14" t="str">
        <f>IF(ROW()&lt;=(Results!$C$1/2)+1,IF(E958&lt;=0,"",LN(E958)),"")</f>
        <v/>
      </c>
    </row>
    <row r="959" spans="1:6" x14ac:dyDescent="0.25">
      <c r="A959" s="1" t="str">
        <f ca="1">IF(ROW()&lt;=(Results!$C$1/2)+1,INDEX(Data!$V:$V,CEILING((COUNTA(Data!$V:$V)-1)*RAND()+1,1)),"")</f>
        <v/>
      </c>
      <c r="B959" s="1" t="str">
        <f>IF(ROW()&lt;=(Results!$C$1/2)+1,VLOOKUP($A959,Data!$V$2:$W$117,2,TRUE),"")</f>
        <v/>
      </c>
      <c r="C959" s="14" t="str">
        <f>IF(ROW()&lt;=(Results!$C$1/2)+1,IF(B959&lt;=0,"",LN(B959)),"")</f>
        <v/>
      </c>
      <c r="D959" s="1" t="str">
        <f ca="1">IF(ROW()&lt;=(Results!$C$1/2)+1,INDEX(Data!$X:$X,CEILING((COUNTA(Data!$X:$X)-1)*RAND()+1,1)),"")</f>
        <v/>
      </c>
      <c r="E959" s="1" t="str">
        <f>IF(ROW()&lt;=(Results!$C$1/2)+1,VLOOKUP($D959,Data!$X$2:$Y$117,2,TRUE),"")</f>
        <v/>
      </c>
      <c r="F959" s="14" t="str">
        <f>IF(ROW()&lt;=(Results!$C$1/2)+1,IF(E959&lt;=0,"",LN(E959)),"")</f>
        <v/>
      </c>
    </row>
    <row r="960" spans="1:6" x14ac:dyDescent="0.25">
      <c r="A960" s="1" t="str">
        <f ca="1">IF(ROW()&lt;=(Results!$C$1/2)+1,INDEX(Data!$V:$V,CEILING((COUNTA(Data!$V:$V)-1)*RAND()+1,1)),"")</f>
        <v/>
      </c>
      <c r="B960" s="1" t="str">
        <f>IF(ROW()&lt;=(Results!$C$1/2)+1,VLOOKUP($A960,Data!$V$2:$W$117,2,TRUE),"")</f>
        <v/>
      </c>
      <c r="C960" s="14" t="str">
        <f>IF(ROW()&lt;=(Results!$C$1/2)+1,IF(B960&lt;=0,"",LN(B960)),"")</f>
        <v/>
      </c>
      <c r="D960" s="1" t="str">
        <f ca="1">IF(ROW()&lt;=(Results!$C$1/2)+1,INDEX(Data!$X:$X,CEILING((COUNTA(Data!$X:$X)-1)*RAND()+1,1)),"")</f>
        <v/>
      </c>
      <c r="E960" s="1" t="str">
        <f>IF(ROW()&lt;=(Results!$C$1/2)+1,VLOOKUP($D960,Data!$X$2:$Y$117,2,TRUE),"")</f>
        <v/>
      </c>
      <c r="F960" s="14" t="str">
        <f>IF(ROW()&lt;=(Results!$C$1/2)+1,IF(E960&lt;=0,"",LN(E960)),"")</f>
        <v/>
      </c>
    </row>
    <row r="961" spans="1:6" x14ac:dyDescent="0.25">
      <c r="A961" s="1" t="str">
        <f ca="1">IF(ROW()&lt;=(Results!$C$1/2)+1,INDEX(Data!$V:$V,CEILING((COUNTA(Data!$V:$V)-1)*RAND()+1,1)),"")</f>
        <v/>
      </c>
      <c r="B961" s="1" t="str">
        <f>IF(ROW()&lt;=(Results!$C$1/2)+1,VLOOKUP($A961,Data!$V$2:$W$117,2,TRUE),"")</f>
        <v/>
      </c>
      <c r="C961" s="14" t="str">
        <f>IF(ROW()&lt;=(Results!$C$1/2)+1,IF(B961&lt;=0,"",LN(B961)),"")</f>
        <v/>
      </c>
      <c r="D961" s="1" t="str">
        <f ca="1">IF(ROW()&lt;=(Results!$C$1/2)+1,INDEX(Data!$X:$X,CEILING((COUNTA(Data!$X:$X)-1)*RAND()+1,1)),"")</f>
        <v/>
      </c>
      <c r="E961" s="1" t="str">
        <f>IF(ROW()&lt;=(Results!$C$1/2)+1,VLOOKUP($D961,Data!$X$2:$Y$117,2,TRUE),"")</f>
        <v/>
      </c>
      <c r="F961" s="14" t="str">
        <f>IF(ROW()&lt;=(Results!$C$1/2)+1,IF(E961&lt;=0,"",LN(E961)),"")</f>
        <v/>
      </c>
    </row>
    <row r="962" spans="1:6" x14ac:dyDescent="0.25">
      <c r="A962" s="1" t="str">
        <f ca="1">IF(ROW()&lt;=(Results!$C$1/2)+1,INDEX(Data!$V:$V,CEILING((COUNTA(Data!$V:$V)-1)*RAND()+1,1)),"")</f>
        <v/>
      </c>
      <c r="B962" s="1" t="str">
        <f>IF(ROW()&lt;=(Results!$C$1/2)+1,VLOOKUP($A962,Data!$V$2:$W$117,2,TRUE),"")</f>
        <v/>
      </c>
      <c r="C962" s="14" t="str">
        <f>IF(ROW()&lt;=(Results!$C$1/2)+1,IF(B962&lt;=0,"",LN(B962)),"")</f>
        <v/>
      </c>
      <c r="D962" s="1" t="str">
        <f ca="1">IF(ROW()&lt;=(Results!$C$1/2)+1,INDEX(Data!$X:$X,CEILING((COUNTA(Data!$X:$X)-1)*RAND()+1,1)),"")</f>
        <v/>
      </c>
      <c r="E962" s="1" t="str">
        <f>IF(ROW()&lt;=(Results!$C$1/2)+1,VLOOKUP($D962,Data!$X$2:$Y$117,2,TRUE),"")</f>
        <v/>
      </c>
      <c r="F962" s="14" t="str">
        <f>IF(ROW()&lt;=(Results!$C$1/2)+1,IF(E962&lt;=0,"",LN(E962)),"")</f>
        <v/>
      </c>
    </row>
    <row r="963" spans="1:6" x14ac:dyDescent="0.25">
      <c r="A963" s="1" t="str">
        <f ca="1">IF(ROW()&lt;=(Results!$C$1/2)+1,INDEX(Data!$V:$V,CEILING((COUNTA(Data!$V:$V)-1)*RAND()+1,1)),"")</f>
        <v/>
      </c>
      <c r="B963" s="1" t="str">
        <f>IF(ROW()&lt;=(Results!$C$1/2)+1,VLOOKUP($A963,Data!$V$2:$W$117,2,TRUE),"")</f>
        <v/>
      </c>
      <c r="C963" s="14" t="str">
        <f>IF(ROW()&lt;=(Results!$C$1/2)+1,IF(B963&lt;=0,"",LN(B963)),"")</f>
        <v/>
      </c>
      <c r="D963" s="1" t="str">
        <f ca="1">IF(ROW()&lt;=(Results!$C$1/2)+1,INDEX(Data!$X:$X,CEILING((COUNTA(Data!$X:$X)-1)*RAND()+1,1)),"")</f>
        <v/>
      </c>
      <c r="E963" s="1" t="str">
        <f>IF(ROW()&lt;=(Results!$C$1/2)+1,VLOOKUP($D963,Data!$X$2:$Y$117,2,TRUE),"")</f>
        <v/>
      </c>
      <c r="F963" s="14" t="str">
        <f>IF(ROW()&lt;=(Results!$C$1/2)+1,IF(E963&lt;=0,"",LN(E963)),"")</f>
        <v/>
      </c>
    </row>
    <row r="964" spans="1:6" x14ac:dyDescent="0.25">
      <c r="A964" s="1" t="str">
        <f ca="1">IF(ROW()&lt;=(Results!$C$1/2)+1,INDEX(Data!$V:$V,CEILING((COUNTA(Data!$V:$V)-1)*RAND()+1,1)),"")</f>
        <v/>
      </c>
      <c r="B964" s="1" t="str">
        <f>IF(ROW()&lt;=(Results!$C$1/2)+1,VLOOKUP($A964,Data!$V$2:$W$117,2,TRUE),"")</f>
        <v/>
      </c>
      <c r="C964" s="14" t="str">
        <f>IF(ROW()&lt;=(Results!$C$1/2)+1,IF(B964&lt;=0,"",LN(B964)),"")</f>
        <v/>
      </c>
      <c r="D964" s="1" t="str">
        <f ca="1">IF(ROW()&lt;=(Results!$C$1/2)+1,INDEX(Data!$X:$X,CEILING((COUNTA(Data!$X:$X)-1)*RAND()+1,1)),"")</f>
        <v/>
      </c>
      <c r="E964" s="1" t="str">
        <f>IF(ROW()&lt;=(Results!$C$1/2)+1,VLOOKUP($D964,Data!$X$2:$Y$117,2,TRUE),"")</f>
        <v/>
      </c>
      <c r="F964" s="14" t="str">
        <f>IF(ROW()&lt;=(Results!$C$1/2)+1,IF(E964&lt;=0,"",LN(E964)),"")</f>
        <v/>
      </c>
    </row>
    <row r="965" spans="1:6" x14ac:dyDescent="0.25">
      <c r="A965" s="1" t="str">
        <f ca="1">IF(ROW()&lt;=(Results!$C$1/2)+1,INDEX(Data!$V:$V,CEILING((COUNTA(Data!$V:$V)-1)*RAND()+1,1)),"")</f>
        <v/>
      </c>
      <c r="B965" s="1" t="str">
        <f>IF(ROW()&lt;=(Results!$C$1/2)+1,VLOOKUP($A965,Data!$V$2:$W$117,2,TRUE),"")</f>
        <v/>
      </c>
      <c r="C965" s="14" t="str">
        <f>IF(ROW()&lt;=(Results!$C$1/2)+1,IF(B965&lt;=0,"",LN(B965)),"")</f>
        <v/>
      </c>
      <c r="D965" s="1" t="str">
        <f ca="1">IF(ROW()&lt;=(Results!$C$1/2)+1,INDEX(Data!$X:$X,CEILING((COUNTA(Data!$X:$X)-1)*RAND()+1,1)),"")</f>
        <v/>
      </c>
      <c r="E965" s="1" t="str">
        <f>IF(ROW()&lt;=(Results!$C$1/2)+1,VLOOKUP($D965,Data!$X$2:$Y$117,2,TRUE),"")</f>
        <v/>
      </c>
      <c r="F965" s="14" t="str">
        <f>IF(ROW()&lt;=(Results!$C$1/2)+1,IF(E965&lt;=0,"",LN(E965)),"")</f>
        <v/>
      </c>
    </row>
    <row r="966" spans="1:6" x14ac:dyDescent="0.25">
      <c r="A966" s="1" t="str">
        <f ca="1">IF(ROW()&lt;=(Results!$C$1/2)+1,INDEX(Data!$V:$V,CEILING((COUNTA(Data!$V:$V)-1)*RAND()+1,1)),"")</f>
        <v/>
      </c>
      <c r="B966" s="1" t="str">
        <f>IF(ROW()&lt;=(Results!$C$1/2)+1,VLOOKUP($A966,Data!$V$2:$W$117,2,TRUE),"")</f>
        <v/>
      </c>
      <c r="C966" s="14" t="str">
        <f>IF(ROW()&lt;=(Results!$C$1/2)+1,IF(B966&lt;=0,"",LN(B966)),"")</f>
        <v/>
      </c>
      <c r="D966" s="1" t="str">
        <f ca="1">IF(ROW()&lt;=(Results!$C$1/2)+1,INDEX(Data!$X:$X,CEILING((COUNTA(Data!$X:$X)-1)*RAND()+1,1)),"")</f>
        <v/>
      </c>
      <c r="E966" s="1" t="str">
        <f>IF(ROW()&lt;=(Results!$C$1/2)+1,VLOOKUP($D966,Data!$X$2:$Y$117,2,TRUE),"")</f>
        <v/>
      </c>
      <c r="F966" s="14" t="str">
        <f>IF(ROW()&lt;=(Results!$C$1/2)+1,IF(E966&lt;=0,"",LN(E966)),"")</f>
        <v/>
      </c>
    </row>
    <row r="967" spans="1:6" x14ac:dyDescent="0.25">
      <c r="A967" s="1" t="str">
        <f ca="1">IF(ROW()&lt;=(Results!$C$1/2)+1,INDEX(Data!$V:$V,CEILING((COUNTA(Data!$V:$V)-1)*RAND()+1,1)),"")</f>
        <v/>
      </c>
      <c r="B967" s="1" t="str">
        <f>IF(ROW()&lt;=(Results!$C$1/2)+1,VLOOKUP($A967,Data!$V$2:$W$117,2,TRUE),"")</f>
        <v/>
      </c>
      <c r="C967" s="14" t="str">
        <f>IF(ROW()&lt;=(Results!$C$1/2)+1,IF(B967&lt;=0,"",LN(B967)),"")</f>
        <v/>
      </c>
      <c r="D967" s="1" t="str">
        <f ca="1">IF(ROW()&lt;=(Results!$C$1/2)+1,INDEX(Data!$X:$X,CEILING((COUNTA(Data!$X:$X)-1)*RAND()+1,1)),"")</f>
        <v/>
      </c>
      <c r="E967" s="1" t="str">
        <f>IF(ROW()&lt;=(Results!$C$1/2)+1,VLOOKUP($D967,Data!$X$2:$Y$117,2,TRUE),"")</f>
        <v/>
      </c>
      <c r="F967" s="14" t="str">
        <f>IF(ROW()&lt;=(Results!$C$1/2)+1,IF(E967&lt;=0,"",LN(E967)),"")</f>
        <v/>
      </c>
    </row>
    <row r="968" spans="1:6" x14ac:dyDescent="0.25">
      <c r="A968" s="1" t="str">
        <f ca="1">IF(ROW()&lt;=(Results!$C$1/2)+1,INDEX(Data!$V:$V,CEILING((COUNTA(Data!$V:$V)-1)*RAND()+1,1)),"")</f>
        <v/>
      </c>
      <c r="B968" s="1" t="str">
        <f>IF(ROW()&lt;=(Results!$C$1/2)+1,VLOOKUP($A968,Data!$V$2:$W$117,2,TRUE),"")</f>
        <v/>
      </c>
      <c r="C968" s="14" t="str">
        <f>IF(ROW()&lt;=(Results!$C$1/2)+1,IF(B968&lt;=0,"",LN(B968)),"")</f>
        <v/>
      </c>
      <c r="D968" s="1" t="str">
        <f ca="1">IF(ROW()&lt;=(Results!$C$1/2)+1,INDEX(Data!$X:$X,CEILING((COUNTA(Data!$X:$X)-1)*RAND()+1,1)),"")</f>
        <v/>
      </c>
      <c r="E968" s="1" t="str">
        <f>IF(ROW()&lt;=(Results!$C$1/2)+1,VLOOKUP($D968,Data!$X$2:$Y$117,2,TRUE),"")</f>
        <v/>
      </c>
      <c r="F968" s="14" t="str">
        <f>IF(ROW()&lt;=(Results!$C$1/2)+1,IF(E968&lt;=0,"",LN(E968)),"")</f>
        <v/>
      </c>
    </row>
    <row r="969" spans="1:6" x14ac:dyDescent="0.25">
      <c r="A969" s="1" t="str">
        <f ca="1">IF(ROW()&lt;=(Results!$C$1/2)+1,INDEX(Data!$V:$V,CEILING((COUNTA(Data!$V:$V)-1)*RAND()+1,1)),"")</f>
        <v/>
      </c>
      <c r="B969" s="1" t="str">
        <f>IF(ROW()&lt;=(Results!$C$1/2)+1,VLOOKUP($A969,Data!$V$2:$W$117,2,TRUE),"")</f>
        <v/>
      </c>
      <c r="C969" s="14" t="str">
        <f>IF(ROW()&lt;=(Results!$C$1/2)+1,IF(B969&lt;=0,"",LN(B969)),"")</f>
        <v/>
      </c>
      <c r="D969" s="1" t="str">
        <f ca="1">IF(ROW()&lt;=(Results!$C$1/2)+1,INDEX(Data!$X:$X,CEILING((COUNTA(Data!$X:$X)-1)*RAND()+1,1)),"")</f>
        <v/>
      </c>
      <c r="E969" s="1" t="str">
        <f>IF(ROW()&lt;=(Results!$C$1/2)+1,VLOOKUP($D969,Data!$X$2:$Y$117,2,TRUE),"")</f>
        <v/>
      </c>
      <c r="F969" s="14" t="str">
        <f>IF(ROW()&lt;=(Results!$C$1/2)+1,IF(E969&lt;=0,"",LN(E969)),"")</f>
        <v/>
      </c>
    </row>
    <row r="970" spans="1:6" x14ac:dyDescent="0.25">
      <c r="A970" s="1" t="str">
        <f ca="1">IF(ROW()&lt;=(Results!$C$1/2)+1,INDEX(Data!$V:$V,CEILING((COUNTA(Data!$V:$V)-1)*RAND()+1,1)),"")</f>
        <v/>
      </c>
      <c r="B970" s="1" t="str">
        <f>IF(ROW()&lt;=(Results!$C$1/2)+1,VLOOKUP($A970,Data!$V$2:$W$117,2,TRUE),"")</f>
        <v/>
      </c>
      <c r="C970" s="14" t="str">
        <f>IF(ROW()&lt;=(Results!$C$1/2)+1,IF(B970&lt;=0,"",LN(B970)),"")</f>
        <v/>
      </c>
      <c r="D970" s="1" t="str">
        <f ca="1">IF(ROW()&lt;=(Results!$C$1/2)+1,INDEX(Data!$X:$X,CEILING((COUNTA(Data!$X:$X)-1)*RAND()+1,1)),"")</f>
        <v/>
      </c>
      <c r="E970" s="1" t="str">
        <f>IF(ROW()&lt;=(Results!$C$1/2)+1,VLOOKUP($D970,Data!$X$2:$Y$117,2,TRUE),"")</f>
        <v/>
      </c>
      <c r="F970" s="14" t="str">
        <f>IF(ROW()&lt;=(Results!$C$1/2)+1,IF(E970&lt;=0,"",LN(E970)),"")</f>
        <v/>
      </c>
    </row>
    <row r="971" spans="1:6" x14ac:dyDescent="0.25">
      <c r="A971" s="1" t="str">
        <f ca="1">IF(ROW()&lt;=(Results!$C$1/2)+1,INDEX(Data!$V:$V,CEILING((COUNTA(Data!$V:$V)-1)*RAND()+1,1)),"")</f>
        <v/>
      </c>
      <c r="B971" s="1" t="str">
        <f>IF(ROW()&lt;=(Results!$C$1/2)+1,VLOOKUP($A971,Data!$V$2:$W$117,2,TRUE),"")</f>
        <v/>
      </c>
      <c r="C971" s="14" t="str">
        <f>IF(ROW()&lt;=(Results!$C$1/2)+1,IF(B971&lt;=0,"",LN(B971)),"")</f>
        <v/>
      </c>
      <c r="D971" s="1" t="str">
        <f ca="1">IF(ROW()&lt;=(Results!$C$1/2)+1,INDEX(Data!$X:$X,CEILING((COUNTA(Data!$X:$X)-1)*RAND()+1,1)),"")</f>
        <v/>
      </c>
      <c r="E971" s="1" t="str">
        <f>IF(ROW()&lt;=(Results!$C$1/2)+1,VLOOKUP($D971,Data!$X$2:$Y$117,2,TRUE),"")</f>
        <v/>
      </c>
      <c r="F971" s="14" t="str">
        <f>IF(ROW()&lt;=(Results!$C$1/2)+1,IF(E971&lt;=0,"",LN(E971)),"")</f>
        <v/>
      </c>
    </row>
    <row r="972" spans="1:6" x14ac:dyDescent="0.25">
      <c r="A972" s="1" t="str">
        <f ca="1">IF(ROW()&lt;=(Results!$C$1/2)+1,INDEX(Data!$V:$V,CEILING((COUNTA(Data!$V:$V)-1)*RAND()+1,1)),"")</f>
        <v/>
      </c>
      <c r="B972" s="1" t="str">
        <f>IF(ROW()&lt;=(Results!$C$1/2)+1,VLOOKUP($A972,Data!$V$2:$W$117,2,TRUE),"")</f>
        <v/>
      </c>
      <c r="C972" s="14" t="str">
        <f>IF(ROW()&lt;=(Results!$C$1/2)+1,IF(B972&lt;=0,"",LN(B972)),"")</f>
        <v/>
      </c>
      <c r="D972" s="1" t="str">
        <f ca="1">IF(ROW()&lt;=(Results!$C$1/2)+1,INDEX(Data!$X:$X,CEILING((COUNTA(Data!$X:$X)-1)*RAND()+1,1)),"")</f>
        <v/>
      </c>
      <c r="E972" s="1" t="str">
        <f>IF(ROW()&lt;=(Results!$C$1/2)+1,VLOOKUP($D972,Data!$X$2:$Y$117,2,TRUE),"")</f>
        <v/>
      </c>
      <c r="F972" s="14" t="str">
        <f>IF(ROW()&lt;=(Results!$C$1/2)+1,IF(E972&lt;=0,"",LN(E972)),"")</f>
        <v/>
      </c>
    </row>
    <row r="973" spans="1:6" x14ac:dyDescent="0.25">
      <c r="A973" s="1" t="str">
        <f ca="1">IF(ROW()&lt;=(Results!$C$1/2)+1,INDEX(Data!$V:$V,CEILING((COUNTA(Data!$V:$V)-1)*RAND()+1,1)),"")</f>
        <v/>
      </c>
      <c r="B973" s="1" t="str">
        <f>IF(ROW()&lt;=(Results!$C$1/2)+1,VLOOKUP($A973,Data!$V$2:$W$117,2,TRUE),"")</f>
        <v/>
      </c>
      <c r="C973" s="14" t="str">
        <f>IF(ROW()&lt;=(Results!$C$1/2)+1,IF(B973&lt;=0,"",LN(B973)),"")</f>
        <v/>
      </c>
      <c r="D973" s="1" t="str">
        <f ca="1">IF(ROW()&lt;=(Results!$C$1/2)+1,INDEX(Data!$X:$X,CEILING((COUNTA(Data!$X:$X)-1)*RAND()+1,1)),"")</f>
        <v/>
      </c>
      <c r="E973" s="1" t="str">
        <f>IF(ROW()&lt;=(Results!$C$1/2)+1,VLOOKUP($D973,Data!$X$2:$Y$117,2,TRUE),"")</f>
        <v/>
      </c>
      <c r="F973" s="14" t="str">
        <f>IF(ROW()&lt;=(Results!$C$1/2)+1,IF(E973&lt;=0,"",LN(E973)),"")</f>
        <v/>
      </c>
    </row>
    <row r="974" spans="1:6" x14ac:dyDescent="0.25">
      <c r="A974" s="1" t="str">
        <f ca="1">IF(ROW()&lt;=(Results!$C$1/2)+1,INDEX(Data!$V:$V,CEILING((COUNTA(Data!$V:$V)-1)*RAND()+1,1)),"")</f>
        <v/>
      </c>
      <c r="B974" s="1" t="str">
        <f>IF(ROW()&lt;=(Results!$C$1/2)+1,VLOOKUP($A974,Data!$V$2:$W$117,2,TRUE),"")</f>
        <v/>
      </c>
      <c r="C974" s="14" t="str">
        <f>IF(ROW()&lt;=(Results!$C$1/2)+1,IF(B974&lt;=0,"",LN(B974)),"")</f>
        <v/>
      </c>
      <c r="D974" s="1" t="str">
        <f ca="1">IF(ROW()&lt;=(Results!$C$1/2)+1,INDEX(Data!$X:$X,CEILING((COUNTA(Data!$X:$X)-1)*RAND()+1,1)),"")</f>
        <v/>
      </c>
      <c r="E974" s="1" t="str">
        <f>IF(ROW()&lt;=(Results!$C$1/2)+1,VLOOKUP($D974,Data!$X$2:$Y$117,2,TRUE),"")</f>
        <v/>
      </c>
      <c r="F974" s="14" t="str">
        <f>IF(ROW()&lt;=(Results!$C$1/2)+1,IF(E974&lt;=0,"",LN(E974)),"")</f>
        <v/>
      </c>
    </row>
    <row r="975" spans="1:6" x14ac:dyDescent="0.25">
      <c r="A975" s="1" t="str">
        <f ca="1">IF(ROW()&lt;=(Results!$C$1/2)+1,INDEX(Data!$V:$V,CEILING((COUNTA(Data!$V:$V)-1)*RAND()+1,1)),"")</f>
        <v/>
      </c>
      <c r="B975" s="1" t="str">
        <f>IF(ROW()&lt;=(Results!$C$1/2)+1,VLOOKUP($A975,Data!$V$2:$W$117,2,TRUE),"")</f>
        <v/>
      </c>
      <c r="C975" s="14" t="str">
        <f>IF(ROW()&lt;=(Results!$C$1/2)+1,IF(B975&lt;=0,"",LN(B975)),"")</f>
        <v/>
      </c>
      <c r="D975" s="1" t="str">
        <f ca="1">IF(ROW()&lt;=(Results!$C$1/2)+1,INDEX(Data!$X:$X,CEILING((COUNTA(Data!$X:$X)-1)*RAND()+1,1)),"")</f>
        <v/>
      </c>
      <c r="E975" s="1" t="str">
        <f>IF(ROW()&lt;=(Results!$C$1/2)+1,VLOOKUP($D975,Data!$X$2:$Y$117,2,TRUE),"")</f>
        <v/>
      </c>
      <c r="F975" s="14" t="str">
        <f>IF(ROW()&lt;=(Results!$C$1/2)+1,IF(E975&lt;=0,"",LN(E975)),"")</f>
        <v/>
      </c>
    </row>
    <row r="976" spans="1:6" x14ac:dyDescent="0.25">
      <c r="A976" s="1" t="str">
        <f ca="1">IF(ROW()&lt;=(Results!$C$1/2)+1,INDEX(Data!$V:$V,CEILING((COUNTA(Data!$V:$V)-1)*RAND()+1,1)),"")</f>
        <v/>
      </c>
      <c r="B976" s="1" t="str">
        <f>IF(ROW()&lt;=(Results!$C$1/2)+1,VLOOKUP($A976,Data!$V$2:$W$117,2,TRUE),"")</f>
        <v/>
      </c>
      <c r="C976" s="14" t="str">
        <f>IF(ROW()&lt;=(Results!$C$1/2)+1,IF(B976&lt;=0,"",LN(B976)),"")</f>
        <v/>
      </c>
      <c r="D976" s="1" t="str">
        <f ca="1">IF(ROW()&lt;=(Results!$C$1/2)+1,INDEX(Data!$X:$X,CEILING((COUNTA(Data!$X:$X)-1)*RAND()+1,1)),"")</f>
        <v/>
      </c>
      <c r="E976" s="1" t="str">
        <f>IF(ROW()&lt;=(Results!$C$1/2)+1,VLOOKUP($D976,Data!$X$2:$Y$117,2,TRUE),"")</f>
        <v/>
      </c>
      <c r="F976" s="14" t="str">
        <f>IF(ROW()&lt;=(Results!$C$1/2)+1,IF(E976&lt;=0,"",LN(E976)),"")</f>
        <v/>
      </c>
    </row>
    <row r="977" spans="1:6" x14ac:dyDescent="0.25">
      <c r="A977" s="1" t="str">
        <f ca="1">IF(ROW()&lt;=(Results!$C$1/2)+1,INDEX(Data!$V:$V,CEILING((COUNTA(Data!$V:$V)-1)*RAND()+1,1)),"")</f>
        <v/>
      </c>
      <c r="B977" s="1" t="str">
        <f>IF(ROW()&lt;=(Results!$C$1/2)+1,VLOOKUP($A977,Data!$V$2:$W$117,2,TRUE),"")</f>
        <v/>
      </c>
      <c r="C977" s="14" t="str">
        <f>IF(ROW()&lt;=(Results!$C$1/2)+1,IF(B977&lt;=0,"",LN(B977)),"")</f>
        <v/>
      </c>
      <c r="D977" s="1" t="str">
        <f ca="1">IF(ROW()&lt;=(Results!$C$1/2)+1,INDEX(Data!$X:$X,CEILING((COUNTA(Data!$X:$X)-1)*RAND()+1,1)),"")</f>
        <v/>
      </c>
      <c r="E977" s="1" t="str">
        <f>IF(ROW()&lt;=(Results!$C$1/2)+1,VLOOKUP($D977,Data!$X$2:$Y$117,2,TRUE),"")</f>
        <v/>
      </c>
      <c r="F977" s="14" t="str">
        <f>IF(ROW()&lt;=(Results!$C$1/2)+1,IF(E977&lt;=0,"",LN(E977)),"")</f>
        <v/>
      </c>
    </row>
    <row r="978" spans="1:6" x14ac:dyDescent="0.25">
      <c r="A978" s="1" t="str">
        <f ca="1">IF(ROW()&lt;=(Results!$C$1/2)+1,INDEX(Data!$V:$V,CEILING((COUNTA(Data!$V:$V)-1)*RAND()+1,1)),"")</f>
        <v/>
      </c>
      <c r="B978" s="1" t="str">
        <f>IF(ROW()&lt;=(Results!$C$1/2)+1,VLOOKUP($A978,Data!$V$2:$W$117,2,TRUE),"")</f>
        <v/>
      </c>
      <c r="C978" s="14" t="str">
        <f>IF(ROW()&lt;=(Results!$C$1/2)+1,IF(B978&lt;=0,"",LN(B978)),"")</f>
        <v/>
      </c>
      <c r="D978" s="1" t="str">
        <f ca="1">IF(ROW()&lt;=(Results!$C$1/2)+1,INDEX(Data!$X:$X,CEILING((COUNTA(Data!$X:$X)-1)*RAND()+1,1)),"")</f>
        <v/>
      </c>
      <c r="E978" s="1" t="str">
        <f>IF(ROW()&lt;=(Results!$C$1/2)+1,VLOOKUP($D978,Data!$X$2:$Y$117,2,TRUE),"")</f>
        <v/>
      </c>
      <c r="F978" s="14" t="str">
        <f>IF(ROW()&lt;=(Results!$C$1/2)+1,IF(E978&lt;=0,"",LN(E978)),"")</f>
        <v/>
      </c>
    </row>
    <row r="979" spans="1:6" x14ac:dyDescent="0.25">
      <c r="A979" s="1" t="str">
        <f ca="1">IF(ROW()&lt;=(Results!$C$1/2)+1,INDEX(Data!$V:$V,CEILING((COUNTA(Data!$V:$V)-1)*RAND()+1,1)),"")</f>
        <v/>
      </c>
      <c r="B979" s="1" t="str">
        <f>IF(ROW()&lt;=(Results!$C$1/2)+1,VLOOKUP($A979,Data!$V$2:$W$117,2,TRUE),"")</f>
        <v/>
      </c>
      <c r="C979" s="14" t="str">
        <f>IF(ROW()&lt;=(Results!$C$1/2)+1,IF(B979&lt;=0,"",LN(B979)),"")</f>
        <v/>
      </c>
      <c r="D979" s="1" t="str">
        <f ca="1">IF(ROW()&lt;=(Results!$C$1/2)+1,INDEX(Data!$X:$X,CEILING((COUNTA(Data!$X:$X)-1)*RAND()+1,1)),"")</f>
        <v/>
      </c>
      <c r="E979" s="1" t="str">
        <f>IF(ROW()&lt;=(Results!$C$1/2)+1,VLOOKUP($D979,Data!$X$2:$Y$117,2,TRUE),"")</f>
        <v/>
      </c>
      <c r="F979" s="14" t="str">
        <f>IF(ROW()&lt;=(Results!$C$1/2)+1,IF(E979&lt;=0,"",LN(E979)),"")</f>
        <v/>
      </c>
    </row>
    <row r="980" spans="1:6" x14ac:dyDescent="0.25">
      <c r="A980" s="1" t="str">
        <f ca="1">IF(ROW()&lt;=(Results!$C$1/2)+1,INDEX(Data!$V:$V,CEILING((COUNTA(Data!$V:$V)-1)*RAND()+1,1)),"")</f>
        <v/>
      </c>
      <c r="B980" s="1" t="str">
        <f>IF(ROW()&lt;=(Results!$C$1/2)+1,VLOOKUP($A980,Data!$V$2:$W$117,2,TRUE),"")</f>
        <v/>
      </c>
      <c r="C980" s="14" t="str">
        <f>IF(ROW()&lt;=(Results!$C$1/2)+1,IF(B980&lt;=0,"",LN(B980)),"")</f>
        <v/>
      </c>
      <c r="D980" s="1" t="str">
        <f ca="1">IF(ROW()&lt;=(Results!$C$1/2)+1,INDEX(Data!$X:$X,CEILING((COUNTA(Data!$X:$X)-1)*RAND()+1,1)),"")</f>
        <v/>
      </c>
      <c r="E980" s="1" t="str">
        <f>IF(ROW()&lt;=(Results!$C$1/2)+1,VLOOKUP($D980,Data!$X$2:$Y$117,2,TRUE),"")</f>
        <v/>
      </c>
      <c r="F980" s="14" t="str">
        <f>IF(ROW()&lt;=(Results!$C$1/2)+1,IF(E980&lt;=0,"",LN(E980)),"")</f>
        <v/>
      </c>
    </row>
    <row r="981" spans="1:6" x14ac:dyDescent="0.25">
      <c r="A981" s="1" t="str">
        <f ca="1">IF(ROW()&lt;=(Results!$C$1/2)+1,INDEX(Data!$V:$V,CEILING((COUNTA(Data!$V:$V)-1)*RAND()+1,1)),"")</f>
        <v/>
      </c>
      <c r="B981" s="1" t="str">
        <f>IF(ROW()&lt;=(Results!$C$1/2)+1,VLOOKUP($A981,Data!$V$2:$W$117,2,TRUE),"")</f>
        <v/>
      </c>
      <c r="C981" s="14" t="str">
        <f>IF(ROW()&lt;=(Results!$C$1/2)+1,IF(B981&lt;=0,"",LN(B981)),"")</f>
        <v/>
      </c>
      <c r="D981" s="1" t="str">
        <f ca="1">IF(ROW()&lt;=(Results!$C$1/2)+1,INDEX(Data!$X:$X,CEILING((COUNTA(Data!$X:$X)-1)*RAND()+1,1)),"")</f>
        <v/>
      </c>
      <c r="E981" s="1" t="str">
        <f>IF(ROW()&lt;=(Results!$C$1/2)+1,VLOOKUP($D981,Data!$X$2:$Y$117,2,TRUE),"")</f>
        <v/>
      </c>
      <c r="F981" s="14" t="str">
        <f>IF(ROW()&lt;=(Results!$C$1/2)+1,IF(E981&lt;=0,"",LN(E981)),"")</f>
        <v/>
      </c>
    </row>
    <row r="982" spans="1:6" x14ac:dyDescent="0.25">
      <c r="A982" s="1" t="str">
        <f ca="1">IF(ROW()&lt;=(Results!$C$1/2)+1,INDEX(Data!$V:$V,CEILING((COUNTA(Data!$V:$V)-1)*RAND()+1,1)),"")</f>
        <v/>
      </c>
      <c r="B982" s="1" t="str">
        <f>IF(ROW()&lt;=(Results!$C$1/2)+1,VLOOKUP($A982,Data!$V$2:$W$117,2,TRUE),"")</f>
        <v/>
      </c>
      <c r="C982" s="14" t="str">
        <f>IF(ROW()&lt;=(Results!$C$1/2)+1,IF(B982&lt;=0,"",LN(B982)),"")</f>
        <v/>
      </c>
      <c r="D982" s="1" t="str">
        <f ca="1">IF(ROW()&lt;=(Results!$C$1/2)+1,INDEX(Data!$X:$X,CEILING((COUNTA(Data!$X:$X)-1)*RAND()+1,1)),"")</f>
        <v/>
      </c>
      <c r="E982" s="1" t="str">
        <f>IF(ROW()&lt;=(Results!$C$1/2)+1,VLOOKUP($D982,Data!$X$2:$Y$117,2,TRUE),"")</f>
        <v/>
      </c>
      <c r="F982" s="14" t="str">
        <f>IF(ROW()&lt;=(Results!$C$1/2)+1,IF(E982&lt;=0,"",LN(E982)),"")</f>
        <v/>
      </c>
    </row>
    <row r="983" spans="1:6" x14ac:dyDescent="0.25">
      <c r="A983" s="1" t="str">
        <f ca="1">IF(ROW()&lt;=(Results!$C$1/2)+1,INDEX(Data!$V:$V,CEILING((COUNTA(Data!$V:$V)-1)*RAND()+1,1)),"")</f>
        <v/>
      </c>
      <c r="B983" s="1" t="str">
        <f>IF(ROW()&lt;=(Results!$C$1/2)+1,VLOOKUP($A983,Data!$V$2:$W$117,2,TRUE),"")</f>
        <v/>
      </c>
      <c r="C983" s="14" t="str">
        <f>IF(ROW()&lt;=(Results!$C$1/2)+1,IF(B983&lt;=0,"",LN(B983)),"")</f>
        <v/>
      </c>
      <c r="D983" s="1" t="str">
        <f ca="1">IF(ROW()&lt;=(Results!$C$1/2)+1,INDEX(Data!$X:$X,CEILING((COUNTA(Data!$X:$X)-1)*RAND()+1,1)),"")</f>
        <v/>
      </c>
      <c r="E983" s="1" t="str">
        <f>IF(ROW()&lt;=(Results!$C$1/2)+1,VLOOKUP($D983,Data!$X$2:$Y$117,2,TRUE),"")</f>
        <v/>
      </c>
      <c r="F983" s="14" t="str">
        <f>IF(ROW()&lt;=(Results!$C$1/2)+1,IF(E983&lt;=0,"",LN(E983)),"")</f>
        <v/>
      </c>
    </row>
    <row r="984" spans="1:6" x14ac:dyDescent="0.25">
      <c r="A984" s="1" t="str">
        <f ca="1">IF(ROW()&lt;=(Results!$C$1/2)+1,INDEX(Data!$V:$V,CEILING((COUNTA(Data!$V:$V)-1)*RAND()+1,1)),"")</f>
        <v/>
      </c>
      <c r="B984" s="1" t="str">
        <f>IF(ROW()&lt;=(Results!$C$1/2)+1,VLOOKUP($A984,Data!$V$2:$W$117,2,TRUE),"")</f>
        <v/>
      </c>
      <c r="C984" s="14" t="str">
        <f>IF(ROW()&lt;=(Results!$C$1/2)+1,IF(B984&lt;=0,"",LN(B984)),"")</f>
        <v/>
      </c>
      <c r="D984" s="1" t="str">
        <f ca="1">IF(ROW()&lt;=(Results!$C$1/2)+1,INDEX(Data!$X:$X,CEILING((COUNTA(Data!$X:$X)-1)*RAND()+1,1)),"")</f>
        <v/>
      </c>
      <c r="E984" s="1" t="str">
        <f>IF(ROW()&lt;=(Results!$C$1/2)+1,VLOOKUP($D984,Data!$X$2:$Y$117,2,TRUE),"")</f>
        <v/>
      </c>
      <c r="F984" s="14" t="str">
        <f>IF(ROW()&lt;=(Results!$C$1/2)+1,IF(E984&lt;=0,"",LN(E984)),"")</f>
        <v/>
      </c>
    </row>
    <row r="985" spans="1:6" x14ac:dyDescent="0.25">
      <c r="A985" s="1" t="str">
        <f ca="1">IF(ROW()&lt;=(Results!$C$1/2)+1,INDEX(Data!$V:$V,CEILING((COUNTA(Data!$V:$V)-1)*RAND()+1,1)),"")</f>
        <v/>
      </c>
      <c r="B985" s="1" t="str">
        <f>IF(ROW()&lt;=(Results!$C$1/2)+1,VLOOKUP($A985,Data!$V$2:$W$117,2,TRUE),"")</f>
        <v/>
      </c>
      <c r="C985" s="14" t="str">
        <f>IF(ROW()&lt;=(Results!$C$1/2)+1,IF(B985&lt;=0,"",LN(B985)),"")</f>
        <v/>
      </c>
      <c r="D985" s="1" t="str">
        <f ca="1">IF(ROW()&lt;=(Results!$C$1/2)+1,INDEX(Data!$X:$X,CEILING((COUNTA(Data!$X:$X)-1)*RAND()+1,1)),"")</f>
        <v/>
      </c>
      <c r="E985" s="1" t="str">
        <f>IF(ROW()&lt;=(Results!$C$1/2)+1,VLOOKUP($D985,Data!$X$2:$Y$117,2,TRUE),"")</f>
        <v/>
      </c>
      <c r="F985" s="14" t="str">
        <f>IF(ROW()&lt;=(Results!$C$1/2)+1,IF(E985&lt;=0,"",LN(E985)),"")</f>
        <v/>
      </c>
    </row>
    <row r="986" spans="1:6" x14ac:dyDescent="0.25">
      <c r="A986" s="1" t="str">
        <f ca="1">IF(ROW()&lt;=(Results!$C$1/2)+1,INDEX(Data!$V:$V,CEILING((COUNTA(Data!$V:$V)-1)*RAND()+1,1)),"")</f>
        <v/>
      </c>
      <c r="B986" s="1" t="str">
        <f>IF(ROW()&lt;=(Results!$C$1/2)+1,VLOOKUP($A986,Data!$V$2:$W$117,2,TRUE),"")</f>
        <v/>
      </c>
      <c r="C986" s="14" t="str">
        <f>IF(ROW()&lt;=(Results!$C$1/2)+1,IF(B986&lt;=0,"",LN(B986)),"")</f>
        <v/>
      </c>
      <c r="D986" s="1" t="str">
        <f ca="1">IF(ROW()&lt;=(Results!$C$1/2)+1,INDEX(Data!$X:$X,CEILING((COUNTA(Data!$X:$X)-1)*RAND()+1,1)),"")</f>
        <v/>
      </c>
      <c r="E986" s="1" t="str">
        <f>IF(ROW()&lt;=(Results!$C$1/2)+1,VLOOKUP($D986,Data!$X$2:$Y$117,2,TRUE),"")</f>
        <v/>
      </c>
      <c r="F986" s="14" t="str">
        <f>IF(ROW()&lt;=(Results!$C$1/2)+1,IF(E986&lt;=0,"",LN(E986)),"")</f>
        <v/>
      </c>
    </row>
    <row r="987" spans="1:6" x14ac:dyDescent="0.25">
      <c r="A987" s="1" t="str">
        <f ca="1">IF(ROW()&lt;=(Results!$C$1/2)+1,INDEX(Data!$V:$V,CEILING((COUNTA(Data!$V:$V)-1)*RAND()+1,1)),"")</f>
        <v/>
      </c>
      <c r="B987" s="1" t="str">
        <f>IF(ROW()&lt;=(Results!$C$1/2)+1,VLOOKUP($A987,Data!$V$2:$W$117,2,TRUE),"")</f>
        <v/>
      </c>
      <c r="C987" s="14" t="str">
        <f>IF(ROW()&lt;=(Results!$C$1/2)+1,IF(B987&lt;=0,"",LN(B987)),"")</f>
        <v/>
      </c>
      <c r="D987" s="1" t="str">
        <f ca="1">IF(ROW()&lt;=(Results!$C$1/2)+1,INDEX(Data!$X:$X,CEILING((COUNTA(Data!$X:$X)-1)*RAND()+1,1)),"")</f>
        <v/>
      </c>
      <c r="E987" s="1" t="str">
        <f>IF(ROW()&lt;=(Results!$C$1/2)+1,VLOOKUP($D987,Data!$X$2:$Y$117,2,TRUE),"")</f>
        <v/>
      </c>
      <c r="F987" s="14" t="str">
        <f>IF(ROW()&lt;=(Results!$C$1/2)+1,IF(E987&lt;=0,"",LN(E987)),"")</f>
        <v/>
      </c>
    </row>
    <row r="988" spans="1:6" x14ac:dyDescent="0.25">
      <c r="A988" s="1" t="str">
        <f ca="1">IF(ROW()&lt;=(Results!$C$1/2)+1,INDEX(Data!$V:$V,CEILING((COUNTA(Data!$V:$V)-1)*RAND()+1,1)),"")</f>
        <v/>
      </c>
      <c r="B988" s="1" t="str">
        <f>IF(ROW()&lt;=(Results!$C$1/2)+1,VLOOKUP($A988,Data!$V$2:$W$117,2,TRUE),"")</f>
        <v/>
      </c>
      <c r="C988" s="14" t="str">
        <f>IF(ROW()&lt;=(Results!$C$1/2)+1,IF(B988&lt;=0,"",LN(B988)),"")</f>
        <v/>
      </c>
      <c r="D988" s="1" t="str">
        <f ca="1">IF(ROW()&lt;=(Results!$C$1/2)+1,INDEX(Data!$X:$X,CEILING((COUNTA(Data!$X:$X)-1)*RAND()+1,1)),"")</f>
        <v/>
      </c>
      <c r="E988" s="1" t="str">
        <f>IF(ROW()&lt;=(Results!$C$1/2)+1,VLOOKUP($D988,Data!$X$2:$Y$117,2,TRUE),"")</f>
        <v/>
      </c>
      <c r="F988" s="14" t="str">
        <f>IF(ROW()&lt;=(Results!$C$1/2)+1,IF(E988&lt;=0,"",LN(E988)),"")</f>
        <v/>
      </c>
    </row>
    <row r="989" spans="1:6" x14ac:dyDescent="0.25">
      <c r="A989" s="1" t="str">
        <f ca="1">IF(ROW()&lt;=(Results!$C$1/2)+1,INDEX(Data!$V:$V,CEILING((COUNTA(Data!$V:$V)-1)*RAND()+1,1)),"")</f>
        <v/>
      </c>
      <c r="B989" s="1" t="str">
        <f>IF(ROW()&lt;=(Results!$C$1/2)+1,VLOOKUP($A989,Data!$V$2:$W$117,2,TRUE),"")</f>
        <v/>
      </c>
      <c r="C989" s="14" t="str">
        <f>IF(ROW()&lt;=(Results!$C$1/2)+1,IF(B989&lt;=0,"",LN(B989)),"")</f>
        <v/>
      </c>
      <c r="D989" s="1" t="str">
        <f ca="1">IF(ROW()&lt;=(Results!$C$1/2)+1,INDEX(Data!$X:$X,CEILING((COUNTA(Data!$X:$X)-1)*RAND()+1,1)),"")</f>
        <v/>
      </c>
      <c r="E989" s="1" t="str">
        <f>IF(ROW()&lt;=(Results!$C$1/2)+1,VLOOKUP($D989,Data!$X$2:$Y$117,2,TRUE),"")</f>
        <v/>
      </c>
      <c r="F989" s="14" t="str">
        <f>IF(ROW()&lt;=(Results!$C$1/2)+1,IF(E989&lt;=0,"",LN(E989)),"")</f>
        <v/>
      </c>
    </row>
    <row r="990" spans="1:6" x14ac:dyDescent="0.25">
      <c r="A990" s="1" t="str">
        <f ca="1">IF(ROW()&lt;=(Results!$C$1/2)+1,INDEX(Data!$V:$V,CEILING((COUNTA(Data!$V:$V)-1)*RAND()+1,1)),"")</f>
        <v/>
      </c>
      <c r="B990" s="1" t="str">
        <f>IF(ROW()&lt;=(Results!$C$1/2)+1,VLOOKUP($A990,Data!$V$2:$W$117,2,TRUE),"")</f>
        <v/>
      </c>
      <c r="C990" s="14" t="str">
        <f>IF(ROW()&lt;=(Results!$C$1/2)+1,IF(B990&lt;=0,"",LN(B990)),"")</f>
        <v/>
      </c>
      <c r="D990" s="1" t="str">
        <f ca="1">IF(ROW()&lt;=(Results!$C$1/2)+1,INDEX(Data!$X:$X,CEILING((COUNTA(Data!$X:$X)-1)*RAND()+1,1)),"")</f>
        <v/>
      </c>
      <c r="E990" s="1" t="str">
        <f>IF(ROW()&lt;=(Results!$C$1/2)+1,VLOOKUP($D990,Data!$X$2:$Y$117,2,TRUE),"")</f>
        <v/>
      </c>
      <c r="F990" s="14" t="str">
        <f>IF(ROW()&lt;=(Results!$C$1/2)+1,IF(E990&lt;=0,"",LN(E990)),"")</f>
        <v/>
      </c>
    </row>
    <row r="991" spans="1:6" x14ac:dyDescent="0.25">
      <c r="A991" s="1" t="str">
        <f ca="1">IF(ROW()&lt;=(Results!$C$1/2)+1,INDEX(Data!$V:$V,CEILING((COUNTA(Data!$V:$V)-1)*RAND()+1,1)),"")</f>
        <v/>
      </c>
      <c r="B991" s="1" t="str">
        <f>IF(ROW()&lt;=(Results!$C$1/2)+1,VLOOKUP($A991,Data!$V$2:$W$117,2,TRUE),"")</f>
        <v/>
      </c>
      <c r="C991" s="14" t="str">
        <f>IF(ROW()&lt;=(Results!$C$1/2)+1,IF(B991&lt;=0,"",LN(B991)),"")</f>
        <v/>
      </c>
      <c r="D991" s="1" t="str">
        <f ca="1">IF(ROW()&lt;=(Results!$C$1/2)+1,INDEX(Data!$X:$X,CEILING((COUNTA(Data!$X:$X)-1)*RAND()+1,1)),"")</f>
        <v/>
      </c>
      <c r="E991" s="1" t="str">
        <f>IF(ROW()&lt;=(Results!$C$1/2)+1,VLOOKUP($D991,Data!$X$2:$Y$117,2,TRUE),"")</f>
        <v/>
      </c>
      <c r="F991" s="14" t="str">
        <f>IF(ROW()&lt;=(Results!$C$1/2)+1,IF(E991&lt;=0,"",LN(E991)),"")</f>
        <v/>
      </c>
    </row>
    <row r="992" spans="1:6" x14ac:dyDescent="0.25">
      <c r="A992" s="1" t="str">
        <f ca="1">IF(ROW()&lt;=(Results!$C$1/2)+1,INDEX(Data!$V:$V,CEILING((COUNTA(Data!$V:$V)-1)*RAND()+1,1)),"")</f>
        <v/>
      </c>
      <c r="B992" s="1" t="str">
        <f>IF(ROW()&lt;=(Results!$C$1/2)+1,VLOOKUP($A992,Data!$V$2:$W$117,2,TRUE),"")</f>
        <v/>
      </c>
      <c r="C992" s="14" t="str">
        <f>IF(ROW()&lt;=(Results!$C$1/2)+1,IF(B992&lt;=0,"",LN(B992)),"")</f>
        <v/>
      </c>
      <c r="D992" s="1" t="str">
        <f ca="1">IF(ROW()&lt;=(Results!$C$1/2)+1,INDEX(Data!$X:$X,CEILING((COUNTA(Data!$X:$X)-1)*RAND()+1,1)),"")</f>
        <v/>
      </c>
      <c r="E992" s="1" t="str">
        <f>IF(ROW()&lt;=(Results!$C$1/2)+1,VLOOKUP($D992,Data!$X$2:$Y$117,2,TRUE),"")</f>
        <v/>
      </c>
      <c r="F992" s="14" t="str">
        <f>IF(ROW()&lt;=(Results!$C$1/2)+1,IF(E992&lt;=0,"",LN(E992)),"")</f>
        <v/>
      </c>
    </row>
    <row r="993" spans="1:6" x14ac:dyDescent="0.25">
      <c r="A993" s="1" t="str">
        <f ca="1">IF(ROW()&lt;=(Results!$C$1/2)+1,INDEX(Data!$V:$V,CEILING((COUNTA(Data!$V:$V)-1)*RAND()+1,1)),"")</f>
        <v/>
      </c>
      <c r="B993" s="1" t="str">
        <f>IF(ROW()&lt;=(Results!$C$1/2)+1,VLOOKUP($A993,Data!$V$2:$W$117,2,TRUE),"")</f>
        <v/>
      </c>
      <c r="C993" s="14" t="str">
        <f>IF(ROW()&lt;=(Results!$C$1/2)+1,IF(B993&lt;=0,"",LN(B993)),"")</f>
        <v/>
      </c>
      <c r="D993" s="1" t="str">
        <f ca="1">IF(ROW()&lt;=(Results!$C$1/2)+1,INDEX(Data!$X:$X,CEILING((COUNTA(Data!$X:$X)-1)*RAND()+1,1)),"")</f>
        <v/>
      </c>
      <c r="E993" s="1" t="str">
        <f>IF(ROW()&lt;=(Results!$C$1/2)+1,VLOOKUP($D993,Data!$X$2:$Y$117,2,TRUE),"")</f>
        <v/>
      </c>
      <c r="F993" s="14" t="str">
        <f>IF(ROW()&lt;=(Results!$C$1/2)+1,IF(E993&lt;=0,"",LN(E993)),"")</f>
        <v/>
      </c>
    </row>
    <row r="994" spans="1:6" x14ac:dyDescent="0.25">
      <c r="A994" s="1" t="str">
        <f ca="1">IF(ROW()&lt;=(Results!$C$1/2)+1,INDEX(Data!$V:$V,CEILING((COUNTA(Data!$V:$V)-1)*RAND()+1,1)),"")</f>
        <v/>
      </c>
      <c r="B994" s="1" t="str">
        <f>IF(ROW()&lt;=(Results!$C$1/2)+1,VLOOKUP($A994,Data!$V$2:$W$117,2,TRUE),"")</f>
        <v/>
      </c>
      <c r="C994" s="14" t="str">
        <f>IF(ROW()&lt;=(Results!$C$1/2)+1,IF(B994&lt;=0,"",LN(B994)),"")</f>
        <v/>
      </c>
      <c r="D994" s="1" t="str">
        <f ca="1">IF(ROW()&lt;=(Results!$C$1/2)+1,INDEX(Data!$X:$X,CEILING((COUNTA(Data!$X:$X)-1)*RAND()+1,1)),"")</f>
        <v/>
      </c>
      <c r="E994" s="1" t="str">
        <f>IF(ROW()&lt;=(Results!$C$1/2)+1,VLOOKUP($D994,Data!$X$2:$Y$117,2,TRUE),"")</f>
        <v/>
      </c>
      <c r="F994" s="14" t="str">
        <f>IF(ROW()&lt;=(Results!$C$1/2)+1,IF(E994&lt;=0,"",LN(E994)),"")</f>
        <v/>
      </c>
    </row>
    <row r="995" spans="1:6" x14ac:dyDescent="0.25">
      <c r="A995" s="1" t="str">
        <f ca="1">IF(ROW()&lt;=(Results!$C$1/2)+1,INDEX(Data!$V:$V,CEILING((COUNTA(Data!$V:$V)-1)*RAND()+1,1)),"")</f>
        <v/>
      </c>
      <c r="B995" s="1" t="str">
        <f>IF(ROW()&lt;=(Results!$C$1/2)+1,VLOOKUP($A995,Data!$V$2:$W$117,2,TRUE),"")</f>
        <v/>
      </c>
      <c r="C995" s="14" t="str">
        <f>IF(ROW()&lt;=(Results!$C$1/2)+1,IF(B995&lt;=0,"",LN(B995)),"")</f>
        <v/>
      </c>
      <c r="D995" s="1" t="str">
        <f ca="1">IF(ROW()&lt;=(Results!$C$1/2)+1,INDEX(Data!$X:$X,CEILING((COUNTA(Data!$X:$X)-1)*RAND()+1,1)),"")</f>
        <v/>
      </c>
      <c r="E995" s="1" t="str">
        <f>IF(ROW()&lt;=(Results!$C$1/2)+1,VLOOKUP($D995,Data!$X$2:$Y$117,2,TRUE),"")</f>
        <v/>
      </c>
      <c r="F995" s="14" t="str">
        <f>IF(ROW()&lt;=(Results!$C$1/2)+1,IF(E995&lt;=0,"",LN(E995)),"")</f>
        <v/>
      </c>
    </row>
    <row r="996" spans="1:6" x14ac:dyDescent="0.25">
      <c r="A996" s="1" t="str">
        <f ca="1">IF(ROW()&lt;=(Results!$C$1/2)+1,INDEX(Data!$V:$V,CEILING((COUNTA(Data!$V:$V)-1)*RAND()+1,1)),"")</f>
        <v/>
      </c>
      <c r="B996" s="1" t="str">
        <f>IF(ROW()&lt;=(Results!$C$1/2)+1,VLOOKUP($A996,Data!$V$2:$W$117,2,TRUE),"")</f>
        <v/>
      </c>
      <c r="C996" s="14" t="str">
        <f>IF(ROW()&lt;=(Results!$C$1/2)+1,IF(B996&lt;=0,"",LN(B996)),"")</f>
        <v/>
      </c>
      <c r="D996" s="1" t="str">
        <f ca="1">IF(ROW()&lt;=(Results!$C$1/2)+1,INDEX(Data!$X:$X,CEILING((COUNTA(Data!$X:$X)-1)*RAND()+1,1)),"")</f>
        <v/>
      </c>
      <c r="E996" s="1" t="str">
        <f>IF(ROW()&lt;=(Results!$C$1/2)+1,VLOOKUP($D996,Data!$X$2:$Y$117,2,TRUE),"")</f>
        <v/>
      </c>
      <c r="F996" s="14" t="str">
        <f>IF(ROW()&lt;=(Results!$C$1/2)+1,IF(E996&lt;=0,"",LN(E996)),"")</f>
        <v/>
      </c>
    </row>
    <row r="997" spans="1:6" x14ac:dyDescent="0.25">
      <c r="A997" s="1" t="str">
        <f ca="1">IF(ROW()&lt;=(Results!$C$1/2)+1,INDEX(Data!$V:$V,CEILING((COUNTA(Data!$V:$V)-1)*RAND()+1,1)),"")</f>
        <v/>
      </c>
      <c r="B997" s="1" t="str">
        <f>IF(ROW()&lt;=(Results!$C$1/2)+1,VLOOKUP($A997,Data!$V$2:$W$117,2,TRUE),"")</f>
        <v/>
      </c>
      <c r="C997" s="14" t="str">
        <f>IF(ROW()&lt;=(Results!$C$1/2)+1,IF(B997&lt;=0,"",LN(B997)),"")</f>
        <v/>
      </c>
      <c r="D997" s="1" t="str">
        <f ca="1">IF(ROW()&lt;=(Results!$C$1/2)+1,INDEX(Data!$X:$X,CEILING((COUNTA(Data!$X:$X)-1)*RAND()+1,1)),"")</f>
        <v/>
      </c>
      <c r="E997" s="1" t="str">
        <f>IF(ROW()&lt;=(Results!$C$1/2)+1,VLOOKUP($D997,Data!$X$2:$Y$117,2,TRUE),"")</f>
        <v/>
      </c>
      <c r="F997" s="14" t="str">
        <f>IF(ROW()&lt;=(Results!$C$1/2)+1,IF(E997&lt;=0,"",LN(E997)),"")</f>
        <v/>
      </c>
    </row>
    <row r="998" spans="1:6" x14ac:dyDescent="0.25">
      <c r="A998" s="1" t="str">
        <f ca="1">IF(ROW()&lt;=(Results!$C$1/2)+1,INDEX(Data!$V:$V,CEILING((COUNTA(Data!$V:$V)-1)*RAND()+1,1)),"")</f>
        <v/>
      </c>
      <c r="B998" s="1" t="str">
        <f>IF(ROW()&lt;=(Results!$C$1/2)+1,VLOOKUP($A998,Data!$V$2:$W$117,2,TRUE),"")</f>
        <v/>
      </c>
      <c r="C998" s="14" t="str">
        <f>IF(ROW()&lt;=(Results!$C$1/2)+1,IF(B998&lt;=0,"",LN(B998)),"")</f>
        <v/>
      </c>
      <c r="D998" s="1" t="str">
        <f ca="1">IF(ROW()&lt;=(Results!$C$1/2)+1,INDEX(Data!$X:$X,CEILING((COUNTA(Data!$X:$X)-1)*RAND()+1,1)),"")</f>
        <v/>
      </c>
      <c r="E998" s="1" t="str">
        <f>IF(ROW()&lt;=(Results!$C$1/2)+1,VLOOKUP($D998,Data!$X$2:$Y$117,2,TRUE),"")</f>
        <v/>
      </c>
      <c r="F998" s="14" t="str">
        <f>IF(ROW()&lt;=(Results!$C$1/2)+1,IF(E998&lt;=0,"",LN(E998)),"")</f>
        <v/>
      </c>
    </row>
    <row r="999" spans="1:6" x14ac:dyDescent="0.25">
      <c r="A999" s="1" t="str">
        <f ca="1">IF(ROW()&lt;=(Results!$C$1/2)+1,INDEX(Data!$V:$V,CEILING((COUNTA(Data!$V:$V)-1)*RAND()+1,1)),"")</f>
        <v/>
      </c>
      <c r="B999" s="1" t="str">
        <f>IF(ROW()&lt;=(Results!$C$1/2)+1,VLOOKUP($A999,Data!$V$2:$W$117,2,TRUE),"")</f>
        <v/>
      </c>
      <c r="C999" s="14" t="str">
        <f>IF(ROW()&lt;=(Results!$C$1/2)+1,IF(B999&lt;=0,"",LN(B999)),"")</f>
        <v/>
      </c>
      <c r="D999" s="1" t="str">
        <f ca="1">IF(ROW()&lt;=(Results!$C$1/2)+1,INDEX(Data!$X:$X,CEILING((COUNTA(Data!$X:$X)-1)*RAND()+1,1)),"")</f>
        <v/>
      </c>
      <c r="E999" s="1" t="str">
        <f>IF(ROW()&lt;=(Results!$C$1/2)+1,VLOOKUP($D999,Data!$X$2:$Y$117,2,TRUE),"")</f>
        <v/>
      </c>
      <c r="F999" s="14" t="str">
        <f>IF(ROW()&lt;=(Results!$C$1/2)+1,IF(E999&lt;=0,"",LN(E999)),"")</f>
        <v/>
      </c>
    </row>
    <row r="1000" spans="1:6" x14ac:dyDescent="0.25">
      <c r="A1000" s="1" t="str">
        <f ca="1">IF(ROW()&lt;=(Results!$C$1/2)+1,INDEX(Data!$V:$V,CEILING((COUNTA(Data!$V:$V)-1)*RAND()+1,1)),"")</f>
        <v/>
      </c>
      <c r="B1000" s="1" t="str">
        <f>IF(ROW()&lt;=(Results!$C$1/2)+1,VLOOKUP($A1000,Data!$V$2:$W$117,2,TRUE),"")</f>
        <v/>
      </c>
      <c r="C1000" s="14" t="str">
        <f>IF(ROW()&lt;=(Results!$C$1/2)+1,IF(B1000&lt;=0,"",LN(B1000)),"")</f>
        <v/>
      </c>
      <c r="D1000" s="1" t="str">
        <f ca="1">IF(ROW()&lt;=(Results!$C$1/2)+1,INDEX(Data!$X:$X,CEILING((COUNTA(Data!$X:$X)-1)*RAND()+1,1)),"")</f>
        <v/>
      </c>
      <c r="E1000" s="1" t="str">
        <f>IF(ROW()&lt;=(Results!$C$1/2)+1,VLOOKUP($D1000,Data!$X$2:$Y$117,2,TRUE),"")</f>
        <v/>
      </c>
      <c r="F1000" s="14" t="str">
        <f>IF(ROW()&lt;=(Results!$C$1/2)+1,IF(E1000&lt;=0,"",LN(E1000)),"")</f>
        <v/>
      </c>
    </row>
    <row r="1001" spans="1:6" x14ac:dyDescent="0.25">
      <c r="A1001" s="1" t="str">
        <f ca="1">IF(ROW()&lt;=(Results!$C$1/2)+1,INDEX(Data!$V:$V,CEILING((COUNTA(Data!$V:$V)-1)*RAND()+1,1)),"")</f>
        <v/>
      </c>
      <c r="B1001" s="1" t="str">
        <f>IF(ROW()&lt;=(Results!$C$1/2)+1,VLOOKUP($A1001,Data!$V$2:$W$117,2,TRUE),"")</f>
        <v/>
      </c>
      <c r="C1001" s="14" t="str">
        <f>IF(ROW()&lt;=(Results!$C$1/2)+1,IF(B1001&lt;=0,"",LN(B1001)),"")</f>
        <v/>
      </c>
      <c r="D1001" s="1" t="str">
        <f ca="1">IF(ROW()&lt;=(Results!$C$1/2)+1,INDEX(Data!$X:$X,CEILING((COUNTA(Data!$X:$X)-1)*RAND()+1,1)),"")</f>
        <v/>
      </c>
      <c r="E1001" s="1" t="str">
        <f>IF(ROW()&lt;=(Results!$C$1/2)+1,VLOOKUP($D1001,Data!$X$2:$Y$117,2,TRUE),"")</f>
        <v/>
      </c>
      <c r="F1001" s="14" t="str">
        <f>IF(ROW()&lt;=(Results!$C$1/2)+1,IF(E1001&lt;=0,"",LN(E1001)),"")</f>
        <v/>
      </c>
    </row>
    <row r="1002" spans="1:6" x14ac:dyDescent="0.25">
      <c r="A1002" s="1" t="str">
        <f ca="1">IF(ROW()&lt;=(Results!$C$1/2)+1,INDEX(Data!$V:$V,CEILING((COUNTA(Data!$V:$V)-1)*RAND()+1,1)),"")</f>
        <v/>
      </c>
      <c r="B1002" s="1" t="str">
        <f>IF(ROW()&lt;=(Results!$C$1/2)+1,VLOOKUP($A1002,Data!$V$2:$W$117,2,TRUE),"")</f>
        <v/>
      </c>
      <c r="C1002" s="14" t="str">
        <f>IF(ROW()&lt;=(Results!$C$1/2)+1,IF(B1002&lt;=0,"",LN(B1002)),"")</f>
        <v/>
      </c>
      <c r="D1002" s="1" t="str">
        <f ca="1">IF(ROW()&lt;=(Results!$C$1/2)+1,INDEX(Data!$X:$X,CEILING((COUNTA(Data!$X:$X)-1)*RAND()+1,1)),"")</f>
        <v/>
      </c>
      <c r="E1002" s="1" t="str">
        <f>IF(ROW()&lt;=(Results!$C$1/2)+1,VLOOKUP($D1002,Data!$X$2:$Y$117,2,TRUE),"")</f>
        <v/>
      </c>
      <c r="F1002" s="14" t="str">
        <f>IF(ROW()&lt;=(Results!$C$1/2)+1,IF(E1002&lt;=0,"",LN(E1002)),"")</f>
        <v/>
      </c>
    </row>
    <row r="1003" spans="1:6" x14ac:dyDescent="0.25">
      <c r="A1003" s="1" t="str">
        <f ca="1">IF(ROW()&lt;=(Results!$C$1/2)+1,INDEX(Data!$V:$V,CEILING((COUNTA(Data!$V:$V)-1)*RAND()+1,1)),"")</f>
        <v/>
      </c>
      <c r="B1003" s="1" t="str">
        <f>IF(ROW()&lt;=(Results!$C$1/2)+1,VLOOKUP($A1003,Data!$V$2:$W$117,2,TRUE),"")</f>
        <v/>
      </c>
      <c r="C1003" s="14" t="str">
        <f>IF(ROW()&lt;=(Results!$C$1/2)+1,IF(B1003&lt;=0,"",LN(B1003)),"")</f>
        <v/>
      </c>
      <c r="D1003" s="1" t="str">
        <f ca="1">IF(ROW()&lt;=(Results!$C$1/2)+1,INDEX(Data!$X:$X,CEILING((COUNTA(Data!$X:$X)-1)*RAND()+1,1)),"")</f>
        <v/>
      </c>
      <c r="E1003" s="1" t="str">
        <f>IF(ROW()&lt;=(Results!$C$1/2)+1,VLOOKUP($D1003,Data!$X$2:$Y$117,2,TRUE),"")</f>
        <v/>
      </c>
      <c r="F1003" s="14" t="str">
        <f>IF(ROW()&lt;=(Results!$C$1/2)+1,IF(E1003&lt;=0,"",LN(E1003)),"")</f>
        <v/>
      </c>
    </row>
    <row r="1004" spans="1:6" x14ac:dyDescent="0.25">
      <c r="A1004" s="1" t="str">
        <f ca="1">IF(ROW()&lt;=(Results!$C$1/2)+1,INDEX(Data!$V:$V,CEILING((COUNTA(Data!$V:$V)-1)*RAND()+1,1)),"")</f>
        <v/>
      </c>
      <c r="B1004" s="1" t="str">
        <f>IF(ROW()&lt;=(Results!$C$1/2)+1,VLOOKUP($A1004,Data!$V$2:$W$117,2,TRUE),"")</f>
        <v/>
      </c>
      <c r="C1004" s="14" t="str">
        <f>IF(ROW()&lt;=(Results!$C$1/2)+1,IF(B1004&lt;=0,"",LN(B1004)),"")</f>
        <v/>
      </c>
      <c r="D1004" s="1" t="str">
        <f ca="1">IF(ROW()&lt;=(Results!$C$1/2)+1,INDEX(Data!$X:$X,CEILING((COUNTA(Data!$X:$X)-1)*RAND()+1,1)),"")</f>
        <v/>
      </c>
      <c r="E1004" s="1" t="str">
        <f>IF(ROW()&lt;=(Results!$C$1/2)+1,VLOOKUP($D1004,Data!$X$2:$Y$117,2,TRUE),"")</f>
        <v/>
      </c>
      <c r="F1004" s="14" t="str">
        <f>IF(ROW()&lt;=(Results!$C$1/2)+1,IF(E1004&lt;=0,"",LN(E1004)),"")</f>
        <v/>
      </c>
    </row>
    <row r="1005" spans="1:6" x14ac:dyDescent="0.25">
      <c r="A1005" s="1" t="str">
        <f ca="1">IF(ROW()&lt;=(Results!$C$1/2)+1,INDEX(Data!$V:$V,CEILING((COUNTA(Data!$V:$V)-1)*RAND()+1,1)),"")</f>
        <v/>
      </c>
      <c r="B1005" s="1" t="str">
        <f>IF(ROW()&lt;=(Results!$C$1/2)+1,VLOOKUP($A1005,Data!$V$2:$W$117,2,TRUE),"")</f>
        <v/>
      </c>
      <c r="C1005" s="14" t="str">
        <f>IF(ROW()&lt;=(Results!$C$1/2)+1,IF(B1005&lt;=0,"",LN(B1005)),"")</f>
        <v/>
      </c>
      <c r="D1005" s="1" t="str">
        <f ca="1">IF(ROW()&lt;=(Results!$C$1/2)+1,INDEX(Data!$X:$X,CEILING((COUNTA(Data!$X:$X)-1)*RAND()+1,1)),"")</f>
        <v/>
      </c>
      <c r="E1005" s="1" t="str">
        <f>IF(ROW()&lt;=(Results!$C$1/2)+1,VLOOKUP($D1005,Data!$X$2:$Y$117,2,TRUE),"")</f>
        <v/>
      </c>
      <c r="F1005" s="14" t="str">
        <f>IF(ROW()&lt;=(Results!$C$1/2)+1,IF(E1005&lt;=0,"",LN(E1005)),"")</f>
        <v/>
      </c>
    </row>
    <row r="1006" spans="1:6" x14ac:dyDescent="0.25">
      <c r="A1006" s="1" t="str">
        <f ca="1">IF(ROW()&lt;=(Results!$C$1/2)+1,INDEX(Data!$V:$V,CEILING((COUNTA(Data!$V:$V)-1)*RAND()+1,1)),"")</f>
        <v/>
      </c>
      <c r="B1006" s="1" t="str">
        <f>IF(ROW()&lt;=(Results!$C$1/2)+1,VLOOKUP($A1006,Data!$V$2:$W$117,2,TRUE),"")</f>
        <v/>
      </c>
      <c r="C1006" s="14" t="str">
        <f>IF(ROW()&lt;=(Results!$C$1/2)+1,IF(B1006&lt;=0,"",LN(B1006)),"")</f>
        <v/>
      </c>
      <c r="D1006" s="1" t="str">
        <f ca="1">IF(ROW()&lt;=(Results!$C$1/2)+1,INDEX(Data!$X:$X,CEILING((COUNTA(Data!$X:$X)-1)*RAND()+1,1)),"")</f>
        <v/>
      </c>
      <c r="E1006" s="1" t="str">
        <f>IF(ROW()&lt;=(Results!$C$1/2)+1,VLOOKUP($D1006,Data!$X$2:$Y$117,2,TRUE),"")</f>
        <v/>
      </c>
      <c r="F1006" s="14" t="str">
        <f>IF(ROW()&lt;=(Results!$C$1/2)+1,IF(E1006&lt;=0,"",LN(E1006)),"")</f>
        <v/>
      </c>
    </row>
    <row r="1007" spans="1:6" x14ac:dyDescent="0.25">
      <c r="A1007" s="1" t="str">
        <f ca="1">IF(ROW()&lt;=(Results!$C$1/2)+1,INDEX(Data!$V:$V,CEILING((COUNTA(Data!$V:$V)-1)*RAND()+1,1)),"")</f>
        <v/>
      </c>
      <c r="B1007" s="1" t="str">
        <f>IF(ROW()&lt;=(Results!$C$1/2)+1,VLOOKUP($A1007,Data!$V$2:$W$117,2,TRUE),"")</f>
        <v/>
      </c>
      <c r="C1007" s="14" t="str">
        <f>IF(ROW()&lt;=(Results!$C$1/2)+1,IF(B1007&lt;=0,"",LN(B1007)),"")</f>
        <v/>
      </c>
      <c r="D1007" s="1" t="str">
        <f ca="1">IF(ROW()&lt;=(Results!$C$1/2)+1,INDEX(Data!$X:$X,CEILING((COUNTA(Data!$X:$X)-1)*RAND()+1,1)),"")</f>
        <v/>
      </c>
      <c r="E1007" s="1" t="str">
        <f>IF(ROW()&lt;=(Results!$C$1/2)+1,VLOOKUP($D1007,Data!$X$2:$Y$117,2,TRUE),"")</f>
        <v/>
      </c>
      <c r="F1007" s="14" t="str">
        <f>IF(ROW()&lt;=(Results!$C$1/2)+1,IF(E1007&lt;=0,"",LN(E1007)),"")</f>
        <v/>
      </c>
    </row>
    <row r="1008" spans="1:6" x14ac:dyDescent="0.25">
      <c r="A1008" s="1" t="str">
        <f ca="1">IF(ROW()&lt;=(Results!$C$1/2)+1,INDEX(Data!$V:$V,CEILING((COUNTA(Data!$V:$V)-1)*RAND()+1,1)),"")</f>
        <v/>
      </c>
      <c r="B1008" s="1" t="str">
        <f>IF(ROW()&lt;=(Results!$C$1/2)+1,VLOOKUP($A1008,Data!$V$2:$W$117,2,TRUE),"")</f>
        <v/>
      </c>
      <c r="C1008" s="14" t="str">
        <f>IF(ROW()&lt;=(Results!$C$1/2)+1,IF(B1008&lt;=0,"",LN(B1008)),"")</f>
        <v/>
      </c>
      <c r="D1008" s="1" t="str">
        <f ca="1">IF(ROW()&lt;=(Results!$C$1/2)+1,INDEX(Data!$X:$X,CEILING((COUNTA(Data!$X:$X)-1)*RAND()+1,1)),"")</f>
        <v/>
      </c>
      <c r="E1008" s="1" t="str">
        <f>IF(ROW()&lt;=(Results!$C$1/2)+1,VLOOKUP($D1008,Data!$X$2:$Y$117,2,TRUE),"")</f>
        <v/>
      </c>
      <c r="F1008" s="14" t="str">
        <f>IF(ROW()&lt;=(Results!$C$1/2)+1,IF(E1008&lt;=0,"",LN(E1008)),"")</f>
        <v/>
      </c>
    </row>
    <row r="1009" spans="1:6" x14ac:dyDescent="0.25">
      <c r="A1009" s="1" t="str">
        <f ca="1">IF(ROW()&lt;=(Results!$C$1/2)+1,INDEX(Data!$V:$V,CEILING((COUNTA(Data!$V:$V)-1)*RAND()+1,1)),"")</f>
        <v/>
      </c>
      <c r="B1009" s="1" t="str">
        <f>IF(ROW()&lt;=(Results!$C$1/2)+1,VLOOKUP($A1009,Data!$V$2:$W$117,2,TRUE),"")</f>
        <v/>
      </c>
      <c r="C1009" s="14" t="str">
        <f>IF(ROW()&lt;=(Results!$C$1/2)+1,IF(B1009&lt;=0,"",LN(B1009)),"")</f>
        <v/>
      </c>
      <c r="D1009" s="1" t="str">
        <f ca="1">IF(ROW()&lt;=(Results!$C$1/2)+1,INDEX(Data!$X:$X,CEILING((COUNTA(Data!$X:$X)-1)*RAND()+1,1)),"")</f>
        <v/>
      </c>
      <c r="E1009" s="1" t="str">
        <f>IF(ROW()&lt;=(Results!$C$1/2)+1,VLOOKUP($D1009,Data!$X$2:$Y$117,2,TRUE),"")</f>
        <v/>
      </c>
      <c r="F1009" s="14" t="str">
        <f>IF(ROW()&lt;=(Results!$C$1/2)+1,IF(E1009&lt;=0,"",LN(E1009)),"")</f>
        <v/>
      </c>
    </row>
    <row r="1010" spans="1:6" x14ac:dyDescent="0.25">
      <c r="A1010" s="1" t="str">
        <f ca="1">IF(ROW()&lt;=(Results!$C$1/2)+1,INDEX(Data!$V:$V,CEILING((COUNTA(Data!$V:$V)-1)*RAND()+1,1)),"")</f>
        <v/>
      </c>
      <c r="B1010" s="1" t="str">
        <f>IF(ROW()&lt;=(Results!$C$1/2)+1,VLOOKUP($A1010,Data!$V$2:$W$117,2,TRUE),"")</f>
        <v/>
      </c>
      <c r="C1010" s="14" t="str">
        <f>IF(ROW()&lt;=(Results!$C$1/2)+1,IF(B1010&lt;=0,"",LN(B1010)),"")</f>
        <v/>
      </c>
      <c r="D1010" s="1" t="str">
        <f ca="1">IF(ROW()&lt;=(Results!$C$1/2)+1,INDEX(Data!$X:$X,CEILING((COUNTA(Data!$X:$X)-1)*RAND()+1,1)),"")</f>
        <v/>
      </c>
      <c r="E1010" s="1" t="str">
        <f>IF(ROW()&lt;=(Results!$C$1/2)+1,VLOOKUP($D1010,Data!$X$2:$Y$117,2,TRUE),"")</f>
        <v/>
      </c>
      <c r="F1010" s="14" t="str">
        <f>IF(ROW()&lt;=(Results!$C$1/2)+1,IF(E1010&lt;=0,"",LN(E1010)),"")</f>
        <v/>
      </c>
    </row>
    <row r="1011" spans="1:6" x14ac:dyDescent="0.25">
      <c r="A1011" s="1" t="str">
        <f ca="1">IF(ROW()&lt;=(Results!$C$1/2)+1,INDEX(Data!$V:$V,CEILING((COUNTA(Data!$V:$V)-1)*RAND()+1,1)),"")</f>
        <v/>
      </c>
      <c r="B1011" s="1" t="str">
        <f>IF(ROW()&lt;=(Results!$C$1/2)+1,VLOOKUP($A1011,Data!$V$2:$W$117,2,TRUE),"")</f>
        <v/>
      </c>
      <c r="C1011" s="14" t="str">
        <f>IF(ROW()&lt;=(Results!$C$1/2)+1,IF(B1011&lt;=0,"",LN(B1011)),"")</f>
        <v/>
      </c>
      <c r="D1011" s="1" t="str">
        <f ca="1">IF(ROW()&lt;=(Results!$C$1/2)+1,INDEX(Data!$X:$X,CEILING((COUNTA(Data!$X:$X)-1)*RAND()+1,1)),"")</f>
        <v/>
      </c>
      <c r="E1011" s="1" t="str">
        <f>IF(ROW()&lt;=(Results!$C$1/2)+1,VLOOKUP($D1011,Data!$X$2:$Y$117,2,TRUE),"")</f>
        <v/>
      </c>
      <c r="F1011" s="14" t="str">
        <f>IF(ROW()&lt;=(Results!$C$1/2)+1,IF(E1011&lt;=0,"",LN(E1011)),"")</f>
        <v/>
      </c>
    </row>
    <row r="1012" spans="1:6" x14ac:dyDescent="0.25">
      <c r="A1012" s="1" t="str">
        <f ca="1">IF(ROW()&lt;=(Results!$C$1/2)+1,INDEX(Data!$V:$V,CEILING((COUNTA(Data!$V:$V)-1)*RAND()+1,1)),"")</f>
        <v/>
      </c>
      <c r="B1012" s="1" t="str">
        <f>IF(ROW()&lt;=(Results!$C$1/2)+1,VLOOKUP($A1012,Data!$V$2:$W$117,2,TRUE),"")</f>
        <v/>
      </c>
      <c r="C1012" s="14" t="str">
        <f>IF(ROW()&lt;=(Results!$C$1/2)+1,IF(B1012&lt;=0,"",LN(B1012)),"")</f>
        <v/>
      </c>
      <c r="D1012" s="1" t="str">
        <f ca="1">IF(ROW()&lt;=(Results!$C$1/2)+1,INDEX(Data!$X:$X,CEILING((COUNTA(Data!$X:$X)-1)*RAND()+1,1)),"")</f>
        <v/>
      </c>
      <c r="E1012" s="1" t="str">
        <f>IF(ROW()&lt;=(Results!$C$1/2)+1,VLOOKUP($D1012,Data!$X$2:$Y$117,2,TRUE),"")</f>
        <v/>
      </c>
      <c r="F1012" s="14" t="str">
        <f>IF(ROW()&lt;=(Results!$C$1/2)+1,IF(E1012&lt;=0,"",LN(E1012)),"")</f>
        <v/>
      </c>
    </row>
    <row r="1013" spans="1:6" x14ac:dyDescent="0.25">
      <c r="A1013" s="1" t="str">
        <f ca="1">IF(ROW()&lt;=(Results!$C$1/2)+1,INDEX(Data!$V:$V,CEILING((COUNTA(Data!$V:$V)-1)*RAND()+1,1)),"")</f>
        <v/>
      </c>
      <c r="B1013" s="1" t="str">
        <f>IF(ROW()&lt;=(Results!$C$1/2)+1,VLOOKUP($A1013,Data!$V$2:$W$117,2,TRUE),"")</f>
        <v/>
      </c>
      <c r="C1013" s="14" t="str">
        <f>IF(ROW()&lt;=(Results!$C$1/2)+1,IF(B1013&lt;=0,"",LN(B1013)),"")</f>
        <v/>
      </c>
      <c r="D1013" s="1" t="str">
        <f ca="1">IF(ROW()&lt;=(Results!$C$1/2)+1,INDEX(Data!$X:$X,CEILING((COUNTA(Data!$X:$X)-1)*RAND()+1,1)),"")</f>
        <v/>
      </c>
      <c r="E1013" s="1" t="str">
        <f>IF(ROW()&lt;=(Results!$C$1/2)+1,VLOOKUP($D1013,Data!$X$2:$Y$117,2,TRUE),"")</f>
        <v/>
      </c>
      <c r="F1013" s="14" t="str">
        <f>IF(ROW()&lt;=(Results!$C$1/2)+1,IF(E1013&lt;=0,"",LN(E1013)),"")</f>
        <v/>
      </c>
    </row>
    <row r="1014" spans="1:6" x14ac:dyDescent="0.25">
      <c r="A1014" s="1" t="str">
        <f ca="1">IF(ROW()&lt;=(Results!$C$1/2)+1,INDEX(Data!$V:$V,CEILING((COUNTA(Data!$V:$V)-1)*RAND()+1,1)),"")</f>
        <v/>
      </c>
      <c r="B1014" s="1" t="str">
        <f>IF(ROW()&lt;=(Results!$C$1/2)+1,VLOOKUP($A1014,Data!$V$2:$W$117,2,TRUE),"")</f>
        <v/>
      </c>
      <c r="C1014" s="14" t="str">
        <f>IF(ROW()&lt;=(Results!$C$1/2)+1,IF(B1014&lt;=0,"",LN(B1014)),"")</f>
        <v/>
      </c>
      <c r="D1014" s="1" t="str">
        <f ca="1">IF(ROW()&lt;=(Results!$C$1/2)+1,INDEX(Data!$X:$X,CEILING((COUNTA(Data!$X:$X)-1)*RAND()+1,1)),"")</f>
        <v/>
      </c>
      <c r="E1014" s="1" t="str">
        <f>IF(ROW()&lt;=(Results!$C$1/2)+1,VLOOKUP($D1014,Data!$X$2:$Y$117,2,TRUE),"")</f>
        <v/>
      </c>
      <c r="F1014" s="14" t="str">
        <f>IF(ROW()&lt;=(Results!$C$1/2)+1,IF(E1014&lt;=0,"",LN(E1014)),"")</f>
        <v/>
      </c>
    </row>
    <row r="1015" spans="1:6" x14ac:dyDescent="0.25">
      <c r="A1015" s="1" t="str">
        <f ca="1">IF(ROW()&lt;=(Results!$C$1/2)+1,INDEX(Data!$V:$V,CEILING((COUNTA(Data!$V:$V)-1)*RAND()+1,1)),"")</f>
        <v/>
      </c>
      <c r="B1015" s="1" t="str">
        <f>IF(ROW()&lt;=(Results!$C$1/2)+1,VLOOKUP($A1015,Data!$V$2:$W$117,2,TRUE),"")</f>
        <v/>
      </c>
      <c r="C1015" s="14" t="str">
        <f>IF(ROW()&lt;=(Results!$C$1/2)+1,IF(B1015&lt;=0,"",LN(B1015)),"")</f>
        <v/>
      </c>
      <c r="D1015" s="1" t="str">
        <f ca="1">IF(ROW()&lt;=(Results!$C$1/2)+1,INDEX(Data!$X:$X,CEILING((COUNTA(Data!$X:$X)-1)*RAND()+1,1)),"")</f>
        <v/>
      </c>
      <c r="E1015" s="1" t="str">
        <f>IF(ROW()&lt;=(Results!$C$1/2)+1,VLOOKUP($D1015,Data!$X$2:$Y$117,2,TRUE),"")</f>
        <v/>
      </c>
      <c r="F1015" s="14" t="str">
        <f>IF(ROW()&lt;=(Results!$C$1/2)+1,IF(E1015&lt;=0,"",LN(E1015)),"")</f>
        <v/>
      </c>
    </row>
    <row r="1016" spans="1:6" x14ac:dyDescent="0.25">
      <c r="A1016" s="1" t="str">
        <f ca="1">IF(ROW()&lt;=(Results!$C$1/2)+1,INDEX(Data!$V:$V,CEILING((COUNTA(Data!$V:$V)-1)*RAND()+1,1)),"")</f>
        <v/>
      </c>
      <c r="B1016" s="1" t="str">
        <f>IF(ROW()&lt;=(Results!$C$1/2)+1,VLOOKUP($A1016,Data!$V$2:$W$117,2,TRUE),"")</f>
        <v/>
      </c>
      <c r="C1016" s="14" t="str">
        <f>IF(ROW()&lt;=(Results!$C$1/2)+1,IF(B1016&lt;=0,"",LN(B1016)),"")</f>
        <v/>
      </c>
      <c r="D1016" s="1" t="str">
        <f ca="1">IF(ROW()&lt;=(Results!$C$1/2)+1,INDEX(Data!$X:$X,CEILING((COUNTA(Data!$X:$X)-1)*RAND()+1,1)),"")</f>
        <v/>
      </c>
      <c r="E1016" s="1" t="str">
        <f>IF(ROW()&lt;=(Results!$C$1/2)+1,VLOOKUP($D1016,Data!$X$2:$Y$117,2,TRUE),"")</f>
        <v/>
      </c>
      <c r="F1016" s="14" t="str">
        <f>IF(ROW()&lt;=(Results!$C$1/2)+1,IF(E1016&lt;=0,"",LN(E1016)),"")</f>
        <v/>
      </c>
    </row>
    <row r="1017" spans="1:6" x14ac:dyDescent="0.25">
      <c r="A1017" s="1" t="str">
        <f ca="1">IF(ROW()&lt;=(Results!$C$1/2)+1,INDEX(Data!$V:$V,CEILING((COUNTA(Data!$V:$V)-1)*RAND()+1,1)),"")</f>
        <v/>
      </c>
      <c r="B1017" s="1" t="str">
        <f>IF(ROW()&lt;=(Results!$C$1/2)+1,VLOOKUP($A1017,Data!$V$2:$W$117,2,TRUE),"")</f>
        <v/>
      </c>
      <c r="C1017" s="14" t="str">
        <f>IF(ROW()&lt;=(Results!$C$1/2)+1,IF(B1017&lt;=0,"",LN(B1017)),"")</f>
        <v/>
      </c>
      <c r="D1017" s="1" t="str">
        <f ca="1">IF(ROW()&lt;=(Results!$C$1/2)+1,INDEX(Data!$X:$X,CEILING((COUNTA(Data!$X:$X)-1)*RAND()+1,1)),"")</f>
        <v/>
      </c>
      <c r="E1017" s="1" t="str">
        <f>IF(ROW()&lt;=(Results!$C$1/2)+1,VLOOKUP($D1017,Data!$X$2:$Y$117,2,TRUE),"")</f>
        <v/>
      </c>
      <c r="F1017" s="14" t="str">
        <f>IF(ROW()&lt;=(Results!$C$1/2)+1,IF(E1017&lt;=0,"",LN(E1017)),"")</f>
        <v/>
      </c>
    </row>
    <row r="1018" spans="1:6" x14ac:dyDescent="0.25">
      <c r="A1018" s="1" t="str">
        <f ca="1">IF(ROW()&lt;=(Results!$C$1/2)+1,INDEX(Data!$V:$V,CEILING((COUNTA(Data!$V:$V)-1)*RAND()+1,1)),"")</f>
        <v/>
      </c>
      <c r="B1018" s="1" t="str">
        <f>IF(ROW()&lt;=(Results!$C$1/2)+1,VLOOKUP($A1018,Data!$V$2:$W$117,2,TRUE),"")</f>
        <v/>
      </c>
      <c r="C1018" s="14" t="str">
        <f>IF(ROW()&lt;=(Results!$C$1/2)+1,IF(B1018&lt;=0,"",LN(B1018)),"")</f>
        <v/>
      </c>
      <c r="D1018" s="1" t="str">
        <f ca="1">IF(ROW()&lt;=(Results!$C$1/2)+1,INDEX(Data!$X:$X,CEILING((COUNTA(Data!$X:$X)-1)*RAND()+1,1)),"")</f>
        <v/>
      </c>
      <c r="E1018" s="1" t="str">
        <f>IF(ROW()&lt;=(Results!$C$1/2)+1,VLOOKUP($D1018,Data!$X$2:$Y$117,2,TRUE),"")</f>
        <v/>
      </c>
      <c r="F1018" s="14" t="str">
        <f>IF(ROW()&lt;=(Results!$C$1/2)+1,IF(E1018&lt;=0,"",LN(E1018)),"")</f>
        <v/>
      </c>
    </row>
    <row r="1019" spans="1:6" x14ac:dyDescent="0.25">
      <c r="A1019" s="1" t="str">
        <f ca="1">IF(ROW()&lt;=(Results!$C$1/2)+1,INDEX(Data!$V:$V,CEILING((COUNTA(Data!$V:$V)-1)*RAND()+1,1)),"")</f>
        <v/>
      </c>
      <c r="B1019" s="1" t="str">
        <f>IF(ROW()&lt;=(Results!$C$1/2)+1,VLOOKUP($A1019,Data!$V$2:$W$117,2,TRUE),"")</f>
        <v/>
      </c>
      <c r="C1019" s="14" t="str">
        <f>IF(ROW()&lt;=(Results!$C$1/2)+1,IF(B1019&lt;=0,"",LN(B1019)),"")</f>
        <v/>
      </c>
      <c r="D1019" s="1" t="str">
        <f ca="1">IF(ROW()&lt;=(Results!$C$1/2)+1,INDEX(Data!$X:$X,CEILING((COUNTA(Data!$X:$X)-1)*RAND()+1,1)),"")</f>
        <v/>
      </c>
      <c r="E1019" s="1" t="str">
        <f>IF(ROW()&lt;=(Results!$C$1/2)+1,VLOOKUP($D1019,Data!$X$2:$Y$117,2,TRUE),"")</f>
        <v/>
      </c>
      <c r="F1019" s="14" t="str">
        <f>IF(ROW()&lt;=(Results!$C$1/2)+1,IF(E1019&lt;=0,"",LN(E1019)),"")</f>
        <v/>
      </c>
    </row>
    <row r="1020" spans="1:6" x14ac:dyDescent="0.25">
      <c r="A1020" s="1" t="str">
        <f ca="1">IF(ROW()&lt;=(Results!$C$1/2)+1,INDEX(Data!$V:$V,CEILING((COUNTA(Data!$V:$V)-1)*RAND()+1,1)),"")</f>
        <v/>
      </c>
      <c r="B1020" s="1" t="str">
        <f>IF(ROW()&lt;=(Results!$C$1/2)+1,VLOOKUP($A1020,Data!$V$2:$W$117,2,TRUE),"")</f>
        <v/>
      </c>
      <c r="C1020" s="14" t="str">
        <f>IF(ROW()&lt;=(Results!$C$1/2)+1,IF(B1020&lt;=0,"",LN(B1020)),"")</f>
        <v/>
      </c>
      <c r="D1020" s="1" t="str">
        <f ca="1">IF(ROW()&lt;=(Results!$C$1/2)+1,INDEX(Data!$X:$X,CEILING((COUNTA(Data!$X:$X)-1)*RAND()+1,1)),"")</f>
        <v/>
      </c>
      <c r="E1020" s="1" t="str">
        <f>IF(ROW()&lt;=(Results!$C$1/2)+1,VLOOKUP($D1020,Data!$X$2:$Y$117,2,TRUE),"")</f>
        <v/>
      </c>
      <c r="F1020" s="14" t="str">
        <f>IF(ROW()&lt;=(Results!$C$1/2)+1,IF(E1020&lt;=0,"",LN(E1020)),"")</f>
        <v/>
      </c>
    </row>
    <row r="1021" spans="1:6" x14ac:dyDescent="0.25">
      <c r="A1021" s="1" t="str">
        <f ca="1">IF(ROW()&lt;=(Results!$C$1/2)+1,INDEX(Data!$V:$V,CEILING((COUNTA(Data!$V:$V)-1)*RAND()+1,1)),"")</f>
        <v/>
      </c>
      <c r="B1021" s="1" t="str">
        <f>IF(ROW()&lt;=(Results!$C$1/2)+1,VLOOKUP($A1021,Data!$V$2:$W$117,2,TRUE),"")</f>
        <v/>
      </c>
      <c r="C1021" s="14" t="str">
        <f>IF(ROW()&lt;=(Results!$C$1/2)+1,IF(B1021&lt;=0,"",LN(B1021)),"")</f>
        <v/>
      </c>
      <c r="D1021" s="1" t="str">
        <f ca="1">IF(ROW()&lt;=(Results!$C$1/2)+1,INDEX(Data!$X:$X,CEILING((COUNTA(Data!$X:$X)-1)*RAND()+1,1)),"")</f>
        <v/>
      </c>
      <c r="E1021" s="1" t="str">
        <f>IF(ROW()&lt;=(Results!$C$1/2)+1,VLOOKUP($D1021,Data!$X$2:$Y$117,2,TRUE),"")</f>
        <v/>
      </c>
      <c r="F1021" s="14" t="str">
        <f>IF(ROW()&lt;=(Results!$C$1/2)+1,IF(E1021&lt;=0,"",LN(E1021)),"")</f>
        <v/>
      </c>
    </row>
    <row r="1022" spans="1:6" x14ac:dyDescent="0.25">
      <c r="A1022" s="1" t="str">
        <f ca="1">IF(ROW()&lt;=(Results!$C$1/2)+1,INDEX(Data!$V:$V,CEILING((COUNTA(Data!$V:$V)-1)*RAND()+1,1)),"")</f>
        <v/>
      </c>
      <c r="B1022" s="1" t="str">
        <f>IF(ROW()&lt;=(Results!$C$1/2)+1,VLOOKUP($A1022,Data!$V$2:$W$117,2,TRUE),"")</f>
        <v/>
      </c>
      <c r="C1022" s="14" t="str">
        <f>IF(ROW()&lt;=(Results!$C$1/2)+1,IF(B1022&lt;=0,"",LN(B1022)),"")</f>
        <v/>
      </c>
      <c r="D1022" s="1" t="str">
        <f ca="1">IF(ROW()&lt;=(Results!$C$1/2)+1,INDEX(Data!$X:$X,CEILING((COUNTA(Data!$X:$X)-1)*RAND()+1,1)),"")</f>
        <v/>
      </c>
      <c r="E1022" s="1" t="str">
        <f>IF(ROW()&lt;=(Results!$C$1/2)+1,VLOOKUP($D1022,Data!$X$2:$Y$117,2,TRUE),"")</f>
        <v/>
      </c>
      <c r="F1022" s="14" t="str">
        <f>IF(ROW()&lt;=(Results!$C$1/2)+1,IF(E1022&lt;=0,"",LN(E1022)),"")</f>
        <v/>
      </c>
    </row>
    <row r="1023" spans="1:6" x14ac:dyDescent="0.25">
      <c r="A1023" s="1" t="str">
        <f ca="1">IF(ROW()&lt;=(Results!$C$1/2)+1,INDEX(Data!$V:$V,CEILING((COUNTA(Data!$V:$V)-1)*RAND()+1,1)),"")</f>
        <v/>
      </c>
      <c r="B1023" s="1" t="str">
        <f>IF(ROW()&lt;=(Results!$C$1/2)+1,VLOOKUP($A1023,Data!$V$2:$W$117,2,TRUE),"")</f>
        <v/>
      </c>
      <c r="C1023" s="14" t="str">
        <f>IF(ROW()&lt;=(Results!$C$1/2)+1,IF(B1023&lt;=0,"",LN(B1023)),"")</f>
        <v/>
      </c>
      <c r="D1023" s="1" t="str">
        <f ca="1">IF(ROW()&lt;=(Results!$C$1/2)+1,INDEX(Data!$X:$X,CEILING((COUNTA(Data!$X:$X)-1)*RAND()+1,1)),"")</f>
        <v/>
      </c>
      <c r="E1023" s="1" t="str">
        <f>IF(ROW()&lt;=(Results!$C$1/2)+1,VLOOKUP($D1023,Data!$X$2:$Y$117,2,TRUE),"")</f>
        <v/>
      </c>
      <c r="F1023" s="14" t="str">
        <f>IF(ROW()&lt;=(Results!$C$1/2)+1,IF(E1023&lt;=0,"",LN(E1023)),"")</f>
        <v/>
      </c>
    </row>
    <row r="1024" spans="1:6" x14ac:dyDescent="0.25">
      <c r="A1024" s="1" t="str">
        <f ca="1">IF(ROW()&lt;=(Results!$C$1/2)+1,INDEX(Data!$V:$V,CEILING((COUNTA(Data!$V:$V)-1)*RAND()+1,1)),"")</f>
        <v/>
      </c>
      <c r="B1024" s="1" t="str">
        <f>IF(ROW()&lt;=(Results!$C$1/2)+1,VLOOKUP($A1024,Data!$V$2:$W$117,2,TRUE),"")</f>
        <v/>
      </c>
      <c r="C1024" s="14" t="str">
        <f>IF(ROW()&lt;=(Results!$C$1/2)+1,IF(B1024&lt;=0,"",LN(B1024)),"")</f>
        <v/>
      </c>
      <c r="D1024" s="1" t="str">
        <f ca="1">IF(ROW()&lt;=(Results!$C$1/2)+1,INDEX(Data!$X:$X,CEILING((COUNTA(Data!$X:$X)-1)*RAND()+1,1)),"")</f>
        <v/>
      </c>
      <c r="E1024" s="1" t="str">
        <f>IF(ROW()&lt;=(Results!$C$1/2)+1,VLOOKUP($D1024,Data!$X$2:$Y$117,2,TRUE),"")</f>
        <v/>
      </c>
      <c r="F1024" s="14" t="str">
        <f>IF(ROW()&lt;=(Results!$C$1/2)+1,IF(E1024&lt;=0,"",LN(E1024)),"")</f>
        <v/>
      </c>
    </row>
    <row r="1025" spans="1:6" x14ac:dyDescent="0.25">
      <c r="A1025" s="1" t="str">
        <f ca="1">IF(ROW()&lt;=(Results!$C$1/2)+1,INDEX(Data!$V:$V,CEILING((COUNTA(Data!$V:$V)-1)*RAND()+1,1)),"")</f>
        <v/>
      </c>
      <c r="B1025" s="1" t="str">
        <f>IF(ROW()&lt;=(Results!$C$1/2)+1,VLOOKUP($A1025,Data!$V$2:$W$117,2,TRUE),"")</f>
        <v/>
      </c>
      <c r="C1025" s="14" t="str">
        <f>IF(ROW()&lt;=(Results!$C$1/2)+1,IF(B1025&lt;=0,"",LN(B1025)),"")</f>
        <v/>
      </c>
      <c r="D1025" s="1" t="str">
        <f ca="1">IF(ROW()&lt;=(Results!$C$1/2)+1,INDEX(Data!$X:$X,CEILING((COUNTA(Data!$X:$X)-1)*RAND()+1,1)),"")</f>
        <v/>
      </c>
      <c r="E1025" s="1" t="str">
        <f>IF(ROW()&lt;=(Results!$C$1/2)+1,VLOOKUP($D1025,Data!$X$2:$Y$117,2,TRUE),"")</f>
        <v/>
      </c>
      <c r="F1025" s="14" t="str">
        <f>IF(ROW()&lt;=(Results!$C$1/2)+1,IF(E1025&lt;=0,"",LN(E1025)),"")</f>
        <v/>
      </c>
    </row>
    <row r="1026" spans="1:6" x14ac:dyDescent="0.25">
      <c r="A1026" s="1" t="str">
        <f ca="1">IF(ROW()&lt;=(Results!$C$1/2)+1,INDEX(Data!$V:$V,CEILING((COUNTA(Data!$V:$V)-1)*RAND()+1,1)),"")</f>
        <v/>
      </c>
      <c r="B1026" s="1" t="str">
        <f>IF(ROW()&lt;=(Results!$C$1/2)+1,VLOOKUP($A1026,Data!$V$2:$W$117,2,TRUE),"")</f>
        <v/>
      </c>
      <c r="C1026" s="14" t="str">
        <f>IF(ROW()&lt;=(Results!$C$1/2)+1,IF(B1026&lt;=0,"",LN(B1026)),"")</f>
        <v/>
      </c>
      <c r="D1026" s="1" t="str">
        <f ca="1">IF(ROW()&lt;=(Results!$C$1/2)+1,INDEX(Data!$X:$X,CEILING((COUNTA(Data!$X:$X)-1)*RAND()+1,1)),"")</f>
        <v/>
      </c>
      <c r="E1026" s="1" t="str">
        <f>IF(ROW()&lt;=(Results!$C$1/2)+1,VLOOKUP($D1026,Data!$X$2:$Y$117,2,TRUE),"")</f>
        <v/>
      </c>
      <c r="F1026" s="14" t="str">
        <f>IF(ROW()&lt;=(Results!$C$1/2)+1,IF(E1026&lt;=0,"",LN(E1026)),"")</f>
        <v/>
      </c>
    </row>
    <row r="1027" spans="1:6" x14ac:dyDescent="0.25">
      <c r="A1027" s="1" t="str">
        <f ca="1">IF(ROW()&lt;=(Results!$C$1/2)+1,INDEX(Data!$V:$V,CEILING((COUNTA(Data!$V:$V)-1)*RAND()+1,1)),"")</f>
        <v/>
      </c>
      <c r="B1027" s="1" t="str">
        <f>IF(ROW()&lt;=(Results!$C$1/2)+1,VLOOKUP($A1027,Data!$V$2:$W$117,2,TRUE),"")</f>
        <v/>
      </c>
      <c r="C1027" s="14" t="str">
        <f>IF(ROW()&lt;=(Results!$C$1/2)+1,IF(B1027&lt;=0,"",LN(B1027)),"")</f>
        <v/>
      </c>
      <c r="D1027" s="1" t="str">
        <f ca="1">IF(ROW()&lt;=(Results!$C$1/2)+1,INDEX(Data!$X:$X,CEILING((COUNTA(Data!$X:$X)-1)*RAND()+1,1)),"")</f>
        <v/>
      </c>
      <c r="E1027" s="1" t="str">
        <f>IF(ROW()&lt;=(Results!$C$1/2)+1,VLOOKUP($D1027,Data!$X$2:$Y$117,2,TRUE),"")</f>
        <v/>
      </c>
      <c r="F1027" s="14" t="str">
        <f>IF(ROW()&lt;=(Results!$C$1/2)+1,IF(E1027&lt;=0,"",LN(E1027)),"")</f>
        <v/>
      </c>
    </row>
    <row r="1028" spans="1:6" x14ac:dyDescent="0.25">
      <c r="A1028" s="1" t="str">
        <f ca="1">IF(ROW()&lt;=(Results!$C$1/2)+1,INDEX(Data!$V:$V,CEILING((COUNTA(Data!$V:$V)-1)*RAND()+1,1)),"")</f>
        <v/>
      </c>
      <c r="B1028" s="1" t="str">
        <f>IF(ROW()&lt;=(Results!$C$1/2)+1,VLOOKUP($A1028,Data!$V$2:$W$117,2,TRUE),"")</f>
        <v/>
      </c>
      <c r="C1028" s="14" t="str">
        <f>IF(ROW()&lt;=(Results!$C$1/2)+1,IF(B1028&lt;=0,"",LN(B1028)),"")</f>
        <v/>
      </c>
      <c r="D1028" s="1" t="str">
        <f ca="1">IF(ROW()&lt;=(Results!$C$1/2)+1,INDEX(Data!$X:$X,CEILING((COUNTA(Data!$X:$X)-1)*RAND()+1,1)),"")</f>
        <v/>
      </c>
      <c r="E1028" s="1" t="str">
        <f>IF(ROW()&lt;=(Results!$C$1/2)+1,VLOOKUP($D1028,Data!$X$2:$Y$117,2,TRUE),"")</f>
        <v/>
      </c>
      <c r="F1028" s="14" t="str">
        <f>IF(ROW()&lt;=(Results!$C$1/2)+1,IF(E1028&lt;=0,"",LN(E1028)),"")</f>
        <v/>
      </c>
    </row>
    <row r="1029" spans="1:6" x14ac:dyDescent="0.25">
      <c r="A1029" s="1" t="str">
        <f ca="1">IF(ROW()&lt;=(Results!$C$1/2)+1,INDEX(Data!$V:$V,CEILING((COUNTA(Data!$V:$V)-1)*RAND()+1,1)),"")</f>
        <v/>
      </c>
      <c r="B1029" s="1" t="str">
        <f>IF(ROW()&lt;=(Results!$C$1/2)+1,VLOOKUP($A1029,Data!$V$2:$W$117,2,TRUE),"")</f>
        <v/>
      </c>
      <c r="C1029" s="14" t="str">
        <f>IF(ROW()&lt;=(Results!$C$1/2)+1,IF(B1029&lt;=0,"",LN(B1029)),"")</f>
        <v/>
      </c>
      <c r="D1029" s="1" t="str">
        <f ca="1">IF(ROW()&lt;=(Results!$C$1/2)+1,INDEX(Data!$X:$X,CEILING((COUNTA(Data!$X:$X)-1)*RAND()+1,1)),"")</f>
        <v/>
      </c>
      <c r="E1029" s="1" t="str">
        <f>IF(ROW()&lt;=(Results!$C$1/2)+1,VLOOKUP($D1029,Data!$X$2:$Y$117,2,TRUE),"")</f>
        <v/>
      </c>
      <c r="F1029" s="14" t="str">
        <f>IF(ROW()&lt;=(Results!$C$1/2)+1,IF(E1029&lt;=0,"",LN(E1029)),"")</f>
        <v/>
      </c>
    </row>
    <row r="1030" spans="1:6" x14ac:dyDescent="0.25">
      <c r="A1030" s="1" t="str">
        <f ca="1">IF(ROW()&lt;=(Results!$C$1/2)+1,INDEX(Data!$V:$V,CEILING((COUNTA(Data!$V:$V)-1)*RAND()+1,1)),"")</f>
        <v/>
      </c>
      <c r="B1030" s="1" t="str">
        <f>IF(ROW()&lt;=(Results!$C$1/2)+1,VLOOKUP($A1030,Data!$V$2:$W$117,2,TRUE),"")</f>
        <v/>
      </c>
      <c r="C1030" s="14" t="str">
        <f>IF(ROW()&lt;=(Results!$C$1/2)+1,IF(B1030&lt;=0,"",LN(B1030)),"")</f>
        <v/>
      </c>
      <c r="D1030" s="1" t="str">
        <f ca="1">IF(ROW()&lt;=(Results!$C$1/2)+1,INDEX(Data!$X:$X,CEILING((COUNTA(Data!$X:$X)-1)*RAND()+1,1)),"")</f>
        <v/>
      </c>
      <c r="E1030" s="1" t="str">
        <f>IF(ROW()&lt;=(Results!$C$1/2)+1,VLOOKUP($D1030,Data!$X$2:$Y$117,2,TRUE),"")</f>
        <v/>
      </c>
      <c r="F1030" s="14" t="str">
        <f>IF(ROW()&lt;=(Results!$C$1/2)+1,IF(E1030&lt;=0,"",LN(E1030)),"")</f>
        <v/>
      </c>
    </row>
    <row r="1031" spans="1:6" x14ac:dyDescent="0.25">
      <c r="A1031" s="1" t="str">
        <f ca="1">IF(ROW()&lt;=(Results!$C$1/2)+1,INDEX(Data!$V:$V,CEILING((COUNTA(Data!$V:$V)-1)*RAND()+1,1)),"")</f>
        <v/>
      </c>
      <c r="B1031" s="1" t="str">
        <f>IF(ROW()&lt;=(Results!$C$1/2)+1,VLOOKUP($A1031,Data!$V$2:$W$117,2,TRUE),"")</f>
        <v/>
      </c>
      <c r="C1031" s="14" t="str">
        <f>IF(ROW()&lt;=(Results!$C$1/2)+1,IF(B1031&lt;=0,"",LN(B1031)),"")</f>
        <v/>
      </c>
      <c r="D1031" s="1" t="str">
        <f ca="1">IF(ROW()&lt;=(Results!$C$1/2)+1,INDEX(Data!$X:$X,CEILING((COUNTA(Data!$X:$X)-1)*RAND()+1,1)),"")</f>
        <v/>
      </c>
      <c r="E1031" s="1" t="str">
        <f>IF(ROW()&lt;=(Results!$C$1/2)+1,VLOOKUP($D1031,Data!$X$2:$Y$117,2,TRUE),"")</f>
        <v/>
      </c>
      <c r="F1031" s="14" t="str">
        <f>IF(ROW()&lt;=(Results!$C$1/2)+1,IF(E1031&lt;=0,"",LN(E1031)),"")</f>
        <v/>
      </c>
    </row>
    <row r="1032" spans="1:6" x14ac:dyDescent="0.25">
      <c r="A1032" s="1" t="str">
        <f ca="1">IF(ROW()&lt;=(Results!$C$1/2)+1,INDEX(Data!$V:$V,CEILING((COUNTA(Data!$V:$V)-1)*RAND()+1,1)),"")</f>
        <v/>
      </c>
      <c r="B1032" s="1" t="str">
        <f>IF(ROW()&lt;=(Results!$C$1/2)+1,VLOOKUP($A1032,Data!$V$2:$W$117,2,TRUE),"")</f>
        <v/>
      </c>
      <c r="C1032" s="14" t="str">
        <f>IF(ROW()&lt;=(Results!$C$1/2)+1,IF(B1032&lt;=0,"",LN(B1032)),"")</f>
        <v/>
      </c>
      <c r="D1032" s="1" t="str">
        <f ca="1">IF(ROW()&lt;=(Results!$C$1/2)+1,INDEX(Data!$X:$X,CEILING((COUNTA(Data!$X:$X)-1)*RAND()+1,1)),"")</f>
        <v/>
      </c>
      <c r="E1032" s="1" t="str">
        <f>IF(ROW()&lt;=(Results!$C$1/2)+1,VLOOKUP($D1032,Data!$X$2:$Y$117,2,TRUE),"")</f>
        <v/>
      </c>
      <c r="F1032" s="14" t="str">
        <f>IF(ROW()&lt;=(Results!$C$1/2)+1,IF(E1032&lt;=0,"",LN(E1032)),"")</f>
        <v/>
      </c>
    </row>
    <row r="1033" spans="1:6" x14ac:dyDescent="0.25">
      <c r="A1033" s="1" t="str">
        <f ca="1">IF(ROW()&lt;=(Results!$C$1/2)+1,INDEX(Data!$V:$V,CEILING((COUNTA(Data!$V:$V)-1)*RAND()+1,1)),"")</f>
        <v/>
      </c>
      <c r="B1033" s="1" t="str">
        <f>IF(ROW()&lt;=(Results!$C$1/2)+1,VLOOKUP($A1033,Data!$V$2:$W$117,2,TRUE),"")</f>
        <v/>
      </c>
      <c r="C1033" s="14" t="str">
        <f>IF(ROW()&lt;=(Results!$C$1/2)+1,IF(B1033&lt;=0,"",LN(B1033)),"")</f>
        <v/>
      </c>
      <c r="D1033" s="1" t="str">
        <f ca="1">IF(ROW()&lt;=(Results!$C$1/2)+1,INDEX(Data!$X:$X,CEILING((COUNTA(Data!$X:$X)-1)*RAND()+1,1)),"")</f>
        <v/>
      </c>
      <c r="E1033" s="1" t="str">
        <f>IF(ROW()&lt;=(Results!$C$1/2)+1,VLOOKUP($D1033,Data!$X$2:$Y$117,2,TRUE),"")</f>
        <v/>
      </c>
      <c r="F1033" s="14" t="str">
        <f>IF(ROW()&lt;=(Results!$C$1/2)+1,IF(E1033&lt;=0,"",LN(E1033)),"")</f>
        <v/>
      </c>
    </row>
    <row r="1034" spans="1:6" x14ac:dyDescent="0.25">
      <c r="A1034" s="1" t="str">
        <f ca="1">IF(ROW()&lt;=(Results!$C$1/2)+1,INDEX(Data!$V:$V,CEILING((COUNTA(Data!$V:$V)-1)*RAND()+1,1)),"")</f>
        <v/>
      </c>
      <c r="B1034" s="1" t="str">
        <f>IF(ROW()&lt;=(Results!$C$1/2)+1,VLOOKUP($A1034,Data!$V$2:$W$117,2,TRUE),"")</f>
        <v/>
      </c>
      <c r="C1034" s="14" t="str">
        <f>IF(ROW()&lt;=(Results!$C$1/2)+1,IF(B1034&lt;=0,"",LN(B1034)),"")</f>
        <v/>
      </c>
      <c r="D1034" s="1" t="str">
        <f ca="1">IF(ROW()&lt;=(Results!$C$1/2)+1,INDEX(Data!$X:$X,CEILING((COUNTA(Data!$X:$X)-1)*RAND()+1,1)),"")</f>
        <v/>
      </c>
      <c r="E1034" s="1" t="str">
        <f>IF(ROW()&lt;=(Results!$C$1/2)+1,VLOOKUP($D1034,Data!$X$2:$Y$117,2,TRUE),"")</f>
        <v/>
      </c>
      <c r="F1034" s="14" t="str">
        <f>IF(ROW()&lt;=(Results!$C$1/2)+1,IF(E1034&lt;=0,"",LN(E1034)),"")</f>
        <v/>
      </c>
    </row>
    <row r="1035" spans="1:6" x14ac:dyDescent="0.25">
      <c r="A1035" s="1" t="str">
        <f ca="1">IF(ROW()&lt;=(Results!$C$1/2)+1,INDEX(Data!$V:$V,CEILING((COUNTA(Data!$V:$V)-1)*RAND()+1,1)),"")</f>
        <v/>
      </c>
      <c r="B1035" s="1" t="str">
        <f>IF(ROW()&lt;=(Results!$C$1/2)+1,VLOOKUP($A1035,Data!$V$2:$W$117,2,TRUE),"")</f>
        <v/>
      </c>
      <c r="C1035" s="14" t="str">
        <f>IF(ROW()&lt;=(Results!$C$1/2)+1,IF(B1035&lt;=0,"",LN(B1035)),"")</f>
        <v/>
      </c>
      <c r="D1035" s="1" t="str">
        <f ca="1">IF(ROW()&lt;=(Results!$C$1/2)+1,INDEX(Data!$X:$X,CEILING((COUNTA(Data!$X:$X)-1)*RAND()+1,1)),"")</f>
        <v/>
      </c>
      <c r="E1035" s="1" t="str">
        <f>IF(ROW()&lt;=(Results!$C$1/2)+1,VLOOKUP($D1035,Data!$X$2:$Y$117,2,TRUE),"")</f>
        <v/>
      </c>
      <c r="F1035" s="14" t="str">
        <f>IF(ROW()&lt;=(Results!$C$1/2)+1,IF(E1035&lt;=0,"",LN(E1035)),"")</f>
        <v/>
      </c>
    </row>
    <row r="1036" spans="1:6" x14ac:dyDescent="0.25">
      <c r="A1036" s="1" t="str">
        <f ca="1">IF(ROW()&lt;=(Results!$C$1/2)+1,INDEX(Data!$V:$V,CEILING((COUNTA(Data!$V:$V)-1)*RAND()+1,1)),"")</f>
        <v/>
      </c>
      <c r="B1036" s="1" t="str">
        <f>IF(ROW()&lt;=(Results!$C$1/2)+1,VLOOKUP($A1036,Data!$V$2:$W$117,2,TRUE),"")</f>
        <v/>
      </c>
      <c r="C1036" s="14" t="str">
        <f>IF(ROW()&lt;=(Results!$C$1/2)+1,IF(B1036&lt;=0,"",LN(B1036)),"")</f>
        <v/>
      </c>
      <c r="D1036" s="1" t="str">
        <f ca="1">IF(ROW()&lt;=(Results!$C$1/2)+1,INDEX(Data!$X:$X,CEILING((COUNTA(Data!$X:$X)-1)*RAND()+1,1)),"")</f>
        <v/>
      </c>
      <c r="E1036" s="1" t="str">
        <f>IF(ROW()&lt;=(Results!$C$1/2)+1,VLOOKUP($D1036,Data!$X$2:$Y$117,2,TRUE),"")</f>
        <v/>
      </c>
      <c r="F1036" s="14" t="str">
        <f>IF(ROW()&lt;=(Results!$C$1/2)+1,IF(E1036&lt;=0,"",LN(E1036)),"")</f>
        <v/>
      </c>
    </row>
    <row r="1037" spans="1:6" x14ac:dyDescent="0.25">
      <c r="A1037" s="1" t="str">
        <f ca="1">IF(ROW()&lt;=(Results!$C$1/2)+1,INDEX(Data!$V:$V,CEILING((COUNTA(Data!$V:$V)-1)*RAND()+1,1)),"")</f>
        <v/>
      </c>
      <c r="B1037" s="1" t="str">
        <f>IF(ROW()&lt;=(Results!$C$1/2)+1,VLOOKUP($A1037,Data!$V$2:$W$117,2,TRUE),"")</f>
        <v/>
      </c>
      <c r="C1037" s="14" t="str">
        <f>IF(ROW()&lt;=(Results!$C$1/2)+1,IF(B1037&lt;=0,"",LN(B1037)),"")</f>
        <v/>
      </c>
      <c r="D1037" s="1" t="str">
        <f ca="1">IF(ROW()&lt;=(Results!$C$1/2)+1,INDEX(Data!$X:$X,CEILING((COUNTA(Data!$X:$X)-1)*RAND()+1,1)),"")</f>
        <v/>
      </c>
      <c r="E1037" s="1" t="str">
        <f>IF(ROW()&lt;=(Results!$C$1/2)+1,VLOOKUP($D1037,Data!$X$2:$Y$117,2,TRUE),"")</f>
        <v/>
      </c>
      <c r="F1037" s="14" t="str">
        <f>IF(ROW()&lt;=(Results!$C$1/2)+1,IF(E1037&lt;=0,"",LN(E1037)),"")</f>
        <v/>
      </c>
    </row>
    <row r="1038" spans="1:6" x14ac:dyDescent="0.25">
      <c r="A1038" s="1" t="str">
        <f ca="1">IF(ROW()&lt;=(Results!$C$1/2)+1,INDEX(Data!$V:$V,CEILING((COUNTA(Data!$V:$V)-1)*RAND()+1,1)),"")</f>
        <v/>
      </c>
      <c r="B1038" s="1" t="str">
        <f>IF(ROW()&lt;=(Results!$C$1/2)+1,VLOOKUP($A1038,Data!$V$2:$W$117,2,TRUE),"")</f>
        <v/>
      </c>
      <c r="C1038" s="14" t="str">
        <f>IF(ROW()&lt;=(Results!$C$1/2)+1,IF(B1038&lt;=0,"",LN(B1038)),"")</f>
        <v/>
      </c>
      <c r="D1038" s="1" t="str">
        <f ca="1">IF(ROW()&lt;=(Results!$C$1/2)+1,INDEX(Data!$X:$X,CEILING((COUNTA(Data!$X:$X)-1)*RAND()+1,1)),"")</f>
        <v/>
      </c>
      <c r="E1038" s="1" t="str">
        <f>IF(ROW()&lt;=(Results!$C$1/2)+1,VLOOKUP($D1038,Data!$X$2:$Y$117,2,TRUE),"")</f>
        <v/>
      </c>
      <c r="F1038" s="14" t="str">
        <f>IF(ROW()&lt;=(Results!$C$1/2)+1,IF(E1038&lt;=0,"",LN(E1038)),"")</f>
        <v/>
      </c>
    </row>
    <row r="1039" spans="1:6" x14ac:dyDescent="0.25">
      <c r="A1039" s="1" t="str">
        <f ca="1">IF(ROW()&lt;=(Results!$C$1/2)+1,INDEX(Data!$V:$V,CEILING((COUNTA(Data!$V:$V)-1)*RAND()+1,1)),"")</f>
        <v/>
      </c>
      <c r="B1039" s="1" t="str">
        <f>IF(ROW()&lt;=(Results!$C$1/2)+1,VLOOKUP($A1039,Data!$V$2:$W$117,2,TRUE),"")</f>
        <v/>
      </c>
      <c r="C1039" s="14" t="str">
        <f>IF(ROW()&lt;=(Results!$C$1/2)+1,IF(B1039&lt;=0,"",LN(B1039)),"")</f>
        <v/>
      </c>
      <c r="D1039" s="1" t="str">
        <f ca="1">IF(ROW()&lt;=(Results!$C$1/2)+1,INDEX(Data!$X:$X,CEILING((COUNTA(Data!$X:$X)-1)*RAND()+1,1)),"")</f>
        <v/>
      </c>
      <c r="E1039" s="1" t="str">
        <f>IF(ROW()&lt;=(Results!$C$1/2)+1,VLOOKUP($D1039,Data!$X$2:$Y$117,2,TRUE),"")</f>
        <v/>
      </c>
      <c r="F1039" s="14" t="str">
        <f>IF(ROW()&lt;=(Results!$C$1/2)+1,IF(E1039&lt;=0,"",LN(E1039)),"")</f>
        <v/>
      </c>
    </row>
    <row r="1040" spans="1:6" x14ac:dyDescent="0.25">
      <c r="A1040" s="1" t="str">
        <f ca="1">IF(ROW()&lt;=(Results!$C$1/2)+1,INDEX(Data!$V:$V,CEILING((COUNTA(Data!$V:$V)-1)*RAND()+1,1)),"")</f>
        <v/>
      </c>
      <c r="B1040" s="1" t="str">
        <f>IF(ROW()&lt;=(Results!$C$1/2)+1,VLOOKUP($A1040,Data!$V$2:$W$117,2,TRUE),"")</f>
        <v/>
      </c>
      <c r="C1040" s="14" t="str">
        <f>IF(ROW()&lt;=(Results!$C$1/2)+1,IF(B1040&lt;=0,"",LN(B1040)),"")</f>
        <v/>
      </c>
      <c r="D1040" s="1" t="str">
        <f ca="1">IF(ROW()&lt;=(Results!$C$1/2)+1,INDEX(Data!$X:$X,CEILING((COUNTA(Data!$X:$X)-1)*RAND()+1,1)),"")</f>
        <v/>
      </c>
      <c r="E1040" s="1" t="str">
        <f>IF(ROW()&lt;=(Results!$C$1/2)+1,VLOOKUP($D1040,Data!$X$2:$Y$117,2,TRUE),"")</f>
        <v/>
      </c>
      <c r="F1040" s="14" t="str">
        <f>IF(ROW()&lt;=(Results!$C$1/2)+1,IF(E1040&lt;=0,"",LN(E1040)),"")</f>
        <v/>
      </c>
    </row>
    <row r="1041" spans="1:6" x14ac:dyDescent="0.25">
      <c r="A1041" s="1" t="str">
        <f ca="1">IF(ROW()&lt;=(Results!$C$1/2)+1,INDEX(Data!$V:$V,CEILING((COUNTA(Data!$V:$V)-1)*RAND()+1,1)),"")</f>
        <v/>
      </c>
      <c r="B1041" s="1" t="str">
        <f>IF(ROW()&lt;=(Results!$C$1/2)+1,VLOOKUP($A1041,Data!$V$2:$W$117,2,TRUE),"")</f>
        <v/>
      </c>
      <c r="C1041" s="14" t="str">
        <f>IF(ROW()&lt;=(Results!$C$1/2)+1,IF(B1041&lt;=0,"",LN(B1041)),"")</f>
        <v/>
      </c>
      <c r="D1041" s="1" t="str">
        <f ca="1">IF(ROW()&lt;=(Results!$C$1/2)+1,INDEX(Data!$X:$X,CEILING((COUNTA(Data!$X:$X)-1)*RAND()+1,1)),"")</f>
        <v/>
      </c>
      <c r="E1041" s="1" t="str">
        <f>IF(ROW()&lt;=(Results!$C$1/2)+1,VLOOKUP($D1041,Data!$X$2:$Y$117,2,TRUE),"")</f>
        <v/>
      </c>
      <c r="F1041" s="14" t="str">
        <f>IF(ROW()&lt;=(Results!$C$1/2)+1,IF(E1041&lt;=0,"",LN(E1041)),"")</f>
        <v/>
      </c>
    </row>
    <row r="1042" spans="1:6" x14ac:dyDescent="0.25">
      <c r="A1042" s="1" t="str">
        <f ca="1">IF(ROW()&lt;=(Results!$C$1/2)+1,INDEX(Data!$V:$V,CEILING((COUNTA(Data!$V:$V)-1)*RAND()+1,1)),"")</f>
        <v/>
      </c>
      <c r="B1042" s="1" t="str">
        <f>IF(ROW()&lt;=(Results!$C$1/2)+1,VLOOKUP($A1042,Data!$V$2:$W$117,2,TRUE),"")</f>
        <v/>
      </c>
      <c r="C1042" s="14" t="str">
        <f>IF(ROW()&lt;=(Results!$C$1/2)+1,IF(B1042&lt;=0,"",LN(B1042)),"")</f>
        <v/>
      </c>
      <c r="D1042" s="1" t="str">
        <f ca="1">IF(ROW()&lt;=(Results!$C$1/2)+1,INDEX(Data!$X:$X,CEILING((COUNTA(Data!$X:$X)-1)*RAND()+1,1)),"")</f>
        <v/>
      </c>
      <c r="E1042" s="1" t="str">
        <f>IF(ROW()&lt;=(Results!$C$1/2)+1,VLOOKUP($D1042,Data!$X$2:$Y$117,2,TRUE),"")</f>
        <v/>
      </c>
      <c r="F1042" s="14" t="str">
        <f>IF(ROW()&lt;=(Results!$C$1/2)+1,IF(E1042&lt;=0,"",LN(E1042)),"")</f>
        <v/>
      </c>
    </row>
    <row r="1043" spans="1:6" x14ac:dyDescent="0.25">
      <c r="A1043" s="1" t="str">
        <f ca="1">IF(ROW()&lt;=(Results!$C$1/2)+1,INDEX(Data!$V:$V,CEILING((COUNTA(Data!$V:$V)-1)*RAND()+1,1)),"")</f>
        <v/>
      </c>
      <c r="B1043" s="1" t="str">
        <f>IF(ROW()&lt;=(Results!$C$1/2)+1,VLOOKUP($A1043,Data!$V$2:$W$117,2,TRUE),"")</f>
        <v/>
      </c>
      <c r="C1043" s="14" t="str">
        <f>IF(ROW()&lt;=(Results!$C$1/2)+1,IF(B1043&lt;=0,"",LN(B1043)),"")</f>
        <v/>
      </c>
      <c r="D1043" s="1" t="str">
        <f ca="1">IF(ROW()&lt;=(Results!$C$1/2)+1,INDEX(Data!$X:$X,CEILING((COUNTA(Data!$X:$X)-1)*RAND()+1,1)),"")</f>
        <v/>
      </c>
      <c r="E1043" s="1" t="str">
        <f>IF(ROW()&lt;=(Results!$C$1/2)+1,VLOOKUP($D1043,Data!$X$2:$Y$117,2,TRUE),"")</f>
        <v/>
      </c>
      <c r="F1043" s="14" t="str">
        <f>IF(ROW()&lt;=(Results!$C$1/2)+1,IF(E1043&lt;=0,"",LN(E1043)),"")</f>
        <v/>
      </c>
    </row>
    <row r="1044" spans="1:6" x14ac:dyDescent="0.25">
      <c r="A1044" s="1" t="str">
        <f ca="1">IF(ROW()&lt;=(Results!$C$1/2)+1,INDEX(Data!$V:$V,CEILING((COUNTA(Data!$V:$V)-1)*RAND()+1,1)),"")</f>
        <v/>
      </c>
      <c r="B1044" s="1" t="str">
        <f>IF(ROW()&lt;=(Results!$C$1/2)+1,VLOOKUP($A1044,Data!$V$2:$W$117,2,TRUE),"")</f>
        <v/>
      </c>
      <c r="C1044" s="14" t="str">
        <f>IF(ROW()&lt;=(Results!$C$1/2)+1,IF(B1044&lt;=0,"",LN(B1044)),"")</f>
        <v/>
      </c>
      <c r="D1044" s="1" t="str">
        <f ca="1">IF(ROW()&lt;=(Results!$C$1/2)+1,INDEX(Data!$X:$X,CEILING((COUNTA(Data!$X:$X)-1)*RAND()+1,1)),"")</f>
        <v/>
      </c>
      <c r="E1044" s="1" t="str">
        <f>IF(ROW()&lt;=(Results!$C$1/2)+1,VLOOKUP($D1044,Data!$X$2:$Y$117,2,TRUE),"")</f>
        <v/>
      </c>
      <c r="F1044" s="14" t="str">
        <f>IF(ROW()&lt;=(Results!$C$1/2)+1,IF(E1044&lt;=0,"",LN(E1044)),"")</f>
        <v/>
      </c>
    </row>
    <row r="1045" spans="1:6" x14ac:dyDescent="0.25">
      <c r="A1045" s="1" t="str">
        <f ca="1">IF(ROW()&lt;=(Results!$C$1/2)+1,INDEX(Data!$V:$V,CEILING((COUNTA(Data!$V:$V)-1)*RAND()+1,1)),"")</f>
        <v/>
      </c>
      <c r="B1045" s="1" t="str">
        <f>IF(ROW()&lt;=(Results!$C$1/2)+1,VLOOKUP($A1045,Data!$V$2:$W$117,2,TRUE),"")</f>
        <v/>
      </c>
      <c r="C1045" s="14" t="str">
        <f>IF(ROW()&lt;=(Results!$C$1/2)+1,IF(B1045&lt;=0,"",LN(B1045)),"")</f>
        <v/>
      </c>
      <c r="D1045" s="1" t="str">
        <f ca="1">IF(ROW()&lt;=(Results!$C$1/2)+1,INDEX(Data!$X:$X,CEILING((COUNTA(Data!$X:$X)-1)*RAND()+1,1)),"")</f>
        <v/>
      </c>
      <c r="E1045" s="1" t="str">
        <f>IF(ROW()&lt;=(Results!$C$1/2)+1,VLOOKUP($D1045,Data!$X$2:$Y$117,2,TRUE),"")</f>
        <v/>
      </c>
      <c r="F1045" s="14" t="str">
        <f>IF(ROW()&lt;=(Results!$C$1/2)+1,IF(E1045&lt;=0,"",LN(E1045)),"")</f>
        <v/>
      </c>
    </row>
    <row r="1046" spans="1:6" x14ac:dyDescent="0.25">
      <c r="A1046" s="1" t="str">
        <f ca="1">IF(ROW()&lt;=(Results!$C$1/2)+1,INDEX(Data!$V:$V,CEILING((COUNTA(Data!$V:$V)-1)*RAND()+1,1)),"")</f>
        <v/>
      </c>
      <c r="B1046" s="1" t="str">
        <f>IF(ROW()&lt;=(Results!$C$1/2)+1,VLOOKUP($A1046,Data!$V$2:$W$117,2,TRUE),"")</f>
        <v/>
      </c>
      <c r="C1046" s="14" t="str">
        <f>IF(ROW()&lt;=(Results!$C$1/2)+1,IF(B1046&lt;=0,"",LN(B1046)),"")</f>
        <v/>
      </c>
      <c r="D1046" s="1" t="str">
        <f ca="1">IF(ROW()&lt;=(Results!$C$1/2)+1,INDEX(Data!$X:$X,CEILING((COUNTA(Data!$X:$X)-1)*RAND()+1,1)),"")</f>
        <v/>
      </c>
      <c r="E1046" s="1" t="str">
        <f>IF(ROW()&lt;=(Results!$C$1/2)+1,VLOOKUP($D1046,Data!$X$2:$Y$117,2,TRUE),"")</f>
        <v/>
      </c>
      <c r="F1046" s="14" t="str">
        <f>IF(ROW()&lt;=(Results!$C$1/2)+1,IF(E1046&lt;=0,"",LN(E1046)),"")</f>
        <v/>
      </c>
    </row>
    <row r="1047" spans="1:6" x14ac:dyDescent="0.25">
      <c r="A1047" s="1" t="str">
        <f ca="1">IF(ROW()&lt;=(Results!$C$1/2)+1,INDEX(Data!$V:$V,CEILING((COUNTA(Data!$V:$V)-1)*RAND()+1,1)),"")</f>
        <v/>
      </c>
      <c r="B1047" s="1" t="str">
        <f>IF(ROW()&lt;=(Results!$C$1/2)+1,VLOOKUP($A1047,Data!$V$2:$W$117,2,TRUE),"")</f>
        <v/>
      </c>
      <c r="C1047" s="14" t="str">
        <f>IF(ROW()&lt;=(Results!$C$1/2)+1,IF(B1047&lt;=0,"",LN(B1047)),"")</f>
        <v/>
      </c>
      <c r="D1047" s="1" t="str">
        <f ca="1">IF(ROW()&lt;=(Results!$C$1/2)+1,INDEX(Data!$X:$X,CEILING((COUNTA(Data!$X:$X)-1)*RAND()+1,1)),"")</f>
        <v/>
      </c>
      <c r="E1047" s="1" t="str">
        <f>IF(ROW()&lt;=(Results!$C$1/2)+1,VLOOKUP($D1047,Data!$X$2:$Y$117,2,TRUE),"")</f>
        <v/>
      </c>
      <c r="F1047" s="14" t="str">
        <f>IF(ROW()&lt;=(Results!$C$1/2)+1,IF(E1047&lt;=0,"",LN(E1047)),"")</f>
        <v/>
      </c>
    </row>
    <row r="1048" spans="1:6" x14ac:dyDescent="0.25">
      <c r="A1048" s="1" t="str">
        <f ca="1">IF(ROW()&lt;=(Results!$C$1/2)+1,INDEX(Data!$V:$V,CEILING((COUNTA(Data!$V:$V)-1)*RAND()+1,1)),"")</f>
        <v/>
      </c>
      <c r="B1048" s="1" t="str">
        <f>IF(ROW()&lt;=(Results!$C$1/2)+1,VLOOKUP($A1048,Data!$V$2:$W$117,2,TRUE),"")</f>
        <v/>
      </c>
      <c r="C1048" s="14" t="str">
        <f>IF(ROW()&lt;=(Results!$C$1/2)+1,IF(B1048&lt;=0,"",LN(B1048)),"")</f>
        <v/>
      </c>
      <c r="D1048" s="1" t="str">
        <f ca="1">IF(ROW()&lt;=(Results!$C$1/2)+1,INDEX(Data!$X:$X,CEILING((COUNTA(Data!$X:$X)-1)*RAND()+1,1)),"")</f>
        <v/>
      </c>
      <c r="E1048" s="1" t="str">
        <f>IF(ROW()&lt;=(Results!$C$1/2)+1,VLOOKUP($D1048,Data!$X$2:$Y$117,2,TRUE),"")</f>
        <v/>
      </c>
      <c r="F1048" s="14" t="str">
        <f>IF(ROW()&lt;=(Results!$C$1/2)+1,IF(E1048&lt;=0,"",LN(E1048)),"")</f>
        <v/>
      </c>
    </row>
    <row r="1049" spans="1:6" x14ac:dyDescent="0.25">
      <c r="A1049" s="1" t="str">
        <f ca="1">IF(ROW()&lt;=(Results!$C$1/2)+1,INDEX(Data!$V:$V,CEILING((COUNTA(Data!$V:$V)-1)*RAND()+1,1)),"")</f>
        <v/>
      </c>
      <c r="B1049" s="1" t="str">
        <f>IF(ROW()&lt;=(Results!$C$1/2)+1,VLOOKUP($A1049,Data!$V$2:$W$117,2,TRUE),"")</f>
        <v/>
      </c>
      <c r="C1049" s="14" t="str">
        <f>IF(ROW()&lt;=(Results!$C$1/2)+1,IF(B1049&lt;=0,"",LN(B1049)),"")</f>
        <v/>
      </c>
      <c r="D1049" s="1" t="str">
        <f ca="1">IF(ROW()&lt;=(Results!$C$1/2)+1,INDEX(Data!$X:$X,CEILING((COUNTA(Data!$X:$X)-1)*RAND()+1,1)),"")</f>
        <v/>
      </c>
      <c r="E1049" s="1" t="str">
        <f>IF(ROW()&lt;=(Results!$C$1/2)+1,VLOOKUP($D1049,Data!$X$2:$Y$117,2,TRUE),"")</f>
        <v/>
      </c>
      <c r="F1049" s="14" t="str">
        <f>IF(ROW()&lt;=(Results!$C$1/2)+1,IF(E1049&lt;=0,"",LN(E1049)),"")</f>
        <v/>
      </c>
    </row>
    <row r="1050" spans="1:6" x14ac:dyDescent="0.25">
      <c r="A1050" s="1" t="str">
        <f ca="1">IF(ROW()&lt;=(Results!$C$1/2)+1,INDEX(Data!$V:$V,CEILING((COUNTA(Data!$V:$V)-1)*RAND()+1,1)),"")</f>
        <v/>
      </c>
      <c r="B1050" s="1" t="str">
        <f>IF(ROW()&lt;=(Results!$C$1/2)+1,VLOOKUP($A1050,Data!$V$2:$W$117,2,TRUE),"")</f>
        <v/>
      </c>
      <c r="C1050" s="14" t="str">
        <f>IF(ROW()&lt;=(Results!$C$1/2)+1,IF(B1050&lt;=0,"",LN(B1050)),"")</f>
        <v/>
      </c>
      <c r="D1050" s="1" t="str">
        <f ca="1">IF(ROW()&lt;=(Results!$C$1/2)+1,INDEX(Data!$X:$X,CEILING((COUNTA(Data!$X:$X)-1)*RAND()+1,1)),"")</f>
        <v/>
      </c>
      <c r="E1050" s="1" t="str">
        <f>IF(ROW()&lt;=(Results!$C$1/2)+1,VLOOKUP($D1050,Data!$X$2:$Y$117,2,TRUE),"")</f>
        <v/>
      </c>
      <c r="F1050" s="14" t="str">
        <f>IF(ROW()&lt;=(Results!$C$1/2)+1,IF(E1050&lt;=0,"",LN(E1050)),"")</f>
        <v/>
      </c>
    </row>
    <row r="1051" spans="1:6" x14ac:dyDescent="0.25">
      <c r="A1051" s="1" t="str">
        <f ca="1">IF(ROW()&lt;=(Results!$C$1/2)+1,INDEX(Data!$V:$V,CEILING((COUNTA(Data!$V:$V)-1)*RAND()+1,1)),"")</f>
        <v/>
      </c>
      <c r="B1051" s="1" t="str">
        <f>IF(ROW()&lt;=(Results!$C$1/2)+1,VLOOKUP($A1051,Data!$V$2:$W$117,2,TRUE),"")</f>
        <v/>
      </c>
      <c r="C1051" s="14" t="str">
        <f>IF(ROW()&lt;=(Results!$C$1/2)+1,IF(B1051&lt;=0,"",LN(B1051)),"")</f>
        <v/>
      </c>
      <c r="D1051" s="1" t="str">
        <f ca="1">IF(ROW()&lt;=(Results!$C$1/2)+1,INDEX(Data!$X:$X,CEILING((COUNTA(Data!$X:$X)-1)*RAND()+1,1)),"")</f>
        <v/>
      </c>
      <c r="E1051" s="1" t="str">
        <f>IF(ROW()&lt;=(Results!$C$1/2)+1,VLOOKUP($D1051,Data!$X$2:$Y$117,2,TRUE),"")</f>
        <v/>
      </c>
      <c r="F1051" s="14" t="str">
        <f>IF(ROW()&lt;=(Results!$C$1/2)+1,IF(E1051&lt;=0,"",LN(E1051)),"")</f>
        <v/>
      </c>
    </row>
    <row r="1052" spans="1:6" x14ac:dyDescent="0.25">
      <c r="A1052" s="1" t="str">
        <f ca="1">IF(ROW()&lt;=(Results!$C$1/2)+1,INDEX(Data!$V:$V,CEILING((COUNTA(Data!$V:$V)-1)*RAND()+1,1)),"")</f>
        <v/>
      </c>
      <c r="B1052" s="1" t="str">
        <f>IF(ROW()&lt;=(Results!$C$1/2)+1,VLOOKUP($A1052,Data!$V$2:$W$117,2,TRUE),"")</f>
        <v/>
      </c>
      <c r="C1052" s="14" t="str">
        <f>IF(ROW()&lt;=(Results!$C$1/2)+1,IF(B1052&lt;=0,"",LN(B1052)),"")</f>
        <v/>
      </c>
      <c r="D1052" s="1" t="str">
        <f ca="1">IF(ROW()&lt;=(Results!$C$1/2)+1,INDEX(Data!$X:$X,CEILING((COUNTA(Data!$X:$X)-1)*RAND()+1,1)),"")</f>
        <v/>
      </c>
      <c r="E1052" s="1" t="str">
        <f>IF(ROW()&lt;=(Results!$C$1/2)+1,VLOOKUP($D1052,Data!$X$2:$Y$117,2,TRUE),"")</f>
        <v/>
      </c>
      <c r="F1052" s="14" t="str">
        <f>IF(ROW()&lt;=(Results!$C$1/2)+1,IF(E1052&lt;=0,"",LN(E1052)),"")</f>
        <v/>
      </c>
    </row>
    <row r="1053" spans="1:6" x14ac:dyDescent="0.25">
      <c r="A1053" s="1" t="str">
        <f ca="1">IF(ROW()&lt;=(Results!$C$1/2)+1,INDEX(Data!$V:$V,CEILING((COUNTA(Data!$V:$V)-1)*RAND()+1,1)),"")</f>
        <v/>
      </c>
      <c r="B1053" s="1" t="str">
        <f>IF(ROW()&lt;=(Results!$C$1/2)+1,VLOOKUP($A1053,Data!$V$2:$W$117,2,TRUE),"")</f>
        <v/>
      </c>
      <c r="C1053" s="14" t="str">
        <f>IF(ROW()&lt;=(Results!$C$1/2)+1,IF(B1053&lt;=0,"",LN(B1053)),"")</f>
        <v/>
      </c>
      <c r="D1053" s="1" t="str">
        <f ca="1">IF(ROW()&lt;=(Results!$C$1/2)+1,INDEX(Data!$X:$X,CEILING((COUNTA(Data!$X:$X)-1)*RAND()+1,1)),"")</f>
        <v/>
      </c>
      <c r="E1053" s="1" t="str">
        <f>IF(ROW()&lt;=(Results!$C$1/2)+1,VLOOKUP($D1053,Data!$X$2:$Y$117,2,TRUE),"")</f>
        <v/>
      </c>
      <c r="F1053" s="14" t="str">
        <f>IF(ROW()&lt;=(Results!$C$1/2)+1,IF(E1053&lt;=0,"",LN(E1053)),"")</f>
        <v/>
      </c>
    </row>
    <row r="1054" spans="1:6" x14ac:dyDescent="0.25">
      <c r="A1054" s="1" t="str">
        <f ca="1">IF(ROW()&lt;=(Results!$C$1/2)+1,INDEX(Data!$V:$V,CEILING((COUNTA(Data!$V:$V)-1)*RAND()+1,1)),"")</f>
        <v/>
      </c>
      <c r="B1054" s="1" t="str">
        <f>IF(ROW()&lt;=(Results!$C$1/2)+1,VLOOKUP($A1054,Data!$V$2:$W$117,2,TRUE),"")</f>
        <v/>
      </c>
      <c r="C1054" s="14" t="str">
        <f>IF(ROW()&lt;=(Results!$C$1/2)+1,IF(B1054&lt;=0,"",LN(B1054)),"")</f>
        <v/>
      </c>
      <c r="D1054" s="1" t="str">
        <f ca="1">IF(ROW()&lt;=(Results!$C$1/2)+1,INDEX(Data!$X:$X,CEILING((COUNTA(Data!$X:$X)-1)*RAND()+1,1)),"")</f>
        <v/>
      </c>
      <c r="E1054" s="1" t="str">
        <f>IF(ROW()&lt;=(Results!$C$1/2)+1,VLOOKUP($D1054,Data!$X$2:$Y$117,2,TRUE),"")</f>
        <v/>
      </c>
      <c r="F1054" s="14" t="str">
        <f>IF(ROW()&lt;=(Results!$C$1/2)+1,IF(E1054&lt;=0,"",LN(E1054)),"")</f>
        <v/>
      </c>
    </row>
    <row r="1055" spans="1:6" x14ac:dyDescent="0.25">
      <c r="A1055" s="1" t="str">
        <f ca="1">IF(ROW()&lt;=(Results!$C$1/2)+1,INDEX(Data!$V:$V,CEILING((COUNTA(Data!$V:$V)-1)*RAND()+1,1)),"")</f>
        <v/>
      </c>
      <c r="B1055" s="1" t="str">
        <f>IF(ROW()&lt;=(Results!$C$1/2)+1,VLOOKUP($A1055,Data!$V$2:$W$117,2,TRUE),"")</f>
        <v/>
      </c>
      <c r="C1055" s="14" t="str">
        <f>IF(ROW()&lt;=(Results!$C$1/2)+1,IF(B1055&lt;=0,"",LN(B1055)),"")</f>
        <v/>
      </c>
      <c r="D1055" s="1" t="str">
        <f ca="1">IF(ROW()&lt;=(Results!$C$1/2)+1,INDEX(Data!$X:$X,CEILING((COUNTA(Data!$X:$X)-1)*RAND()+1,1)),"")</f>
        <v/>
      </c>
      <c r="E1055" s="1" t="str">
        <f>IF(ROW()&lt;=(Results!$C$1/2)+1,VLOOKUP($D1055,Data!$X$2:$Y$117,2,TRUE),"")</f>
        <v/>
      </c>
      <c r="F1055" s="14" t="str">
        <f>IF(ROW()&lt;=(Results!$C$1/2)+1,IF(E1055&lt;=0,"",LN(E1055)),"")</f>
        <v/>
      </c>
    </row>
    <row r="1056" spans="1:6" x14ac:dyDescent="0.25">
      <c r="A1056" s="1" t="str">
        <f ca="1">IF(ROW()&lt;=(Results!$C$1/2)+1,INDEX(Data!$V:$V,CEILING((COUNTA(Data!$V:$V)-1)*RAND()+1,1)),"")</f>
        <v/>
      </c>
      <c r="B1056" s="1" t="str">
        <f>IF(ROW()&lt;=(Results!$C$1/2)+1,VLOOKUP($A1056,Data!$V$2:$W$117,2,TRUE),"")</f>
        <v/>
      </c>
      <c r="C1056" s="14" t="str">
        <f>IF(ROW()&lt;=(Results!$C$1/2)+1,IF(B1056&lt;=0,"",LN(B1056)),"")</f>
        <v/>
      </c>
      <c r="D1056" s="1" t="str">
        <f ca="1">IF(ROW()&lt;=(Results!$C$1/2)+1,INDEX(Data!$X:$X,CEILING((COUNTA(Data!$X:$X)-1)*RAND()+1,1)),"")</f>
        <v/>
      </c>
      <c r="E1056" s="1" t="str">
        <f>IF(ROW()&lt;=(Results!$C$1/2)+1,VLOOKUP($D1056,Data!$X$2:$Y$117,2,TRUE),"")</f>
        <v/>
      </c>
      <c r="F1056" s="14" t="str">
        <f>IF(ROW()&lt;=(Results!$C$1/2)+1,IF(E1056&lt;=0,"",LN(E1056)),"")</f>
        <v/>
      </c>
    </row>
    <row r="1057" spans="1:6" x14ac:dyDescent="0.25">
      <c r="A1057" s="1" t="str">
        <f ca="1">IF(ROW()&lt;=(Results!$C$1/2)+1,INDEX(Data!$V:$V,CEILING((COUNTA(Data!$V:$V)-1)*RAND()+1,1)),"")</f>
        <v/>
      </c>
      <c r="B1057" s="1" t="str">
        <f>IF(ROW()&lt;=(Results!$C$1/2)+1,VLOOKUP($A1057,Data!$V$2:$W$117,2,TRUE),"")</f>
        <v/>
      </c>
      <c r="C1057" s="14" t="str">
        <f>IF(ROW()&lt;=(Results!$C$1/2)+1,IF(B1057&lt;=0,"",LN(B1057)),"")</f>
        <v/>
      </c>
      <c r="D1057" s="1" t="str">
        <f ca="1">IF(ROW()&lt;=(Results!$C$1/2)+1,INDEX(Data!$X:$X,CEILING((COUNTA(Data!$X:$X)-1)*RAND()+1,1)),"")</f>
        <v/>
      </c>
      <c r="E1057" s="1" t="str">
        <f>IF(ROW()&lt;=(Results!$C$1/2)+1,VLOOKUP($D1057,Data!$X$2:$Y$117,2,TRUE),"")</f>
        <v/>
      </c>
      <c r="F1057" s="14" t="str">
        <f>IF(ROW()&lt;=(Results!$C$1/2)+1,IF(E1057&lt;=0,"",LN(E1057)),"")</f>
        <v/>
      </c>
    </row>
    <row r="1058" spans="1:6" x14ac:dyDescent="0.25">
      <c r="A1058" s="1" t="str">
        <f ca="1">IF(ROW()&lt;=(Results!$C$1/2)+1,INDEX(Data!$V:$V,CEILING((COUNTA(Data!$V:$V)-1)*RAND()+1,1)),"")</f>
        <v/>
      </c>
      <c r="B1058" s="1" t="str">
        <f>IF(ROW()&lt;=(Results!$C$1/2)+1,VLOOKUP($A1058,Data!$V$2:$W$117,2,TRUE),"")</f>
        <v/>
      </c>
      <c r="C1058" s="14" t="str">
        <f>IF(ROW()&lt;=(Results!$C$1/2)+1,IF(B1058&lt;=0,"",LN(B1058)),"")</f>
        <v/>
      </c>
      <c r="D1058" s="1" t="str">
        <f ca="1">IF(ROW()&lt;=(Results!$C$1/2)+1,INDEX(Data!$X:$X,CEILING((COUNTA(Data!$X:$X)-1)*RAND()+1,1)),"")</f>
        <v/>
      </c>
      <c r="E1058" s="1" t="str">
        <f>IF(ROW()&lt;=(Results!$C$1/2)+1,VLOOKUP($D1058,Data!$X$2:$Y$117,2,TRUE),"")</f>
        <v/>
      </c>
      <c r="F1058" s="14" t="str">
        <f>IF(ROW()&lt;=(Results!$C$1/2)+1,IF(E1058&lt;=0,"",LN(E1058)),"")</f>
        <v/>
      </c>
    </row>
    <row r="1059" spans="1:6" x14ac:dyDescent="0.25">
      <c r="A1059" s="1" t="str">
        <f ca="1">IF(ROW()&lt;=(Results!$C$1/2)+1,INDEX(Data!$V:$V,CEILING((COUNTA(Data!$V:$V)-1)*RAND()+1,1)),"")</f>
        <v/>
      </c>
      <c r="B1059" s="1" t="str">
        <f>IF(ROW()&lt;=(Results!$C$1/2)+1,VLOOKUP($A1059,Data!$V$2:$W$117,2,TRUE),"")</f>
        <v/>
      </c>
      <c r="C1059" s="14" t="str">
        <f>IF(ROW()&lt;=(Results!$C$1/2)+1,IF(B1059&lt;=0,"",LN(B1059)),"")</f>
        <v/>
      </c>
      <c r="D1059" s="1" t="str">
        <f ca="1">IF(ROW()&lt;=(Results!$C$1/2)+1,INDEX(Data!$X:$X,CEILING((COUNTA(Data!$X:$X)-1)*RAND()+1,1)),"")</f>
        <v/>
      </c>
      <c r="E1059" s="1" t="str">
        <f>IF(ROW()&lt;=(Results!$C$1/2)+1,VLOOKUP($D1059,Data!$X$2:$Y$117,2,TRUE),"")</f>
        <v/>
      </c>
      <c r="F1059" s="14" t="str">
        <f>IF(ROW()&lt;=(Results!$C$1/2)+1,IF(E1059&lt;=0,"",LN(E1059)),"")</f>
        <v/>
      </c>
    </row>
    <row r="1060" spans="1:6" x14ac:dyDescent="0.25">
      <c r="A1060" s="1" t="str">
        <f ca="1">IF(ROW()&lt;=(Results!$C$1/2)+1,INDEX(Data!$V:$V,CEILING((COUNTA(Data!$V:$V)-1)*RAND()+1,1)),"")</f>
        <v/>
      </c>
      <c r="B1060" s="1" t="str">
        <f>IF(ROW()&lt;=(Results!$C$1/2)+1,VLOOKUP($A1060,Data!$V$2:$W$117,2,TRUE),"")</f>
        <v/>
      </c>
      <c r="C1060" s="14" t="str">
        <f>IF(ROW()&lt;=(Results!$C$1/2)+1,IF(B1060&lt;=0,"",LN(B1060)),"")</f>
        <v/>
      </c>
      <c r="D1060" s="1" t="str">
        <f ca="1">IF(ROW()&lt;=(Results!$C$1/2)+1,INDEX(Data!$X:$X,CEILING((COUNTA(Data!$X:$X)-1)*RAND()+1,1)),"")</f>
        <v/>
      </c>
      <c r="E1060" s="1" t="str">
        <f>IF(ROW()&lt;=(Results!$C$1/2)+1,VLOOKUP($D1060,Data!$X$2:$Y$117,2,TRUE),"")</f>
        <v/>
      </c>
      <c r="F1060" s="14" t="str">
        <f>IF(ROW()&lt;=(Results!$C$1/2)+1,IF(E1060&lt;=0,"",LN(E1060)),"")</f>
        <v/>
      </c>
    </row>
    <row r="1061" spans="1:6" x14ac:dyDescent="0.25">
      <c r="A1061" s="1" t="str">
        <f ca="1">IF(ROW()&lt;=(Results!$C$1/2)+1,INDEX(Data!$V:$V,CEILING((COUNTA(Data!$V:$V)-1)*RAND()+1,1)),"")</f>
        <v/>
      </c>
      <c r="B1061" s="1" t="str">
        <f>IF(ROW()&lt;=(Results!$C$1/2)+1,VLOOKUP($A1061,Data!$V$2:$W$117,2,TRUE),"")</f>
        <v/>
      </c>
      <c r="C1061" s="14" t="str">
        <f>IF(ROW()&lt;=(Results!$C$1/2)+1,IF(B1061&lt;=0,"",LN(B1061)),"")</f>
        <v/>
      </c>
      <c r="D1061" s="1" t="str">
        <f ca="1">IF(ROW()&lt;=(Results!$C$1/2)+1,INDEX(Data!$X:$X,CEILING((COUNTA(Data!$X:$X)-1)*RAND()+1,1)),"")</f>
        <v/>
      </c>
      <c r="E1061" s="1" t="str">
        <f>IF(ROW()&lt;=(Results!$C$1/2)+1,VLOOKUP($D1061,Data!$X$2:$Y$117,2,TRUE),"")</f>
        <v/>
      </c>
      <c r="F1061" s="14" t="str">
        <f>IF(ROW()&lt;=(Results!$C$1/2)+1,IF(E1061&lt;=0,"",LN(E1061)),"")</f>
        <v/>
      </c>
    </row>
    <row r="1062" spans="1:6" x14ac:dyDescent="0.25">
      <c r="A1062" s="1" t="str">
        <f ca="1">IF(ROW()&lt;=(Results!$C$1/2)+1,INDEX(Data!$V:$V,CEILING((COUNTA(Data!$V:$V)-1)*RAND()+1,1)),"")</f>
        <v/>
      </c>
      <c r="B1062" s="1" t="str">
        <f>IF(ROW()&lt;=(Results!$C$1/2)+1,VLOOKUP($A1062,Data!$V$2:$W$117,2,TRUE),"")</f>
        <v/>
      </c>
      <c r="C1062" s="14" t="str">
        <f>IF(ROW()&lt;=(Results!$C$1/2)+1,IF(B1062&lt;=0,"",LN(B1062)),"")</f>
        <v/>
      </c>
      <c r="D1062" s="1" t="str">
        <f ca="1">IF(ROW()&lt;=(Results!$C$1/2)+1,INDEX(Data!$X:$X,CEILING((COUNTA(Data!$X:$X)-1)*RAND()+1,1)),"")</f>
        <v/>
      </c>
      <c r="E1062" s="1" t="str">
        <f>IF(ROW()&lt;=(Results!$C$1/2)+1,VLOOKUP($D1062,Data!$X$2:$Y$117,2,TRUE),"")</f>
        <v/>
      </c>
      <c r="F1062" s="14" t="str">
        <f>IF(ROW()&lt;=(Results!$C$1/2)+1,IF(E1062&lt;=0,"",LN(E1062)),"")</f>
        <v/>
      </c>
    </row>
    <row r="1063" spans="1:6" x14ac:dyDescent="0.25">
      <c r="A1063" s="1" t="str">
        <f ca="1">IF(ROW()&lt;=(Results!$C$1/2)+1,INDEX(Data!$V:$V,CEILING((COUNTA(Data!$V:$V)-1)*RAND()+1,1)),"")</f>
        <v/>
      </c>
      <c r="B1063" s="1" t="str">
        <f>IF(ROW()&lt;=(Results!$C$1/2)+1,VLOOKUP($A1063,Data!$V$2:$W$117,2,TRUE),"")</f>
        <v/>
      </c>
      <c r="C1063" s="14" t="str">
        <f>IF(ROW()&lt;=(Results!$C$1/2)+1,IF(B1063&lt;=0,"",LN(B1063)),"")</f>
        <v/>
      </c>
      <c r="D1063" s="1" t="str">
        <f ca="1">IF(ROW()&lt;=(Results!$C$1/2)+1,INDEX(Data!$X:$X,CEILING((COUNTA(Data!$X:$X)-1)*RAND()+1,1)),"")</f>
        <v/>
      </c>
      <c r="E1063" s="1" t="str">
        <f>IF(ROW()&lt;=(Results!$C$1/2)+1,VLOOKUP($D1063,Data!$X$2:$Y$117,2,TRUE),"")</f>
        <v/>
      </c>
      <c r="F1063" s="14" t="str">
        <f>IF(ROW()&lt;=(Results!$C$1/2)+1,IF(E1063&lt;=0,"",LN(E1063)),"")</f>
        <v/>
      </c>
    </row>
    <row r="1064" spans="1:6" x14ac:dyDescent="0.25">
      <c r="A1064" s="1" t="str">
        <f ca="1">IF(ROW()&lt;=(Results!$C$1/2)+1,INDEX(Data!$V:$V,CEILING((COUNTA(Data!$V:$V)-1)*RAND()+1,1)),"")</f>
        <v/>
      </c>
      <c r="B1064" s="1" t="str">
        <f>IF(ROW()&lt;=(Results!$C$1/2)+1,VLOOKUP($A1064,Data!$V$2:$W$117,2,TRUE),"")</f>
        <v/>
      </c>
      <c r="C1064" s="14" t="str">
        <f>IF(ROW()&lt;=(Results!$C$1/2)+1,IF(B1064&lt;=0,"",LN(B1064)),"")</f>
        <v/>
      </c>
      <c r="D1064" s="1" t="str">
        <f ca="1">IF(ROW()&lt;=(Results!$C$1/2)+1,INDEX(Data!$X:$X,CEILING((COUNTA(Data!$X:$X)-1)*RAND()+1,1)),"")</f>
        <v/>
      </c>
      <c r="E1064" s="1" t="str">
        <f>IF(ROW()&lt;=(Results!$C$1/2)+1,VLOOKUP($D1064,Data!$X$2:$Y$117,2,TRUE),"")</f>
        <v/>
      </c>
      <c r="F1064" s="14" t="str">
        <f>IF(ROW()&lt;=(Results!$C$1/2)+1,IF(E1064&lt;=0,"",LN(E1064)),"")</f>
        <v/>
      </c>
    </row>
    <row r="1065" spans="1:6" x14ac:dyDescent="0.25">
      <c r="A1065" s="1" t="str">
        <f ca="1">IF(ROW()&lt;=(Results!$C$1/2)+1,INDEX(Data!$V:$V,CEILING((COUNTA(Data!$V:$V)-1)*RAND()+1,1)),"")</f>
        <v/>
      </c>
      <c r="B1065" s="1" t="str">
        <f>IF(ROW()&lt;=(Results!$C$1/2)+1,VLOOKUP($A1065,Data!$V$2:$W$117,2,TRUE),"")</f>
        <v/>
      </c>
      <c r="C1065" s="14" t="str">
        <f>IF(ROW()&lt;=(Results!$C$1/2)+1,IF(B1065&lt;=0,"",LN(B1065)),"")</f>
        <v/>
      </c>
      <c r="D1065" s="1" t="str">
        <f ca="1">IF(ROW()&lt;=(Results!$C$1/2)+1,INDEX(Data!$X:$X,CEILING((COUNTA(Data!$X:$X)-1)*RAND()+1,1)),"")</f>
        <v/>
      </c>
      <c r="E1065" s="1" t="str">
        <f>IF(ROW()&lt;=(Results!$C$1/2)+1,VLOOKUP($D1065,Data!$X$2:$Y$117,2,TRUE),"")</f>
        <v/>
      </c>
      <c r="F1065" s="14" t="str">
        <f>IF(ROW()&lt;=(Results!$C$1/2)+1,IF(E1065&lt;=0,"",LN(E1065)),"")</f>
        <v/>
      </c>
    </row>
    <row r="1066" spans="1:6" x14ac:dyDescent="0.25">
      <c r="A1066" s="1" t="str">
        <f ca="1">IF(ROW()&lt;=(Results!$C$1/2)+1,INDEX(Data!$V:$V,CEILING((COUNTA(Data!$V:$V)-1)*RAND()+1,1)),"")</f>
        <v/>
      </c>
      <c r="B1066" s="1" t="str">
        <f>IF(ROW()&lt;=(Results!$C$1/2)+1,VLOOKUP($A1066,Data!$V$2:$W$117,2,TRUE),"")</f>
        <v/>
      </c>
      <c r="C1066" s="14" t="str">
        <f>IF(ROW()&lt;=(Results!$C$1/2)+1,IF(B1066&lt;=0,"",LN(B1066)),"")</f>
        <v/>
      </c>
      <c r="D1066" s="1" t="str">
        <f ca="1">IF(ROW()&lt;=(Results!$C$1/2)+1,INDEX(Data!$X:$X,CEILING((COUNTA(Data!$X:$X)-1)*RAND()+1,1)),"")</f>
        <v/>
      </c>
      <c r="E1066" s="1" t="str">
        <f>IF(ROW()&lt;=(Results!$C$1/2)+1,VLOOKUP($D1066,Data!$X$2:$Y$117,2,TRUE),"")</f>
        <v/>
      </c>
      <c r="F1066" s="14" t="str">
        <f>IF(ROW()&lt;=(Results!$C$1/2)+1,IF(E1066&lt;=0,"",LN(E1066)),"")</f>
        <v/>
      </c>
    </row>
    <row r="1067" spans="1:6" x14ac:dyDescent="0.25">
      <c r="A1067" s="1" t="str">
        <f ca="1">IF(ROW()&lt;=(Results!$C$1/2)+1,INDEX(Data!$V:$V,CEILING((COUNTA(Data!$V:$V)-1)*RAND()+1,1)),"")</f>
        <v/>
      </c>
      <c r="B1067" s="1" t="str">
        <f>IF(ROW()&lt;=(Results!$C$1/2)+1,VLOOKUP($A1067,Data!$V$2:$W$117,2,TRUE),"")</f>
        <v/>
      </c>
      <c r="C1067" s="14" t="str">
        <f>IF(ROW()&lt;=(Results!$C$1/2)+1,IF(B1067&lt;=0,"",LN(B1067)),"")</f>
        <v/>
      </c>
      <c r="D1067" s="1" t="str">
        <f ca="1">IF(ROW()&lt;=(Results!$C$1/2)+1,INDEX(Data!$X:$X,CEILING((COUNTA(Data!$X:$X)-1)*RAND()+1,1)),"")</f>
        <v/>
      </c>
      <c r="E1067" s="1" t="str">
        <f>IF(ROW()&lt;=(Results!$C$1/2)+1,VLOOKUP($D1067,Data!$X$2:$Y$117,2,TRUE),"")</f>
        <v/>
      </c>
      <c r="F1067" s="14" t="str">
        <f>IF(ROW()&lt;=(Results!$C$1/2)+1,IF(E1067&lt;=0,"",LN(E1067)),"")</f>
        <v/>
      </c>
    </row>
    <row r="1068" spans="1:6" x14ac:dyDescent="0.25">
      <c r="A1068" s="1" t="str">
        <f ca="1">IF(ROW()&lt;=(Results!$C$1/2)+1,INDEX(Data!$V:$V,CEILING((COUNTA(Data!$V:$V)-1)*RAND()+1,1)),"")</f>
        <v/>
      </c>
      <c r="B1068" s="1" t="str">
        <f>IF(ROW()&lt;=(Results!$C$1/2)+1,VLOOKUP($A1068,Data!$V$2:$W$117,2,TRUE),"")</f>
        <v/>
      </c>
      <c r="C1068" s="14" t="str">
        <f>IF(ROW()&lt;=(Results!$C$1/2)+1,IF(B1068&lt;=0,"",LN(B1068)),"")</f>
        <v/>
      </c>
      <c r="D1068" s="1" t="str">
        <f ca="1">IF(ROW()&lt;=(Results!$C$1/2)+1,INDEX(Data!$X:$X,CEILING((COUNTA(Data!$X:$X)-1)*RAND()+1,1)),"")</f>
        <v/>
      </c>
      <c r="E1068" s="1" t="str">
        <f>IF(ROW()&lt;=(Results!$C$1/2)+1,VLOOKUP($D1068,Data!$X$2:$Y$117,2,TRUE),"")</f>
        <v/>
      </c>
      <c r="F1068" s="14" t="str">
        <f>IF(ROW()&lt;=(Results!$C$1/2)+1,IF(E1068&lt;=0,"",LN(E1068)),"")</f>
        <v/>
      </c>
    </row>
    <row r="1069" spans="1:6" x14ac:dyDescent="0.25">
      <c r="A1069" s="1" t="str">
        <f ca="1">IF(ROW()&lt;=(Results!$C$1/2)+1,INDEX(Data!$V:$V,CEILING((COUNTA(Data!$V:$V)-1)*RAND()+1,1)),"")</f>
        <v/>
      </c>
      <c r="B1069" s="1" t="str">
        <f>IF(ROW()&lt;=(Results!$C$1/2)+1,VLOOKUP($A1069,Data!$V$2:$W$117,2,TRUE),"")</f>
        <v/>
      </c>
      <c r="C1069" s="14" t="str">
        <f>IF(ROW()&lt;=(Results!$C$1/2)+1,IF(B1069&lt;=0,"",LN(B1069)),"")</f>
        <v/>
      </c>
      <c r="D1069" s="1" t="str">
        <f ca="1">IF(ROW()&lt;=(Results!$C$1/2)+1,INDEX(Data!$X:$X,CEILING((COUNTA(Data!$X:$X)-1)*RAND()+1,1)),"")</f>
        <v/>
      </c>
      <c r="E1069" s="1" t="str">
        <f>IF(ROW()&lt;=(Results!$C$1/2)+1,VLOOKUP($D1069,Data!$X$2:$Y$117,2,TRUE),"")</f>
        <v/>
      </c>
      <c r="F1069" s="14" t="str">
        <f>IF(ROW()&lt;=(Results!$C$1/2)+1,IF(E1069&lt;=0,"",LN(E1069)),"")</f>
        <v/>
      </c>
    </row>
    <row r="1070" spans="1:6" x14ac:dyDescent="0.25">
      <c r="A1070" s="1" t="str">
        <f ca="1">IF(ROW()&lt;=(Results!$C$1/2)+1,INDEX(Data!$V:$V,CEILING((COUNTA(Data!$V:$V)-1)*RAND()+1,1)),"")</f>
        <v/>
      </c>
      <c r="B1070" s="1" t="str">
        <f>IF(ROW()&lt;=(Results!$C$1/2)+1,VLOOKUP($A1070,Data!$V$2:$W$117,2,TRUE),"")</f>
        <v/>
      </c>
      <c r="C1070" s="14" t="str">
        <f>IF(ROW()&lt;=(Results!$C$1/2)+1,IF(B1070&lt;=0,"",LN(B1070)),"")</f>
        <v/>
      </c>
      <c r="D1070" s="1" t="str">
        <f ca="1">IF(ROW()&lt;=(Results!$C$1/2)+1,INDEX(Data!$X:$X,CEILING((COUNTA(Data!$X:$X)-1)*RAND()+1,1)),"")</f>
        <v/>
      </c>
      <c r="E1070" s="1" t="str">
        <f>IF(ROW()&lt;=(Results!$C$1/2)+1,VLOOKUP($D1070,Data!$X$2:$Y$117,2,TRUE),"")</f>
        <v/>
      </c>
      <c r="F1070" s="14" t="str">
        <f>IF(ROW()&lt;=(Results!$C$1/2)+1,IF(E1070&lt;=0,"",LN(E1070)),"")</f>
        <v/>
      </c>
    </row>
    <row r="1071" spans="1:6" x14ac:dyDescent="0.25">
      <c r="A1071" s="1" t="str">
        <f ca="1">IF(ROW()&lt;=(Results!$C$1/2)+1,INDEX(Data!$V:$V,CEILING((COUNTA(Data!$V:$V)-1)*RAND()+1,1)),"")</f>
        <v/>
      </c>
      <c r="B1071" s="1" t="str">
        <f>IF(ROW()&lt;=(Results!$C$1/2)+1,VLOOKUP($A1071,Data!$V$2:$W$117,2,TRUE),"")</f>
        <v/>
      </c>
      <c r="C1071" s="14" t="str">
        <f>IF(ROW()&lt;=(Results!$C$1/2)+1,IF(B1071&lt;=0,"",LN(B1071)),"")</f>
        <v/>
      </c>
      <c r="D1071" s="1" t="str">
        <f ca="1">IF(ROW()&lt;=(Results!$C$1/2)+1,INDEX(Data!$X:$X,CEILING((COUNTA(Data!$X:$X)-1)*RAND()+1,1)),"")</f>
        <v/>
      </c>
      <c r="E1071" s="1" t="str">
        <f>IF(ROW()&lt;=(Results!$C$1/2)+1,VLOOKUP($D1071,Data!$X$2:$Y$117,2,TRUE),"")</f>
        <v/>
      </c>
      <c r="F1071" s="14" t="str">
        <f>IF(ROW()&lt;=(Results!$C$1/2)+1,IF(E1071&lt;=0,"",LN(E1071)),"")</f>
        <v/>
      </c>
    </row>
    <row r="1072" spans="1:6" x14ac:dyDescent="0.25">
      <c r="A1072" s="1" t="str">
        <f ca="1">IF(ROW()&lt;=(Results!$C$1/2)+1,INDEX(Data!$V:$V,CEILING((COUNTA(Data!$V:$V)-1)*RAND()+1,1)),"")</f>
        <v/>
      </c>
      <c r="B1072" s="1" t="str">
        <f>IF(ROW()&lt;=(Results!$C$1/2)+1,VLOOKUP($A1072,Data!$V$2:$W$117,2,TRUE),"")</f>
        <v/>
      </c>
      <c r="C1072" s="14" t="str">
        <f>IF(ROW()&lt;=(Results!$C$1/2)+1,IF(B1072&lt;=0,"",LN(B1072)),"")</f>
        <v/>
      </c>
      <c r="D1072" s="1" t="str">
        <f ca="1">IF(ROW()&lt;=(Results!$C$1/2)+1,INDEX(Data!$X:$X,CEILING((COUNTA(Data!$X:$X)-1)*RAND()+1,1)),"")</f>
        <v/>
      </c>
      <c r="E1072" s="1" t="str">
        <f>IF(ROW()&lt;=(Results!$C$1/2)+1,VLOOKUP($D1072,Data!$X$2:$Y$117,2,TRUE),"")</f>
        <v/>
      </c>
      <c r="F1072" s="14" t="str">
        <f>IF(ROW()&lt;=(Results!$C$1/2)+1,IF(E1072&lt;=0,"",LN(E1072)),"")</f>
        <v/>
      </c>
    </row>
    <row r="1073" spans="1:4" x14ac:dyDescent="0.25">
      <c r="A1073" s="1" t="str">
        <f ca="1">IF(ROW()&lt;=(Results!$C$1/2)+1,INDEX(Data!$V:$V,CEILING((COUNTA(Data!$V:$V)-1)*RAND()+1,1)),"")</f>
        <v/>
      </c>
      <c r="D1073" s="1" t="str">
        <f ca="1">IF(ROW()&lt;=(Results!$C$1/2)+1,INDEX(Data!$X:$X,CEILING((COUNTA(Data!$X:$X)-1)*RAND()+1,1)),"")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1:T24"/>
  <sheetViews>
    <sheetView zoomScale="85" workbookViewId="0">
      <selection activeCell="C1" sqref="C1"/>
    </sheetView>
  </sheetViews>
  <sheetFormatPr defaultColWidth="9.1796875" defaultRowHeight="12.5" x14ac:dyDescent="0.25"/>
  <cols>
    <col min="1" max="1" width="3.453125" style="1" customWidth="1"/>
    <col min="2" max="2" width="19.81640625" style="1" customWidth="1"/>
    <col min="3" max="3" width="11.7265625" style="1" customWidth="1"/>
    <col min="4" max="4" width="10.1796875" style="1" customWidth="1"/>
    <col min="5" max="5" width="10.54296875" style="1" customWidth="1"/>
    <col min="6" max="6" width="9" style="1" customWidth="1"/>
    <col min="7" max="7" width="9.1796875" style="1"/>
    <col min="8" max="8" width="9.81640625" style="1" customWidth="1"/>
    <col min="9" max="12" width="8" style="1" customWidth="1"/>
    <col min="13" max="16384" width="9.1796875" style="1"/>
  </cols>
  <sheetData>
    <row r="1" spans="2:20" ht="13.5" thickBot="1" x14ac:dyDescent="0.35">
      <c r="B1" s="1" t="s">
        <v>14</v>
      </c>
      <c r="C1" s="11">
        <v>50</v>
      </c>
      <c r="D1" s="57" t="s">
        <v>45</v>
      </c>
      <c r="S1" s="2"/>
    </row>
    <row r="2" spans="2:20" ht="13.5" thickBot="1" x14ac:dyDescent="0.35">
      <c r="B2" s="1" t="s">
        <v>16</v>
      </c>
      <c r="C2" s="11">
        <v>1000</v>
      </c>
    </row>
    <row r="3" spans="2:20" ht="13" x14ac:dyDescent="0.3">
      <c r="B3" s="4" t="s">
        <v>32</v>
      </c>
      <c r="C3" s="12"/>
    </row>
    <row r="4" spans="2:20" ht="13" x14ac:dyDescent="0.3">
      <c r="B4" s="53">
        <v>1</v>
      </c>
      <c r="C4" s="7">
        <f ca="1">EXP(AVERAGE(Simulation!C2:C1072))</f>
        <v>273.84690944485334</v>
      </c>
      <c r="D4" s="7">
        <f ca="1">EXP(AVERAGE(Simulation!F2:F1072))</f>
        <v>353.96986773093431</v>
      </c>
      <c r="E4" s="6">
        <f ca="1">S9</f>
        <v>77.364469241493339</v>
      </c>
      <c r="F4" s="7">
        <f ca="1">S11</f>
        <v>72.176311433932611</v>
      </c>
      <c r="G4" s="7">
        <f ca="1">S12</f>
        <v>82.92556078453309</v>
      </c>
      <c r="H4" s="5" t="str">
        <f ca="1">IF(OR(MIN(F4:G4)&lt;80,MAX(F4:G4)&gt;125),"FAIL","PASS")</f>
        <v>FAIL</v>
      </c>
      <c r="I4" s="8">
        <f ca="1">AVERAGE(Simulation!B:B)</f>
        <v>276.70579144232454</v>
      </c>
      <c r="J4" s="8">
        <f ca="1">STDEV(Simulation!B:B)</f>
        <v>41.463607012524285</v>
      </c>
      <c r="K4" s="8">
        <f ca="1">MIN(Simulation!B:B)</f>
        <v>229.86342302513111</v>
      </c>
      <c r="L4" s="8">
        <f ca="1">MAX(Simulation!B:B)</f>
        <v>362.58786668792118</v>
      </c>
      <c r="M4" s="8">
        <f ca="1">AVERAGE(Simulation!E:E)</f>
        <v>357.69851600413097</v>
      </c>
      <c r="N4" s="8">
        <f ca="1">STDEV(Simulation!E:E)</f>
        <v>53.556174434717342</v>
      </c>
      <c r="O4" s="8">
        <f ca="1">MIN(Simulation!E:E)</f>
        <v>312.48787967961982</v>
      </c>
      <c r="P4" s="8">
        <f ca="1">MAX(Simulation!E:E)</f>
        <v>432.34173823511372</v>
      </c>
      <c r="R4" s="57" t="s">
        <v>41</v>
      </c>
      <c r="S4" s="58">
        <f ca="1">STDEV(Simulation!C:C)/SQRT(COUNT(Simulation!C:C))</f>
        <v>2.9193229493282409E-2</v>
      </c>
      <c r="T4" s="60" t="s">
        <v>46</v>
      </c>
    </row>
    <row r="5" spans="2:20" ht="13" x14ac:dyDescent="0.3">
      <c r="C5" s="12"/>
      <c r="R5" s="57" t="s">
        <v>42</v>
      </c>
      <c r="S5" s="58">
        <f ca="1">STDEV(Simulation!F:F)/SQRT(COUNT(Simulation!F:F))</f>
        <v>2.9337028387931015E-2</v>
      </c>
      <c r="T5" s="60" t="s">
        <v>47</v>
      </c>
    </row>
    <row r="6" spans="2:20" ht="13" x14ac:dyDescent="0.3">
      <c r="B6" s="16"/>
      <c r="C6" s="17" t="s">
        <v>8</v>
      </c>
      <c r="D6" s="18"/>
      <c r="E6" s="52" t="s">
        <v>29</v>
      </c>
      <c r="F6" s="19"/>
      <c r="G6" s="20"/>
      <c r="H6" s="21"/>
      <c r="I6" s="22" t="str">
        <f>Data!C1&amp;",A"</f>
        <v>Cmax,A</v>
      </c>
      <c r="J6" s="23"/>
      <c r="K6" s="23"/>
      <c r="L6" s="23"/>
      <c r="M6" s="22" t="str">
        <f>Data!C1&amp;",B"</f>
        <v>Cmax,B</v>
      </c>
      <c r="N6" s="23"/>
      <c r="O6" s="23"/>
      <c r="P6" s="24"/>
      <c r="R6" s="1" t="s">
        <v>3</v>
      </c>
      <c r="S6" s="1">
        <f ca="1">AVERAGE(Simulation!C2:C1072)-AVERAGE(Simulation!F2:F1072)</f>
        <v>-0.25664256451730516</v>
      </c>
    </row>
    <row r="7" spans="2:20" ht="24.75" customHeight="1" x14ac:dyDescent="0.3">
      <c r="B7" s="25" t="s">
        <v>15</v>
      </c>
      <c r="C7" s="26" t="s">
        <v>6</v>
      </c>
      <c r="D7" s="22" t="s">
        <v>7</v>
      </c>
      <c r="E7" s="27" t="s">
        <v>30</v>
      </c>
      <c r="F7" s="28" t="s">
        <v>4</v>
      </c>
      <c r="G7" s="29" t="s">
        <v>5</v>
      </c>
      <c r="H7" s="29" t="s">
        <v>9</v>
      </c>
      <c r="I7" s="30" t="s">
        <v>10</v>
      </c>
      <c r="J7" s="30" t="s">
        <v>11</v>
      </c>
      <c r="K7" s="30" t="s">
        <v>12</v>
      </c>
      <c r="L7" s="30" t="s">
        <v>13</v>
      </c>
      <c r="M7" s="30" t="s">
        <v>10</v>
      </c>
      <c r="N7" s="30" t="s">
        <v>11</v>
      </c>
      <c r="O7" s="30" t="s">
        <v>12</v>
      </c>
      <c r="P7" s="30" t="s">
        <v>13</v>
      </c>
      <c r="R7" s="57" t="s">
        <v>0</v>
      </c>
      <c r="S7" s="1">
        <f ca="1">SQRT(S4^2+S5^2)</f>
        <v>4.1387267158894701E-2</v>
      </c>
      <c r="T7" s="60" t="s">
        <v>44</v>
      </c>
    </row>
    <row r="8" spans="2:20" x14ac:dyDescent="0.25">
      <c r="B8" s="1">
        <v>1</v>
      </c>
      <c r="C8" s="1">
        <v>302.25142667093604</v>
      </c>
      <c r="D8" s="1">
        <v>368.77658296040892</v>
      </c>
      <c r="E8" s="1">
        <v>81.960580100983563</v>
      </c>
      <c r="F8" s="1">
        <v>76.626463647381826</v>
      </c>
      <c r="G8" s="1">
        <v>87.666014725700677</v>
      </c>
      <c r="H8" s="1" t="s">
        <v>22</v>
      </c>
      <c r="I8" s="1">
        <v>305.15621437321795</v>
      </c>
      <c r="J8" s="1">
        <v>43.175955787288466</v>
      </c>
      <c r="K8" s="1">
        <v>229.86342302513111</v>
      </c>
      <c r="L8" s="1">
        <v>362.58786668792118</v>
      </c>
      <c r="M8" s="1">
        <v>372.34609861124301</v>
      </c>
      <c r="N8" s="1">
        <v>52.032585085414411</v>
      </c>
      <c r="O8" s="1">
        <v>312.48787967961982</v>
      </c>
      <c r="P8" s="1">
        <v>432.34173823511372</v>
      </c>
      <c r="R8" s="1" t="s">
        <v>2</v>
      </c>
      <c r="S8" s="1">
        <f ca="1">COUNT(Simulation!A$2:A$1072)</f>
        <v>25</v>
      </c>
      <c r="T8" s="57" t="s">
        <v>43</v>
      </c>
    </row>
    <row r="9" spans="2:20" x14ac:dyDescent="0.25">
      <c r="B9" s="1">
        <v>2</v>
      </c>
      <c r="C9" s="1">
        <v>298.67491675442284</v>
      </c>
      <c r="D9" s="1">
        <v>359.89922807088851</v>
      </c>
      <c r="E9" s="1">
        <v>82.988484958793379</v>
      </c>
      <c r="F9" s="1">
        <v>76.835882036083632</v>
      </c>
      <c r="G9" s="1">
        <v>89.633755131769874</v>
      </c>
      <c r="H9" s="1" t="s">
        <v>22</v>
      </c>
      <c r="I9" s="1">
        <v>302.84305532638797</v>
      </c>
      <c r="J9" s="1">
        <v>50.766001066384845</v>
      </c>
      <c r="K9" s="1">
        <v>229.86342302513111</v>
      </c>
      <c r="L9" s="1">
        <v>362.58786668792118</v>
      </c>
      <c r="M9" s="1">
        <v>363.99337558884787</v>
      </c>
      <c r="N9" s="1">
        <v>56.124163781699863</v>
      </c>
      <c r="O9" s="1">
        <v>312.48787967961982</v>
      </c>
      <c r="P9" s="1">
        <v>432.34173823511372</v>
      </c>
      <c r="R9" s="1" t="s">
        <v>1</v>
      </c>
      <c r="S9" s="1">
        <f ca="1">100*EXP(S6)</f>
        <v>77.364469241493339</v>
      </c>
    </row>
    <row r="10" spans="2:20" x14ac:dyDescent="0.25">
      <c r="B10" s="1">
        <v>3</v>
      </c>
      <c r="C10" s="1">
        <v>301.56820611068167</v>
      </c>
      <c r="D10" s="1">
        <v>359.32407053965704</v>
      </c>
      <c r="E10" s="1">
        <v>83.926525060724785</v>
      </c>
      <c r="F10" s="1">
        <v>77.454911642997288</v>
      </c>
      <c r="G10" s="1">
        <v>90.938863131545304</v>
      </c>
      <c r="H10" s="1" t="s">
        <v>22</v>
      </c>
      <c r="I10" s="1">
        <v>306.90989537161812</v>
      </c>
      <c r="J10" s="1">
        <v>57.326278464884204</v>
      </c>
      <c r="K10" s="1">
        <v>229.86342302513111</v>
      </c>
      <c r="L10" s="1">
        <v>362.58786668792118</v>
      </c>
      <c r="M10" s="1">
        <v>362.75958452908856</v>
      </c>
      <c r="N10" s="1">
        <v>51.088777582730103</v>
      </c>
      <c r="O10" s="1">
        <v>312.48787967961982</v>
      </c>
      <c r="P10" s="1">
        <v>432.34173823511372</v>
      </c>
      <c r="R10" s="57" t="s">
        <v>48</v>
      </c>
      <c r="S10" s="1">
        <f ca="1">TINV(0.1,(2*S$8)-2)</f>
        <v>1.6772241961243386</v>
      </c>
    </row>
    <row r="11" spans="2:20" x14ac:dyDescent="0.25">
      <c r="B11" s="1">
        <v>4</v>
      </c>
      <c r="C11" s="1">
        <v>288.91470590950655</v>
      </c>
      <c r="D11" s="1">
        <v>341.68182431981728</v>
      </c>
      <c r="E11" s="1">
        <v>84.556650469964652</v>
      </c>
      <c r="F11" s="1">
        <v>78.376383152144768</v>
      </c>
      <c r="G11" s="1">
        <v>91.224254694433654</v>
      </c>
      <c r="H11" s="1" t="s">
        <v>22</v>
      </c>
      <c r="I11" s="1">
        <v>293.50956518105937</v>
      </c>
      <c r="J11" s="1">
        <v>53.267552630177434</v>
      </c>
      <c r="K11" s="1">
        <v>229.86342302513111</v>
      </c>
      <c r="L11" s="1">
        <v>362.58786668792118</v>
      </c>
      <c r="M11" s="1">
        <v>344.81675821996885</v>
      </c>
      <c r="N11" s="1">
        <v>49.299182562354034</v>
      </c>
      <c r="O11" s="1">
        <v>312.48787967961982</v>
      </c>
      <c r="P11" s="1">
        <v>432.34173823511372</v>
      </c>
      <c r="R11" s="1" t="s">
        <v>4</v>
      </c>
      <c r="S11" s="1">
        <f ca="1">100*EXP(S$6-TINV(0.1,2*S$8-2)*S$7)</f>
        <v>72.176311433932611</v>
      </c>
    </row>
    <row r="12" spans="2:20" x14ac:dyDescent="0.25">
      <c r="B12" s="1">
        <v>5</v>
      </c>
      <c r="C12" s="1">
        <v>280.47072239003791</v>
      </c>
      <c r="D12" s="1">
        <v>368.77870067996565</v>
      </c>
      <c r="E12" s="1">
        <v>76.053937462466578</v>
      </c>
      <c r="F12" s="1">
        <v>71.022722846168136</v>
      </c>
      <c r="G12" s="1">
        <v>81.44156083783335</v>
      </c>
      <c r="H12" s="1" t="s">
        <v>22</v>
      </c>
      <c r="I12" s="1">
        <v>283.39055883705112</v>
      </c>
      <c r="J12" s="1">
        <v>42.296501422029621</v>
      </c>
      <c r="K12" s="1">
        <v>229.86342302513111</v>
      </c>
      <c r="L12" s="1">
        <v>362.58786668792118</v>
      </c>
      <c r="M12" s="1">
        <v>372.34789321352798</v>
      </c>
      <c r="N12" s="1">
        <v>52.030435285368412</v>
      </c>
      <c r="O12" s="1">
        <v>312.48787967961982</v>
      </c>
      <c r="P12" s="1">
        <v>432.34173823511372</v>
      </c>
      <c r="R12" s="1" t="s">
        <v>5</v>
      </c>
      <c r="S12" s="1">
        <f ca="1">100*EXP(S$6+TINV(0.1,2*S$8-2)*S$7)</f>
        <v>82.92556078453309</v>
      </c>
    </row>
    <row r="20" spans="19:19" ht="13" x14ac:dyDescent="0.3">
      <c r="S20" s="3"/>
    </row>
    <row r="24" spans="19:19" ht="13" x14ac:dyDescent="0.3">
      <c r="S24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ootstrap">
                <anchor moveWithCells="1" sizeWithCells="1">
                  <from>
                    <xdr:col>3</xdr:col>
                    <xdr:colOff>590550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G55"/>
  <sheetViews>
    <sheetView workbookViewId="0">
      <selection activeCell="B2" sqref="B2"/>
    </sheetView>
  </sheetViews>
  <sheetFormatPr defaultColWidth="9.1796875" defaultRowHeight="12.5" x14ac:dyDescent="0.25"/>
  <cols>
    <col min="1" max="1" width="5.453125" style="1" customWidth="1"/>
    <col min="2" max="2" width="9.1796875" style="1"/>
    <col min="3" max="3" width="10.7265625" style="1" customWidth="1"/>
    <col min="4" max="4" width="9.1796875" style="1"/>
    <col min="5" max="5" width="12" style="1" customWidth="1"/>
    <col min="6" max="6" width="10.81640625" style="1" customWidth="1"/>
    <col min="7" max="16384" width="9.1796875" style="1"/>
  </cols>
  <sheetData>
    <row r="1" spans="2:7" ht="13" thickBot="1" x14ac:dyDescent="0.3"/>
    <row r="2" spans="2:7" ht="13.15" customHeight="1" x14ac:dyDescent="0.25">
      <c r="B2" s="31" t="str">
        <f>"N = "&amp;Results!C1&amp;", "&amp;Results!C2&amp;" trials."</f>
        <v>N = 50, 1000 trials.</v>
      </c>
      <c r="C2" s="32"/>
      <c r="D2" s="32"/>
      <c r="E2" s="32"/>
      <c r="F2" s="33"/>
    </row>
    <row r="3" spans="2:7" ht="25" x14ac:dyDescent="0.25">
      <c r="B3" s="34" t="s">
        <v>28</v>
      </c>
      <c r="C3" s="9" t="s">
        <v>17</v>
      </c>
      <c r="D3" s="9" t="s">
        <v>18</v>
      </c>
      <c r="E3" s="9" t="s">
        <v>19</v>
      </c>
      <c r="F3" s="35" t="s">
        <v>20</v>
      </c>
    </row>
    <row r="4" spans="2:7" ht="13" x14ac:dyDescent="0.3">
      <c r="B4" s="36" t="s">
        <v>22</v>
      </c>
      <c r="C4" s="1">
        <f>COUNTIF(Results!$H$8:$H$10003,"FAIL")</f>
        <v>5</v>
      </c>
      <c r="D4" s="51">
        <f>C4/SUM(C4:C5)</f>
        <v>1</v>
      </c>
      <c r="E4" s="1">
        <f>C4</f>
        <v>5</v>
      </c>
      <c r="F4" s="37">
        <f>D4</f>
        <v>1</v>
      </c>
    </row>
    <row r="5" spans="2:7" ht="13.5" thickBot="1" x14ac:dyDescent="0.35">
      <c r="B5" s="38" t="s">
        <v>21</v>
      </c>
      <c r="C5" s="39">
        <f>COUNTIF(Results!$H$8:$H$10003,"PASS")</f>
        <v>0</v>
      </c>
      <c r="D5" s="50">
        <f>C5/SUM(C4:C5)</f>
        <v>0</v>
      </c>
      <c r="E5" s="39">
        <f>C4+C5</f>
        <v>5</v>
      </c>
      <c r="F5" s="40">
        <f>D4+D5</f>
        <v>1</v>
      </c>
    </row>
    <row r="6" spans="2:7" ht="13" thickBot="1" x14ac:dyDescent="0.3"/>
    <row r="7" spans="2:7" x14ac:dyDescent="0.25">
      <c r="B7" s="41" t="s">
        <v>24</v>
      </c>
      <c r="C7" s="42" t="s">
        <v>23</v>
      </c>
      <c r="D7" s="42" t="s">
        <v>10</v>
      </c>
      <c r="E7" s="42" t="s">
        <v>11</v>
      </c>
      <c r="F7" s="42" t="s">
        <v>25</v>
      </c>
      <c r="G7" s="43" t="s">
        <v>26</v>
      </c>
    </row>
    <row r="8" spans="2:7" x14ac:dyDescent="0.25">
      <c r="B8" s="36" t="s">
        <v>31</v>
      </c>
      <c r="C8" s="44">
        <f>COUNTA(Results!B:B)-5</f>
        <v>5</v>
      </c>
      <c r="D8" s="45">
        <f>AVERAGE(Results!$E$8:$E$10003)</f>
        <v>81.897235610586591</v>
      </c>
      <c r="E8" s="45">
        <f>STDEV(Results!$E$8:$E$10003)</f>
        <v>3.4106258215674714</v>
      </c>
      <c r="F8" s="45">
        <f>MIN(Results!$E$8:$E$10003)</f>
        <v>76.053937462466578</v>
      </c>
      <c r="G8" s="46">
        <f>MAX(Results!$E$8:$E$10003)</f>
        <v>84.556650469964652</v>
      </c>
    </row>
    <row r="9" spans="2:7" x14ac:dyDescent="0.25">
      <c r="B9" s="36" t="s">
        <v>4</v>
      </c>
      <c r="C9" s="44">
        <f>COUNTA(Results!B:B)-5</f>
        <v>5</v>
      </c>
      <c r="D9" s="45">
        <f>AVERAGE(Results!$F$8:$F$10003)</f>
        <v>76.063272664955122</v>
      </c>
      <c r="E9" s="45">
        <f>STDEV(Results!$F$8:$F$10003)</f>
        <v>2.8986372216038361</v>
      </c>
      <c r="F9" s="45">
        <f>MIN(Results!$F$8:$F$10003)</f>
        <v>71.022722846168136</v>
      </c>
      <c r="G9" s="46">
        <f>MAX(Results!$F$8:$F$10003)</f>
        <v>78.376383152144768</v>
      </c>
    </row>
    <row r="10" spans="2:7" ht="13" thickBot="1" x14ac:dyDescent="0.3">
      <c r="B10" s="38" t="s">
        <v>5</v>
      </c>
      <c r="C10" s="47">
        <f>COUNTA(Results!B:B)-5</f>
        <v>5</v>
      </c>
      <c r="D10" s="48">
        <f>AVERAGE(Results!$G$8:$G$10003)</f>
        <v>88.180889704256558</v>
      </c>
      <c r="E10" s="48">
        <f>STDEV(Results!$G$8:$G$10003)</f>
        <v>4.0206639890967626</v>
      </c>
      <c r="F10" s="48">
        <f>MIN(Results!$G$8:$G$10003)</f>
        <v>81.44156083783335</v>
      </c>
      <c r="G10" s="49">
        <f>MAX(Results!$G$8:$G$10003)</f>
        <v>91.224254694433654</v>
      </c>
    </row>
    <row r="13" spans="2:7" x14ac:dyDescent="0.25">
      <c r="B13" s="9"/>
      <c r="C13" s="9"/>
      <c r="D13" s="9"/>
      <c r="E13" s="9"/>
      <c r="F13" s="9"/>
    </row>
    <row r="14" spans="2:7" x14ac:dyDescent="0.25">
      <c r="D14" s="10"/>
      <c r="F14" s="10"/>
    </row>
    <row r="15" spans="2:7" x14ac:dyDescent="0.25">
      <c r="D15" s="10"/>
      <c r="F15" s="10"/>
    </row>
    <row r="18" spans="2:6" x14ac:dyDescent="0.25">
      <c r="B18" s="9"/>
      <c r="C18" s="9"/>
      <c r="D18" s="9"/>
      <c r="E18" s="9"/>
      <c r="F18" s="9"/>
    </row>
    <row r="19" spans="2:6" x14ac:dyDescent="0.25">
      <c r="D19" s="10"/>
      <c r="F19" s="10"/>
    </row>
    <row r="20" spans="2:6" x14ac:dyDescent="0.25">
      <c r="D20" s="10"/>
      <c r="F20" s="10"/>
    </row>
    <row r="23" spans="2:6" x14ac:dyDescent="0.25">
      <c r="B23" s="9"/>
      <c r="C23" s="9"/>
      <c r="D23" s="9"/>
      <c r="E23" s="9"/>
      <c r="F23" s="9"/>
    </row>
    <row r="24" spans="2:6" ht="81" customHeight="1" x14ac:dyDescent="0.25">
      <c r="D24" s="10"/>
      <c r="F24" s="10"/>
    </row>
    <row r="25" spans="2:6" x14ac:dyDescent="0.25">
      <c r="D25" s="10"/>
      <c r="F25" s="10"/>
    </row>
    <row r="28" spans="2:6" x14ac:dyDescent="0.25">
      <c r="B28" s="9"/>
      <c r="C28" s="9"/>
      <c r="D28" s="9"/>
      <c r="E28" s="9"/>
      <c r="F28" s="9"/>
    </row>
    <row r="29" spans="2:6" x14ac:dyDescent="0.25">
      <c r="D29" s="10"/>
      <c r="F29" s="10"/>
    </row>
    <row r="30" spans="2:6" x14ac:dyDescent="0.25">
      <c r="D30" s="10"/>
      <c r="F30" s="10"/>
    </row>
    <row r="33" spans="2:6" x14ac:dyDescent="0.25">
      <c r="B33" s="9"/>
      <c r="C33" s="9"/>
      <c r="D33" s="9"/>
      <c r="E33" s="9"/>
      <c r="F33" s="9"/>
    </row>
    <row r="34" spans="2:6" x14ac:dyDescent="0.25">
      <c r="D34" s="10"/>
      <c r="F34" s="10"/>
    </row>
    <row r="35" spans="2:6" x14ac:dyDescent="0.25">
      <c r="D35" s="10"/>
      <c r="F35" s="10"/>
    </row>
    <row r="38" spans="2:6" x14ac:dyDescent="0.25">
      <c r="B38" s="9"/>
      <c r="C38" s="9"/>
      <c r="D38" s="9"/>
      <c r="E38" s="9"/>
      <c r="F38" s="9"/>
    </row>
    <row r="39" spans="2:6" x14ac:dyDescent="0.25">
      <c r="D39" s="10"/>
      <c r="F39" s="10"/>
    </row>
    <row r="40" spans="2:6" x14ac:dyDescent="0.25">
      <c r="D40" s="10"/>
      <c r="F40" s="10"/>
    </row>
    <row r="43" spans="2:6" x14ac:dyDescent="0.25">
      <c r="B43" s="9"/>
      <c r="C43" s="9"/>
      <c r="D43" s="9"/>
      <c r="E43" s="9"/>
      <c r="F43" s="9"/>
    </row>
    <row r="44" spans="2:6" x14ac:dyDescent="0.25">
      <c r="D44" s="10"/>
      <c r="F44" s="10"/>
    </row>
    <row r="45" spans="2:6" x14ac:dyDescent="0.25">
      <c r="D45" s="10"/>
      <c r="F45" s="10"/>
    </row>
    <row r="48" spans="2:6" x14ac:dyDescent="0.25">
      <c r="B48" s="9"/>
      <c r="C48" s="9"/>
      <c r="D48" s="9"/>
      <c r="E48" s="9"/>
      <c r="F48" s="9"/>
    </row>
    <row r="49" spans="2:6" x14ac:dyDescent="0.25">
      <c r="D49" s="10"/>
      <c r="F49" s="10"/>
    </row>
    <row r="50" spans="2:6" x14ac:dyDescent="0.25">
      <c r="D50" s="10"/>
      <c r="F50" s="10"/>
    </row>
    <row r="53" spans="2:6" x14ac:dyDescent="0.25">
      <c r="B53" s="9"/>
      <c r="C53" s="9"/>
      <c r="D53" s="9"/>
      <c r="E53" s="9"/>
      <c r="F53" s="9"/>
    </row>
    <row r="54" spans="2:6" x14ac:dyDescent="0.25">
      <c r="D54" s="10"/>
      <c r="F54" s="10"/>
    </row>
    <row r="55" spans="2:6" x14ac:dyDescent="0.25">
      <c r="D55" s="10"/>
      <c r="F55" s="10"/>
    </row>
  </sheetData>
  <phoneticPr fontId="2" type="noConversion"/>
  <pageMargins left="0.75" right="0.75" top="1" bottom="1" header="0.5" footer="0.5"/>
  <pageSetup paperSize="12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Simulation</vt:lpstr>
      <vt:lpstr>Results</vt:lpstr>
      <vt:lpstr>Summary</vt:lpstr>
    </vt:vector>
  </TitlesOfParts>
  <Company>ALLIED RESEARCH INTERNATIONAL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jliu</dc:creator>
  <cp:lastModifiedBy>David Dubins</cp:lastModifiedBy>
  <cp:lastPrinted>2005-10-21T16:48:57Z</cp:lastPrinted>
  <dcterms:created xsi:type="dcterms:W3CDTF">2005-06-03T18:09:34Z</dcterms:created>
  <dcterms:modified xsi:type="dcterms:W3CDTF">2021-06-30T18:34:24Z</dcterms:modified>
</cp:coreProperties>
</file>